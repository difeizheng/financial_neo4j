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5280" tabRatio="883" activeTab="4"/>
  </bookViews>
  <sheets>
    <sheet name="参数输入表" sheetId="2" r:id="rId1"/>
    <sheet name="时间序列" sheetId="19" r:id="rId2"/>
    <sheet name="投产&amp;达产比例" sheetId="18" r:id="rId3"/>
    <sheet name="投资概算明细" sheetId="5" r:id="rId4"/>
    <sheet name="表1-资金筹措及还本付息表" sheetId="3" r:id="rId5"/>
    <sheet name="表2-折旧摊销表" sheetId="4" r:id="rId6"/>
    <sheet name="表3-成本费用表" sheetId="6" r:id="rId7"/>
    <sheet name="表4-收入税金表" sheetId="7" r:id="rId8"/>
    <sheet name="表5-利润表-资本金" sheetId="15" r:id="rId9"/>
    <sheet name="表6-现金流量表-资本金" sheetId="10" r:id="rId10"/>
    <sheet name="表7-利润表-全投资" sheetId="16" r:id="rId11"/>
    <sheet name="表8-现金流量表-全投资" sheetId="9" r:id="rId12"/>
    <sheet name="表9-现金流量表-财务计划" sheetId="17" r:id="rId13"/>
    <sheet name="表10-资产负债表" sheetId="14" r:id="rId14"/>
  </sheets>
  <definedNames>
    <definedName name="_xlnm._FilterDatabase" localSheetId="0" hidden="1">参数输入表!$B$1049:$E$1076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9360</author>
    <author>赖波岑</author>
  </authors>
  <commentList>
    <comment ref="M4" authorId="0">
      <text>
        <r>
          <rPr>
            <b/>
            <sz val="12"/>
            <rFont val="宋体"/>
            <charset val="134"/>
          </rPr>
          <t>建设期结束时点</t>
        </r>
      </text>
    </comment>
    <comment ref="N4" authorId="1">
      <text>
        <r>
          <rPr>
            <b/>
            <sz val="12"/>
            <rFont val="宋体"/>
            <charset val="134"/>
          </rPr>
          <t>宽限期结束时点</t>
        </r>
      </text>
    </comment>
  </commentList>
</comments>
</file>

<file path=xl/comments2.xml><?xml version="1.0" encoding="utf-8"?>
<comments xmlns="http://schemas.openxmlformats.org/spreadsheetml/2006/main">
  <authors>
    <author>9360</author>
    <author>LBC</author>
  </authors>
  <commentList>
    <comment ref="C3" authorId="0">
      <text>
        <r>
          <rPr>
            <sz val="9"/>
            <rFont val="宋体"/>
            <charset val="134"/>
          </rPr>
          <t>建设期开始</t>
        </r>
      </text>
    </comment>
    <comment ref="G3" authorId="0">
      <text>
        <r>
          <rPr>
            <sz val="9"/>
            <rFont val="宋体"/>
            <charset val="134"/>
          </rPr>
          <t>建设期开始时点</t>
        </r>
      </text>
    </comment>
    <comment ref="C7" authorId="0">
      <text>
        <r>
          <rPr>
            <sz val="9"/>
            <rFont val="宋体"/>
            <charset val="134"/>
          </rPr>
          <t>运营期开始</t>
        </r>
      </text>
    </comment>
    <comment ref="G7" authorId="0">
      <text>
        <r>
          <rPr>
            <sz val="9"/>
            <rFont val="宋体"/>
            <charset val="134"/>
          </rPr>
          <t>运营期开始时点</t>
        </r>
      </text>
    </comment>
    <comment ref="O9" authorId="1">
      <text>
        <r>
          <rPr>
            <sz val="9"/>
            <rFont val="宋体"/>
            <charset val="134"/>
          </rPr>
          <t>=投产设施月平均达产率*投产比例</t>
        </r>
      </text>
    </comment>
  </commentList>
</comments>
</file>

<file path=xl/comments3.xml><?xml version="1.0" encoding="utf-8"?>
<comments xmlns="http://schemas.openxmlformats.org/spreadsheetml/2006/main">
  <authors>
    <author>赖波岑</author>
    <author>wxy</author>
  </authors>
  <commentList>
    <comment ref="B260" authorId="0">
      <text>
        <r>
          <rPr>
            <sz val="12"/>
            <rFont val="宋体"/>
            <charset val="134"/>
          </rPr>
          <t>逻辑同长期借款新增1，数据省略</t>
        </r>
      </text>
    </comment>
    <comment ref="Q274" authorId="1">
      <text>
        <r>
          <rPr>
            <b/>
            <sz val="9"/>
            <rFont val="宋体"/>
            <charset val="134"/>
          </rPr>
          <t>wxy:</t>
        </r>
        <r>
          <rPr>
            <sz val="9"/>
            <rFont val="宋体"/>
            <charset val="134"/>
          </rPr>
          <t xml:space="preserve">
=流动资金*（1-流动资金资本金占比）</t>
        </r>
      </text>
    </comment>
    <comment ref="Q277" authorId="1">
      <text>
        <r>
          <rPr>
            <b/>
            <sz val="9"/>
            <rFont val="宋体"/>
            <charset val="134"/>
          </rPr>
          <t>wxy:</t>
        </r>
        <r>
          <rPr>
            <sz val="9"/>
            <rFont val="宋体"/>
            <charset val="134"/>
          </rPr>
          <t xml:space="preserve">
=（期初借款累计+当期借款）* 短期贷款利率</t>
        </r>
      </text>
    </comment>
  </commentList>
</comments>
</file>

<file path=xl/comments4.xml><?xml version="1.0" encoding="utf-8"?>
<comments xmlns="http://schemas.openxmlformats.org/spreadsheetml/2006/main">
  <authors>
    <author>LBC</author>
    <author>wxy</author>
    <author>赖波岑</author>
  </authors>
  <commentList>
    <comment ref="C15" authorId="0">
      <text>
        <r>
          <rPr>
            <sz val="9"/>
            <rFont val="宋体"/>
            <charset val="134"/>
          </rPr>
          <t>增值税即征即退收入为免税收入，不需要在税金表中进行销项税计算。</t>
        </r>
      </text>
    </comment>
    <comment ref="C18" authorId="0">
      <text>
        <r>
          <rPr>
            <sz val="9"/>
            <rFont val="宋体"/>
            <charset val="134"/>
          </rPr>
          <t>政府运营补贴收入为免税收入，不需要在税金表中进行销项税计算</t>
        </r>
      </text>
    </comment>
    <comment ref="A60" authorId="1">
      <text>
        <r>
          <rPr>
            <b/>
            <sz val="9"/>
            <rFont val="宋体"/>
            <charset val="134"/>
          </rPr>
          <t>wxy:</t>
        </r>
        <r>
          <rPr>
            <sz val="9"/>
            <rFont val="宋体"/>
            <charset val="134"/>
          </rPr>
          <t xml:space="preserve">
先表9-31，再该指标，再表6-35</t>
        </r>
      </text>
    </comment>
    <comment ref="C60" authorId="2">
      <text>
        <r>
          <rPr>
            <sz val="14"/>
            <rFont val="宋体"/>
            <charset val="134"/>
          </rPr>
          <t>以流动资产+固定资产净值为基数</t>
        </r>
      </text>
    </comment>
    <comment ref="A61" authorId="1">
      <text>
        <r>
          <rPr>
            <b/>
            <sz val="9"/>
            <rFont val="宋体"/>
            <charset val="134"/>
          </rPr>
          <t>wxy:</t>
        </r>
        <r>
          <rPr>
            <sz val="9"/>
            <rFont val="宋体"/>
            <charset val="134"/>
          </rPr>
          <t xml:space="preserve">
先表10-6和42，再该指标，再表6-35</t>
        </r>
      </text>
    </comment>
  </commentList>
</comments>
</file>

<file path=xl/comments5.xml><?xml version="1.0" encoding="utf-8"?>
<comments xmlns="http://schemas.openxmlformats.org/spreadsheetml/2006/main">
  <authors>
    <author>wxy</author>
  </authors>
  <commentList>
    <comment ref="F57" authorId="0">
      <text>
        <r>
          <rPr>
            <b/>
            <sz val="9"/>
            <rFont val="宋体"/>
            <charset val="134"/>
          </rPr>
          <t>wxy:</t>
        </r>
        <r>
          <rPr>
            <sz val="9"/>
            <rFont val="宋体"/>
            <charset val="134"/>
          </rPr>
          <t xml:space="preserve">
=应税所得额*股息红利所得税</t>
        </r>
      </text>
    </comment>
  </commentList>
</comments>
</file>

<file path=xl/comments6.xml><?xml version="1.0" encoding="utf-8"?>
<comments xmlns="http://schemas.openxmlformats.org/spreadsheetml/2006/main">
  <authors>
    <author>LBC</author>
  </authors>
  <commentList>
    <comment ref="C76" authorId="0">
      <text>
        <r>
          <rPr>
            <sz val="14"/>
            <rFont val="宋体"/>
            <charset val="134"/>
          </rPr>
          <t>导入资金筹措表短期借款当期借款</t>
        </r>
      </text>
    </comment>
  </commentList>
</comments>
</file>

<file path=xl/sharedStrings.xml><?xml version="1.0" encoding="utf-8"?>
<sst xmlns="http://schemas.openxmlformats.org/spreadsheetml/2006/main" count="6547" uniqueCount="1174">
  <si>
    <r>
      <rPr>
        <sz val="16"/>
        <rFont val="微软雅黑"/>
        <charset val="134"/>
      </rPr>
      <t>【</t>
    </r>
    <r>
      <rPr>
        <sz val="16"/>
        <color rgb="FFC00000"/>
        <rFont val="微软雅黑"/>
        <charset val="134"/>
      </rPr>
      <t>抽水蓄能</t>
    </r>
    <r>
      <rPr>
        <sz val="16"/>
        <rFont val="微软雅黑"/>
        <charset val="134"/>
      </rPr>
      <t>】财务评价计算模型边界条件输入参数表</t>
    </r>
  </si>
  <si>
    <t>类别</t>
  </si>
  <si>
    <t>序号</t>
  </si>
  <si>
    <t>参数</t>
  </si>
  <si>
    <t>操作类型</t>
  </si>
  <si>
    <t>数据结构化整理</t>
  </si>
  <si>
    <t>收入/成本归类</t>
  </si>
  <si>
    <t>参数释义/计算公式</t>
  </si>
  <si>
    <t>数值</t>
  </si>
  <si>
    <t>单位</t>
  </si>
  <si>
    <t>取值说明</t>
  </si>
  <si>
    <t>备注</t>
  </si>
  <si>
    <t>工程计划</t>
  </si>
  <si>
    <t>建设期</t>
  </si>
  <si>
    <t>自动计算，向上取整</t>
  </si>
  <si>
    <t>年</t>
  </si>
  <si>
    <t>占用的表格年度跨度，如7.5年需考虑8个会计年度</t>
  </si>
  <si>
    <t>建设期起始日期</t>
  </si>
  <si>
    <t>下拉菜单选择【日历】</t>
  </si>
  <si>
    <t>输入完动工年月及建设期结束日期，自动配置出参数表及计算表中建设期所占报表年度（如建设期为7年5个月，建设期实际占8个报表年）</t>
  </si>
  <si>
    <t>建设期首年年末</t>
  </si>
  <si>
    <t>建设期结束日期</t>
  </si>
  <si>
    <t>建设期末年年初</t>
  </si>
  <si>
    <t>建设期月份数</t>
  </si>
  <si>
    <t>自动计算</t>
  </si>
  <si>
    <t>月</t>
  </si>
  <si>
    <t>建设期月份数转化为年</t>
  </si>
  <si>
    <t>建设期首年月份</t>
  </si>
  <si>
    <t>建设期末年月份</t>
  </si>
  <si>
    <t>施工进度安排</t>
  </si>
  <si>
    <t>2023年3月（自定义时间点1）</t>
  </si>
  <si>
    <t>%</t>
  </si>
  <si>
    <t>2023.2.1-2023.3.31（2个月）</t>
  </si>
  <si>
    <t>2023.4.1-2023.12.31（9个月）</t>
  </si>
  <si>
    <t>2024.1.1-2024.12.31（12个月）</t>
  </si>
  <si>
    <t>2025.1.1-2025.12.31（12个月）</t>
  </si>
  <si>
    <t>2026.1.1-2026.12.31（12个月）</t>
  </si>
  <si>
    <t>2027.1.1-2027.12.31（12个月）</t>
  </si>
  <si>
    <t>2028.1.1-2028.12.31（12个月）</t>
  </si>
  <si>
    <t>2029年8月（自定义时间点1）</t>
  </si>
  <si>
    <t>2029.1.1-2029.8.31（8个月）</t>
  </si>
  <si>
    <t>2029.9.1-2029.12.31（4个月）</t>
  </si>
  <si>
    <t>2030.1.1-2030.7.31（7个月）</t>
  </si>
  <si>
    <t>……</t>
  </si>
  <si>
    <t>根据需要（向上取整）配置</t>
  </si>
  <si>
    <t>投产起始日期</t>
  </si>
  <si>
    <t>手动输入/下拉菜单选择【日历】</t>
  </si>
  <si>
    <t>第n年/第n月</t>
  </si>
  <si>
    <t>运营期/商业运营期</t>
  </si>
  <si>
    <t>手动输入</t>
  </si>
  <si>
    <t>运营期起始日期</t>
  </si>
  <si>
    <t>建设期结束后1天既进入运营期</t>
  </si>
  <si>
    <t>运营期结束日期</t>
  </si>
  <si>
    <t>以建设期结束日期加运营期计算所得，同时考虑每4年出现闰年比非闰年多1天，运营期无法被4整除的按倍数取整</t>
  </si>
  <si>
    <t>试运营期</t>
  </si>
  <si>
    <t>选择时间区间</t>
  </si>
  <si>
    <t>年/月</t>
  </si>
  <si>
    <t>用于最后的累计盈余资金判定</t>
  </si>
  <si>
    <t>项目所在地</t>
  </si>
  <si>
    <t>下拉菜单选择</t>
  </si>
  <si>
    <t>判定是否属于西部地区</t>
  </si>
  <si>
    <t>所在省份</t>
  </si>
  <si>
    <t>所在市、县</t>
  </si>
  <si>
    <t>生产技术</t>
  </si>
  <si>
    <t>实际装机容量</t>
  </si>
  <si>
    <t>MW</t>
  </si>
  <si>
    <t>1MW=1000kW</t>
  </si>
  <si>
    <t>年利用小时数</t>
  </si>
  <si>
    <t>h</t>
  </si>
  <si>
    <t>新增投产比例</t>
  </si>
  <si>
    <t>下拉菜单选择【日历】/手动输入</t>
  </si>
  <si>
    <t>达产率</t>
  </si>
  <si>
    <t>设备设施平均达产率</t>
  </si>
  <si>
    <t>年度达产率（全生命周期）</t>
  </si>
  <si>
    <t>合作期第1年</t>
  </si>
  <si>
    <t>合作期第2年</t>
  </si>
  <si>
    <t>合作期第3年</t>
  </si>
  <si>
    <t>合作期第4年</t>
  </si>
  <si>
    <t>合作期第5年</t>
  </si>
  <si>
    <t>合作期第6年</t>
  </si>
  <si>
    <t>合作期第7年</t>
  </si>
  <si>
    <t>合作期第8年</t>
  </si>
  <si>
    <t>合作期第9年</t>
  </si>
  <si>
    <t>合作期第10年</t>
  </si>
  <si>
    <t>合作期第11年</t>
  </si>
  <si>
    <t>合作期第12年</t>
  </si>
  <si>
    <t>合作期第13年</t>
  </si>
  <si>
    <t>合作期第14年</t>
  </si>
  <si>
    <t>合作期第15年</t>
  </si>
  <si>
    <t>合作期第16年</t>
  </si>
  <si>
    <t>合作期第17年</t>
  </si>
  <si>
    <t>合作期第18年</t>
  </si>
  <si>
    <t>合作期第19年</t>
  </si>
  <si>
    <t>合作期第20年</t>
  </si>
  <si>
    <t>合作期第21年</t>
  </si>
  <si>
    <t>合作期第22年</t>
  </si>
  <si>
    <t>合作期第23年</t>
  </si>
  <si>
    <t>合作期第24年</t>
  </si>
  <si>
    <t>合作期第25年</t>
  </si>
  <si>
    <t>合作期第26年</t>
  </si>
  <si>
    <t>合作期第27年</t>
  </si>
  <si>
    <t>合作期第28年</t>
  </si>
  <si>
    <t>合作期第29年</t>
  </si>
  <si>
    <t>合作期第30年</t>
  </si>
  <si>
    <t>合作期第31年</t>
  </si>
  <si>
    <t>合作期第32年</t>
  </si>
  <si>
    <t>合作期第33年</t>
  </si>
  <si>
    <t>合作期第34年</t>
  </si>
  <si>
    <t>合作期第35年</t>
  </si>
  <si>
    <t>合作期第36年</t>
  </si>
  <si>
    <t>合作期第37年</t>
  </si>
  <si>
    <t>合作期第38年</t>
  </si>
  <si>
    <t>合作期第39年</t>
  </si>
  <si>
    <t>合作期第40年</t>
  </si>
  <si>
    <t>合作期第41年</t>
  </si>
  <si>
    <t>合作期第42年</t>
  </si>
  <si>
    <t>合作期第43年</t>
  </si>
  <si>
    <t>合作期第44年</t>
  </si>
  <si>
    <t>合作期第45年</t>
  </si>
  <si>
    <t>合作期第46年</t>
  </si>
  <si>
    <t>合作期第47年</t>
  </si>
  <si>
    <t>合作期第48年</t>
  </si>
  <si>
    <t>发电量</t>
  </si>
  <si>
    <t>抽水蓄能上网电量=年利用小时数*实际装机容量</t>
  </si>
  <si>
    <t>MWh</t>
  </si>
  <si>
    <t>1MWh=0.1万度电</t>
  </si>
  <si>
    <t>上网电价</t>
  </si>
  <si>
    <t>元/kWh</t>
  </si>
  <si>
    <t>工程概算</t>
  </si>
  <si>
    <t>枢纽工程</t>
  </si>
  <si>
    <t>万元</t>
  </si>
  <si>
    <t>施工辅助工程</t>
  </si>
  <si>
    <t>手动输入/下拉菜单选择【增值税税率】</t>
  </si>
  <si>
    <t>增值税税率（自动生成含税和不含税价）：13%/9%/6%/0%</t>
  </si>
  <si>
    <t>建筑工程</t>
  </si>
  <si>
    <t>环境保护和水土保持专项工程</t>
  </si>
  <si>
    <t>机电设备安装工程</t>
  </si>
  <si>
    <t>金属结构设备安装工程</t>
  </si>
  <si>
    <t>机电设备采购工程</t>
  </si>
  <si>
    <t>金属结构设备采购工程</t>
  </si>
  <si>
    <t>建设征地和移民安置补偿费用</t>
  </si>
  <si>
    <t>独立费用</t>
  </si>
  <si>
    <t>建设管理费</t>
  </si>
  <si>
    <t>生产准备费</t>
  </si>
  <si>
    <t>科研勘查设计费</t>
  </si>
  <si>
    <t>其他税费</t>
  </si>
  <si>
    <t>基本预备费</t>
  </si>
  <si>
    <t>送出线路投资</t>
  </si>
  <si>
    <r>
      <rPr>
        <b/>
        <sz val="12"/>
        <color theme="1"/>
        <rFont val="微软雅黑"/>
        <charset val="134"/>
      </rPr>
      <t>储能投资</t>
    </r>
    <r>
      <rPr>
        <b/>
        <sz val="11"/>
        <color rgb="FF00B050"/>
        <rFont val="微软雅黑"/>
        <charset val="134"/>
      </rPr>
      <t>（配储情形）</t>
    </r>
  </si>
  <si>
    <t>静态投资（工程）</t>
  </si>
  <si>
    <t>投资概算1-6合计</t>
  </si>
  <si>
    <t>静态投资（自主投资）</t>
  </si>
  <si>
    <t>静态总投资（自主投资）=项目静态总投资-建设补贴</t>
  </si>
  <si>
    <t>价差预备费</t>
  </si>
  <si>
    <t>工程总投资（工程）</t>
  </si>
  <si>
    <t>工程总投资（自主投资）</t>
  </si>
  <si>
    <t>建设期利息</t>
  </si>
  <si>
    <t>计入总投资的资本化利息，直接引用资金筹措表数据</t>
  </si>
  <si>
    <r>
      <rPr>
        <b/>
        <sz val="12"/>
        <color theme="1"/>
        <rFont val="微软雅黑"/>
        <charset val="134"/>
      </rPr>
      <t>项目动态总投资</t>
    </r>
    <r>
      <rPr>
        <b/>
        <sz val="10"/>
        <color theme="1"/>
        <rFont val="微软雅黑"/>
        <charset val="134"/>
      </rPr>
      <t xml:space="preserve"> (不含流动资金)</t>
    </r>
  </si>
  <si>
    <r>
      <rPr>
        <sz val="11"/>
        <color theme="1"/>
        <rFont val="微软雅黑"/>
        <charset val="134"/>
      </rPr>
      <t>项目动态总投资</t>
    </r>
    <r>
      <rPr>
        <sz val="9"/>
        <color theme="1"/>
        <rFont val="微软雅黑"/>
        <charset val="134"/>
      </rPr>
      <t>（不含流动资金）</t>
    </r>
    <r>
      <rPr>
        <sz val="11"/>
        <color theme="1"/>
        <rFont val="微软雅黑"/>
        <charset val="134"/>
      </rPr>
      <t>=项目静态总投资+建设期利息</t>
    </r>
  </si>
  <si>
    <r>
      <rPr>
        <b/>
        <sz val="12"/>
        <color theme="1"/>
        <rFont val="微软雅黑"/>
        <charset val="134"/>
      </rPr>
      <t>动态总投资</t>
    </r>
    <r>
      <rPr>
        <b/>
        <sz val="10"/>
        <color theme="1"/>
        <rFont val="微软雅黑"/>
        <charset val="134"/>
      </rPr>
      <t>（自主投资_不含流动资金）</t>
    </r>
  </si>
  <si>
    <r>
      <rPr>
        <sz val="11"/>
        <color theme="1"/>
        <rFont val="微软雅黑"/>
        <charset val="134"/>
      </rPr>
      <t>动态总投资</t>
    </r>
    <r>
      <rPr>
        <sz val="9"/>
        <color theme="1"/>
        <rFont val="微软雅黑"/>
        <charset val="134"/>
      </rPr>
      <t>（自主投资_不含流动资金）</t>
    </r>
    <r>
      <rPr>
        <sz val="11"/>
        <color theme="1"/>
        <rFont val="微软雅黑"/>
        <charset val="134"/>
      </rPr>
      <t>=静态总投资（自主投资）+建设期利息</t>
    </r>
  </si>
  <si>
    <t>流动资金</t>
  </si>
  <si>
    <t>可自定义计算规则</t>
  </si>
  <si>
    <t>流动资金费率</t>
  </si>
  <si>
    <t>计算方式</t>
  </si>
  <si>
    <t>分项详细估算法</t>
  </si>
  <si>
    <t>可抵扣进项税</t>
  </si>
  <si>
    <t>根据项目设计概算梳理出设备类、建安类、服务类投资，再分别按照对应适用税率（现行标准为13%、9%、6%）计算出可抵扣增值税额</t>
  </si>
  <si>
    <t>建设补贴</t>
  </si>
  <si>
    <t>融资计划</t>
  </si>
  <si>
    <t>权益融资</t>
  </si>
  <si>
    <t>资本金</t>
  </si>
  <si>
    <t>按比例输入</t>
  </si>
  <si>
    <t>1.1.1</t>
  </si>
  <si>
    <t>下拉菜单选择按金额输入</t>
  </si>
  <si>
    <t>1.1.2</t>
  </si>
  <si>
    <t>下拉菜单选择按比例输入</t>
  </si>
  <si>
    <t>资本金比例</t>
  </si>
  <si>
    <t>资本金比例原则上在20%-30%之间</t>
  </si>
  <si>
    <t>资本金=资金筹措动态总投资*资本金比例</t>
  </si>
  <si>
    <t>流动资金中资本金占比</t>
  </si>
  <si>
    <t>项目公司注册资本</t>
  </si>
  <si>
    <t>持股比例</t>
  </si>
  <si>
    <t>三峡方持股比例</t>
  </si>
  <si>
    <t>分红比例</t>
  </si>
  <si>
    <t>项目公司层面约定分红比例</t>
  </si>
  <si>
    <t>盈余公积金</t>
  </si>
  <si>
    <t>法定盈余公积金提取上限</t>
  </si>
  <si>
    <t>法定盈余公积金按当年净利润10%提取，累计提取至注册资本的50%不再提取</t>
  </si>
  <si>
    <t>法定盈余公积金提取比例</t>
  </si>
  <si>
    <t>手动输入，默认10%</t>
  </si>
  <si>
    <t>法定盈余公积金按当年净利润10%提取</t>
  </si>
  <si>
    <t>任意盈余公积金提取比例</t>
  </si>
  <si>
    <t>手动输入，默认0%</t>
  </si>
  <si>
    <t>债务融资</t>
  </si>
  <si>
    <t>宽限期</t>
  </si>
  <si>
    <t>建设期仅付息，不还本</t>
  </si>
  <si>
    <t>限制大于等于建设期</t>
  </si>
  <si>
    <t>宽限期结束时点</t>
  </si>
  <si>
    <t>建设期利息贷款利率</t>
  </si>
  <si>
    <t>用于计算建设期利息的贷款利率</t>
  </si>
  <si>
    <t>长期贷款利率</t>
  </si>
  <si>
    <t>原则上按照开发主体在项目所在地实际融资水平取值，不得高于同期限银行贷款基础利率（LPR）</t>
  </si>
  <si>
    <t>短期贷款利率</t>
  </si>
  <si>
    <t>长期借款本金偿还方式</t>
  </si>
  <si>
    <t>等额本息/等额本金/其他</t>
  </si>
  <si>
    <t>等额本金</t>
  </si>
  <si>
    <t>月度/季度/半年度/年度</t>
  </si>
  <si>
    <t>季度</t>
  </si>
  <si>
    <t>长期借款本金还款期限</t>
  </si>
  <si>
    <t>还款期限建议取值15年，最终根据与银行沟通协商情况据实调整</t>
  </si>
  <si>
    <t>短期借款</t>
  </si>
  <si>
    <t>短期借款额</t>
  </si>
  <si>
    <t>手动输入，初始默认为0</t>
  </si>
  <si>
    <t>短期借款还本</t>
  </si>
  <si>
    <t>2029年8月（自定义时间点2）</t>
  </si>
  <si>
    <t>全投资模式计算规则</t>
  </si>
  <si>
    <t>不含建设期利息</t>
  </si>
  <si>
    <t>营运资本</t>
  </si>
  <si>
    <t>应收账款负担</t>
  </si>
  <si>
    <t>计算基数</t>
  </si>
  <si>
    <t>首年投产比例100%时的生产经营成本</t>
  </si>
  <si>
    <t>应收账款周转天数</t>
  </si>
  <si>
    <t>周转次数=360/周转天数</t>
  </si>
  <si>
    <t>天</t>
  </si>
  <si>
    <t>存货</t>
  </si>
  <si>
    <t>首年投产比例100%时的外购原材料、燃料费用</t>
  </si>
  <si>
    <t>存货周转天数</t>
  </si>
  <si>
    <t>预付款项</t>
  </si>
  <si>
    <t>预付款项周转天数</t>
  </si>
  <si>
    <t>应付账款</t>
  </si>
  <si>
    <t>首年投产比例100%时外购原材料、燃料动力及其他材料年费用</t>
  </si>
  <si>
    <t>应付账款周转天数</t>
  </si>
  <si>
    <t>预收账款</t>
  </si>
  <si>
    <t>预收账款周转天数</t>
  </si>
  <si>
    <t>2.10</t>
  </si>
  <si>
    <t>亏损弥补</t>
  </si>
  <si>
    <t>亏损弥补年限</t>
  </si>
  <si>
    <t>亏损弥补允许比例</t>
  </si>
  <si>
    <t>成本费用</t>
  </si>
  <si>
    <t>材料费</t>
  </si>
  <si>
    <t>自动生成含税价、不含税价及增值税</t>
  </si>
  <si>
    <t>数量*单价</t>
  </si>
  <si>
    <t>生产成本</t>
  </si>
  <si>
    <t>在运营期前5年（质保期内）将材料费和运行维护费用合并考虑，建议取值不低于1万元/兆瓦/年；自运营期第6年起单独考虑材料费，建议取值不低于0.1万元/兆瓦/年。
（对于外委运维，应结合运维合同约定的工作界面，视情况进行调整）</t>
  </si>
  <si>
    <t>计费数量</t>
  </si>
  <si>
    <t>引用</t>
  </si>
  <si>
    <t>数量</t>
  </si>
  <si>
    <t>材料费单价</t>
  </si>
  <si>
    <t>合作期1-48年</t>
  </si>
  <si>
    <t>单价</t>
  </si>
  <si>
    <t>万元/兆瓦/年</t>
  </si>
  <si>
    <t>增值税税率</t>
  </si>
  <si>
    <t>13%/9%/6%/0%</t>
  </si>
  <si>
    <t>维修费</t>
  </si>
  <si>
    <t>总价/基数*比例</t>
  </si>
  <si>
    <t>在运营期前5年（质保期内）将材料费和运行维护费用合并考虑，建议取值不低于1万元/兆瓦/年；自运营期第6年开始单独考虑运行维修费，结合固定资产磨损状态，建议第六年按照不低于项目固定资产原值0.3%取值，之后每5年上调不低于0.1%。
（对于外委运维，应结合运维合同约定的工作界面，视情况进行调整）</t>
  </si>
  <si>
    <t>取费基数</t>
  </si>
  <si>
    <t>可选择静态总投资/动态总投资/
其他</t>
  </si>
  <si>
    <t>总价/基数</t>
  </si>
  <si>
    <t>费率</t>
  </si>
  <si>
    <t>可自定义合作期内各年的费率</t>
  </si>
  <si>
    <t>比例</t>
  </si>
  <si>
    <t>保险费</t>
  </si>
  <si>
    <t>管理费用</t>
  </si>
  <si>
    <t>原则上应按照实际购买险种和对应集采价格进行计算。
如暂无固定统一的保险供应商及价格，在运营期前5年（质保期内）建议按照项目固定资产现值0.011%取值，自运营期第6年开始取值0.031%。</t>
  </si>
  <si>
    <t>可选择静态总投资/动态总投资
/其他【】</t>
  </si>
  <si>
    <t>保险费费率</t>
  </si>
  <si>
    <t>生产人员薪酬及福利</t>
  </si>
  <si>
    <t>（1）正式员工
①人员数量：容量0-50MW，集控管理5人、非集控管理7人；50.1-100MW，集控8人、非集控12人；100.1-200MW，集控13人、非集控17人；200.1-300MW，集控16人、非集控20人；300.1-400MW，集控21人、非集控25人；400MW以上结合实际情况考虑。
②薪酬福利：人均工资16万元/年，综合福利按照工资50%取值，综合薪酬考虑每年增长5%。
（具体项目运维人数可根据建设规模、管理模式、周边已建项目距离和运维人员配置等情况统筹优化调整；薪酬福利标准可根据集团公司在当地用工的实际水平进行调整）
（2）劳务外包员工
①人员数量：容量100MW及以内配置3人，每增加100MW增加1人。
②薪酬福利：按照正式员工50%取值。
（对于外委运维，应结合运维合同约定的工作界面，视情况进行调整）</t>
  </si>
  <si>
    <t>生产人员（正式/劳务派遣）</t>
  </si>
  <si>
    <t>正式员工</t>
  </si>
  <si>
    <t>人</t>
  </si>
  <si>
    <t>劳务派遣</t>
  </si>
  <si>
    <t>人均工资</t>
  </si>
  <si>
    <t>万元/人/年</t>
  </si>
  <si>
    <t>正式员工工资</t>
  </si>
  <si>
    <t>劳务派遣工资</t>
  </si>
  <si>
    <t>社会保险及福利费用系数</t>
  </si>
  <si>
    <t>上涨系数调整</t>
  </si>
  <si>
    <t>可自定义增长形式</t>
  </si>
  <si>
    <t>抽水电费</t>
  </si>
  <si>
    <t>抽水电费=抽水电量*抽水电价</t>
  </si>
  <si>
    <t>机组效率</t>
  </si>
  <si>
    <t>机组效率=发电电量/抽水电量</t>
  </si>
  <si>
    <t>抽水电量</t>
  </si>
  <si>
    <t>抽水电价</t>
  </si>
  <si>
    <t>补水费用</t>
  </si>
  <si>
    <t>年均成本补水费用</t>
  </si>
  <si>
    <t>总额</t>
  </si>
  <si>
    <t>万元/年</t>
  </si>
  <si>
    <t>补水系统药剂费用</t>
  </si>
  <si>
    <t>年均补水系统药剂费用</t>
  </si>
  <si>
    <t>补水系统电费</t>
  </si>
  <si>
    <t>年均补水系统电费</t>
  </si>
  <si>
    <t>其他费用</t>
  </si>
  <si>
    <t>生产成本/销售费用/管理费用/研发费用</t>
  </si>
  <si>
    <t>其他费用计费数量</t>
  </si>
  <si>
    <t>其他费用单价</t>
  </si>
  <si>
    <t>万元/MW</t>
  </si>
  <si>
    <r>
      <rPr>
        <b/>
        <sz val="12"/>
        <color theme="1"/>
        <rFont val="微软雅黑"/>
        <charset val="134"/>
      </rPr>
      <t>储能运维费用</t>
    </r>
    <r>
      <rPr>
        <b/>
        <sz val="11"/>
        <color rgb="FF00B050"/>
        <rFont val="微软雅黑"/>
        <charset val="134"/>
      </rPr>
      <t>（配储情形）</t>
    </r>
  </si>
  <si>
    <t>储能运维费用计费数量</t>
  </si>
  <si>
    <t>储能运维费用单价</t>
  </si>
  <si>
    <t>资产折旧摊销</t>
  </si>
  <si>
    <t>不需要归类</t>
  </si>
  <si>
    <t>固定资产折旧</t>
  </si>
  <si>
    <t>固定资产原值</t>
  </si>
  <si>
    <t>固定资产原值=项目动态总投资（自主投资_不含流动资金）-可抵扣进项税=项目静态总投资-建设补贴+建设期利息-可抵扣进项税</t>
  </si>
  <si>
    <t>固定资产折旧计提方式</t>
  </si>
  <si>
    <t>计算规则</t>
  </si>
  <si>
    <t>直线法/其他(手动填写各年的折旧额)</t>
  </si>
  <si>
    <t>原则上采用平均年限法进行折旧，折旧年限取值18年，残值率取值0%</t>
  </si>
  <si>
    <t>固定资产折旧年限</t>
  </si>
  <si>
    <t>固定资产残值率</t>
  </si>
  <si>
    <t>（储能资产）折旧</t>
  </si>
  <si>
    <t>可新增参数指标</t>
  </si>
  <si>
    <t>括号内可自定义名称</t>
  </si>
  <si>
    <t>（固定资产3）折旧</t>
  </si>
  <si>
    <t>.........</t>
  </si>
  <si>
    <t>无形资产摊销</t>
  </si>
  <si>
    <t>无形资产原值</t>
  </si>
  <si>
    <t>无形资产摊销计提方式</t>
  </si>
  <si>
    <t>无形资产摊销年限</t>
  </si>
  <si>
    <t>无形资产残值率</t>
  </si>
  <si>
    <t>计入长期待摊的成本项</t>
  </si>
  <si>
    <t>适用于一次性支付多年租金等情形</t>
  </si>
  <si>
    <t>计入长期待摊的成本金额</t>
  </si>
  <si>
    <t>摊销计提方式</t>
  </si>
  <si>
    <t>直线法/其他</t>
  </si>
  <si>
    <t>摊销年限</t>
  </si>
  <si>
    <t>大修及更新重置</t>
  </si>
  <si>
    <t>大修及更新重置投资</t>
  </si>
  <si>
    <t>折旧摊销计提方式</t>
  </si>
  <si>
    <t>大修及更新重置投资折旧年限</t>
  </si>
  <si>
    <t>税率</t>
  </si>
  <si>
    <t>增值税进项税</t>
  </si>
  <si>
    <t>大修及更新重置进项税=大修及更新重置投资/（1+增值税税率（自动生成含税和不含税价））*增值税税率（自动生成含税和不含税价）</t>
  </si>
  <si>
    <r>
      <rPr>
        <b/>
        <sz val="12"/>
        <color theme="1"/>
        <rFont val="微软雅黑"/>
        <charset val="134"/>
      </rPr>
      <t>储能更新重置</t>
    </r>
    <r>
      <rPr>
        <b/>
        <sz val="11"/>
        <color rgb="FF00B050"/>
        <rFont val="微软雅黑"/>
        <charset val="134"/>
      </rPr>
      <t>（配储情形）</t>
    </r>
  </si>
  <si>
    <t>储能更新重置投资</t>
  </si>
  <si>
    <t>储能更新重置投资折旧年限</t>
  </si>
  <si>
    <t>营业外支出</t>
  </si>
  <si>
    <t>营业外支出金额</t>
  </si>
  <si>
    <t>捐赠/税前分红/扶贫支出等</t>
  </si>
  <si>
    <t>收入</t>
  </si>
  <si>
    <t>营业收入</t>
  </si>
  <si>
    <t>容量电费营业收入</t>
  </si>
  <si>
    <t>装机规模</t>
  </si>
  <si>
    <t>引用生产板块相关数据</t>
  </si>
  <si>
    <t>投产比例</t>
  </si>
  <si>
    <t>容量电价</t>
  </si>
  <si>
    <t>元/Kwh</t>
  </si>
  <si>
    <t>抽蓄项目最终测算目标，以资本金IRR=6.5%倒推</t>
  </si>
  <si>
    <t>首年付款比例</t>
  </si>
  <si>
    <t>回款周期</t>
  </si>
  <si>
    <t>资本金IRR</t>
  </si>
  <si>
    <t>Check</t>
  </si>
  <si>
    <t>电量电费营业收入</t>
  </si>
  <si>
    <t>引用生产板块相关数据/手动输入</t>
  </si>
  <si>
    <t>厂用电率</t>
  </si>
  <si>
    <t>其他收益</t>
  </si>
  <si>
    <t>如有增值税即征即退，直接计入其他收益，此处添加增值税即征即退之外的其他收益</t>
  </si>
  <si>
    <t>其他收入2</t>
  </si>
  <si>
    <t>可自定义名称及计算规则</t>
  </si>
  <si>
    <t>其他收入2计算量</t>
  </si>
  <si>
    <t>收入单价</t>
  </si>
  <si>
    <t>营业外收入</t>
  </si>
  <si>
    <r>
      <rPr>
        <b/>
        <sz val="12"/>
        <rFont val="微软雅黑"/>
        <charset val="134"/>
      </rPr>
      <t>政府运营补贴收入</t>
    </r>
    <r>
      <rPr>
        <b/>
        <sz val="10"/>
        <rFont val="微软雅黑"/>
        <charset val="134"/>
      </rPr>
      <t>（一次性）</t>
    </r>
  </si>
  <si>
    <t>补贴金额</t>
  </si>
  <si>
    <t>递延收益确认</t>
  </si>
  <si>
    <t>税金</t>
  </si>
  <si>
    <t>增值税优惠政策</t>
  </si>
  <si>
    <t>常规/即征即退</t>
  </si>
  <si>
    <t>常规</t>
  </si>
  <si>
    <t>菜单项</t>
  </si>
  <si>
    <t>无增值税退税优惠</t>
  </si>
  <si>
    <t>即征即退</t>
  </si>
  <si>
    <t>菜单项/手动输入</t>
  </si>
  <si>
    <t>【】</t>
  </si>
  <si>
    <t>企业所得税优惠政策</t>
  </si>
  <si>
    <t>下拉菜单选择
（可多选）</t>
  </si>
  <si>
    <t>常规/所得税三免三减半/西部地区的鼓励类产业企业</t>
  </si>
  <si>
    <t>三免三减半</t>
  </si>
  <si>
    <t>①所得税三免三减半：自取得第一笔发电收入所属纳税年度起，免除第1-3年所得税，减半征收第4-6年所得税。
②若符合西部地区的鼓励类产业企业政策：根据《关于延续西部大开发企业所得税政策的公告》和《西部地区鼓励类产业目录》，对于符合相应应条件的西部地区项目，在2030年及以前的运营期可进一步考虑所得税率减按15%执行的优惠政策。</t>
  </si>
  <si>
    <t>无所得税优惠</t>
  </si>
  <si>
    <t>所得税三免三减半</t>
  </si>
  <si>
    <t>自取得第一笔发电收入所属纳税年度起，免除第1-3年所得税，减半征收第4-6年所得税</t>
  </si>
  <si>
    <t>西部地区的鼓励类产业企业</t>
  </si>
  <si>
    <t>2030年前所得税适用15%税率</t>
  </si>
  <si>
    <t>2030年前适用15%所得税税率</t>
  </si>
  <si>
    <t>城市维护建设税税率</t>
  </si>
  <si>
    <t>所在地为市区的，税率7%；
所在地为县城、镇的，税率为5%；
所在地不在市区、县城或镇的，税率为1%。</t>
  </si>
  <si>
    <t>城建税税率（市区）</t>
  </si>
  <si>
    <t>城建税税率（县城、镇）</t>
  </si>
  <si>
    <t>城建税税率（其他）</t>
  </si>
  <si>
    <t>教育费附加费</t>
  </si>
  <si>
    <r>
      <rPr>
        <sz val="12"/>
        <rFont val="微软雅黑"/>
        <charset val="134"/>
      </rPr>
      <t>教育费附加=（实际缴纳的增值税+营业税+消费税）×</t>
    </r>
    <r>
      <rPr>
        <b/>
        <sz val="12"/>
        <rFont val="微软雅黑"/>
        <charset val="134"/>
      </rPr>
      <t>3%</t>
    </r>
    <r>
      <rPr>
        <sz val="11"/>
        <color theme="1"/>
        <rFont val="微软雅黑"/>
        <charset val="134"/>
      </rPr>
      <t xml:space="preserve">
地方教育附加=（实际缴纳的增值税+营业税+消费税）×</t>
    </r>
    <r>
      <rPr>
        <b/>
        <sz val="12"/>
        <rFont val="微软雅黑"/>
        <charset val="134"/>
      </rPr>
      <t>2%</t>
    </r>
  </si>
  <si>
    <t>教育附加税率</t>
  </si>
  <si>
    <t>地方教育附加税率</t>
  </si>
  <si>
    <t>城镇土地使用税</t>
  </si>
  <si>
    <t>应税土地面积</t>
  </si>
  <si>
    <t>㎡</t>
  </si>
  <si>
    <t>城镇土地使用税税收标准</t>
  </si>
  <si>
    <t>元/㎡</t>
  </si>
  <si>
    <t>应纳税所得额调减</t>
  </si>
  <si>
    <t>用于利润表应纳税所得额抵减</t>
  </si>
  <si>
    <t>股息红利所得税</t>
  </si>
  <si>
    <t>预提税（境外受益者税）</t>
  </si>
  <si>
    <t>股息预提税</t>
  </si>
  <si>
    <t>临时净资产税</t>
  </si>
  <si>
    <t>临时净资产税税率</t>
  </si>
  <si>
    <t>临时净资产税预缴比例</t>
  </si>
  <si>
    <t>以当年净收入为基数</t>
  </si>
  <si>
    <t>下拉菜单</t>
  </si>
  <si>
    <t>全投资模式选择</t>
  </si>
  <si>
    <t>含建设期利息</t>
  </si>
  <si>
    <t>流动资金计算方式</t>
  </si>
  <si>
    <t>扩大指标估算法</t>
  </si>
  <si>
    <t>按金额输入</t>
  </si>
  <si>
    <t>贷款计息方式</t>
  </si>
  <si>
    <t>等额本息</t>
  </si>
  <si>
    <t>其他</t>
  </si>
  <si>
    <t>贷款偿还方式</t>
  </si>
  <si>
    <t>月度</t>
  </si>
  <si>
    <t>半年度</t>
  </si>
  <si>
    <t>年度</t>
  </si>
  <si>
    <t>静态总投资</t>
  </si>
  <si>
    <t>动态总投资</t>
  </si>
  <si>
    <t>参数表中标黄为相对固定模块，成本、收入板块中非固定模块建议设置成可选可添加形式，由操作者自定义名称、计算方式及具体参数进行计算。</t>
  </si>
  <si>
    <t>所有收入、成本参数需同步勾选对应增值税税率（自动生成含税和不含税价）</t>
  </si>
  <si>
    <t>项目</t>
  </si>
  <si>
    <t>建设期开始</t>
  </si>
  <si>
    <t>运营期</t>
  </si>
  <si>
    <t>运营期结束</t>
  </si>
  <si>
    <t>项目完整时间序列</t>
  </si>
  <si>
    <t>相邻时间节点间隔（月）</t>
  </si>
  <si>
    <t>时间节点所处年度</t>
  </si>
  <si>
    <t>时间序列（年）</t>
  </si>
  <si>
    <t>当年占用时间（月）</t>
  </si>
  <si>
    <t>投产开始</t>
  </si>
  <si>
    <t>项目投产时间序列</t>
  </si>
  <si>
    <t>首批固定资产折旧开始-结束时点</t>
  </si>
  <si>
    <t>固定资产折旧摊销时间序列</t>
  </si>
  <si>
    <t>当年折旧月份数（固定资产）</t>
  </si>
  <si>
    <t>首批投产设备设施无形资产折旧开始-结束时点</t>
  </si>
  <si>
    <t>无形资产折旧摊销时间序列</t>
  </si>
  <si>
    <t>当年折旧月份数（无形资产）</t>
  </si>
  <si>
    <t>首批投产（储能资产）折旧开始-结束时点</t>
  </si>
  <si>
    <t>（储能资产）折旧摊销时间序列</t>
  </si>
  <si>
    <t>当年折旧月份数（储能资产）</t>
  </si>
  <si>
    <t>首批投产（固定资产3）折旧开始-结束时点</t>
  </si>
  <si>
    <t>（固定资产3）折旧摊销时间序列</t>
  </si>
  <si>
    <t>当年折旧月份数（固定资产3）</t>
  </si>
  <si>
    <t>Check固定资产</t>
  </si>
  <si>
    <t>Check无形资产</t>
  </si>
  <si>
    <t>Check（储能资产）</t>
  </si>
  <si>
    <t>Check（固定资产3）</t>
  </si>
  <si>
    <t>第二批投产固定资产折旧开始-结束时点</t>
  </si>
  <si>
    <t>第二批投产设备设施无形资产折旧开始-结束时点</t>
  </si>
  <si>
    <t>第二批投产（储能资产）折旧开始-结束时点</t>
  </si>
  <si>
    <t>第二批投产（固定资产3）折旧开始-结束时点</t>
  </si>
  <si>
    <t>第三批投产固定资产折旧开始-结束时点</t>
  </si>
  <si>
    <t>第三批投产设备设施无形资产折旧开始-结束时点</t>
  </si>
  <si>
    <t>第三批投产（储能资产）折旧开始-结束时点</t>
  </si>
  <si>
    <t>第三批投产（固定资产3）折旧开始-结束时点</t>
  </si>
  <si>
    <t>完全投产固定资产折旧开始-结束时点</t>
  </si>
  <si>
    <t>完全投产设备设施无形资产折旧开始-结束时点</t>
  </si>
  <si>
    <t>完全投产（储能资产）折旧开始-结束时点</t>
  </si>
  <si>
    <t>完全投产（固定资产3）折旧开始-结束时点</t>
  </si>
  <si>
    <r>
      <rPr>
        <b/>
        <sz val="11"/>
        <color theme="1"/>
        <rFont val="微软雅黑"/>
        <charset val="134"/>
      </rPr>
      <t xml:space="preserve">关键时间节点参数
</t>
    </r>
    <r>
      <rPr>
        <sz val="11"/>
        <color rgb="FFC00000"/>
        <rFont val="微软雅黑"/>
        <charset val="134"/>
      </rPr>
      <t>（设备设施平均达产率）</t>
    </r>
  </si>
  <si>
    <r>
      <rPr>
        <b/>
        <sz val="11"/>
        <color theme="1"/>
        <rFont val="微软雅黑"/>
        <charset val="134"/>
      </rPr>
      <t xml:space="preserve">关键时间节点参数
</t>
    </r>
    <r>
      <rPr>
        <sz val="11"/>
        <color rgb="FFC00000"/>
        <rFont val="微软雅黑"/>
        <charset val="134"/>
      </rPr>
      <t>（设备设施累计投产比例）</t>
    </r>
  </si>
  <si>
    <t>首批投产</t>
  </si>
  <si>
    <t>第二批投产</t>
  </si>
  <si>
    <t>第三批投产</t>
  </si>
  <si>
    <t>完全投产</t>
  </si>
  <si>
    <t>投产设施月平均达产率</t>
  </si>
  <si>
    <r>
      <rPr>
        <b/>
        <sz val="10"/>
        <color theme="1"/>
        <rFont val="微软雅黑"/>
        <charset val="134"/>
      </rPr>
      <t>投产比例</t>
    </r>
    <r>
      <rPr>
        <b/>
        <sz val="8"/>
        <color theme="1"/>
        <rFont val="微软雅黑"/>
        <charset val="134"/>
      </rPr>
      <t>（生产）</t>
    </r>
  </si>
  <si>
    <r>
      <rPr>
        <b/>
        <sz val="10"/>
        <color theme="1"/>
        <rFont val="微软雅黑"/>
        <charset val="134"/>
      </rPr>
      <t>投产比例（</t>
    </r>
    <r>
      <rPr>
        <b/>
        <sz val="8"/>
        <color theme="1"/>
        <rFont val="微软雅黑"/>
        <charset val="134"/>
      </rPr>
      <t>确认资产）</t>
    </r>
  </si>
  <si>
    <t>项目月达产率</t>
  </si>
  <si>
    <t>各年期末资产确认比例</t>
  </si>
  <si>
    <t>年度达产率统计</t>
  </si>
  <si>
    <t>建设期第1年</t>
  </si>
  <si>
    <t>建设期第2年</t>
  </si>
  <si>
    <t>建设期第3年</t>
  </si>
  <si>
    <t>建设期第4年</t>
  </si>
  <si>
    <t>建设期第5年</t>
  </si>
  <si>
    <t>建设期第6年</t>
  </si>
  <si>
    <t>建设期第7年</t>
  </si>
  <si>
    <t>建设期第8年</t>
  </si>
  <si>
    <r>
      <rPr>
        <b/>
        <sz val="12"/>
        <color theme="1"/>
        <rFont val="微软雅黑"/>
        <charset val="134"/>
      </rPr>
      <t>工程分年度投资输入表</t>
    </r>
    <r>
      <rPr>
        <b/>
        <sz val="10"/>
        <color rgb="FFFF0000"/>
        <rFont val="微软雅黑"/>
        <charset val="134"/>
      </rPr>
      <t>（可插入月度数据）</t>
    </r>
  </si>
  <si>
    <t>科目</t>
  </si>
  <si>
    <t>合计</t>
  </si>
  <si>
    <r>
      <rPr>
        <b/>
        <sz val="12"/>
        <color rgb="FFFF0000"/>
        <rFont val="微软雅黑"/>
        <charset val="134"/>
      </rPr>
      <t>储能投资</t>
    </r>
    <r>
      <rPr>
        <b/>
        <sz val="10"/>
        <color rgb="FF00B050"/>
        <rFont val="微软雅黑"/>
        <charset val="134"/>
      </rPr>
      <t>（配储情形）</t>
    </r>
  </si>
  <si>
    <t>静态投资</t>
  </si>
  <si>
    <t>建设投资</t>
  </si>
  <si>
    <t>投资进度</t>
  </si>
  <si>
    <t>工程增值税进项税</t>
  </si>
  <si>
    <t>配套支持资金</t>
  </si>
  <si>
    <t>工程可抵扣进项税合计</t>
  </si>
  <si>
    <t>工程可抵扣进项税累计</t>
  </si>
  <si>
    <t>资金筹措表</t>
  </si>
  <si>
    <t>平均投产比例</t>
  </si>
  <si>
    <r>
      <rPr>
        <b/>
        <sz val="12"/>
        <color theme="1"/>
        <rFont val="微软雅黑"/>
        <charset val="134"/>
      </rPr>
      <t>动态总投资</t>
    </r>
    <r>
      <rPr>
        <b/>
        <sz val="10"/>
        <color theme="1"/>
        <rFont val="微软雅黑"/>
        <charset val="134"/>
      </rPr>
      <t>（自主投资）</t>
    </r>
  </si>
  <si>
    <r>
      <rPr>
        <b/>
        <sz val="12"/>
        <color theme="8" tint="-0.499984740745262"/>
        <rFont val="微软雅黑"/>
        <charset val="134"/>
      </rPr>
      <t>工程总投资</t>
    </r>
    <r>
      <rPr>
        <b/>
        <sz val="10"/>
        <color theme="8" tint="-0.499984740745262"/>
        <rFont val="微软雅黑"/>
        <charset val="134"/>
      </rPr>
      <t>（自主投资）</t>
    </r>
  </si>
  <si>
    <r>
      <rPr>
        <b/>
        <sz val="12"/>
        <color theme="8" tint="-0.499984740745262"/>
        <rFont val="微软雅黑"/>
        <charset val="134"/>
      </rPr>
      <t>建设期利息</t>
    </r>
    <r>
      <rPr>
        <b/>
        <sz val="10"/>
        <color theme="8" tint="-0.499984740745262"/>
        <rFont val="微软雅黑"/>
        <charset val="134"/>
      </rPr>
      <t>（资本化）</t>
    </r>
  </si>
  <si>
    <r>
      <rPr>
        <sz val="12"/>
        <color theme="1"/>
        <rFont val="微软雅黑"/>
        <charset val="134"/>
      </rPr>
      <t>应计利息</t>
    </r>
    <r>
      <rPr>
        <sz val="10"/>
        <color theme="1"/>
        <rFont val="微软雅黑"/>
        <charset val="134"/>
      </rPr>
      <t>（隐藏）</t>
    </r>
  </si>
  <si>
    <t>资金来源</t>
  </si>
  <si>
    <t>2.1.1</t>
  </si>
  <si>
    <t>用于建设投资</t>
  </si>
  <si>
    <r>
      <rPr>
        <sz val="12"/>
        <color theme="1"/>
        <rFont val="微软雅黑"/>
        <charset val="134"/>
      </rPr>
      <t>2.1.</t>
    </r>
    <r>
      <rPr>
        <sz val="12"/>
        <color theme="1"/>
        <rFont val="微软雅黑"/>
        <charset val="134"/>
      </rPr>
      <t>2</t>
    </r>
  </si>
  <si>
    <t>用于建设期利息</t>
  </si>
  <si>
    <t>2.1.3</t>
  </si>
  <si>
    <t>用于流动资金</t>
  </si>
  <si>
    <t>债务资金</t>
  </si>
  <si>
    <t>2.2.1</t>
  </si>
  <si>
    <r>
      <rPr>
        <sz val="12"/>
        <color theme="1"/>
        <rFont val="微软雅黑"/>
        <charset val="134"/>
      </rPr>
      <t>2.</t>
    </r>
    <r>
      <rPr>
        <sz val="12"/>
        <color theme="1"/>
        <rFont val="微软雅黑"/>
        <charset val="134"/>
      </rPr>
      <t>2</t>
    </r>
    <r>
      <rPr>
        <sz val="12"/>
        <color theme="1"/>
        <rFont val="微软雅黑"/>
        <charset val="134"/>
      </rPr>
      <t>.2</t>
    </r>
  </si>
  <si>
    <t>2.2.3</t>
  </si>
  <si>
    <t>季度还款</t>
  </si>
  <si>
    <t>宽限期结束日</t>
  </si>
  <si>
    <t>还款日期（首期）</t>
  </si>
  <si>
    <t>还款期限</t>
  </si>
  <si>
    <t>每期计息月份数</t>
  </si>
  <si>
    <t>年还款次数</t>
  </si>
  <si>
    <t>次</t>
  </si>
  <si>
    <t>总还款期数</t>
  </si>
  <si>
    <t>期</t>
  </si>
  <si>
    <t>还款日期（末期）</t>
  </si>
  <si>
    <t>贷款额</t>
  </si>
  <si>
    <t>季度利率</t>
  </si>
  <si>
    <t>还款计划安排（季度）</t>
  </si>
  <si>
    <t>期数</t>
  </si>
  <si>
    <t>日期</t>
  </si>
  <si>
    <t>所属年度</t>
  </si>
  <si>
    <t>当年还款次数统计</t>
  </si>
  <si>
    <t>等额本息（季度）</t>
  </si>
  <si>
    <t>期初借款累计</t>
  </si>
  <si>
    <t>当期借款</t>
  </si>
  <si>
    <t>当期还本付息</t>
  </si>
  <si>
    <t>其中：还本</t>
  </si>
  <si>
    <t xml:space="preserve">      付息</t>
  </si>
  <si>
    <t>期末借款余额</t>
  </si>
  <si>
    <t>等额本金（季度）</t>
  </si>
  <si>
    <t>半年度还款</t>
  </si>
  <si>
    <t>半年度利率</t>
  </si>
  <si>
    <t>还款计划安排（半年度）</t>
  </si>
  <si>
    <t>还款日期</t>
  </si>
  <si>
    <t>等额本息（半年度）</t>
  </si>
  <si>
    <t>等额本金（半年度）</t>
  </si>
  <si>
    <t>月度还款</t>
  </si>
  <si>
    <t>月度利率</t>
  </si>
  <si>
    <t>还款计划安排（月度）</t>
  </si>
  <si>
    <t>等额本息（月度）</t>
  </si>
  <si>
    <t>等额本金（月度）</t>
  </si>
  <si>
    <t>年度还款</t>
  </si>
  <si>
    <t>年度利率</t>
  </si>
  <si>
    <t>还款计划安排（年度）</t>
  </si>
  <si>
    <t>等额本息（年度）</t>
  </si>
  <si>
    <t>等额本金（年度）</t>
  </si>
  <si>
    <r>
      <rPr>
        <b/>
        <sz val="12"/>
        <color theme="1"/>
        <rFont val="微软雅黑"/>
        <charset val="134"/>
      </rPr>
      <t>借款还本付息表</t>
    </r>
    <r>
      <rPr>
        <sz val="10"/>
        <color theme="5" tint="-0.25"/>
        <rFont val="微软雅黑"/>
        <charset val="134"/>
      </rPr>
      <t>（长期借款汇总）</t>
    </r>
  </si>
  <si>
    <t>其中:还本</t>
  </si>
  <si>
    <t>付息</t>
  </si>
  <si>
    <r>
      <rPr>
        <b/>
        <sz val="12"/>
        <color theme="1"/>
        <rFont val="微软雅黑"/>
        <charset val="134"/>
      </rPr>
      <t>借款还本付息表</t>
    </r>
    <r>
      <rPr>
        <sz val="10"/>
        <color rgb="FFC00000"/>
        <rFont val="微软雅黑"/>
        <charset val="134"/>
      </rPr>
      <t>（长期借款_期初投资）</t>
    </r>
  </si>
  <si>
    <t>选择</t>
  </si>
  <si>
    <t>新增长期借款方式
（参数输入/手动录入）</t>
  </si>
  <si>
    <t>输入参数</t>
  </si>
  <si>
    <t>长期借款金额：</t>
  </si>
  <si>
    <r>
      <rPr>
        <sz val="12"/>
        <color theme="1"/>
        <rFont val="微软雅黑"/>
        <charset val="134"/>
      </rPr>
      <t>还款日期</t>
    </r>
    <r>
      <rPr>
        <sz val="10"/>
        <color theme="1"/>
        <rFont val="微软雅黑"/>
        <charset val="134"/>
      </rPr>
      <t>（首期）</t>
    </r>
  </si>
  <si>
    <t>长期借款时点：</t>
  </si>
  <si>
    <t>还款期限：</t>
  </si>
  <si>
    <t>还款方式：</t>
  </si>
  <si>
    <r>
      <rPr>
        <sz val="12"/>
        <color theme="1"/>
        <rFont val="微软雅黑"/>
        <charset val="134"/>
      </rPr>
      <t>还款日期</t>
    </r>
    <r>
      <rPr>
        <sz val="10"/>
        <color theme="1"/>
        <rFont val="微软雅黑"/>
        <charset val="134"/>
      </rPr>
      <t>（末期）</t>
    </r>
  </si>
  <si>
    <t>年化融资利率</t>
  </si>
  <si>
    <t>第1期</t>
  </si>
  <si>
    <t>第2期</t>
  </si>
  <si>
    <t>第3期</t>
  </si>
  <si>
    <t>第4期</t>
  </si>
  <si>
    <t>第5期</t>
  </si>
  <si>
    <t>第6期</t>
  </si>
  <si>
    <t>第7期</t>
  </si>
  <si>
    <t>第8期</t>
  </si>
  <si>
    <t>第9期</t>
  </si>
  <si>
    <t>第10期</t>
  </si>
  <si>
    <t>第11期</t>
  </si>
  <si>
    <t>第12期</t>
  </si>
  <si>
    <t>第13期</t>
  </si>
  <si>
    <t>第14期</t>
  </si>
  <si>
    <t>第15期</t>
  </si>
  <si>
    <t>第16期</t>
  </si>
  <si>
    <t>第17期</t>
  </si>
  <si>
    <t>第18期</t>
  </si>
  <si>
    <t>第19期</t>
  </si>
  <si>
    <t>第20期</t>
  </si>
  <si>
    <t>第21期</t>
  </si>
  <si>
    <t>第22期</t>
  </si>
  <si>
    <t>第23期</t>
  </si>
  <si>
    <t>第24期</t>
  </si>
  <si>
    <t>第25期</t>
  </si>
  <si>
    <t>第26期</t>
  </si>
  <si>
    <t>第27期</t>
  </si>
  <si>
    <t>第28期</t>
  </si>
  <si>
    <t>第29期</t>
  </si>
  <si>
    <t>第30期</t>
  </si>
  <si>
    <t>第31期</t>
  </si>
  <si>
    <t>第32期</t>
  </si>
  <si>
    <t>第33期</t>
  </si>
  <si>
    <t>第34期</t>
  </si>
  <si>
    <t>第35期</t>
  </si>
  <si>
    <t>第36期</t>
  </si>
  <si>
    <t>第37期</t>
  </si>
  <si>
    <t>第38期</t>
  </si>
  <si>
    <t>第39期</t>
  </si>
  <si>
    <t>第40期</t>
  </si>
  <si>
    <t>第41期</t>
  </si>
  <si>
    <t>第42期</t>
  </si>
  <si>
    <t>第43期</t>
  </si>
  <si>
    <t>第44期</t>
  </si>
  <si>
    <t>第45期</t>
  </si>
  <si>
    <t>第46期</t>
  </si>
  <si>
    <t>第47期</t>
  </si>
  <si>
    <t>第48期</t>
  </si>
  <si>
    <t>第49期</t>
  </si>
  <si>
    <t>第50期</t>
  </si>
  <si>
    <t>第51期</t>
  </si>
  <si>
    <t>第52期</t>
  </si>
  <si>
    <t>第53期</t>
  </si>
  <si>
    <t>第54期</t>
  </si>
  <si>
    <t>第55期</t>
  </si>
  <si>
    <t>第56期</t>
  </si>
  <si>
    <t>第57期</t>
  </si>
  <si>
    <t>第58期</t>
  </si>
  <si>
    <t>第59期</t>
  </si>
  <si>
    <t>第60期</t>
  </si>
  <si>
    <t>第61期</t>
  </si>
  <si>
    <t>第62期</t>
  </si>
  <si>
    <t>第63期</t>
  </si>
  <si>
    <t>第64期</t>
  </si>
  <si>
    <t>第65期</t>
  </si>
  <si>
    <t>第66期</t>
  </si>
  <si>
    <t>第67期</t>
  </si>
  <si>
    <t>第68期</t>
  </si>
  <si>
    <t>第69期</t>
  </si>
  <si>
    <t>第70期</t>
  </si>
  <si>
    <t>第71期</t>
  </si>
  <si>
    <t>第72期</t>
  </si>
  <si>
    <t>第73期</t>
  </si>
  <si>
    <t>第74期</t>
  </si>
  <si>
    <t>第75期</t>
  </si>
  <si>
    <t>第76期</t>
  </si>
  <si>
    <t>第77期</t>
  </si>
  <si>
    <t>第78期</t>
  </si>
  <si>
    <t>第79期</t>
  </si>
  <si>
    <t>第80期</t>
  </si>
  <si>
    <t>第81期</t>
  </si>
  <si>
    <t>第82期</t>
  </si>
  <si>
    <t>第83期</t>
  </si>
  <si>
    <t>第84期</t>
  </si>
  <si>
    <t>第85期</t>
  </si>
  <si>
    <t>第86期</t>
  </si>
  <si>
    <t>第87期</t>
  </si>
  <si>
    <t>第88期</t>
  </si>
  <si>
    <t>第89期</t>
  </si>
  <si>
    <t>第90期</t>
  </si>
  <si>
    <t>第91期</t>
  </si>
  <si>
    <t>第92期</t>
  </si>
  <si>
    <t>第93期</t>
  </si>
  <si>
    <t>第94期</t>
  </si>
  <si>
    <t>第95期</t>
  </si>
  <si>
    <t>第96期</t>
  </si>
  <si>
    <r>
      <rPr>
        <b/>
        <sz val="12"/>
        <rFont val="微软雅黑"/>
        <charset val="134"/>
      </rPr>
      <t>借款还本付息表</t>
    </r>
    <r>
      <rPr>
        <sz val="10"/>
        <color theme="5" tint="-0.25"/>
        <rFont val="微软雅黑"/>
        <charset val="134"/>
      </rPr>
      <t>（长期借款_新增1）</t>
    </r>
  </si>
  <si>
    <r>
      <rPr>
        <b/>
        <sz val="12"/>
        <rFont val="微软雅黑"/>
        <charset val="134"/>
      </rPr>
      <t>借款还本付息表</t>
    </r>
    <r>
      <rPr>
        <sz val="10"/>
        <color theme="5" tint="-0.25"/>
        <rFont val="微软雅黑"/>
        <charset val="134"/>
      </rPr>
      <t>（长期借款_新增2）</t>
    </r>
  </si>
  <si>
    <r>
      <rPr>
        <b/>
        <sz val="12"/>
        <color theme="1"/>
        <rFont val="微软雅黑"/>
        <charset val="134"/>
      </rPr>
      <t>借款还本付息表</t>
    </r>
    <r>
      <rPr>
        <sz val="10"/>
        <color theme="1"/>
        <rFont val="微软雅黑"/>
        <charset val="134"/>
      </rPr>
      <t>（流动资金借款）</t>
    </r>
  </si>
  <si>
    <r>
      <rPr>
        <b/>
        <sz val="12"/>
        <color theme="1"/>
        <rFont val="微软雅黑"/>
        <charset val="134"/>
      </rPr>
      <t>借款还本付息表</t>
    </r>
    <r>
      <rPr>
        <sz val="10"/>
        <color theme="1"/>
        <rFont val="微软雅黑"/>
        <charset val="134"/>
      </rPr>
      <t>（短期借款）</t>
    </r>
  </si>
  <si>
    <r>
      <rPr>
        <b/>
        <sz val="12"/>
        <color theme="1"/>
        <rFont val="微软雅黑"/>
        <charset val="134"/>
      </rPr>
      <t>借款还本付息表</t>
    </r>
    <r>
      <rPr>
        <sz val="10"/>
        <color rgb="FFFF0000"/>
        <rFont val="微软雅黑"/>
        <charset val="134"/>
      </rPr>
      <t>（借款汇总）</t>
    </r>
  </si>
  <si>
    <r>
      <rPr>
        <b/>
        <sz val="12"/>
        <color theme="1"/>
        <rFont val="微软雅黑"/>
        <charset val="134"/>
      </rPr>
      <t>借款还本付息表（</t>
    </r>
    <r>
      <rPr>
        <b/>
        <sz val="12"/>
        <color rgb="FF00B050"/>
        <rFont val="微软雅黑"/>
        <charset val="134"/>
      </rPr>
      <t>汇总—等额本金</t>
    </r>
    <r>
      <rPr>
        <b/>
        <sz val="12"/>
        <color theme="1"/>
        <rFont val="微软雅黑"/>
        <charset val="134"/>
      </rPr>
      <t>）</t>
    </r>
  </si>
  <si>
    <t>流动资金估算表</t>
  </si>
  <si>
    <t>一</t>
  </si>
  <si>
    <t>流动资产</t>
  </si>
  <si>
    <t>预付账款</t>
  </si>
  <si>
    <t>二</t>
  </si>
  <si>
    <t>流动负债</t>
  </si>
  <si>
    <t>三</t>
  </si>
  <si>
    <r>
      <rPr>
        <b/>
        <sz val="12"/>
        <color theme="1"/>
        <rFont val="微软雅黑"/>
        <charset val="134"/>
      </rPr>
      <t>流动资金</t>
    </r>
    <r>
      <rPr>
        <b/>
        <sz val="10"/>
        <color theme="1"/>
        <rFont val="微软雅黑"/>
        <charset val="134"/>
      </rPr>
      <t>（一-二）</t>
    </r>
  </si>
  <si>
    <t>四</t>
  </si>
  <si>
    <t>流动资金当期增加额</t>
  </si>
  <si>
    <t>中间过程引用（隐藏）</t>
  </si>
  <si>
    <t>动态总投资（自主投资_不含流动资金）</t>
  </si>
  <si>
    <t>固定资产原值=项目动态总投资（自主投资_不含流动资金）-可抵扣进项税-无形资产原值=项目静态总投资-建设补贴+建设期利息-可抵扣进项税-无形资产原值</t>
  </si>
  <si>
    <t>折旧方式</t>
  </si>
  <si>
    <t>无形资产及固定资产均包含在动态总投资中</t>
  </si>
  <si>
    <t>折旧年限</t>
  </si>
  <si>
    <t>残值率</t>
  </si>
  <si>
    <t>长期待摊费用（第1年）</t>
  </si>
  <si>
    <t>长期待摊费用=计入长期待摊的成本项/（1+增值税税率）</t>
  </si>
  <si>
    <t>长期待摊费用（第6年）</t>
  </si>
  <si>
    <t>长期待摊费用（第11年）</t>
  </si>
  <si>
    <t>长期待摊费用（第16年）</t>
  </si>
  <si>
    <t>长期待摊费用（第21年）</t>
  </si>
  <si>
    <t>摊销方式</t>
  </si>
  <si>
    <t>大修及更新重置资产原值</t>
  </si>
  <si>
    <t>增加验证条件：</t>
  </si>
  <si>
    <t>折旧摊销表-资本金</t>
  </si>
  <si>
    <t>期末资产确认比例</t>
  </si>
  <si>
    <t>期末固定资产原值</t>
  </si>
  <si>
    <t>当期新增投资额</t>
  </si>
  <si>
    <t>新增投资额累计</t>
  </si>
  <si>
    <t>期末在建工程</t>
  </si>
  <si>
    <t>当期固定资产折旧</t>
  </si>
  <si>
    <t>固定资产折旧累计</t>
  </si>
  <si>
    <t>期末固定资产净值</t>
  </si>
  <si>
    <t>期末（储能资产）原值</t>
  </si>
  <si>
    <t>期末在建工程（储能资产）</t>
  </si>
  <si>
    <t>当期（储能资产）折旧</t>
  </si>
  <si>
    <t>（储能资产）折旧累计</t>
  </si>
  <si>
    <t>期末（储能资产）净值</t>
  </si>
  <si>
    <t>期末（固定资产3）原值</t>
  </si>
  <si>
    <t>期末在建工程（固定资产3）</t>
  </si>
  <si>
    <t>当期（固定资产3）折旧</t>
  </si>
  <si>
    <t>（固定资产3）折旧累计</t>
  </si>
  <si>
    <t>期末（固定资产3）净值</t>
  </si>
  <si>
    <t>期初长期待摊费用</t>
  </si>
  <si>
    <t>当期新增长期待摊费用</t>
  </si>
  <si>
    <t>当期摊销</t>
  </si>
  <si>
    <t>期末长期待摊费用</t>
  </si>
  <si>
    <t>期末无形资产原值</t>
  </si>
  <si>
    <t>当期新增无形资产投资</t>
  </si>
  <si>
    <t>新增无形资产投资额累计</t>
  </si>
  <si>
    <r>
      <rPr>
        <sz val="11"/>
        <color theme="1"/>
        <rFont val="微软雅黑"/>
        <charset val="134"/>
      </rPr>
      <t>期末在建工程</t>
    </r>
    <r>
      <rPr>
        <sz val="9"/>
        <color theme="1"/>
        <rFont val="微软雅黑"/>
        <charset val="134"/>
      </rPr>
      <t>（无形资产）</t>
    </r>
  </si>
  <si>
    <t>当期无形资产摊销</t>
  </si>
  <si>
    <t>无形资产摊销累计</t>
  </si>
  <si>
    <t>期末无形资产净值</t>
  </si>
  <si>
    <t>期初大修及更新重置资产净值</t>
  </si>
  <si>
    <t>当期新增大修及更新重置资产</t>
  </si>
  <si>
    <t>当期大修及更新重置资产折旧摊销</t>
  </si>
  <si>
    <t>大修及更新重置资产折旧摊销累计</t>
  </si>
  <si>
    <t>期末大修及更新重置资产净值</t>
  </si>
  <si>
    <t>期初储能更新重置资产净值</t>
  </si>
  <si>
    <t>当期新增储能更新重置资产</t>
  </si>
  <si>
    <t>当期储能更新重置资产折旧摊销</t>
  </si>
  <si>
    <t>储能更新重置资产折旧摊销累计</t>
  </si>
  <si>
    <t>期末储能更新重置资产净值</t>
  </si>
  <si>
    <t>当期折旧摊销合计</t>
  </si>
  <si>
    <t>期末各类资产净值</t>
  </si>
  <si>
    <t>上述为“直线法”下折旧摊销计算，若在参数输入表中下拉菜单选择为“其他”，设置为手动输入各年份折旧额/摊销额</t>
  </si>
  <si>
    <t>静态总投资（自主投资）</t>
  </si>
  <si>
    <r>
      <rPr>
        <sz val="11"/>
        <color rgb="FFFF0000"/>
        <rFont val="微软雅黑"/>
        <charset val="134"/>
      </rPr>
      <t>全投资情形下的固定资产原值=</t>
    </r>
    <r>
      <rPr>
        <b/>
        <sz val="11"/>
        <color rgb="FFFF0000"/>
        <rFont val="微软雅黑"/>
        <charset val="134"/>
      </rPr>
      <t>静态总投资（自主投资）</t>
    </r>
    <r>
      <rPr>
        <sz val="11"/>
        <color rgb="FFFF0000"/>
        <rFont val="微软雅黑"/>
        <charset val="134"/>
      </rPr>
      <t>-可抵扣进项税-无形资产原值；资本金情形下的固定资产原值采用的是“</t>
    </r>
    <r>
      <rPr>
        <b/>
        <sz val="11"/>
        <color rgb="FFFF0000"/>
        <rFont val="微软雅黑"/>
        <charset val="134"/>
      </rPr>
      <t>项目动态总投资（自主投资_不含流动资金）</t>
    </r>
    <r>
      <rPr>
        <sz val="11"/>
        <color rgb="FFFF0000"/>
        <rFont val="微软雅黑"/>
        <charset val="134"/>
      </rPr>
      <t>”</t>
    </r>
  </si>
  <si>
    <t>折旧方式、残值率及折旧年限与资本金情形保持一致</t>
  </si>
  <si>
    <t>全投资的折旧摊销判定条件同资本金</t>
  </si>
  <si>
    <r>
      <rPr>
        <b/>
        <i/>
        <sz val="11"/>
        <color rgb="FFC00000"/>
        <rFont val="微软雅黑"/>
        <charset val="134"/>
      </rPr>
      <t>折旧摊销表-全投资</t>
    </r>
    <r>
      <rPr>
        <b/>
        <i/>
        <sz val="9"/>
        <color rgb="FFC00000"/>
        <rFont val="微软雅黑"/>
        <charset val="134"/>
      </rPr>
      <t>（不含建设期利息）</t>
    </r>
  </si>
  <si>
    <t>期末投产比例</t>
  </si>
  <si>
    <r>
      <rPr>
        <sz val="11"/>
        <color theme="1"/>
        <rFont val="微软雅黑"/>
        <charset val="134"/>
      </rPr>
      <t>期末固定资产原值</t>
    </r>
    <r>
      <rPr>
        <sz val="9"/>
        <color theme="1"/>
        <rFont val="微软雅黑"/>
        <charset val="134"/>
      </rPr>
      <t>（全投资）</t>
    </r>
  </si>
  <si>
    <r>
      <rPr>
        <sz val="11"/>
        <color theme="1"/>
        <rFont val="微软雅黑"/>
        <charset val="134"/>
      </rPr>
      <t>当期新增投资额</t>
    </r>
    <r>
      <rPr>
        <sz val="9"/>
        <color theme="1"/>
        <rFont val="微软雅黑"/>
        <charset val="134"/>
      </rPr>
      <t>（全投资）</t>
    </r>
  </si>
  <si>
    <r>
      <rPr>
        <sz val="11"/>
        <color theme="1"/>
        <rFont val="微软雅黑"/>
        <charset val="134"/>
      </rPr>
      <t>新增投资额累计</t>
    </r>
    <r>
      <rPr>
        <sz val="9"/>
        <color theme="1"/>
        <rFont val="微软雅黑"/>
        <charset val="134"/>
      </rPr>
      <t>（全投资）</t>
    </r>
  </si>
  <si>
    <r>
      <rPr>
        <b/>
        <sz val="11"/>
        <color theme="1"/>
        <rFont val="微软雅黑"/>
        <charset val="134"/>
      </rPr>
      <t>当期固定资产折旧</t>
    </r>
    <r>
      <rPr>
        <b/>
        <sz val="9"/>
        <color theme="1"/>
        <rFont val="微软雅黑"/>
        <charset val="134"/>
      </rPr>
      <t>（全投资）</t>
    </r>
  </si>
  <si>
    <r>
      <rPr>
        <sz val="11"/>
        <color theme="1"/>
        <rFont val="微软雅黑"/>
        <charset val="134"/>
      </rPr>
      <t>期末固定资产净值</t>
    </r>
    <r>
      <rPr>
        <sz val="9"/>
        <color theme="1"/>
        <rFont val="微软雅黑"/>
        <charset val="134"/>
      </rPr>
      <t>（全投资）</t>
    </r>
  </si>
  <si>
    <r>
      <rPr>
        <b/>
        <sz val="11"/>
        <color theme="1"/>
        <rFont val="微软雅黑"/>
        <charset val="134"/>
      </rPr>
      <t>当期折旧摊销</t>
    </r>
    <r>
      <rPr>
        <b/>
        <sz val="9"/>
        <color theme="1"/>
        <rFont val="微软雅黑"/>
        <charset val="134"/>
      </rPr>
      <t>（全投资）</t>
    </r>
  </si>
  <si>
    <r>
      <rPr>
        <b/>
        <sz val="11"/>
        <color theme="1"/>
        <rFont val="微软雅黑"/>
        <charset val="134"/>
      </rPr>
      <t>期末各类资产净值</t>
    </r>
    <r>
      <rPr>
        <b/>
        <sz val="9"/>
        <color theme="1"/>
        <rFont val="微软雅黑"/>
        <charset val="134"/>
      </rPr>
      <t>（全投资）</t>
    </r>
  </si>
  <si>
    <t>成本费用表-资本金</t>
  </si>
  <si>
    <t>生产经营成本</t>
  </si>
  <si>
    <t>万度</t>
  </si>
  <si>
    <t>补水系统药剂费</t>
  </si>
  <si>
    <t>1.6</t>
  </si>
  <si>
    <t>1.7</t>
  </si>
  <si>
    <t>1.8</t>
  </si>
  <si>
    <t>长期待摊费用当期摊销</t>
  </si>
  <si>
    <t>1.9</t>
  </si>
  <si>
    <t>营业相关资产折旧及摊销</t>
  </si>
  <si>
    <t>(储能资产)折旧</t>
  </si>
  <si>
    <t>(固定资产3)折旧</t>
  </si>
  <si>
    <t>大修及更新重置折旧摊销</t>
  </si>
  <si>
    <r>
      <rPr>
        <sz val="12"/>
        <color theme="1"/>
        <rFont val="微软雅黑"/>
        <charset val="134"/>
      </rPr>
      <t>储能更新重置折旧摊销</t>
    </r>
    <r>
      <rPr>
        <sz val="11"/>
        <color rgb="FF00B050"/>
        <rFont val="微软雅黑"/>
        <charset val="134"/>
      </rPr>
      <t>（配储情形）</t>
    </r>
  </si>
  <si>
    <t>1.10</t>
  </si>
  <si>
    <r>
      <rPr>
        <sz val="12"/>
        <color theme="1"/>
        <rFont val="微软雅黑"/>
        <charset val="134"/>
      </rPr>
      <t>储能运维费用</t>
    </r>
    <r>
      <rPr>
        <sz val="11"/>
        <color rgb="FF00B050"/>
        <rFont val="微软雅黑"/>
        <charset val="134"/>
      </rPr>
      <t>（配储情形）</t>
    </r>
  </si>
  <si>
    <t>1.11</t>
  </si>
  <si>
    <t>销售费用</t>
  </si>
  <si>
    <t xml:space="preserve">保险费 </t>
  </si>
  <si>
    <t>研发费用</t>
  </si>
  <si>
    <t>财务费用</t>
  </si>
  <si>
    <t>长期借款利息</t>
  </si>
  <si>
    <t>流动资金借款利息</t>
  </si>
  <si>
    <t>短期借款利息</t>
  </si>
  <si>
    <t>成本费用表-全投资</t>
  </si>
  <si>
    <r>
      <rPr>
        <b/>
        <sz val="12"/>
        <color theme="1"/>
        <rFont val="微软雅黑"/>
        <charset val="134"/>
      </rPr>
      <t>生产经营成本</t>
    </r>
    <r>
      <rPr>
        <b/>
        <sz val="10"/>
        <color theme="1"/>
        <rFont val="微软雅黑"/>
        <charset val="134"/>
      </rPr>
      <t>（全投资）</t>
    </r>
  </si>
  <si>
    <r>
      <rPr>
        <sz val="12"/>
        <color theme="1"/>
        <rFont val="微软雅黑"/>
        <charset val="134"/>
      </rPr>
      <t>营业相关资产折旧及摊销</t>
    </r>
    <r>
      <rPr>
        <sz val="10"/>
        <color theme="1"/>
        <rFont val="微软雅黑"/>
        <charset val="134"/>
      </rPr>
      <t>（全投资）</t>
    </r>
  </si>
  <si>
    <r>
      <rPr>
        <sz val="12"/>
        <color theme="1"/>
        <rFont val="微软雅黑"/>
        <charset val="134"/>
      </rPr>
      <t>储能更新重置折旧摊销</t>
    </r>
    <r>
      <rPr>
        <sz val="11"/>
        <color theme="1"/>
        <rFont val="微软雅黑"/>
        <charset val="134"/>
      </rPr>
      <t>（配储情形）</t>
    </r>
  </si>
  <si>
    <r>
      <rPr>
        <sz val="12"/>
        <color theme="1"/>
        <rFont val="微软雅黑"/>
        <charset val="134"/>
      </rPr>
      <t>储能运维费用</t>
    </r>
    <r>
      <rPr>
        <sz val="11"/>
        <color theme="1"/>
        <rFont val="微软雅黑"/>
        <charset val="134"/>
      </rPr>
      <t>（配储情形）</t>
    </r>
  </si>
  <si>
    <r>
      <rPr>
        <b/>
        <i/>
        <sz val="12"/>
        <color rgb="FFC00000"/>
        <rFont val="微软雅黑"/>
        <charset val="134"/>
      </rPr>
      <t>成本现金支出表</t>
    </r>
    <r>
      <rPr>
        <b/>
        <i/>
        <sz val="10"/>
        <color rgb="FFC00000"/>
        <rFont val="微软雅黑"/>
        <charset val="134"/>
      </rPr>
      <t>-资本金</t>
    </r>
  </si>
  <si>
    <t>生产经营现金支出合计</t>
  </si>
  <si>
    <t>生产相关现金支出</t>
  </si>
  <si>
    <t>长期待摊实际支出</t>
  </si>
  <si>
    <t>销售费用现金支出</t>
  </si>
  <si>
    <t>管理费用现金支出</t>
  </si>
  <si>
    <t>研发费用现金支出</t>
  </si>
  <si>
    <t>营业外现金支出</t>
  </si>
  <si>
    <t>收入表</t>
  </si>
  <si>
    <t>元/度</t>
  </si>
  <si>
    <t>增值税即征即退</t>
  </si>
  <si>
    <t>政府一次性运营补贴收入</t>
  </si>
  <si>
    <t>税金表</t>
  </si>
  <si>
    <t>当期实缴增值税</t>
  </si>
  <si>
    <t>增值税销项税</t>
  </si>
  <si>
    <t>营业收入销项税</t>
  </si>
  <si>
    <t>容量电费营业收入销项税</t>
  </si>
  <si>
    <t>电量电费营业收入销项税</t>
  </si>
  <si>
    <t>其他收益销项税</t>
  </si>
  <si>
    <t>其他收入2销项税</t>
  </si>
  <si>
    <t>营业外收入销项税</t>
  </si>
  <si>
    <t>（如有）</t>
  </si>
  <si>
    <t>建设投资进项税</t>
  </si>
  <si>
    <t>营业成本进项税</t>
  </si>
  <si>
    <t>3.2.1</t>
  </si>
  <si>
    <t>生产成本进项税</t>
  </si>
  <si>
    <t>补水费</t>
  </si>
  <si>
    <t>计入长期待摊成本项</t>
  </si>
  <si>
    <t>3.2.2</t>
  </si>
  <si>
    <t>销售费用进项税</t>
  </si>
  <si>
    <t>3.2.3</t>
  </si>
  <si>
    <t>管理费用进项税</t>
  </si>
  <si>
    <t>3.2.4</t>
  </si>
  <si>
    <t>研发费用进项税</t>
  </si>
  <si>
    <t>营业外支出进项税</t>
  </si>
  <si>
    <t>大修及更新重置进项税</t>
  </si>
  <si>
    <r>
      <rPr>
        <b/>
        <sz val="12"/>
        <color theme="1"/>
        <rFont val="微软雅黑"/>
        <charset val="134"/>
      </rPr>
      <t>储能更新重置进项税</t>
    </r>
    <r>
      <rPr>
        <sz val="11"/>
        <color rgb="FF00B050"/>
        <rFont val="微软雅黑"/>
        <charset val="134"/>
      </rPr>
      <t>（配储情形）</t>
    </r>
  </si>
  <si>
    <t>销项税-进项税</t>
  </si>
  <si>
    <t>期末可抵扣进项税余额</t>
  </si>
  <si>
    <t>增值税附加税</t>
  </si>
  <si>
    <t>城市维护建设税</t>
  </si>
  <si>
    <t>教育附加</t>
  </si>
  <si>
    <t>地方教育附加</t>
  </si>
  <si>
    <t>临时净资产税预缴</t>
  </si>
  <si>
    <t>临时净资产税计算</t>
  </si>
  <si>
    <t>应收账款估算表</t>
  </si>
  <si>
    <t>应收账款</t>
  </si>
  <si>
    <t>计算一轮过后，先算临时净资产税预缴和计算，再算表6</t>
  </si>
  <si>
    <r>
      <rPr>
        <b/>
        <i/>
        <sz val="12"/>
        <color rgb="FFC00000"/>
        <rFont val="微软雅黑"/>
        <charset val="134"/>
      </rPr>
      <t>利润表</t>
    </r>
    <r>
      <rPr>
        <b/>
        <i/>
        <sz val="12"/>
        <color rgb="FFC00000"/>
        <rFont val="微软雅黑"/>
        <charset val="134"/>
      </rPr>
      <t>-</t>
    </r>
    <r>
      <rPr>
        <b/>
        <i/>
        <sz val="12"/>
        <color rgb="FFC00000"/>
        <rFont val="微软雅黑"/>
        <charset val="134"/>
      </rPr>
      <t>资本金</t>
    </r>
  </si>
  <si>
    <t>一、</t>
  </si>
  <si>
    <t>营业总收入</t>
  </si>
  <si>
    <t>其中：营业收入</t>
  </si>
  <si>
    <r>
      <rPr>
        <sz val="12"/>
        <color theme="1"/>
        <rFont val="微软雅黑"/>
        <charset val="134"/>
      </rPr>
      <t xml:space="preserve"> </t>
    </r>
    <r>
      <rPr>
        <sz val="12"/>
        <color theme="1"/>
        <rFont val="微软雅黑"/>
        <charset val="134"/>
      </rPr>
      <t>△利息收入</t>
    </r>
  </si>
  <si>
    <r>
      <rPr>
        <sz val="12"/>
        <color theme="1"/>
        <rFont val="微软雅黑"/>
        <charset val="134"/>
      </rPr>
      <t xml:space="preserve"> </t>
    </r>
    <r>
      <rPr>
        <sz val="12"/>
        <color theme="1"/>
        <rFont val="微软雅黑"/>
        <charset val="134"/>
      </rPr>
      <t>△已赚保费</t>
    </r>
  </si>
  <si>
    <r>
      <rPr>
        <sz val="12"/>
        <color theme="1"/>
        <rFont val="微软雅黑"/>
        <charset val="134"/>
      </rPr>
      <t xml:space="preserve"> </t>
    </r>
    <r>
      <rPr>
        <sz val="12"/>
        <color theme="1"/>
        <rFont val="微软雅黑"/>
        <charset val="134"/>
      </rPr>
      <t>△手续费及佣金收入</t>
    </r>
  </si>
  <si>
    <t>二、</t>
  </si>
  <si>
    <t>营业总成本</t>
  </si>
  <si>
    <t>其中：营业成本</t>
  </si>
  <si>
    <r>
      <rPr>
        <sz val="12"/>
        <color theme="1"/>
        <rFont val="微软雅黑"/>
        <charset val="134"/>
      </rPr>
      <t xml:space="preserve"> </t>
    </r>
    <r>
      <rPr>
        <sz val="12"/>
        <color theme="1"/>
        <rFont val="微软雅黑"/>
        <charset val="134"/>
      </rPr>
      <t>△利息支出</t>
    </r>
  </si>
  <si>
    <r>
      <rPr>
        <sz val="12"/>
        <color theme="1"/>
        <rFont val="微软雅黑"/>
        <charset val="134"/>
      </rPr>
      <t xml:space="preserve"> </t>
    </r>
    <r>
      <rPr>
        <sz val="12"/>
        <color theme="1"/>
        <rFont val="微软雅黑"/>
        <charset val="134"/>
      </rPr>
      <t>△手续费及佣金支出</t>
    </r>
  </si>
  <si>
    <r>
      <rPr>
        <sz val="12"/>
        <color theme="1"/>
        <rFont val="微软雅黑"/>
        <charset val="134"/>
      </rPr>
      <t xml:space="preserve"> </t>
    </r>
    <r>
      <rPr>
        <sz val="12"/>
        <color theme="1"/>
        <rFont val="微软雅黑"/>
        <charset val="134"/>
      </rPr>
      <t>△退保金</t>
    </r>
  </si>
  <si>
    <r>
      <rPr>
        <sz val="12"/>
        <color theme="1"/>
        <rFont val="微软雅黑"/>
        <charset val="134"/>
      </rPr>
      <t xml:space="preserve"> </t>
    </r>
    <r>
      <rPr>
        <sz val="12"/>
        <color theme="1"/>
        <rFont val="微软雅黑"/>
        <charset val="134"/>
      </rPr>
      <t>△赔付支出净额</t>
    </r>
  </si>
  <si>
    <r>
      <rPr>
        <sz val="12"/>
        <color theme="1"/>
        <rFont val="微软雅黑"/>
        <charset val="134"/>
      </rPr>
      <t xml:space="preserve"> </t>
    </r>
    <r>
      <rPr>
        <sz val="12"/>
        <color theme="1"/>
        <rFont val="微软雅黑"/>
        <charset val="134"/>
      </rPr>
      <t>△提取保险责任准备金净额</t>
    </r>
  </si>
  <si>
    <r>
      <rPr>
        <sz val="12"/>
        <color theme="1"/>
        <rFont val="微软雅黑"/>
        <charset val="134"/>
      </rPr>
      <t xml:space="preserve"> </t>
    </r>
    <r>
      <rPr>
        <sz val="12"/>
        <color theme="1"/>
        <rFont val="微软雅黑"/>
        <charset val="134"/>
      </rPr>
      <t>△保单红利支出</t>
    </r>
  </si>
  <si>
    <r>
      <rPr>
        <sz val="12"/>
        <color theme="1"/>
        <rFont val="微软雅黑"/>
        <charset val="134"/>
      </rPr>
      <t xml:space="preserve"> </t>
    </r>
    <r>
      <rPr>
        <sz val="12"/>
        <color theme="1"/>
        <rFont val="微软雅黑"/>
        <charset val="134"/>
      </rPr>
      <t>△分保费用</t>
    </r>
  </si>
  <si>
    <t>税金及附加</t>
  </si>
  <si>
    <t>其中：利息费用</t>
  </si>
  <si>
    <r>
      <rPr>
        <sz val="12"/>
        <color theme="1"/>
        <rFont val="微软雅黑"/>
        <charset val="134"/>
      </rPr>
      <t xml:space="preserve"> </t>
    </r>
    <r>
      <rPr>
        <sz val="12"/>
        <color theme="1"/>
        <rFont val="微软雅黑"/>
        <charset val="134"/>
      </rPr>
      <t>利息收入</t>
    </r>
  </si>
  <si>
    <r>
      <rPr>
        <sz val="12"/>
        <color theme="1"/>
        <rFont val="微软雅黑"/>
        <charset val="134"/>
      </rPr>
      <t xml:space="preserve"> </t>
    </r>
    <r>
      <rPr>
        <sz val="12"/>
        <color theme="1"/>
        <rFont val="微软雅黑"/>
        <charset val="134"/>
      </rPr>
      <t>汇兑净损失（净收益以</t>
    </r>
    <r>
      <rPr>
        <sz val="12"/>
        <color theme="1"/>
        <rFont val="微软雅黑"/>
        <charset val="134"/>
      </rPr>
      <t>“-”</t>
    </r>
    <r>
      <rPr>
        <sz val="12"/>
        <color theme="1"/>
        <rFont val="微软雅黑"/>
        <charset val="134"/>
      </rPr>
      <t>号填列）</t>
    </r>
  </si>
  <si>
    <t>加：其他收益</t>
  </si>
  <si>
    <r>
      <rPr>
        <sz val="12"/>
        <color theme="1"/>
        <rFont val="微软雅黑"/>
        <charset val="134"/>
      </rPr>
      <t>投资收益（损失以</t>
    </r>
    <r>
      <rPr>
        <sz val="12"/>
        <color theme="1"/>
        <rFont val="微软雅黑"/>
        <charset val="134"/>
      </rPr>
      <t>“-”</t>
    </r>
    <r>
      <rPr>
        <sz val="12"/>
        <color theme="1"/>
        <rFont val="微软雅黑"/>
        <charset val="134"/>
      </rPr>
      <t>号填列）</t>
    </r>
  </si>
  <si>
    <t>其中：对联营企业和合营企业的投资收益</t>
  </si>
  <si>
    <r>
      <rPr>
        <sz val="12"/>
        <color theme="1"/>
        <rFont val="微软雅黑"/>
        <charset val="134"/>
      </rPr>
      <t xml:space="preserve"> </t>
    </r>
    <r>
      <rPr>
        <sz val="12"/>
        <color theme="1"/>
        <rFont val="微软雅黑"/>
        <charset val="134"/>
      </rPr>
      <t>以摊余成本计量的金融资产终止确认收益</t>
    </r>
  </si>
  <si>
    <r>
      <rPr>
        <sz val="12"/>
        <color theme="1"/>
        <rFont val="微软雅黑"/>
        <charset val="134"/>
      </rPr>
      <t xml:space="preserve"> </t>
    </r>
    <r>
      <rPr>
        <sz val="12"/>
        <color theme="1"/>
        <rFont val="微软雅黑"/>
        <charset val="134"/>
      </rPr>
      <t>△汇兑收益（损失以</t>
    </r>
    <r>
      <rPr>
        <sz val="12"/>
        <color theme="1"/>
        <rFont val="微软雅黑"/>
        <charset val="134"/>
      </rPr>
      <t>“-”</t>
    </r>
    <r>
      <rPr>
        <sz val="12"/>
        <color theme="1"/>
        <rFont val="微软雅黑"/>
        <charset val="134"/>
      </rPr>
      <t>号填列）</t>
    </r>
  </si>
  <si>
    <r>
      <rPr>
        <sz val="12"/>
        <color theme="1"/>
        <rFont val="微软雅黑"/>
        <charset val="134"/>
      </rPr>
      <t>净敞口套期收益（损失以</t>
    </r>
    <r>
      <rPr>
        <sz val="12"/>
        <color theme="1"/>
        <rFont val="微软雅黑"/>
        <charset val="134"/>
      </rPr>
      <t>“-”</t>
    </r>
    <r>
      <rPr>
        <sz val="12"/>
        <color theme="1"/>
        <rFont val="微软雅黑"/>
        <charset val="134"/>
      </rPr>
      <t>号填列）</t>
    </r>
  </si>
  <si>
    <r>
      <rPr>
        <sz val="12"/>
        <color theme="1"/>
        <rFont val="微软雅黑"/>
        <charset val="134"/>
      </rPr>
      <t>公允价值变动收益（损失以</t>
    </r>
    <r>
      <rPr>
        <sz val="12"/>
        <color theme="1"/>
        <rFont val="微软雅黑"/>
        <charset val="134"/>
      </rPr>
      <t>“-”</t>
    </r>
    <r>
      <rPr>
        <sz val="12"/>
        <color theme="1"/>
        <rFont val="微软雅黑"/>
        <charset val="134"/>
      </rPr>
      <t>号填列）</t>
    </r>
  </si>
  <si>
    <r>
      <rPr>
        <sz val="12"/>
        <color theme="1"/>
        <rFont val="微软雅黑"/>
        <charset val="134"/>
      </rPr>
      <t>信用减值损失（损失以</t>
    </r>
    <r>
      <rPr>
        <sz val="12"/>
        <color theme="1"/>
        <rFont val="微软雅黑"/>
        <charset val="134"/>
      </rPr>
      <t>“-”</t>
    </r>
    <r>
      <rPr>
        <sz val="12"/>
        <color theme="1"/>
        <rFont val="微软雅黑"/>
        <charset val="134"/>
      </rPr>
      <t>号填列）</t>
    </r>
  </si>
  <si>
    <r>
      <rPr>
        <sz val="12"/>
        <color theme="1"/>
        <rFont val="微软雅黑"/>
        <charset val="134"/>
      </rPr>
      <t>资产减值损失（损失以</t>
    </r>
    <r>
      <rPr>
        <sz val="12"/>
        <color theme="1"/>
        <rFont val="微软雅黑"/>
        <charset val="134"/>
      </rPr>
      <t>“-”</t>
    </r>
    <r>
      <rPr>
        <sz val="12"/>
        <color theme="1"/>
        <rFont val="微软雅黑"/>
        <charset val="134"/>
      </rPr>
      <t>号填列）</t>
    </r>
  </si>
  <si>
    <r>
      <rPr>
        <sz val="12"/>
        <color theme="1"/>
        <rFont val="微软雅黑"/>
        <charset val="134"/>
      </rPr>
      <t>资产处置收益（损失以</t>
    </r>
    <r>
      <rPr>
        <sz val="12"/>
        <color theme="1"/>
        <rFont val="微软雅黑"/>
        <charset val="134"/>
      </rPr>
      <t>“-”</t>
    </r>
    <r>
      <rPr>
        <sz val="12"/>
        <color theme="1"/>
        <rFont val="微软雅黑"/>
        <charset val="134"/>
      </rPr>
      <t>号填列）</t>
    </r>
  </si>
  <si>
    <t>三、</t>
  </si>
  <si>
    <r>
      <rPr>
        <b/>
        <sz val="12"/>
        <color theme="1"/>
        <rFont val="微软雅黑"/>
        <charset val="134"/>
      </rPr>
      <t>营业利润（亏损以</t>
    </r>
    <r>
      <rPr>
        <b/>
        <sz val="12"/>
        <color theme="1"/>
        <rFont val="微软雅黑"/>
        <charset val="134"/>
      </rPr>
      <t>“</t>
    </r>
    <r>
      <rPr>
        <b/>
        <sz val="12"/>
        <color theme="1"/>
        <rFont val="微软雅黑"/>
        <charset val="134"/>
      </rPr>
      <t>－</t>
    </r>
    <r>
      <rPr>
        <b/>
        <sz val="12"/>
        <color theme="1"/>
        <rFont val="微软雅黑"/>
        <charset val="134"/>
      </rPr>
      <t>”</t>
    </r>
    <r>
      <rPr>
        <b/>
        <sz val="12"/>
        <color theme="1"/>
        <rFont val="微软雅黑"/>
        <charset val="134"/>
      </rPr>
      <t>号填列）</t>
    </r>
  </si>
  <si>
    <t>加：营业外收入</t>
  </si>
  <si>
    <t>其中：政府补助</t>
  </si>
  <si>
    <t>减：营业外支出</t>
  </si>
  <si>
    <t>四、</t>
  </si>
  <si>
    <r>
      <rPr>
        <b/>
        <sz val="12"/>
        <color theme="1"/>
        <rFont val="微软雅黑"/>
        <charset val="134"/>
      </rPr>
      <t>利润总额（亏损总额以</t>
    </r>
    <r>
      <rPr>
        <b/>
        <sz val="12"/>
        <color theme="1"/>
        <rFont val="微软雅黑"/>
        <charset val="134"/>
      </rPr>
      <t>“</t>
    </r>
    <r>
      <rPr>
        <b/>
        <sz val="12"/>
        <color theme="1"/>
        <rFont val="微软雅黑"/>
        <charset val="134"/>
      </rPr>
      <t>－</t>
    </r>
    <r>
      <rPr>
        <b/>
        <sz val="12"/>
        <color theme="1"/>
        <rFont val="微软雅黑"/>
        <charset val="134"/>
      </rPr>
      <t>”</t>
    </r>
    <r>
      <rPr>
        <b/>
        <sz val="12"/>
        <color theme="1"/>
        <rFont val="微软雅黑"/>
        <charset val="134"/>
      </rPr>
      <t>号填列）</t>
    </r>
  </si>
  <si>
    <t>弥补以前年度亏损</t>
  </si>
  <si>
    <t>弥补前序第1年亏损</t>
  </si>
  <si>
    <t>弥补前序第2年亏损</t>
  </si>
  <si>
    <t>弥补前序第3年亏损</t>
  </si>
  <si>
    <t>弥补前序第4年亏损</t>
  </si>
  <si>
    <t>弥补前序第5年亏损</t>
  </si>
  <si>
    <t>弥补前序第6年亏损</t>
  </si>
  <si>
    <t>弥补前序第7年亏损</t>
  </si>
  <si>
    <t>弥补前序第8年亏损</t>
  </si>
  <si>
    <t>弥补前序第9年亏损</t>
  </si>
  <si>
    <t>弥补前序第10年亏损</t>
  </si>
  <si>
    <t>应税所得额</t>
  </si>
  <si>
    <t>减：企业所得税</t>
  </si>
  <si>
    <t>减：股息红利所得税</t>
  </si>
  <si>
    <t>五、</t>
  </si>
  <si>
    <r>
      <rPr>
        <b/>
        <sz val="12"/>
        <color theme="1"/>
        <rFont val="微软雅黑"/>
        <charset val="134"/>
      </rPr>
      <t>净利润（净亏损以</t>
    </r>
    <r>
      <rPr>
        <b/>
        <sz val="12"/>
        <color theme="1"/>
        <rFont val="微软雅黑"/>
        <charset val="134"/>
      </rPr>
      <t>“</t>
    </r>
    <r>
      <rPr>
        <b/>
        <sz val="12"/>
        <color theme="1"/>
        <rFont val="微软雅黑"/>
        <charset val="134"/>
      </rPr>
      <t>－</t>
    </r>
    <r>
      <rPr>
        <b/>
        <sz val="12"/>
        <color theme="1"/>
        <rFont val="微软雅黑"/>
        <charset val="134"/>
      </rPr>
      <t>”</t>
    </r>
    <r>
      <rPr>
        <b/>
        <sz val="12"/>
        <color theme="1"/>
        <rFont val="微软雅黑"/>
        <charset val="134"/>
      </rPr>
      <t>号填列）</t>
    </r>
  </si>
  <si>
    <t>期初未分配的利润</t>
  </si>
  <si>
    <t>可供分配的利润</t>
  </si>
  <si>
    <t>提取法定盈余公积金</t>
  </si>
  <si>
    <t>期初法定盈余公积金上限缺口</t>
  </si>
  <si>
    <t>期末法定盈余公积金累计</t>
  </si>
  <si>
    <t>可供投资者分配的利润</t>
  </si>
  <si>
    <t>提取任意盈余公积金</t>
  </si>
  <si>
    <t>期末任意盈余公积金累计</t>
  </si>
  <si>
    <t>各投资方利润分配</t>
  </si>
  <si>
    <t>未分配利润</t>
  </si>
  <si>
    <r>
      <rPr>
        <sz val="12"/>
        <color theme="1"/>
        <rFont val="微软雅黑"/>
        <charset val="134"/>
      </rPr>
      <t>息税前利润</t>
    </r>
    <r>
      <rPr>
        <sz val="10"/>
        <color theme="1"/>
        <rFont val="微软雅黑"/>
        <charset val="134"/>
      </rPr>
      <t>（利润总额</t>
    </r>
    <r>
      <rPr>
        <sz val="10"/>
        <color theme="1"/>
        <rFont val="微软雅黑"/>
        <charset val="134"/>
      </rPr>
      <t>+</t>
    </r>
    <r>
      <rPr>
        <sz val="10"/>
        <color theme="1"/>
        <rFont val="微软雅黑"/>
        <charset val="134"/>
      </rPr>
      <t>利息支出）</t>
    </r>
  </si>
  <si>
    <t>息税折旧摊销前利润</t>
  </si>
  <si>
    <r>
      <rPr>
        <sz val="12"/>
        <color theme="1"/>
        <rFont val="微软雅黑"/>
        <charset val="134"/>
      </rPr>
      <t>（一）按所有权归属分类</t>
    </r>
    <r>
      <rPr>
        <sz val="12"/>
        <color theme="1"/>
        <rFont val="微软雅黑"/>
        <charset val="134"/>
      </rPr>
      <t>:</t>
    </r>
  </si>
  <si>
    <t xml:space="preserve"> 归属于母公司所有者的净利润</t>
  </si>
  <si>
    <t>*少数股东损益</t>
  </si>
  <si>
    <t>（二）按经营持续性分类:</t>
  </si>
  <si>
    <t xml:space="preserve"> 持续经营净利润</t>
  </si>
  <si>
    <t xml:space="preserve"> 终止经营净利润</t>
  </si>
  <si>
    <t>六、</t>
  </si>
  <si>
    <t>其他综合收益的税后净额</t>
  </si>
  <si>
    <t>归属于母公司所有者的其他综合收益的税后净额</t>
  </si>
  <si>
    <t>（一）不能重分类进损益的其他综合收益</t>
  </si>
  <si>
    <t>1.重新计量设定受益计划变动额</t>
  </si>
  <si>
    <t>2.权益法下不能转损益的其他综合收益</t>
  </si>
  <si>
    <t>3.其他权益工具投资公允价值变动</t>
  </si>
  <si>
    <t>4.企业自身信用风险公允价值变动</t>
  </si>
  <si>
    <t>5.其他</t>
  </si>
  <si>
    <t>（二）将重分类进损益的其他综合收益</t>
  </si>
  <si>
    <t xml:space="preserve">  1.权益法下可转损益的其他综合收益</t>
  </si>
  <si>
    <t xml:space="preserve">  2.其他债权投资公允价值变动</t>
  </si>
  <si>
    <t>☆3.可供出售金融资产公允价值变动损益</t>
  </si>
  <si>
    <t xml:space="preserve">  4.金融资产重分类计入其他综合收益的金额</t>
  </si>
  <si>
    <t>☆5.持有至到期投资重分类为可供出售金融资产损益</t>
  </si>
  <si>
    <t xml:space="preserve">  6.其他债权投资信用减值准备</t>
  </si>
  <si>
    <t xml:space="preserve">  7.现金流量套期储备（现金流量套期损益的有效部分）</t>
  </si>
  <si>
    <t xml:space="preserve">  8.外币财务报表折算差额</t>
  </si>
  <si>
    <t xml:space="preserve">  9.其他</t>
  </si>
  <si>
    <t>*归属于少数股东的其他综合收益的税后净额</t>
  </si>
  <si>
    <t>七、</t>
  </si>
  <si>
    <t>综合收益总额</t>
  </si>
  <si>
    <t>归属于母公司所有者的综合收益总额</t>
  </si>
  <si>
    <t>*归属于少数股东的综合收益总额</t>
  </si>
  <si>
    <t>八、</t>
  </si>
  <si>
    <t>每股收益：</t>
  </si>
  <si>
    <t>基本每股收益</t>
  </si>
  <si>
    <t>稀释每股收益</t>
  </si>
  <si>
    <t>基于投资收益</t>
  </si>
  <si>
    <t>现金流入</t>
  </si>
  <si>
    <t>投资收益</t>
  </si>
  <si>
    <t>清算收入（总资产-总负债-盈余公积）</t>
  </si>
  <si>
    <t>现金流出</t>
  </si>
  <si>
    <t>资本金出资</t>
  </si>
  <si>
    <t>净现金流量</t>
  </si>
  <si>
    <t>股东方IRR</t>
  </si>
  <si>
    <t>基于分红</t>
  </si>
  <si>
    <t>实分利润</t>
  </si>
  <si>
    <r>
      <rPr>
        <sz val="12"/>
        <color theme="1"/>
        <rFont val="微软雅黑"/>
        <charset val="134"/>
      </rPr>
      <t>分红</t>
    </r>
    <r>
      <rPr>
        <sz val="10"/>
        <color theme="1"/>
        <rFont val="微软雅黑"/>
        <charset val="134"/>
      </rPr>
      <t>（预提税前）</t>
    </r>
  </si>
  <si>
    <t>清算收入（总资产-总负债）</t>
  </si>
  <si>
    <t>现金流</t>
  </si>
  <si>
    <t>盈余资金</t>
  </si>
  <si>
    <t>现金流量表-资本金</t>
  </si>
  <si>
    <r>
      <rPr>
        <sz val="12"/>
        <color theme="1"/>
        <rFont val="微软雅黑"/>
        <charset val="134"/>
      </rPr>
      <t>回收流动资金</t>
    </r>
    <r>
      <rPr>
        <sz val="10"/>
        <color theme="1"/>
        <rFont val="微软雅黑"/>
        <charset val="134"/>
      </rPr>
      <t>（资本金）</t>
    </r>
  </si>
  <si>
    <t>回收资产余值</t>
  </si>
  <si>
    <t>净资产税返还</t>
  </si>
  <si>
    <t>工程建设投资</t>
  </si>
  <si>
    <t>项目资本金</t>
  </si>
  <si>
    <t>长期借款</t>
  </si>
  <si>
    <t>债务性支出</t>
  </si>
  <si>
    <t>长期借款本金偿还</t>
  </si>
  <si>
    <t>流动资金借款本金偿还</t>
  </si>
  <si>
    <t>短期借款本金偿还</t>
  </si>
  <si>
    <t>借款利息支付</t>
  </si>
  <si>
    <r>
      <rPr>
        <sz val="12"/>
        <color indexed="8"/>
        <rFont val="微软雅黑"/>
        <charset val="134"/>
      </rPr>
      <t>流动资金</t>
    </r>
    <r>
      <rPr>
        <sz val="10"/>
        <color indexed="8"/>
        <rFont val="微软雅黑"/>
        <charset val="134"/>
      </rPr>
      <t>（资本金）</t>
    </r>
  </si>
  <si>
    <t>生产经营支出</t>
  </si>
  <si>
    <t>增值税缴纳</t>
  </si>
  <si>
    <t>营业税金及附加</t>
  </si>
  <si>
    <t>运营期资本性支出</t>
  </si>
  <si>
    <r>
      <rPr>
        <sz val="12"/>
        <color theme="1"/>
        <rFont val="微软雅黑"/>
        <charset val="134"/>
      </rPr>
      <t>储能更新重置</t>
    </r>
    <r>
      <rPr>
        <sz val="11"/>
        <color theme="1"/>
        <rFont val="微软雅黑"/>
        <charset val="134"/>
      </rPr>
      <t>（配储情形）</t>
    </r>
  </si>
  <si>
    <t>净资产税支出</t>
  </si>
  <si>
    <t>税前净现金流量（1-2）</t>
  </si>
  <si>
    <t>累计税前净现金流量</t>
  </si>
  <si>
    <t>基本所得税实缴</t>
  </si>
  <si>
    <t>应缴所得税</t>
  </si>
  <si>
    <t>税后净现金流量（3-5）</t>
  </si>
  <si>
    <t>累计税后净现金流量</t>
  </si>
  <si>
    <t>资本金内部收益率（税前）</t>
  </si>
  <si>
    <t>资本金内部收益率（税后）</t>
  </si>
  <si>
    <t>投资回收期</t>
  </si>
  <si>
    <r>
      <rPr>
        <b/>
        <i/>
        <sz val="12"/>
        <color rgb="FFC00000"/>
        <rFont val="微软雅黑"/>
        <charset val="134"/>
      </rPr>
      <t>利润表</t>
    </r>
    <r>
      <rPr>
        <b/>
        <i/>
        <sz val="12"/>
        <color rgb="FFC00000"/>
        <rFont val="微软雅黑"/>
        <charset val="134"/>
      </rPr>
      <t>-</t>
    </r>
    <r>
      <rPr>
        <b/>
        <i/>
        <sz val="12"/>
        <color rgb="FFC00000"/>
        <rFont val="微软雅黑"/>
        <charset val="134"/>
      </rPr>
      <t>全投资</t>
    </r>
  </si>
  <si>
    <t>弥补前序第一年亏损</t>
  </si>
  <si>
    <t>弥补前序第二年亏损</t>
  </si>
  <si>
    <t>弥补前序第三年亏损</t>
  </si>
  <si>
    <t>弥补前序第四年亏损</t>
  </si>
  <si>
    <t>弥补前序第五年亏损</t>
  </si>
  <si>
    <t>减：所得税费用</t>
  </si>
  <si>
    <t>当期应缴所得税</t>
  </si>
  <si>
    <t>现金流量表-全投资</t>
  </si>
  <si>
    <t>回收流动资金</t>
  </si>
  <si>
    <t>调整所得税</t>
  </si>
  <si>
    <t>全投资内部收益率（税前）</t>
  </si>
  <si>
    <t>全投资内部收益率（税后）</t>
  </si>
  <si>
    <t>现金流量表</t>
  </si>
  <si>
    <t>经营活动产生的现金流量：</t>
  </si>
  <si>
    <t>销售商品、提供劳务收到的现金</t>
  </si>
  <si>
    <t>△客户存款和同业存放款项净增加额</t>
  </si>
  <si>
    <t>△向中央银行借款净增加额</t>
  </si>
  <si>
    <t>△向其他金融机构拆入资金净增加额</t>
  </si>
  <si>
    <t>△收到原保险合同保费取得的现金</t>
  </si>
  <si>
    <t>△收到再保业务现金净额</t>
  </si>
  <si>
    <t>△保户储金及投资款净增加额</t>
  </si>
  <si>
    <t>△处置以公允价值计量且其变动计入当期损益的金融资产净增加额</t>
  </si>
  <si>
    <t>△收取利息、手续费及佣金的现金</t>
  </si>
  <si>
    <t>△拆入资金净增加额</t>
  </si>
  <si>
    <t>△回购业务资金净增加额</t>
  </si>
  <si>
    <t>△代理买卖证券收到的现金净额</t>
  </si>
  <si>
    <t>收到的税费返还</t>
  </si>
  <si>
    <t>收到其他与经营活动有关的现金</t>
  </si>
  <si>
    <t>经营活动现金流入小计</t>
  </si>
  <si>
    <t>购买商品、接受劳务支付的现金</t>
  </si>
  <si>
    <t>△客户贷款及垫款净增加额</t>
  </si>
  <si>
    <t>△存放中央银行和同业款项净增加额</t>
  </si>
  <si>
    <t>△支付原保险合同赔付款项的现金</t>
  </si>
  <si>
    <t>△拆出资金净增加额</t>
  </si>
  <si>
    <t>△支付利息、手续费及佣金的现金</t>
  </si>
  <si>
    <t>△支付保单红利的现金</t>
  </si>
  <si>
    <t>支付给职工及为职工支付的现金</t>
  </si>
  <si>
    <t>支付的各项税费</t>
  </si>
  <si>
    <t>支付其他与经营活动有关的现金</t>
  </si>
  <si>
    <t>经营活动现金流出小计</t>
  </si>
  <si>
    <t>经营活动产生的现金流量净额</t>
  </si>
  <si>
    <t>投资活动产生的现金流量：</t>
  </si>
  <si>
    <t>收回投资收到的现金</t>
  </si>
  <si>
    <t>取得投资收益收到的现金</t>
  </si>
  <si>
    <t>处置固定资产、无形资产和其他长期资产收回的现金净额</t>
  </si>
  <si>
    <t>处置子公司及其他营业单位收到的现金净额</t>
  </si>
  <si>
    <t>收到其他与投资活动有关的现金</t>
  </si>
  <si>
    <t>投资活动现金流入小计</t>
  </si>
  <si>
    <t>购建固定资产、无形资产和其他长期资产支付的现金</t>
  </si>
  <si>
    <t>投资支付的现金</t>
  </si>
  <si>
    <t>△质押贷款净增加额</t>
  </si>
  <si>
    <t>取得子公司及其他营业单位支付的现金净额</t>
  </si>
  <si>
    <t>支付其他与投资活动有关的现金</t>
  </si>
  <si>
    <t>投资活动现金流出小计</t>
  </si>
  <si>
    <t>投资活动产生的现金流量净额</t>
  </si>
  <si>
    <t>筹资活动产生的现金流量：</t>
  </si>
  <si>
    <t>吸收投资收到的现金</t>
  </si>
  <si>
    <t>其中：子公司吸收少数股东投资收到的现金</t>
  </si>
  <si>
    <t>取得借款收到的现金</t>
  </si>
  <si>
    <t>收到其他与筹资活动有关的现金</t>
  </si>
  <si>
    <t>筹资活动现金流入小计</t>
  </si>
  <si>
    <t>偿还债务支付的现金</t>
  </si>
  <si>
    <t>分配股利、利润或偿付利息支付的现金</t>
  </si>
  <si>
    <t>其中：子公司支付给少数股东的股利、利润</t>
  </si>
  <si>
    <t>支付其他与筹资活动有关的现金</t>
  </si>
  <si>
    <t>筹资活动现金流出小计</t>
  </si>
  <si>
    <t>筹资活动产生的现金流量净额</t>
  </si>
  <si>
    <t>汇率变动对现金及现金等价物的影响</t>
  </si>
  <si>
    <t>现金及现金等价物净增加额</t>
  </si>
  <si>
    <t>加：期初现金及现金等价物余额</t>
  </si>
  <si>
    <t>期末现金及现金等价物余额</t>
  </si>
  <si>
    <t>最低现金需求</t>
  </si>
  <si>
    <r>
      <rPr>
        <sz val="12"/>
        <color theme="1"/>
        <rFont val="微软雅黑"/>
        <charset val="134"/>
      </rPr>
      <t>取得借款收到的现金</t>
    </r>
    <r>
      <rPr>
        <sz val="10"/>
        <color theme="1"/>
        <rFont val="微软雅黑"/>
        <charset val="134"/>
      </rPr>
      <t>（剔除短期贷款本金）</t>
    </r>
  </si>
  <si>
    <r>
      <rPr>
        <sz val="12"/>
        <color theme="1"/>
        <rFont val="微软雅黑"/>
        <charset val="134"/>
      </rPr>
      <t>偿还债务支付的现金</t>
    </r>
    <r>
      <rPr>
        <sz val="10"/>
        <color theme="1"/>
        <rFont val="微软雅黑"/>
        <charset val="134"/>
      </rPr>
      <t>（剔除短期贷款本金）</t>
    </r>
  </si>
  <si>
    <t>短期借款需求</t>
  </si>
  <si>
    <t>资产合计</t>
  </si>
  <si>
    <t xml:space="preserve">  货币资金</t>
  </si>
  <si>
    <t>△结算备付金</t>
  </si>
  <si>
    <t>△拆出资金</t>
  </si>
  <si>
    <t xml:space="preserve">  交易性金融资产</t>
  </si>
  <si>
    <t>☆以公允价值计量且其变动计入当期损益的金融资产</t>
  </si>
  <si>
    <t xml:space="preserve">  衍生金融资产</t>
  </si>
  <si>
    <t xml:space="preserve">  应收票据</t>
  </si>
  <si>
    <t xml:space="preserve">  应收账款</t>
  </si>
  <si>
    <t xml:space="preserve">  应收款项融资</t>
  </si>
  <si>
    <t xml:space="preserve">  预付款项</t>
  </si>
  <si>
    <t>△应收保费</t>
  </si>
  <si>
    <t>△应收分保账款</t>
  </si>
  <si>
    <t>△应收分保合同准备金</t>
  </si>
  <si>
    <t xml:space="preserve">  应收资金集中管理款</t>
  </si>
  <si>
    <t xml:space="preserve">  其他应收款</t>
  </si>
  <si>
    <t>其中：应收股利</t>
  </si>
  <si>
    <t>△买入返售金融资产</t>
  </si>
  <si>
    <t xml:space="preserve">  存货</t>
  </si>
  <si>
    <t>其中：原材料</t>
  </si>
  <si>
    <t>库存商品（产成品）</t>
  </si>
  <si>
    <t xml:space="preserve">  合同资产</t>
  </si>
  <si>
    <t xml:space="preserve">  持有待售资产</t>
  </si>
  <si>
    <t xml:space="preserve">  一年内到期的非流动资产</t>
  </si>
  <si>
    <t xml:space="preserve">  其他流动资产</t>
  </si>
  <si>
    <t>非流动资产</t>
  </si>
  <si>
    <t>△发放贷款和垫款</t>
  </si>
  <si>
    <t xml:space="preserve">  债权投资</t>
  </si>
  <si>
    <t>☆可供出售金融资产</t>
  </si>
  <si>
    <t xml:space="preserve">  其他债权投资</t>
  </si>
  <si>
    <t>☆持有至到期投资</t>
  </si>
  <si>
    <t xml:space="preserve">  长期应收款</t>
  </si>
  <si>
    <t xml:space="preserve">  长期股权投资</t>
  </si>
  <si>
    <t xml:space="preserve">  其他权益工具投资</t>
  </si>
  <si>
    <t xml:space="preserve">  其他非流动金融资产</t>
  </si>
  <si>
    <t xml:space="preserve">  投资性房地产</t>
  </si>
  <si>
    <t xml:space="preserve">  固定资产</t>
  </si>
  <si>
    <t>其中：固定资产原价</t>
  </si>
  <si>
    <t xml:space="preserve">          累计折旧</t>
  </si>
  <si>
    <t xml:space="preserve">          固定资产减值准备</t>
  </si>
  <si>
    <t xml:space="preserve">  在建工程</t>
  </si>
  <si>
    <t xml:space="preserve">  生产性生物资产</t>
  </si>
  <si>
    <t xml:space="preserve">  油气资产</t>
  </si>
  <si>
    <t xml:space="preserve">  使用权资产</t>
  </si>
  <si>
    <t xml:space="preserve">  无形资产</t>
  </si>
  <si>
    <t xml:space="preserve">  开发支出</t>
  </si>
  <si>
    <t xml:space="preserve">  商誉</t>
  </si>
  <si>
    <t xml:space="preserve">  长期待摊费用</t>
  </si>
  <si>
    <t xml:space="preserve">  递延所得税资产</t>
  </si>
  <si>
    <t xml:space="preserve">  其他非流动资产</t>
  </si>
  <si>
    <t xml:space="preserve">  其中：特准储备物资</t>
  </si>
  <si>
    <t>负债合计</t>
  </si>
  <si>
    <t xml:space="preserve">  短期借款</t>
  </si>
  <si>
    <t>△向中央银行借款</t>
  </si>
  <si>
    <t>△拆入资金</t>
  </si>
  <si>
    <t xml:space="preserve">  交易性金融负债</t>
  </si>
  <si>
    <t>☆以公允价值计量且其变动计入当期损益的金融负债</t>
  </si>
  <si>
    <t xml:space="preserve">  衍生金融负债</t>
  </si>
  <si>
    <t xml:space="preserve">  应付票据</t>
  </si>
  <si>
    <t xml:space="preserve">  应付账款</t>
  </si>
  <si>
    <t xml:space="preserve">  预收款项</t>
  </si>
  <si>
    <t xml:space="preserve">  合同负债</t>
  </si>
  <si>
    <t>△卖出回购金融资产款</t>
  </si>
  <si>
    <t>△吸收存款及同业存放</t>
  </si>
  <si>
    <t>△代理买卖证券款</t>
  </si>
  <si>
    <t>△代理承销证券款</t>
  </si>
  <si>
    <t xml:space="preserve">  应付职工薪酬</t>
  </si>
  <si>
    <t>其中：应付工资</t>
  </si>
  <si>
    <t xml:space="preserve">      应付福利费</t>
  </si>
  <si>
    <t xml:space="preserve">      #其中：职工奖励及福利基金</t>
  </si>
  <si>
    <t xml:space="preserve">  应交税费</t>
  </si>
  <si>
    <t>其中：应交税金</t>
  </si>
  <si>
    <t xml:space="preserve">  其他应付款</t>
  </si>
  <si>
    <t>其中：应付股利</t>
  </si>
  <si>
    <t>△应付手续费及佣金</t>
  </si>
  <si>
    <t>△应付分保账款</t>
  </si>
  <si>
    <t xml:space="preserve">  持有待售负债</t>
  </si>
  <si>
    <t xml:space="preserve">  一年内到期的非流动负债</t>
  </si>
  <si>
    <t xml:space="preserve">  其他流动负债</t>
  </si>
  <si>
    <t>非流动负债</t>
  </si>
  <si>
    <t>△保险合同准备金</t>
  </si>
  <si>
    <t xml:space="preserve">  长期借款</t>
  </si>
  <si>
    <t xml:space="preserve">  应付债券</t>
  </si>
  <si>
    <t>其中：优先股</t>
  </si>
  <si>
    <t xml:space="preserve">      永续债</t>
  </si>
  <si>
    <t xml:space="preserve">  租赁负债</t>
  </si>
  <si>
    <t xml:space="preserve">  长期应付款</t>
  </si>
  <si>
    <t xml:space="preserve">  长期应付职工薪酬</t>
  </si>
  <si>
    <t xml:space="preserve">  预计负债</t>
  </si>
  <si>
    <t xml:space="preserve">  递延收益</t>
  </si>
  <si>
    <t xml:space="preserve">  期初递延收益余额</t>
  </si>
  <si>
    <t xml:space="preserve">  当期新增政府补助金额</t>
  </si>
  <si>
    <t xml:space="preserve">  当期确认递延收益</t>
  </si>
  <si>
    <t xml:space="preserve">  递延所得税负债</t>
  </si>
  <si>
    <t xml:space="preserve">  其他非流动负债</t>
  </si>
  <si>
    <t>其中：特准储备基金</t>
  </si>
  <si>
    <t>所有者权益（或股东权益）</t>
  </si>
  <si>
    <t xml:space="preserve">  实收资本（或股本）</t>
  </si>
  <si>
    <t>国家资本</t>
  </si>
  <si>
    <t>国有法人资本</t>
  </si>
  <si>
    <t>集体资本</t>
  </si>
  <si>
    <t>民营资本</t>
  </si>
  <si>
    <t>外商资本</t>
  </si>
  <si>
    <t xml:space="preserve"> #减：已归还投资</t>
  </si>
  <si>
    <t xml:space="preserve">  实收资本（或股本）净额</t>
  </si>
  <si>
    <t xml:space="preserve">  其他权益工具</t>
  </si>
  <si>
    <t xml:space="preserve">  资本公积</t>
  </si>
  <si>
    <t xml:space="preserve">  减：库存股</t>
  </si>
  <si>
    <t xml:space="preserve">  其他综合收益</t>
  </si>
  <si>
    <t>其中：外币报表折算差额</t>
  </si>
  <si>
    <t xml:space="preserve">  专项储备</t>
  </si>
  <si>
    <t xml:space="preserve">  盈余公积</t>
  </si>
  <si>
    <t>其中：法定公积金</t>
  </si>
  <si>
    <t xml:space="preserve">      任意公积金</t>
  </si>
  <si>
    <t xml:space="preserve">     #储备基金</t>
  </si>
  <si>
    <t xml:space="preserve">     #企业发展基金</t>
  </si>
  <si>
    <t xml:space="preserve">     #利润归还投资</t>
  </si>
  <si>
    <t>△一般风险准备</t>
  </si>
  <si>
    <t xml:space="preserve">  未分配利润</t>
  </si>
  <si>
    <t xml:space="preserve">  归属于母公司所有者权益（或股东权益）合计</t>
  </si>
  <si>
    <t xml:space="preserve"> *少数股东权益</t>
  </si>
  <si>
    <t>负债和所有者权益合计</t>
  </si>
  <si>
    <t>Check：资产-负债和所有者权益合计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</si>
</sst>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00_ "/>
    <numFmt numFmtId="179" formatCode="0.00000_ "/>
    <numFmt numFmtId="180" formatCode="0.000000000_ "/>
    <numFmt numFmtId="181" formatCode="0.0000000000_ "/>
    <numFmt numFmtId="182" formatCode="0.0%"/>
    <numFmt numFmtId="183" formatCode="0.0000%"/>
    <numFmt numFmtId="184" formatCode="0.00000"/>
    <numFmt numFmtId="185" formatCode="0.0000000"/>
    <numFmt numFmtId="186" formatCode="#,##0.00_ "/>
    <numFmt numFmtId="187" formatCode="[$-F800]dddd\,\ mmmm\ dd\,\ yyyy"/>
    <numFmt numFmtId="188" formatCode="\¥#,##0.00;[Red]\¥\-#,##0.00"/>
    <numFmt numFmtId="189" formatCode="yyyy&quot;年&quot;m&quot;月&quot;d&quot;日&quot;;@"/>
    <numFmt numFmtId="190" formatCode="yyyy&quot;年&quot;m&quot;月&quot;;@"/>
    <numFmt numFmtId="191" formatCode="0.000%"/>
  </numFmts>
  <fonts count="97">
    <font>
      <sz val="11"/>
      <color theme="1"/>
      <name val="宋体"/>
      <charset val="134"/>
      <scheme val="minor"/>
    </font>
    <font>
      <sz val="12"/>
      <name val="微软雅黑"/>
      <charset val="134"/>
    </font>
    <font>
      <sz val="12"/>
      <color rgb="FFFF0000"/>
      <name val="微软雅黑"/>
      <charset val="134"/>
    </font>
    <font>
      <sz val="12"/>
      <color theme="1"/>
      <name val="微软雅黑"/>
      <charset val="134"/>
    </font>
    <font>
      <sz val="12"/>
      <color theme="0" tint="-0.349986266670736"/>
      <name val="微软雅黑"/>
      <charset val="134"/>
    </font>
    <font>
      <b/>
      <sz val="12"/>
      <color theme="1"/>
      <name val="微软雅黑"/>
      <charset val="134"/>
    </font>
    <font>
      <b/>
      <sz val="12"/>
      <name val="微软雅黑"/>
      <charset val="134"/>
    </font>
    <font>
      <b/>
      <sz val="12"/>
      <color theme="0" tint="-0.349986266670736"/>
      <name val="微软雅黑"/>
      <charset val="134"/>
    </font>
    <font>
      <b/>
      <sz val="16"/>
      <name val="微软雅黑"/>
      <charset val="134"/>
    </font>
    <font>
      <b/>
      <sz val="14"/>
      <name val="微软雅黑"/>
      <charset val="134"/>
    </font>
    <font>
      <sz val="12"/>
      <color rgb="FFC00000"/>
      <name val="微软雅黑"/>
      <charset val="134"/>
    </font>
    <font>
      <b/>
      <sz val="12"/>
      <color theme="0" tint="-0.35"/>
      <name val="微软雅黑"/>
      <charset val="134"/>
    </font>
    <font>
      <b/>
      <i/>
      <sz val="12"/>
      <color rgb="FFC00000"/>
      <name val="微软雅黑"/>
      <charset val="134"/>
    </font>
    <font>
      <b/>
      <sz val="12"/>
      <color rgb="FFC00000"/>
      <name val="微软雅黑"/>
      <charset val="134"/>
    </font>
    <font>
      <sz val="16"/>
      <color rgb="FFC00000"/>
      <name val="微软雅黑"/>
      <charset val="134"/>
    </font>
    <font>
      <sz val="11"/>
      <color theme="1"/>
      <name val="微软雅黑"/>
      <charset val="134"/>
    </font>
    <font>
      <b/>
      <i/>
      <sz val="11"/>
      <color rgb="FFC00000"/>
      <name val="微软雅黑"/>
      <charset val="134"/>
    </font>
    <font>
      <b/>
      <sz val="12"/>
      <color rgb="FFFF0000"/>
      <name val="微软雅黑"/>
      <charset val="134"/>
    </font>
    <font>
      <b/>
      <sz val="12"/>
      <color indexed="8"/>
      <name val="微软雅黑"/>
      <charset val="134"/>
    </font>
    <font>
      <b/>
      <sz val="16"/>
      <color theme="1"/>
      <name val="微软雅黑"/>
      <charset val="134"/>
    </font>
    <font>
      <sz val="12"/>
      <color indexed="8"/>
      <name val="微软雅黑"/>
      <charset val="134"/>
    </font>
    <font>
      <b/>
      <sz val="14"/>
      <color theme="1"/>
      <name val="微软雅黑"/>
      <charset val="134"/>
    </font>
    <font>
      <sz val="14"/>
      <color rgb="FFC00000"/>
      <name val="微软雅黑"/>
      <charset val="134"/>
    </font>
    <font>
      <b/>
      <sz val="16"/>
      <color rgb="FFC00000"/>
      <name val="微软雅黑"/>
      <charset val="134"/>
    </font>
    <font>
      <sz val="10"/>
      <color theme="1"/>
      <name val="微软雅黑"/>
      <charset val="134"/>
    </font>
    <font>
      <b/>
      <sz val="11"/>
      <color theme="1"/>
      <name val="宋体"/>
      <charset val="134"/>
      <scheme val="minor"/>
    </font>
    <font>
      <b/>
      <sz val="11"/>
      <color theme="1"/>
      <name val="微软雅黑"/>
      <charset val="134"/>
    </font>
    <font>
      <sz val="11"/>
      <color rgb="FFFF0000"/>
      <name val="微软雅黑"/>
      <charset val="134"/>
    </font>
    <font>
      <b/>
      <sz val="11"/>
      <name val="微软雅黑"/>
      <charset val="134"/>
    </font>
    <font>
      <sz val="11"/>
      <color theme="0" tint="-0.349986266670736"/>
      <name val="微软雅黑"/>
      <charset val="134"/>
    </font>
    <font>
      <sz val="11"/>
      <name val="微软雅黑"/>
      <charset val="134"/>
    </font>
    <font>
      <sz val="11"/>
      <color rgb="FFC00000"/>
      <name val="微软雅黑"/>
      <charset val="134"/>
    </font>
    <font>
      <b/>
      <sz val="14"/>
      <color rgb="FFC00000"/>
      <name val="微软雅黑"/>
      <charset val="134"/>
    </font>
    <font>
      <b/>
      <sz val="12"/>
      <color theme="0" tint="-0.149937437055574"/>
      <name val="微软雅黑"/>
      <charset val="134"/>
    </font>
    <font>
      <b/>
      <sz val="12"/>
      <color theme="8" tint="-0.499984740745262"/>
      <name val="微软雅黑"/>
      <charset val="134"/>
    </font>
    <font>
      <sz val="12"/>
      <color theme="0" tint="-0.25"/>
      <name val="微软雅黑"/>
      <charset val="134"/>
    </font>
    <font>
      <sz val="12"/>
      <color theme="6"/>
      <name val="微软雅黑"/>
      <charset val="134"/>
    </font>
    <font>
      <sz val="12"/>
      <color rgb="FF00B050"/>
      <name val="微软雅黑"/>
      <charset val="134"/>
    </font>
    <font>
      <sz val="12"/>
      <color rgb="FF7030A0"/>
      <name val="微软雅黑"/>
      <charset val="134"/>
    </font>
    <font>
      <sz val="10"/>
      <color theme="0" tint="-0.149998474074526"/>
      <name val="微软雅黑"/>
      <charset val="134"/>
    </font>
    <font>
      <b/>
      <sz val="12"/>
      <color theme="0" tint="-0.249977111117893"/>
      <name val="微软雅黑"/>
      <charset val="134"/>
    </font>
    <font>
      <b/>
      <sz val="10"/>
      <color rgb="FFC00000"/>
      <name val="微软雅黑"/>
      <charset val="134"/>
    </font>
    <font>
      <b/>
      <sz val="10"/>
      <color theme="1"/>
      <name val="微软雅黑"/>
      <charset val="134"/>
    </font>
    <font>
      <sz val="10"/>
      <color theme="0" tint="-0.349986266670736"/>
      <name val="微软雅黑"/>
      <charset val="134"/>
    </font>
    <font>
      <sz val="8"/>
      <color theme="0" tint="-0.499984740745262"/>
      <name val="微软雅黑"/>
      <charset val="134"/>
    </font>
    <font>
      <sz val="10"/>
      <color rgb="FFC00000"/>
      <name val="微软雅黑"/>
      <charset val="134"/>
    </font>
    <font>
      <b/>
      <sz val="12"/>
      <color theme="0"/>
      <name val="微软雅黑"/>
      <charset val="134"/>
    </font>
    <font>
      <b/>
      <sz val="10"/>
      <name val="微软雅黑"/>
      <charset val="134"/>
    </font>
    <font>
      <sz val="10"/>
      <name val="微软雅黑"/>
      <charset val="134"/>
    </font>
    <font>
      <sz val="11"/>
      <color rgb="FF0070C0"/>
      <name val="微软雅黑"/>
      <charset val="134"/>
    </font>
    <font>
      <sz val="16"/>
      <color theme="1"/>
      <name val="微软雅黑"/>
      <charset val="134"/>
    </font>
    <font>
      <sz val="16"/>
      <name val="微软雅黑"/>
      <charset val="134"/>
    </font>
    <font>
      <b/>
      <sz val="12"/>
      <color rgb="FF0070C0"/>
      <name val="微软雅黑"/>
      <charset val="134"/>
    </font>
    <font>
      <sz val="12"/>
      <color rgb="FF0070C0"/>
      <name val="微软雅黑"/>
      <charset val="134"/>
    </font>
    <font>
      <sz val="16"/>
      <color rgb="FF0070C0"/>
      <name val="微软雅黑"/>
      <charset val="134"/>
    </font>
    <font>
      <sz val="10"/>
      <color rgb="FF0070C0"/>
      <name val="微软雅黑"/>
      <charset val="134"/>
    </font>
    <font>
      <b/>
      <sz val="16"/>
      <color rgb="FFFF0000"/>
      <name val="微软雅黑"/>
      <charset val="134"/>
    </font>
    <font>
      <b/>
      <sz val="14"/>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theme="1"/>
      <name val="微软雅黑"/>
      <charset val="134"/>
    </font>
    <font>
      <sz val="10"/>
      <color indexed="8"/>
      <name val="微软雅黑"/>
      <charset val="134"/>
    </font>
    <font>
      <sz val="11"/>
      <color rgb="FF00B050"/>
      <name val="微软雅黑"/>
      <charset val="134"/>
    </font>
    <font>
      <sz val="9"/>
      <color theme="1"/>
      <name val="微软雅黑"/>
      <charset val="134"/>
    </font>
    <font>
      <b/>
      <sz val="8"/>
      <color theme="1"/>
      <name val="微软雅黑"/>
      <charset val="134"/>
    </font>
    <font>
      <b/>
      <i/>
      <sz val="9"/>
      <color rgb="FFC00000"/>
      <name val="微软雅黑"/>
      <charset val="134"/>
    </font>
    <font>
      <sz val="10"/>
      <color theme="5" tint="-0.25"/>
      <name val="微软雅黑"/>
      <charset val="134"/>
    </font>
    <font>
      <b/>
      <sz val="11"/>
      <color rgb="FF00B050"/>
      <name val="微软雅黑"/>
      <charset val="134"/>
    </font>
    <font>
      <b/>
      <sz val="11"/>
      <color rgb="FFFF0000"/>
      <name val="微软雅黑"/>
      <charset val="134"/>
    </font>
    <font>
      <b/>
      <sz val="10"/>
      <color rgb="FF00B050"/>
      <name val="微软雅黑"/>
      <charset val="134"/>
    </font>
    <font>
      <b/>
      <i/>
      <sz val="10"/>
      <color rgb="FFC00000"/>
      <name val="微软雅黑"/>
      <charset val="134"/>
    </font>
    <font>
      <sz val="10"/>
      <color rgb="FFFF0000"/>
      <name val="微软雅黑"/>
      <charset val="134"/>
    </font>
    <font>
      <b/>
      <sz val="10"/>
      <color rgb="FFFF0000"/>
      <name val="微软雅黑"/>
      <charset val="134"/>
    </font>
    <font>
      <b/>
      <sz val="10"/>
      <color theme="8" tint="-0.499984740745262"/>
      <name val="微软雅黑"/>
      <charset val="134"/>
    </font>
    <font>
      <b/>
      <sz val="12"/>
      <color rgb="FF00B050"/>
      <name val="微软雅黑"/>
      <charset val="134"/>
    </font>
    <font>
      <b/>
      <sz val="12"/>
      <name val="宋体"/>
      <charset val="134"/>
    </font>
    <font>
      <sz val="12"/>
      <name val="宋体"/>
      <charset val="134"/>
    </font>
    <font>
      <sz val="9"/>
      <name val="宋体"/>
      <charset val="134"/>
    </font>
    <font>
      <sz val="14"/>
      <name val="宋体"/>
      <charset val="134"/>
    </font>
    <font>
      <b/>
      <sz val="9"/>
      <name val="宋体"/>
      <charset val="134"/>
    </font>
  </fonts>
  <fills count="69">
    <fill>
      <patternFill patternType="none"/>
    </fill>
    <fill>
      <patternFill patternType="gray125"/>
    </fill>
    <fill>
      <patternFill patternType="solid">
        <fgColor theme="0" tint="-0.249977111117893"/>
        <bgColor indexed="64"/>
      </patternFill>
    </fill>
    <fill>
      <patternFill patternType="solid">
        <fgColor theme="9" tint="0.799737540818506"/>
        <bgColor indexed="64"/>
      </patternFill>
    </fill>
    <fill>
      <patternFill patternType="solid">
        <fgColor theme="9" tint="0.8"/>
        <bgColor indexed="64"/>
      </patternFill>
    </fill>
    <fill>
      <patternFill patternType="solid">
        <fgColor theme="4" tint="0.799737540818506"/>
        <bgColor indexed="64"/>
      </patternFill>
    </fill>
    <fill>
      <patternFill patternType="solid">
        <fgColor theme="5" tint="0.599993896298105"/>
        <bgColor indexed="64"/>
      </patternFill>
    </fill>
    <fill>
      <patternFill patternType="solid">
        <fgColor rgb="FFFFFF00"/>
        <bgColor indexed="64"/>
      </patternFill>
    </fill>
    <fill>
      <patternFill patternType="solid">
        <fgColor theme="4" tint="0.599993896298105"/>
        <bgColor indexed="64"/>
      </patternFill>
    </fill>
    <fill>
      <patternFill patternType="solid">
        <fgColor theme="8" tint="0.4"/>
        <bgColor indexed="64"/>
      </patternFill>
    </fill>
    <fill>
      <patternFill patternType="solid">
        <fgColor theme="3"/>
        <bgColor indexed="64"/>
      </patternFill>
    </fill>
    <fill>
      <patternFill patternType="solid">
        <fgColor theme="0" tint="-0.14981536301767"/>
        <bgColor indexed="64"/>
      </patternFill>
    </fill>
    <fill>
      <patternFill patternType="solid">
        <fgColor theme="5" tint="0.399792474135563"/>
        <bgColor indexed="64"/>
      </patternFill>
    </fill>
    <fill>
      <patternFill patternType="solid">
        <fgColor theme="5" tint="0.399853511154515"/>
        <bgColor indexed="64"/>
      </patternFill>
    </fill>
    <fill>
      <patternFill patternType="solid">
        <fgColor indexed="9"/>
        <bgColor indexed="64"/>
      </patternFill>
    </fill>
    <fill>
      <patternFill patternType="solid">
        <fgColor theme="8" tint="-0.25"/>
        <bgColor indexed="64"/>
      </patternFill>
    </fill>
    <fill>
      <patternFill patternType="solid">
        <fgColor theme="4" tint="0.6"/>
        <bgColor indexed="64"/>
      </patternFill>
    </fill>
    <fill>
      <patternFill patternType="solid">
        <fgColor theme="4" tint="0.399792474135563"/>
        <bgColor indexed="64"/>
      </patternFill>
    </fill>
    <fill>
      <patternFill patternType="solid">
        <fgColor theme="4" tint="0.399822992645039"/>
        <bgColor indexed="64"/>
      </patternFill>
    </fill>
    <fill>
      <patternFill patternType="solid">
        <fgColor theme="4" tint="0.399884029663991"/>
        <bgColor indexed="64"/>
      </patternFill>
    </fill>
    <fill>
      <patternFill patternType="solid">
        <fgColor theme="4" tint="0.4"/>
        <bgColor indexed="64"/>
      </patternFill>
    </fill>
    <fill>
      <patternFill patternType="solid">
        <fgColor theme="5" tint="0.799768059327982"/>
        <bgColor indexed="64"/>
      </patternFill>
    </fill>
    <fill>
      <patternFill patternType="solid">
        <fgColor theme="5" tint="0.4"/>
        <bgColor indexed="64"/>
      </patternFill>
    </fill>
    <fill>
      <patternFill patternType="solid">
        <fgColor theme="0" tint="-0.149784844508194"/>
        <bgColor indexed="64"/>
      </patternFill>
    </fill>
    <fill>
      <patternFill patternType="solid">
        <fgColor theme="2"/>
        <bgColor indexed="64"/>
      </patternFill>
    </fill>
    <fill>
      <patternFill patternType="solid">
        <fgColor theme="4" tint="0.8"/>
        <bgColor indexed="64"/>
      </patternFill>
    </fill>
    <fill>
      <patternFill patternType="solid">
        <fgColor theme="7" tint="0.799920651875362"/>
        <bgColor indexed="64"/>
      </patternFill>
    </fill>
    <fill>
      <patternFill patternType="solid">
        <fgColor rgb="FFF286EA"/>
        <bgColor indexed="64"/>
      </patternFill>
    </fill>
    <fill>
      <patternFill patternType="solid">
        <fgColor rgb="FF00B050"/>
        <bgColor indexed="64"/>
      </patternFill>
    </fill>
    <fill>
      <patternFill patternType="solid">
        <fgColor theme="7" tint="0.799798577837458"/>
        <bgColor indexed="64"/>
      </patternFill>
    </fill>
    <fill>
      <patternFill patternType="solid">
        <fgColor theme="9" tint="0.799920651875362"/>
        <bgColor indexed="64"/>
      </patternFill>
    </fill>
    <fill>
      <patternFill patternType="solid">
        <fgColor theme="4" tint="0.799920651875362"/>
        <bgColor indexed="64"/>
      </patternFill>
    </fill>
    <fill>
      <patternFill patternType="solid">
        <fgColor theme="0" tint="-0.149937437055574"/>
        <bgColor indexed="64"/>
      </patternFill>
    </fill>
    <fill>
      <patternFill patternType="solid">
        <fgColor theme="5" tint="0.399945066682943"/>
        <bgColor indexed="64"/>
      </patternFill>
    </fill>
    <fill>
      <patternFill patternType="solid">
        <fgColor theme="1"/>
        <bgColor indexed="64"/>
      </patternFill>
    </fill>
    <fill>
      <patternFill patternType="solid">
        <fgColor theme="0" tint="-0.14996795556505"/>
        <bgColor indexed="64"/>
      </patternFill>
    </fill>
    <fill>
      <patternFill patternType="solid">
        <fgColor rgb="FF8A72F2"/>
        <bgColor indexed="64"/>
      </patternFill>
    </fill>
    <fill>
      <patternFill patternType="solid">
        <fgColor theme="4" tint="0.399853511154515"/>
        <bgColor indexed="64"/>
      </patternFill>
    </fill>
    <fill>
      <patternFill patternType="solid">
        <fgColor theme="0" tint="-0.15"/>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bottom style="thin">
        <color auto="1"/>
      </bottom>
      <diagonal/>
    </border>
    <border>
      <left/>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0" fillId="40" borderId="57" applyNumberFormat="0" applyFont="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3" fillId="0" borderId="58" applyNumberFormat="0" applyFill="0" applyAlignment="0" applyProtection="0">
      <alignment vertical="center"/>
    </xf>
    <xf numFmtId="0" fontId="64" fillId="0" borderId="58" applyNumberFormat="0" applyFill="0" applyAlignment="0" applyProtection="0">
      <alignment vertical="center"/>
    </xf>
    <xf numFmtId="0" fontId="65" fillId="0" borderId="59" applyNumberFormat="0" applyFill="0" applyAlignment="0" applyProtection="0">
      <alignment vertical="center"/>
    </xf>
    <xf numFmtId="0" fontId="65" fillId="0" borderId="0" applyNumberFormat="0" applyFill="0" applyBorder="0" applyAlignment="0" applyProtection="0">
      <alignment vertical="center"/>
    </xf>
    <xf numFmtId="0" fontId="66" fillId="41" borderId="60" applyNumberFormat="0" applyAlignment="0" applyProtection="0">
      <alignment vertical="center"/>
    </xf>
    <xf numFmtId="0" fontId="67" fillId="42" borderId="61" applyNumberFormat="0" applyAlignment="0" applyProtection="0">
      <alignment vertical="center"/>
    </xf>
    <xf numFmtId="0" fontId="68" fillId="42" borderId="60" applyNumberFormat="0" applyAlignment="0" applyProtection="0">
      <alignment vertical="center"/>
    </xf>
    <xf numFmtId="0" fontId="69" fillId="43" borderId="62" applyNumberFormat="0" applyAlignment="0" applyProtection="0">
      <alignment vertical="center"/>
    </xf>
    <xf numFmtId="0" fontId="70" fillId="0" borderId="63" applyNumberFormat="0" applyFill="0" applyAlignment="0" applyProtection="0">
      <alignment vertical="center"/>
    </xf>
    <xf numFmtId="0" fontId="71" fillId="0" borderId="64" applyNumberFormat="0" applyFill="0" applyAlignment="0" applyProtection="0">
      <alignment vertical="center"/>
    </xf>
    <xf numFmtId="0" fontId="72" fillId="44" borderId="0" applyNumberFormat="0" applyBorder="0" applyAlignment="0" applyProtection="0">
      <alignment vertical="center"/>
    </xf>
    <xf numFmtId="0" fontId="73" fillId="45" borderId="0" applyNumberFormat="0" applyBorder="0" applyAlignment="0" applyProtection="0">
      <alignment vertical="center"/>
    </xf>
    <xf numFmtId="0" fontId="74" fillId="46" borderId="0" applyNumberFormat="0" applyBorder="0" applyAlignment="0" applyProtection="0">
      <alignment vertical="center"/>
    </xf>
    <xf numFmtId="0" fontId="75" fillId="47" borderId="0" applyNumberFormat="0" applyBorder="0" applyAlignment="0" applyProtection="0">
      <alignment vertical="center"/>
    </xf>
    <xf numFmtId="0" fontId="76" fillId="48" borderId="0" applyNumberFormat="0" applyBorder="0" applyAlignment="0" applyProtection="0">
      <alignment vertical="center"/>
    </xf>
    <xf numFmtId="0" fontId="76" fillId="8" borderId="0" applyNumberFormat="0" applyBorder="0" applyAlignment="0" applyProtection="0">
      <alignment vertical="center"/>
    </xf>
    <xf numFmtId="0" fontId="75" fillId="49" borderId="0" applyNumberFormat="0" applyBorder="0" applyAlignment="0" applyProtection="0">
      <alignment vertical="center"/>
    </xf>
    <xf numFmtId="0" fontId="75" fillId="50" borderId="0" applyNumberFormat="0" applyBorder="0" applyAlignment="0" applyProtection="0">
      <alignment vertical="center"/>
    </xf>
    <xf numFmtId="0" fontId="76" fillId="51" borderId="0" applyNumberFormat="0" applyBorder="0" applyAlignment="0" applyProtection="0">
      <alignment vertical="center"/>
    </xf>
    <xf numFmtId="0" fontId="76" fillId="6" borderId="0" applyNumberFormat="0" applyBorder="0" applyAlignment="0" applyProtection="0">
      <alignment vertical="center"/>
    </xf>
    <xf numFmtId="0" fontId="75" fillId="52" borderId="0" applyNumberFormat="0" applyBorder="0" applyAlignment="0" applyProtection="0">
      <alignment vertical="center"/>
    </xf>
    <xf numFmtId="0" fontId="75" fillId="53" borderId="0" applyNumberFormat="0" applyBorder="0" applyAlignment="0" applyProtection="0">
      <alignment vertical="center"/>
    </xf>
    <xf numFmtId="0" fontId="76" fillId="54" borderId="0" applyNumberFormat="0" applyBorder="0" applyAlignment="0" applyProtection="0">
      <alignment vertical="center"/>
    </xf>
    <xf numFmtId="0" fontId="76" fillId="55" borderId="0" applyNumberFormat="0" applyBorder="0" applyAlignment="0" applyProtection="0">
      <alignment vertical="center"/>
    </xf>
    <xf numFmtId="0" fontId="75" fillId="56" borderId="0" applyNumberFormat="0" applyBorder="0" applyAlignment="0" applyProtection="0">
      <alignment vertical="center"/>
    </xf>
    <xf numFmtId="0" fontId="75" fillId="57" borderId="0" applyNumberFormat="0" applyBorder="0" applyAlignment="0" applyProtection="0">
      <alignment vertical="center"/>
    </xf>
    <xf numFmtId="0" fontId="76" fillId="58" borderId="0" applyNumberFormat="0" applyBorder="0" applyAlignment="0" applyProtection="0">
      <alignment vertical="center"/>
    </xf>
    <xf numFmtId="0" fontId="76" fillId="59" borderId="0" applyNumberFormat="0" applyBorder="0" applyAlignment="0" applyProtection="0">
      <alignment vertical="center"/>
    </xf>
    <xf numFmtId="0" fontId="75" fillId="60" borderId="0" applyNumberFormat="0" applyBorder="0" applyAlignment="0" applyProtection="0">
      <alignment vertical="center"/>
    </xf>
    <xf numFmtId="0" fontId="75" fillId="61" borderId="0" applyNumberFormat="0" applyBorder="0" applyAlignment="0" applyProtection="0">
      <alignment vertical="center"/>
    </xf>
    <xf numFmtId="0" fontId="76" fillId="62" borderId="0" applyNumberFormat="0" applyBorder="0" applyAlignment="0" applyProtection="0">
      <alignment vertical="center"/>
    </xf>
    <xf numFmtId="0" fontId="76" fillId="63" borderId="0" applyNumberFormat="0" applyBorder="0" applyAlignment="0" applyProtection="0">
      <alignment vertical="center"/>
    </xf>
    <xf numFmtId="0" fontId="75" fillId="64" borderId="0" applyNumberFormat="0" applyBorder="0" applyAlignment="0" applyProtection="0">
      <alignment vertical="center"/>
    </xf>
    <xf numFmtId="0" fontId="75" fillId="65" borderId="0" applyNumberFormat="0" applyBorder="0" applyAlignment="0" applyProtection="0">
      <alignment vertical="center"/>
    </xf>
    <xf numFmtId="0" fontId="76" fillId="66" borderId="0" applyNumberFormat="0" applyBorder="0" applyAlignment="0" applyProtection="0">
      <alignment vertical="center"/>
    </xf>
    <xf numFmtId="0" fontId="76" fillId="67" borderId="0" applyNumberFormat="0" applyBorder="0" applyAlignment="0" applyProtection="0">
      <alignment vertical="center"/>
    </xf>
    <xf numFmtId="0" fontId="75" fillId="68" borderId="0" applyNumberFormat="0" applyBorder="0" applyAlignment="0" applyProtection="0">
      <alignment vertical="center"/>
    </xf>
  </cellStyleXfs>
  <cellXfs count="884">
    <xf numFmtId="0" fontId="0" fillId="0" borderId="0" xfId="0">
      <alignment vertical="center"/>
    </xf>
    <xf numFmtId="0" fontId="1" fillId="0" borderId="0" xfId="0" applyFont="1" applyFill="1">
      <alignment vertical="center"/>
    </xf>
    <xf numFmtId="0" fontId="2" fillId="0" borderId="0" xfId="0" applyFont="1">
      <alignment vertical="center"/>
    </xf>
    <xf numFmtId="0" fontId="1" fillId="0" borderId="0" xfId="0" applyFont="1">
      <alignment vertical="center"/>
    </xf>
    <xf numFmtId="0" fontId="3" fillId="0" borderId="0" xfId="0" applyFont="1" applyFill="1">
      <alignment vertical="center"/>
    </xf>
    <xf numFmtId="0" fontId="4" fillId="0" borderId="0" xfId="0" applyFont="1">
      <alignment vertical="center"/>
    </xf>
    <xf numFmtId="0" fontId="3" fillId="0" borderId="0" xfId="0" applyFont="1">
      <alignment vertical="center"/>
    </xf>
    <xf numFmtId="0" fontId="3" fillId="0" borderId="0" xfId="0" applyFont="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6"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8" xfId="0" applyFont="1" applyFill="1" applyBorder="1" applyAlignment="1">
      <alignment horizontal="center" vertical="center"/>
    </xf>
    <xf numFmtId="0" fontId="6" fillId="6" borderId="5" xfId="0" applyFont="1" applyFill="1" applyBorder="1" applyAlignment="1">
      <alignment horizontal="center" vertical="center"/>
    </xf>
    <xf numFmtId="0" fontId="6" fillId="6" borderId="6" xfId="0" applyFont="1" applyFill="1" applyBorder="1">
      <alignment vertical="center"/>
    </xf>
    <xf numFmtId="0" fontId="1" fillId="6" borderId="6" xfId="0" applyFont="1" applyFill="1" applyBorder="1" applyAlignment="1">
      <alignment horizontal="center" vertical="center"/>
    </xf>
    <xf numFmtId="176" fontId="6" fillId="6" borderId="9" xfId="0" applyNumberFormat="1" applyFont="1" applyFill="1" applyBorder="1">
      <alignment vertical="center"/>
    </xf>
    <xf numFmtId="176" fontId="6" fillId="6" borderId="10" xfId="0" applyNumberFormat="1" applyFont="1" applyFill="1" applyBorder="1">
      <alignment vertical="center"/>
    </xf>
    <xf numFmtId="0" fontId="5" fillId="0" borderId="5" xfId="0" applyFont="1" applyBorder="1" applyAlignment="1">
      <alignment horizontal="center" vertical="center"/>
    </xf>
    <xf numFmtId="0" fontId="5" fillId="0" borderId="6" xfId="0" applyFont="1" applyBorder="1">
      <alignment vertical="center"/>
    </xf>
    <xf numFmtId="0" fontId="3" fillId="0" borderId="6" xfId="0" applyFont="1" applyBorder="1" applyAlignment="1">
      <alignment horizontal="center" vertical="center"/>
    </xf>
    <xf numFmtId="176" fontId="5" fillId="0" borderId="9" xfId="0" applyNumberFormat="1" applyFont="1" applyBorder="1">
      <alignment vertical="center"/>
    </xf>
    <xf numFmtId="176" fontId="5" fillId="0" borderId="10" xfId="0" applyNumberFormat="1" applyFont="1" applyBorder="1">
      <alignment vertical="center"/>
    </xf>
    <xf numFmtId="0" fontId="3" fillId="0" borderId="5" xfId="0" applyFont="1" applyBorder="1" applyAlignment="1">
      <alignment horizontal="center" vertical="center"/>
    </xf>
    <xf numFmtId="0" fontId="3" fillId="0" borderId="6" xfId="0" applyFont="1" applyBorder="1" applyAlignment="1">
      <alignment horizontal="left" vertical="center" indent="2"/>
    </xf>
    <xf numFmtId="176" fontId="3" fillId="0" borderId="9" xfId="0" applyNumberFormat="1" applyFont="1" applyBorder="1">
      <alignment vertical="center"/>
    </xf>
    <xf numFmtId="176" fontId="3" fillId="0" borderId="10" xfId="0" applyNumberFormat="1" applyFont="1" applyBorder="1">
      <alignment vertical="center"/>
    </xf>
    <xf numFmtId="0" fontId="2" fillId="0" borderId="5" xfId="0" applyFont="1" applyBorder="1" applyAlignment="1">
      <alignment horizontal="center" vertical="center"/>
    </xf>
    <xf numFmtId="0" fontId="1" fillId="0" borderId="6" xfId="0" applyFont="1" applyBorder="1" applyAlignment="1">
      <alignment horizontal="left" vertical="center" indent="2"/>
    </xf>
    <xf numFmtId="0" fontId="1" fillId="0" borderId="6" xfId="0" applyFont="1" applyBorder="1" applyAlignment="1">
      <alignment horizontal="center" vertical="center"/>
    </xf>
    <xf numFmtId="0" fontId="2" fillId="0" borderId="6" xfId="0" applyFont="1" applyBorder="1">
      <alignment vertical="center"/>
    </xf>
    <xf numFmtId="0" fontId="2" fillId="0" borderId="8" xfId="0" applyFont="1" applyBorder="1">
      <alignment vertical="center"/>
    </xf>
    <xf numFmtId="0" fontId="3" fillId="0" borderId="6" xfId="0" applyFont="1" applyBorder="1" applyAlignment="1">
      <alignment horizontal="left" vertical="center" indent="4"/>
    </xf>
    <xf numFmtId="176" fontId="3" fillId="0" borderId="6" xfId="0" applyNumberFormat="1" applyFont="1" applyBorder="1">
      <alignment vertical="center"/>
    </xf>
    <xf numFmtId="176" fontId="3" fillId="0" borderId="8" xfId="0" applyNumberFormat="1" applyFont="1" applyBorder="1">
      <alignment vertical="center"/>
    </xf>
    <xf numFmtId="0" fontId="3" fillId="0" borderId="6" xfId="0" applyFont="1" applyBorder="1" applyAlignment="1">
      <alignment horizontal="left" vertical="center" indent="6"/>
    </xf>
    <xf numFmtId="0" fontId="1" fillId="0" borderId="5" xfId="0" applyFont="1" applyBorder="1" applyAlignment="1">
      <alignment horizontal="center" vertical="center"/>
    </xf>
    <xf numFmtId="176" fontId="1" fillId="0" borderId="9" xfId="0" applyNumberFormat="1" applyFont="1" applyBorder="1">
      <alignment vertical="center"/>
    </xf>
    <xf numFmtId="176" fontId="1" fillId="0" borderId="10" xfId="0" applyNumberFormat="1" applyFont="1" applyBorder="1">
      <alignment vertical="center"/>
    </xf>
    <xf numFmtId="0" fontId="3" fillId="0" borderId="5" xfId="0" applyFont="1" applyFill="1" applyBorder="1" applyAlignment="1">
      <alignment horizontal="center" vertical="center"/>
    </xf>
    <xf numFmtId="0" fontId="3" fillId="0" borderId="6" xfId="0" applyFont="1" applyFill="1" applyBorder="1" applyAlignment="1">
      <alignment horizontal="left" vertical="center" indent="4"/>
    </xf>
    <xf numFmtId="0" fontId="3" fillId="0" borderId="6" xfId="0" applyFont="1" applyFill="1" applyBorder="1" applyAlignment="1">
      <alignment horizontal="center" vertical="center"/>
    </xf>
    <xf numFmtId="176" fontId="3" fillId="0" borderId="9" xfId="0" applyNumberFormat="1" applyFont="1" applyFill="1" applyBorder="1">
      <alignment vertical="center"/>
    </xf>
    <xf numFmtId="176" fontId="3" fillId="7" borderId="10" xfId="0" applyNumberFormat="1" applyFont="1" applyFill="1" applyBorder="1">
      <alignment vertical="center"/>
    </xf>
    <xf numFmtId="176" fontId="3" fillId="0" borderId="10" xfId="0" applyNumberFormat="1" applyFont="1" applyFill="1" applyBorder="1">
      <alignment vertical="center"/>
    </xf>
    <xf numFmtId="0" fontId="3" fillId="0" borderId="6" xfId="0" applyFont="1" applyFill="1" applyBorder="1" applyAlignment="1">
      <alignment horizontal="left" vertical="center" indent="2"/>
    </xf>
    <xf numFmtId="0" fontId="3" fillId="0" borderId="6" xfId="0" applyFont="1" applyBorder="1" applyAlignment="1">
      <alignment horizontal="left" vertical="center" indent="5"/>
    </xf>
    <xf numFmtId="0" fontId="3" fillId="8" borderId="6" xfId="0" applyFont="1" applyFill="1" applyBorder="1" applyAlignment="1">
      <alignment horizontal="left" vertical="center" indent="4"/>
    </xf>
    <xf numFmtId="0" fontId="6" fillId="6" borderId="11" xfId="0" applyFont="1" applyFill="1" applyBorder="1" applyAlignment="1">
      <alignment horizontal="center" vertical="center"/>
    </xf>
    <xf numFmtId="0" fontId="6" fillId="6" borderId="12" xfId="0" applyFont="1" applyFill="1" applyBorder="1">
      <alignment vertical="center"/>
    </xf>
    <xf numFmtId="0" fontId="1" fillId="6" borderId="12" xfId="0" applyFont="1" applyFill="1" applyBorder="1" applyAlignment="1">
      <alignment horizontal="center" vertical="center"/>
    </xf>
    <xf numFmtId="176" fontId="6" fillId="6" borderId="13" xfId="0" applyNumberFormat="1" applyFont="1" applyFill="1" applyBorder="1">
      <alignment vertical="center"/>
    </xf>
    <xf numFmtId="176" fontId="6" fillId="6" borderId="14" xfId="0" applyNumberFormat="1" applyFont="1" applyFill="1" applyBorder="1">
      <alignment vertical="center"/>
    </xf>
    <xf numFmtId="0" fontId="4" fillId="0" borderId="0" xfId="0" applyFont="1" applyAlignment="1">
      <alignment horizontal="center" vertical="center"/>
    </xf>
    <xf numFmtId="0" fontId="7" fillId="0" borderId="0" xfId="0" applyFont="1">
      <alignment vertical="center"/>
    </xf>
    <xf numFmtId="176" fontId="4" fillId="0" borderId="0" xfId="0" applyNumberFormat="1" applyFont="1">
      <alignment vertical="center"/>
    </xf>
    <xf numFmtId="0" fontId="8" fillId="0" borderId="0" xfId="0" applyFont="1" applyAlignment="1">
      <alignment horizontal="center" vertical="center"/>
    </xf>
    <xf numFmtId="176" fontId="9" fillId="0" borderId="0" xfId="0" applyNumberFormat="1" applyFont="1" applyAlignment="1">
      <alignment horizontal="center" vertical="center"/>
    </xf>
    <xf numFmtId="0" fontId="3" fillId="9" borderId="0" xfId="0" applyFont="1" applyFill="1">
      <alignment vertical="center"/>
    </xf>
    <xf numFmtId="0" fontId="10" fillId="0" borderId="0" xfId="0" applyFont="1" applyFill="1">
      <alignment vertical="center"/>
    </xf>
    <xf numFmtId="0" fontId="11" fillId="0" borderId="0" xfId="0" applyFont="1">
      <alignment vertical="center"/>
    </xf>
    <xf numFmtId="0" fontId="12" fillId="0" borderId="0" xfId="0" applyFont="1" applyAlignment="1">
      <alignment horizontal="left" vertical="center"/>
    </xf>
    <xf numFmtId="0" fontId="5" fillId="0" borderId="5" xfId="0" applyFont="1" applyFill="1" applyBorder="1" applyAlignment="1">
      <alignment horizontal="center" vertical="center"/>
    </xf>
    <xf numFmtId="0" fontId="5" fillId="0" borderId="6" xfId="0" applyFont="1" applyFill="1" applyBorder="1" applyAlignment="1">
      <alignment horizontal="left" vertical="center" indent="1"/>
    </xf>
    <xf numFmtId="176" fontId="5" fillId="0" borderId="9" xfId="0" applyNumberFormat="1" applyFont="1" applyFill="1" applyBorder="1">
      <alignment vertical="center"/>
    </xf>
    <xf numFmtId="0" fontId="3" fillId="0" borderId="6" xfId="0" applyFont="1" applyFill="1" applyBorder="1" applyAlignment="1">
      <alignment horizontal="left" vertical="center" indent="1"/>
    </xf>
    <xf numFmtId="0" fontId="3" fillId="0" borderId="6" xfId="0" applyFont="1" applyFill="1" applyBorder="1">
      <alignment vertical="center"/>
    </xf>
    <xf numFmtId="0" fontId="5" fillId="0" borderId="6" xfId="0" applyFont="1" applyFill="1" applyBorder="1" applyAlignment="1">
      <alignment horizontal="center" vertical="center"/>
    </xf>
    <xf numFmtId="176" fontId="5" fillId="0" borderId="10" xfId="0" applyNumberFormat="1" applyFont="1" applyFill="1" applyBorder="1">
      <alignment vertical="center"/>
    </xf>
    <xf numFmtId="0" fontId="3" fillId="7" borderId="6" xfId="0" applyFont="1" applyFill="1" applyBorder="1" applyAlignment="1">
      <alignment horizontal="left" vertical="center" indent="1"/>
    </xf>
    <xf numFmtId="176" fontId="3" fillId="7" borderId="9" xfId="0" applyNumberFormat="1" applyFont="1" applyFill="1" applyBorder="1">
      <alignment vertical="center"/>
    </xf>
    <xf numFmtId="0" fontId="3" fillId="7" borderId="6" xfId="0" applyFont="1" applyFill="1" applyBorder="1" applyAlignment="1">
      <alignment horizontal="center" vertical="center"/>
    </xf>
    <xf numFmtId="0" fontId="3" fillId="9" borderId="5" xfId="0" applyFont="1" applyFill="1" applyBorder="1" applyAlignment="1">
      <alignment horizontal="center" vertical="center"/>
    </xf>
    <xf numFmtId="0" fontId="5" fillId="9" borderId="6" xfId="0" applyFont="1" applyFill="1" applyBorder="1" applyAlignment="1">
      <alignment horizontal="center" vertical="center"/>
    </xf>
    <xf numFmtId="176" fontId="5" fillId="9" borderId="9" xfId="0" applyNumberFormat="1" applyFont="1" applyFill="1" applyBorder="1">
      <alignment vertical="center"/>
    </xf>
    <xf numFmtId="0" fontId="3" fillId="9" borderId="6" xfId="0" applyFont="1" applyFill="1" applyBorder="1" applyAlignment="1">
      <alignment horizontal="center" vertical="center"/>
    </xf>
    <xf numFmtId="176" fontId="5" fillId="9" borderId="10" xfId="0" applyNumberFormat="1" applyFont="1" applyFill="1" applyBorder="1">
      <alignment vertical="center"/>
    </xf>
    <xf numFmtId="0" fontId="3" fillId="0" borderId="6" xfId="0" applyFont="1" applyFill="1" applyBorder="1" applyAlignment="1">
      <alignment horizontal="left" vertical="center" indent="3"/>
    </xf>
    <xf numFmtId="0" fontId="5" fillId="0" borderId="11" xfId="0" applyFont="1" applyFill="1" applyBorder="1" applyAlignment="1">
      <alignment horizontal="center" vertical="center"/>
    </xf>
    <xf numFmtId="0" fontId="5" fillId="0" borderId="12" xfId="0" applyFont="1" applyFill="1" applyBorder="1" applyAlignment="1">
      <alignment horizontal="left" vertical="center" indent="1"/>
    </xf>
    <xf numFmtId="176" fontId="5" fillId="0" borderId="13" xfId="0" applyNumberFormat="1" applyFont="1" applyFill="1" applyBorder="1">
      <alignment vertical="center"/>
    </xf>
    <xf numFmtId="0" fontId="3" fillId="0" borderId="12" xfId="0" applyFont="1" applyFill="1" applyBorder="1" applyAlignment="1">
      <alignment horizontal="center" vertical="center"/>
    </xf>
    <xf numFmtId="176" fontId="5" fillId="0" borderId="14" xfId="0" applyNumberFormat="1" applyFont="1" applyFill="1" applyBorder="1">
      <alignment vertical="center"/>
    </xf>
    <xf numFmtId="0" fontId="3" fillId="0" borderId="0" xfId="0" applyFont="1" applyFill="1" applyAlignment="1">
      <alignment horizontal="center" vertical="center"/>
    </xf>
    <xf numFmtId="0" fontId="13" fillId="0" borderId="6" xfId="0" applyFont="1" applyFill="1" applyBorder="1">
      <alignment vertical="center"/>
    </xf>
    <xf numFmtId="176" fontId="13" fillId="0" borderId="9" xfId="0" applyNumberFormat="1" applyFont="1" applyFill="1" applyBorder="1">
      <alignment vertical="center"/>
    </xf>
    <xf numFmtId="0" fontId="5" fillId="0" borderId="6" xfId="0" applyFont="1" applyFill="1" applyBorder="1">
      <alignment vertical="center"/>
    </xf>
    <xf numFmtId="0" fontId="10" fillId="0" borderId="6" xfId="0" applyFont="1" applyFill="1" applyBorder="1">
      <alignment vertical="center"/>
    </xf>
    <xf numFmtId="0" fontId="14" fillId="0" borderId="6" xfId="0" applyFont="1" applyFill="1" applyBorder="1" applyAlignment="1">
      <alignment vertical="center" wrapText="1"/>
    </xf>
    <xf numFmtId="0" fontId="10" fillId="0" borderId="0" xfId="0" applyFont="1" applyFill="1" applyAlignment="1">
      <alignment horizontal="center" vertical="center"/>
    </xf>
    <xf numFmtId="176" fontId="13" fillId="0" borderId="6" xfId="0" applyNumberFormat="1" applyFont="1" applyFill="1" applyBorder="1">
      <alignment vertical="center"/>
    </xf>
    <xf numFmtId="176" fontId="3" fillId="0" borderId="0" xfId="0" applyNumberFormat="1" applyFont="1" applyFill="1" applyBorder="1">
      <alignment vertical="center"/>
    </xf>
    <xf numFmtId="0" fontId="11" fillId="0" borderId="0" xfId="0" applyFont="1" applyAlignment="1">
      <alignment horizontal="center" vertical="center"/>
    </xf>
    <xf numFmtId="0" fontId="11" fillId="0" borderId="0" xfId="0" applyFont="1" applyAlignment="1">
      <alignment horizontal="right" vertical="center"/>
    </xf>
    <xf numFmtId="176" fontId="11" fillId="0" borderId="0" xfId="0" applyNumberFormat="1" applyFont="1" applyAlignment="1">
      <alignment horizontal="center" vertical="center"/>
    </xf>
    <xf numFmtId="176" fontId="3" fillId="0" borderId="0" xfId="0" applyNumberFormat="1" applyFont="1">
      <alignment vertical="center"/>
    </xf>
    <xf numFmtId="0" fontId="15" fillId="0" borderId="0" xfId="0" applyFont="1" applyFill="1">
      <alignment vertical="center"/>
    </xf>
    <xf numFmtId="0" fontId="15" fillId="0" borderId="0" xfId="0" applyFont="1">
      <alignment vertical="center"/>
    </xf>
    <xf numFmtId="0" fontId="16" fillId="0" borderId="0" xfId="0" applyFont="1">
      <alignment vertical="center"/>
    </xf>
    <xf numFmtId="0" fontId="5" fillId="2" borderId="15" xfId="0" applyFont="1" applyFill="1" applyBorder="1" applyAlignment="1">
      <alignment horizontal="center" vertical="center"/>
    </xf>
    <xf numFmtId="57" fontId="17" fillId="3" borderId="2" xfId="0" applyNumberFormat="1" applyFont="1" applyFill="1" applyBorder="1" applyAlignment="1">
      <alignment horizontal="center" vertical="center"/>
    </xf>
    <xf numFmtId="57" fontId="5" fillId="3" borderId="2" xfId="0" applyNumberFormat="1" applyFont="1" applyFill="1" applyBorder="1" applyAlignment="1">
      <alignment horizontal="center" vertical="center"/>
    </xf>
    <xf numFmtId="57" fontId="17" fillId="4" borderId="2" xfId="0" applyNumberFormat="1" applyFont="1" applyFill="1" applyBorder="1" applyAlignment="1">
      <alignment horizontal="center" vertical="center"/>
    </xf>
    <xf numFmtId="57" fontId="5" fillId="4" borderId="2" xfId="0" applyNumberFormat="1" applyFont="1" applyFill="1" applyBorder="1" applyAlignment="1">
      <alignment horizontal="center" vertical="center"/>
    </xf>
    <xf numFmtId="57" fontId="5" fillId="5" borderId="2" xfId="0" applyNumberFormat="1" applyFont="1" applyFill="1" applyBorder="1" applyAlignment="1">
      <alignment horizontal="center" vertical="center"/>
    </xf>
    <xf numFmtId="57" fontId="5" fillId="5" borderId="4" xfId="0" applyNumberFormat="1" applyFont="1" applyFill="1" applyBorder="1" applyAlignment="1">
      <alignment horizontal="center" vertical="center"/>
    </xf>
    <xf numFmtId="0" fontId="5" fillId="2" borderId="16" xfId="0" applyFont="1" applyFill="1" applyBorder="1" applyAlignment="1">
      <alignment horizontal="center" vertical="center"/>
    </xf>
    <xf numFmtId="0" fontId="5" fillId="0" borderId="5" xfId="0" applyNumberFormat="1" applyFont="1" applyFill="1" applyBorder="1" applyAlignment="1" applyProtection="1">
      <alignment horizontal="center" vertical="center"/>
    </xf>
    <xf numFmtId="176" fontId="5" fillId="0" borderId="6" xfId="0" applyNumberFormat="1" applyFont="1" applyFill="1" applyBorder="1" applyAlignment="1" applyProtection="1">
      <alignment horizontal="left" vertical="center"/>
    </xf>
    <xf numFmtId="176" fontId="5" fillId="0" borderId="6" xfId="0" applyNumberFormat="1" applyFont="1" applyFill="1" applyBorder="1" applyAlignment="1" applyProtection="1">
      <alignment horizontal="right" vertical="center"/>
    </xf>
    <xf numFmtId="176" fontId="5" fillId="0" borderId="6" xfId="0" applyNumberFormat="1" applyFont="1" applyFill="1" applyBorder="1">
      <alignment vertical="center"/>
    </xf>
    <xf numFmtId="176" fontId="5" fillId="0" borderId="8" xfId="0" applyNumberFormat="1" applyFont="1" applyFill="1" applyBorder="1">
      <alignment vertical="center"/>
    </xf>
    <xf numFmtId="0" fontId="3" fillId="0" borderId="5" xfId="0" applyNumberFormat="1" applyFont="1" applyFill="1" applyBorder="1" applyAlignment="1" applyProtection="1">
      <alignment horizontal="center" vertical="center"/>
    </xf>
    <xf numFmtId="176" fontId="3" fillId="0" borderId="6" xfId="0" applyNumberFormat="1" applyFont="1" applyFill="1" applyBorder="1" applyAlignment="1" applyProtection="1">
      <alignment horizontal="left" vertical="center" indent="1"/>
    </xf>
    <xf numFmtId="176" fontId="3" fillId="0" borderId="6" xfId="0" applyNumberFormat="1" applyFont="1" applyFill="1" applyBorder="1" applyAlignment="1" applyProtection="1">
      <alignment horizontal="right" vertical="center"/>
    </xf>
    <xf numFmtId="176" fontId="3" fillId="0" borderId="6" xfId="0" applyNumberFormat="1" applyFont="1" applyFill="1" applyBorder="1">
      <alignment vertical="center"/>
    </xf>
    <xf numFmtId="176" fontId="3" fillId="0" borderId="8" xfId="0" applyNumberFormat="1" applyFont="1" applyFill="1" applyBorder="1">
      <alignment vertical="center"/>
    </xf>
    <xf numFmtId="176" fontId="3" fillId="0" borderId="6" xfId="0" applyNumberFormat="1" applyFont="1" applyFill="1" applyBorder="1" applyAlignment="1" applyProtection="1">
      <alignment horizontal="left" vertical="center" indent="3"/>
    </xf>
    <xf numFmtId="176" fontId="18" fillId="0" borderId="6" xfId="0" applyNumberFormat="1" applyFont="1" applyFill="1" applyBorder="1" applyAlignment="1" applyProtection="1">
      <alignment horizontal="left" vertical="center"/>
    </xf>
    <xf numFmtId="0" fontId="5" fillId="0" borderId="12" xfId="0" applyFont="1" applyFill="1" applyBorder="1">
      <alignment vertical="center"/>
    </xf>
    <xf numFmtId="176" fontId="5" fillId="0" borderId="12" xfId="0" applyNumberFormat="1" applyFont="1" applyFill="1" applyBorder="1">
      <alignment vertical="center"/>
    </xf>
    <xf numFmtId="176" fontId="5" fillId="0" borderId="17" xfId="0" applyNumberFormat="1" applyFont="1" applyFill="1" applyBorder="1">
      <alignment vertical="center"/>
    </xf>
    <xf numFmtId="10" fontId="13" fillId="0" borderId="6" xfId="0" applyNumberFormat="1" applyFont="1" applyBorder="1">
      <alignment vertical="center"/>
    </xf>
    <xf numFmtId="0" fontId="15" fillId="0" borderId="6" xfId="0" applyFont="1" applyBorder="1">
      <alignment vertical="center"/>
    </xf>
    <xf numFmtId="0" fontId="15" fillId="0" borderId="6" xfId="0" applyFont="1" applyFill="1" applyBorder="1">
      <alignment vertical="center"/>
    </xf>
    <xf numFmtId="176" fontId="5" fillId="0" borderId="6" xfId="0" applyNumberFormat="1" applyFont="1" applyBorder="1">
      <alignment vertical="center"/>
    </xf>
    <xf numFmtId="10" fontId="3" fillId="0" borderId="0" xfId="0" applyNumberFormat="1" applyFont="1">
      <alignment vertical="center"/>
    </xf>
    <xf numFmtId="176" fontId="15" fillId="0" borderId="0" xfId="0" applyNumberFormat="1" applyFont="1">
      <alignment vertical="center"/>
    </xf>
    <xf numFmtId="0" fontId="19" fillId="0" borderId="0" xfId="0" applyFont="1" applyAlignment="1">
      <alignment horizontal="right" vertical="center"/>
    </xf>
    <xf numFmtId="176" fontId="19" fillId="0" borderId="0" xfId="0" applyNumberFormat="1" applyFont="1">
      <alignment vertical="center"/>
    </xf>
    <xf numFmtId="0" fontId="5" fillId="0" borderId="0" xfId="0" applyFont="1">
      <alignment vertical="center"/>
    </xf>
    <xf numFmtId="0" fontId="5" fillId="0" borderId="0" xfId="0" applyFont="1" applyFill="1">
      <alignment vertical="center"/>
    </xf>
    <xf numFmtId="0" fontId="0" fillId="10" borderId="0" xfId="0" applyFill="1">
      <alignment vertical="center"/>
    </xf>
    <xf numFmtId="0" fontId="12" fillId="0" borderId="0" xfId="0" applyFont="1">
      <alignment vertical="center"/>
    </xf>
    <xf numFmtId="176" fontId="5" fillId="0" borderId="8" xfId="0" applyNumberFormat="1" applyFont="1" applyBorder="1">
      <alignment vertical="center"/>
    </xf>
    <xf numFmtId="0" fontId="3" fillId="0" borderId="6" xfId="0" applyFont="1" applyBorder="1">
      <alignment vertical="center"/>
    </xf>
    <xf numFmtId="0" fontId="3" fillId="0" borderId="6" xfId="0" applyFont="1" applyBorder="1" applyAlignment="1">
      <alignment horizontal="left" vertical="center" indent="1"/>
    </xf>
    <xf numFmtId="0" fontId="3" fillId="0" borderId="6" xfId="0" applyFont="1" applyBorder="1" applyAlignment="1">
      <alignment horizontal="left" vertical="center" indent="3"/>
    </xf>
    <xf numFmtId="177" fontId="5" fillId="8" borderId="6" xfId="0" applyNumberFormat="1" applyFont="1" applyFill="1" applyBorder="1" applyAlignment="1" applyProtection="1">
      <alignment horizontal="left" vertical="center"/>
      <protection hidden="1"/>
    </xf>
    <xf numFmtId="0" fontId="3" fillId="8" borderId="6" xfId="0" applyFont="1" applyFill="1" applyBorder="1" applyAlignment="1">
      <alignment horizontal="left" vertical="center" indent="2"/>
    </xf>
    <xf numFmtId="176" fontId="3" fillId="11" borderId="6" xfId="0" applyNumberFormat="1" applyFont="1" applyFill="1" applyBorder="1">
      <alignment vertical="center"/>
    </xf>
    <xf numFmtId="176" fontId="3" fillId="11" borderId="8" xfId="0" applyNumberFormat="1" applyFont="1" applyFill="1" applyBorder="1">
      <alignment vertical="center"/>
    </xf>
    <xf numFmtId="177" fontId="5" fillId="0" borderId="6" xfId="0" applyNumberFormat="1" applyFont="1" applyFill="1" applyBorder="1" applyAlignment="1" applyProtection="1">
      <alignment horizontal="left" vertical="center"/>
      <protection hidden="1"/>
    </xf>
    <xf numFmtId="0" fontId="3" fillId="7" borderId="6" xfId="0" applyFont="1" applyFill="1" applyBorder="1">
      <alignment vertical="center"/>
    </xf>
    <xf numFmtId="176" fontId="3" fillId="12" borderId="9" xfId="0" applyNumberFormat="1" applyFont="1" applyFill="1" applyBorder="1">
      <alignment vertical="center"/>
    </xf>
    <xf numFmtId="176" fontId="3" fillId="12" borderId="10" xfId="0" applyNumberFormat="1" applyFont="1" applyFill="1" applyBorder="1">
      <alignment vertical="center"/>
    </xf>
    <xf numFmtId="0" fontId="3" fillId="10" borderId="5" xfId="0" applyFont="1" applyFill="1" applyBorder="1" applyAlignment="1">
      <alignment horizontal="center" vertical="center"/>
    </xf>
    <xf numFmtId="0" fontId="3" fillId="10" borderId="6" xfId="0" applyFont="1" applyFill="1" applyBorder="1" applyAlignment="1">
      <alignment horizontal="left" vertical="center" indent="2"/>
    </xf>
    <xf numFmtId="176" fontId="3" fillId="10" borderId="9" xfId="0" applyNumberFormat="1" applyFont="1" applyFill="1" applyBorder="1">
      <alignment vertical="center"/>
    </xf>
    <xf numFmtId="0" fontId="3" fillId="10" borderId="6" xfId="0" applyFont="1" applyFill="1" applyBorder="1" applyAlignment="1">
      <alignment horizontal="center" vertical="center"/>
    </xf>
    <xf numFmtId="177" fontId="3" fillId="8" borderId="6" xfId="0" applyNumberFormat="1" applyFont="1" applyFill="1" applyBorder="1" applyAlignment="1" applyProtection="1">
      <alignment horizontal="left" vertical="center"/>
      <protection hidden="1"/>
    </xf>
    <xf numFmtId="176" fontId="3" fillId="13" borderId="6" xfId="0" applyNumberFormat="1" applyFont="1" applyFill="1" applyBorder="1">
      <alignment vertical="center"/>
    </xf>
    <xf numFmtId="176" fontId="3" fillId="13" borderId="8" xfId="0" applyNumberFormat="1" applyFont="1" applyFill="1" applyBorder="1">
      <alignment vertical="center"/>
    </xf>
    <xf numFmtId="0" fontId="3" fillId="0" borderId="11" xfId="0" applyFont="1" applyBorder="1" applyAlignment="1">
      <alignment horizontal="center" vertical="center"/>
    </xf>
    <xf numFmtId="0" fontId="3" fillId="0" borderId="12" xfId="0" applyFont="1" applyBorder="1">
      <alignment vertical="center"/>
    </xf>
    <xf numFmtId="176" fontId="3" fillId="0" borderId="13" xfId="0" applyNumberFormat="1" applyFont="1" applyBorder="1">
      <alignment vertical="center"/>
    </xf>
    <xf numFmtId="0" fontId="3" fillId="0" borderId="12" xfId="0" applyFont="1" applyBorder="1" applyAlignment="1">
      <alignment horizontal="center" vertical="center"/>
    </xf>
    <xf numFmtId="176" fontId="3" fillId="0" borderId="14" xfId="0" applyNumberFormat="1" applyFont="1" applyBorder="1">
      <alignment vertical="center"/>
    </xf>
    <xf numFmtId="0" fontId="18" fillId="7" borderId="5" xfId="0" applyNumberFormat="1" applyFont="1" applyFill="1" applyBorder="1" applyAlignment="1" applyProtection="1">
      <alignment horizontal="center" vertical="center"/>
    </xf>
    <xf numFmtId="176" fontId="18" fillId="7" borderId="6" xfId="0" applyNumberFormat="1" applyFont="1" applyFill="1" applyBorder="1" applyAlignment="1" applyProtection="1">
      <alignment horizontal="left" vertical="center"/>
    </xf>
    <xf numFmtId="176" fontId="18" fillId="7" borderId="6" xfId="0" applyNumberFormat="1" applyFont="1" applyFill="1" applyBorder="1" applyAlignment="1" applyProtection="1">
      <alignment horizontal="right" vertical="center"/>
    </xf>
    <xf numFmtId="176" fontId="5" fillId="7" borderId="6" xfId="0" applyNumberFormat="1" applyFont="1" applyFill="1" applyBorder="1">
      <alignment vertical="center"/>
    </xf>
    <xf numFmtId="0" fontId="20" fillId="0" borderId="5" xfId="0" applyNumberFormat="1" applyFont="1" applyFill="1" applyBorder="1" applyAlignment="1" applyProtection="1">
      <alignment horizontal="center" vertical="center"/>
    </xf>
    <xf numFmtId="176" fontId="20" fillId="0" borderId="6" xfId="0" applyNumberFormat="1" applyFont="1" applyFill="1" applyBorder="1" applyAlignment="1" applyProtection="1">
      <alignment horizontal="left" vertical="center" indent="1"/>
    </xf>
    <xf numFmtId="176" fontId="20" fillId="14" borderId="6" xfId="0" applyNumberFormat="1" applyFont="1" applyFill="1" applyBorder="1" applyAlignment="1" applyProtection="1">
      <alignment horizontal="right" vertical="center"/>
    </xf>
    <xf numFmtId="0" fontId="3" fillId="7" borderId="5" xfId="0" applyNumberFormat="1" applyFont="1" applyFill="1" applyBorder="1" applyAlignment="1" applyProtection="1">
      <alignment horizontal="center" vertical="center"/>
    </xf>
    <xf numFmtId="176" fontId="3" fillId="7" borderId="6" xfId="0" applyNumberFormat="1" applyFont="1" applyFill="1" applyBorder="1" applyAlignment="1" applyProtection="1">
      <alignment horizontal="left" vertical="center" indent="1"/>
    </xf>
    <xf numFmtId="176" fontId="3" fillId="7" borderId="6" xfId="0" applyNumberFormat="1" applyFont="1" applyFill="1" applyBorder="1" applyAlignment="1" applyProtection="1">
      <alignment horizontal="right" vertical="center"/>
    </xf>
    <xf numFmtId="176" fontId="3" fillId="7" borderId="6" xfId="0" applyNumberFormat="1" applyFont="1" applyFill="1" applyBorder="1">
      <alignment vertical="center"/>
    </xf>
    <xf numFmtId="0" fontId="5" fillId="7" borderId="5" xfId="0" applyNumberFormat="1" applyFont="1" applyFill="1" applyBorder="1" applyAlignment="1" applyProtection="1">
      <alignment horizontal="center" vertical="center"/>
    </xf>
    <xf numFmtId="176" fontId="5" fillId="7" borderId="6" xfId="0" applyNumberFormat="1" applyFont="1" applyFill="1" applyBorder="1" applyAlignment="1" applyProtection="1">
      <alignment horizontal="left" vertical="center"/>
    </xf>
    <xf numFmtId="176" fontId="5" fillId="7" borderId="6" xfId="0" applyNumberFormat="1" applyFont="1" applyFill="1" applyBorder="1" applyAlignment="1" applyProtection="1">
      <alignment horizontal="right" vertical="center"/>
    </xf>
    <xf numFmtId="0" fontId="20" fillId="8" borderId="5" xfId="0" applyNumberFormat="1" applyFont="1" applyFill="1" applyBorder="1" applyAlignment="1" applyProtection="1">
      <alignment horizontal="center" vertical="center"/>
    </xf>
    <xf numFmtId="176" fontId="20" fillId="8" borderId="6" xfId="0" applyNumberFormat="1" applyFont="1" applyFill="1" applyBorder="1" applyAlignment="1" applyProtection="1">
      <alignment horizontal="left" vertical="center" indent="3"/>
    </xf>
    <xf numFmtId="0" fontId="3" fillId="15" borderId="0" xfId="0" applyFont="1" applyFill="1">
      <alignment vertical="center"/>
    </xf>
    <xf numFmtId="176" fontId="5" fillId="7" borderId="6" xfId="0" applyNumberFormat="1" applyFont="1" applyFill="1" applyBorder="1" applyAlignment="1" applyProtection="1">
      <alignment horizontal="left" vertical="center" indent="1"/>
    </xf>
    <xf numFmtId="176" fontId="3" fillId="7" borderId="6" xfId="0" applyNumberFormat="1" applyFont="1" applyFill="1" applyBorder="1" applyAlignment="1" applyProtection="1">
      <alignment horizontal="left" vertical="center" indent="3"/>
    </xf>
    <xf numFmtId="176" fontId="5" fillId="14" borderId="6" xfId="0" applyNumberFormat="1" applyFont="1" applyFill="1" applyBorder="1" applyAlignment="1" applyProtection="1">
      <alignment horizontal="right" vertical="center"/>
    </xf>
    <xf numFmtId="0" fontId="5" fillId="0" borderId="12" xfId="0" applyFont="1" applyBorder="1">
      <alignment vertical="center"/>
    </xf>
    <xf numFmtId="176" fontId="5" fillId="0" borderId="12" xfId="0" applyNumberFormat="1" applyFont="1" applyBorder="1">
      <alignment vertical="center"/>
    </xf>
    <xf numFmtId="176" fontId="5" fillId="0" borderId="17" xfId="0" applyNumberFormat="1" applyFont="1" applyBorder="1">
      <alignment vertical="center"/>
    </xf>
    <xf numFmtId="0" fontId="8" fillId="0" borderId="0" xfId="0" applyFont="1" applyAlignment="1">
      <alignment horizontal="right" vertical="center"/>
    </xf>
    <xf numFmtId="176" fontId="8" fillId="0" borderId="0" xfId="0" applyNumberFormat="1" applyFont="1">
      <alignment vertical="center"/>
    </xf>
    <xf numFmtId="0" fontId="0" fillId="0" borderId="0" xfId="0" applyFill="1">
      <alignment vertical="center"/>
    </xf>
    <xf numFmtId="0" fontId="3" fillId="7" borderId="0" xfId="0" applyFont="1" applyFill="1">
      <alignment vertical="center"/>
    </xf>
    <xf numFmtId="0" fontId="5" fillId="7" borderId="6" xfId="0" applyFont="1" applyFill="1" applyBorder="1">
      <alignment vertical="center"/>
    </xf>
    <xf numFmtId="176" fontId="5" fillId="7" borderId="9" xfId="0" applyNumberFormat="1" applyFont="1" applyFill="1" applyBorder="1">
      <alignment vertical="center"/>
    </xf>
    <xf numFmtId="177" fontId="3" fillId="16" borderId="6" xfId="0" applyNumberFormat="1" applyFont="1" applyFill="1" applyBorder="1" applyAlignment="1" applyProtection="1">
      <alignment horizontal="left" vertical="center"/>
      <protection hidden="1"/>
    </xf>
    <xf numFmtId="177" fontId="3" fillId="0" borderId="6" xfId="0" applyNumberFormat="1" applyFont="1" applyFill="1" applyBorder="1" applyAlignment="1" applyProtection="1">
      <alignment horizontal="left" vertical="center"/>
      <protection hidden="1"/>
    </xf>
    <xf numFmtId="0" fontId="12" fillId="0" borderId="0" xfId="0" applyFont="1" applyFill="1" applyAlignment="1">
      <alignment horizontal="left" vertical="center"/>
    </xf>
    <xf numFmtId="0" fontId="5" fillId="0" borderId="0" xfId="0" applyFont="1" applyFill="1" applyAlignment="1">
      <alignment horizontal="center" vertical="center"/>
    </xf>
    <xf numFmtId="176" fontId="5" fillId="0" borderId="0" xfId="0" applyNumberFormat="1" applyFont="1" applyFill="1">
      <alignment vertical="center"/>
    </xf>
    <xf numFmtId="0" fontId="21" fillId="0" borderId="0" xfId="0" applyFont="1" applyFill="1" applyAlignment="1">
      <alignment horizontal="right" vertical="center"/>
    </xf>
    <xf numFmtId="10" fontId="21" fillId="0" borderId="0" xfId="3" applyNumberFormat="1" applyFont="1" applyFill="1">
      <alignment vertical="center"/>
    </xf>
    <xf numFmtId="0" fontId="3" fillId="7" borderId="6" xfId="0" applyFont="1" applyFill="1" applyBorder="1" applyAlignment="1">
      <alignment horizontal="left" vertical="center" indent="2"/>
    </xf>
    <xf numFmtId="0" fontId="3" fillId="7" borderId="6" xfId="0" applyFont="1" applyFill="1" applyBorder="1" applyAlignment="1">
      <alignment horizontal="left" vertical="center" indent="4"/>
    </xf>
    <xf numFmtId="0" fontId="5" fillId="0" borderId="0" xfId="0" applyFont="1" applyAlignment="1">
      <alignment horizontal="center" vertical="center"/>
    </xf>
    <xf numFmtId="176" fontId="5" fillId="0" borderId="0" xfId="0" applyNumberFormat="1" applyFont="1">
      <alignment vertical="center"/>
    </xf>
    <xf numFmtId="0" fontId="12" fillId="7" borderId="0" xfId="0" applyFont="1" applyFill="1" applyAlignment="1">
      <alignment horizontal="left" vertical="center"/>
    </xf>
    <xf numFmtId="0" fontId="5" fillId="7" borderId="6" xfId="0" applyFont="1" applyFill="1" applyBorder="1" applyAlignment="1">
      <alignment horizontal="center" vertical="center"/>
    </xf>
    <xf numFmtId="0" fontId="3" fillId="7" borderId="0" xfId="0" applyFont="1" applyFill="1" applyAlignment="1">
      <alignment horizontal="center" vertical="center"/>
    </xf>
    <xf numFmtId="0" fontId="21" fillId="7" borderId="0" xfId="0" applyFont="1" applyFill="1" applyAlignment="1">
      <alignment horizontal="right" vertical="center"/>
    </xf>
    <xf numFmtId="10" fontId="21" fillId="7" borderId="0" xfId="3" applyNumberFormat="1" applyFont="1" applyFill="1">
      <alignment vertical="center"/>
    </xf>
    <xf numFmtId="0" fontId="3" fillId="0" borderId="0" xfId="0" applyFont="1" applyBorder="1">
      <alignment vertical="center"/>
    </xf>
    <xf numFmtId="0" fontId="5" fillId="17" borderId="16" xfId="0" applyFont="1" applyFill="1" applyBorder="1" applyAlignment="1">
      <alignment horizontal="center" vertical="center"/>
    </xf>
    <xf numFmtId="0" fontId="5" fillId="17" borderId="7" xfId="0" applyFont="1" applyFill="1" applyBorder="1" applyAlignment="1">
      <alignment horizontal="center" vertical="center"/>
    </xf>
    <xf numFmtId="9" fontId="5" fillId="17" borderId="6" xfId="3" applyNumberFormat="1" applyFont="1" applyFill="1" applyBorder="1" applyAlignment="1">
      <alignment horizontal="center" vertical="center"/>
    </xf>
    <xf numFmtId="9" fontId="5" fillId="17" borderId="8" xfId="3" applyNumberFormat="1" applyFont="1" applyFill="1" applyBorder="1" applyAlignment="1">
      <alignment horizontal="center" vertical="center"/>
    </xf>
    <xf numFmtId="0" fontId="5" fillId="0" borderId="16" xfId="0" applyFont="1" applyFill="1" applyBorder="1" applyAlignment="1">
      <alignment horizontal="center" vertical="center"/>
    </xf>
    <xf numFmtId="0" fontId="5" fillId="0" borderId="7" xfId="0" applyFont="1" applyFill="1" applyBorder="1" applyAlignment="1">
      <alignment horizontal="left" vertical="center"/>
    </xf>
    <xf numFmtId="0" fontId="3" fillId="8" borderId="6" xfId="0" applyFont="1" applyFill="1" applyBorder="1" applyAlignment="1">
      <alignment horizontal="left" vertical="center" indent="3"/>
    </xf>
    <xf numFmtId="9" fontId="3" fillId="0" borderId="6" xfId="3" applyFont="1" applyBorder="1">
      <alignment vertical="center"/>
    </xf>
    <xf numFmtId="9" fontId="3" fillId="0" borderId="6" xfId="3" applyFont="1" applyFill="1" applyBorder="1">
      <alignment vertical="center"/>
    </xf>
    <xf numFmtId="9" fontId="3" fillId="0" borderId="8" xfId="3" applyFont="1" applyFill="1" applyBorder="1">
      <alignment vertical="center"/>
    </xf>
    <xf numFmtId="178" fontId="3" fillId="0" borderId="6" xfId="0" applyNumberFormat="1" applyFont="1" applyFill="1" applyBorder="1">
      <alignment vertical="center"/>
    </xf>
    <xf numFmtId="178" fontId="3" fillId="0" borderId="8" xfId="0" applyNumberFormat="1" applyFont="1" applyFill="1" applyBorder="1">
      <alignment vertical="center"/>
    </xf>
    <xf numFmtId="0" fontId="5" fillId="0" borderId="6" xfId="0" applyFont="1" applyFill="1" applyBorder="1" applyAlignment="1">
      <alignment horizontal="left" vertical="center"/>
    </xf>
    <xf numFmtId="0" fontId="3" fillId="0" borderId="11" xfId="0" applyFont="1" applyFill="1" applyBorder="1" applyAlignment="1">
      <alignment horizontal="center" vertical="center"/>
    </xf>
    <xf numFmtId="0" fontId="3" fillId="0" borderId="12" xfId="0" applyFont="1" applyFill="1" applyBorder="1" applyAlignment="1">
      <alignment horizontal="left" vertical="center" indent="1"/>
    </xf>
    <xf numFmtId="176" fontId="3" fillId="0" borderId="12" xfId="0" applyNumberFormat="1" applyFont="1" applyFill="1" applyBorder="1">
      <alignment vertical="center"/>
    </xf>
    <xf numFmtId="176" fontId="3" fillId="0" borderId="12" xfId="0" applyNumberFormat="1" applyFont="1" applyBorder="1">
      <alignment vertical="center"/>
    </xf>
    <xf numFmtId="176" fontId="3" fillId="0" borderId="17" xfId="0" applyNumberFormat="1" applyFont="1" applyBorder="1">
      <alignment vertical="center"/>
    </xf>
    <xf numFmtId="0" fontId="3" fillId="0" borderId="0" xfId="0" applyFont="1" applyFill="1" applyBorder="1" applyAlignment="1">
      <alignment horizontal="center" vertical="center"/>
    </xf>
    <xf numFmtId="0" fontId="3" fillId="0" borderId="0" xfId="0" applyFont="1" applyFill="1" applyBorder="1" applyAlignment="1">
      <alignment horizontal="left" vertical="center"/>
    </xf>
    <xf numFmtId="0" fontId="3" fillId="0" borderId="0" xfId="0" applyFont="1" applyBorder="1" applyAlignment="1">
      <alignment horizontal="center" vertical="center"/>
    </xf>
    <xf numFmtId="176" fontId="3" fillId="0" borderId="0" xfId="0" applyNumberFormat="1" applyFont="1" applyBorder="1">
      <alignment vertical="center"/>
    </xf>
    <xf numFmtId="0" fontId="12" fillId="0" borderId="0" xfId="0" applyFont="1" applyFill="1" applyBorder="1" applyAlignment="1">
      <alignment horizontal="left" vertical="center"/>
    </xf>
    <xf numFmtId="0" fontId="5" fillId="8" borderId="6" xfId="0" applyFont="1" applyFill="1" applyBorder="1" applyAlignment="1">
      <alignment horizontal="left" vertical="center" indent="1"/>
    </xf>
    <xf numFmtId="0" fontId="3" fillId="0" borderId="6" xfId="0" applyFont="1" applyFill="1" applyBorder="1" applyAlignment="1">
      <alignment horizontal="left" vertical="center"/>
    </xf>
    <xf numFmtId="0" fontId="5" fillId="7" borderId="6" xfId="0" applyFont="1" applyFill="1" applyBorder="1" applyAlignment="1">
      <alignment horizontal="left" vertical="center"/>
    </xf>
    <xf numFmtId="0" fontId="22" fillId="0" borderId="0" xfId="0" applyFont="1" applyFill="1">
      <alignment vertical="center"/>
    </xf>
    <xf numFmtId="0" fontId="5" fillId="8" borderId="15" xfId="0" applyFont="1" applyFill="1" applyBorder="1" applyAlignment="1">
      <alignment horizontal="center" vertical="center"/>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16"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8"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12" xfId="0" applyFont="1" applyFill="1" applyBorder="1" applyAlignment="1">
      <alignment horizontal="left" vertical="center" indent="1"/>
    </xf>
    <xf numFmtId="176" fontId="3" fillId="8" borderId="12" xfId="0" applyNumberFormat="1" applyFont="1" applyFill="1" applyBorder="1">
      <alignment vertical="center"/>
    </xf>
    <xf numFmtId="0" fontId="3" fillId="8" borderId="12" xfId="0" applyFont="1" applyFill="1" applyBorder="1" applyAlignment="1">
      <alignment horizontal="center" vertical="center"/>
    </xf>
    <xf numFmtId="176" fontId="3" fillId="8" borderId="17" xfId="0" applyNumberFormat="1" applyFont="1" applyFill="1" applyBorder="1">
      <alignment vertical="center"/>
    </xf>
    <xf numFmtId="0" fontId="14" fillId="0" borderId="0" xfId="0" applyFont="1">
      <alignment vertical="center"/>
    </xf>
    <xf numFmtId="0" fontId="23" fillId="0" borderId="0" xfId="0" applyFont="1">
      <alignment vertical="center"/>
    </xf>
    <xf numFmtId="0" fontId="15" fillId="0" borderId="0" xfId="0" applyFont="1" applyFill="1" applyBorder="1">
      <alignment vertical="center"/>
    </xf>
    <xf numFmtId="0" fontId="24" fillId="0" borderId="6" xfId="0" applyFont="1" applyBorder="1" applyAlignment="1">
      <alignment horizontal="center" vertical="center"/>
    </xf>
    <xf numFmtId="49" fontId="3" fillId="0" borderId="5" xfId="0" applyNumberFormat="1" applyFont="1" applyFill="1" applyBorder="1" applyAlignment="1">
      <alignment horizontal="center" vertical="center"/>
    </xf>
    <xf numFmtId="0" fontId="1" fillId="0" borderId="6" xfId="0" applyFont="1" applyFill="1" applyBorder="1" applyAlignment="1">
      <alignment horizontal="left" vertical="center" indent="2"/>
    </xf>
    <xf numFmtId="49" fontId="3" fillId="18" borderId="5" xfId="0" applyNumberFormat="1" applyFont="1" applyFill="1" applyBorder="1" applyAlignment="1">
      <alignment horizontal="center" vertical="center"/>
    </xf>
    <xf numFmtId="0" fontId="1" fillId="18" borderId="6" xfId="0" applyFont="1" applyFill="1" applyBorder="1" applyAlignment="1">
      <alignment horizontal="left" vertical="center" indent="4"/>
    </xf>
    <xf numFmtId="176" fontId="3" fillId="18" borderId="6" xfId="0" applyNumberFormat="1" applyFont="1" applyFill="1" applyBorder="1">
      <alignment vertical="center"/>
    </xf>
    <xf numFmtId="0" fontId="24" fillId="18" borderId="6" xfId="0" applyFont="1" applyFill="1" applyBorder="1" applyAlignment="1">
      <alignment horizontal="center" vertical="center"/>
    </xf>
    <xf numFmtId="176" fontId="3" fillId="18" borderId="8" xfId="0" applyNumberFormat="1" applyFont="1" applyFill="1" applyBorder="1">
      <alignment vertical="center"/>
    </xf>
    <xf numFmtId="179" fontId="3" fillId="18" borderId="6" xfId="0" applyNumberFormat="1" applyFont="1" applyFill="1" applyBorder="1">
      <alignment vertical="center"/>
    </xf>
    <xf numFmtId="179" fontId="3" fillId="18" borderId="8" xfId="0" applyNumberFormat="1" applyFont="1" applyFill="1" applyBorder="1">
      <alignment vertical="center"/>
    </xf>
    <xf numFmtId="0" fontId="24" fillId="0" borderId="6" xfId="0" applyFont="1" applyFill="1" applyBorder="1" applyAlignment="1">
      <alignment horizontal="center" vertical="center"/>
    </xf>
    <xf numFmtId="49" fontId="3" fillId="19" borderId="5" xfId="0" applyNumberFormat="1" applyFont="1" applyFill="1" applyBorder="1" applyAlignment="1">
      <alignment horizontal="center" vertical="center"/>
    </xf>
    <xf numFmtId="0" fontId="3" fillId="19" borderId="6" xfId="0" applyFont="1" applyFill="1" applyBorder="1" applyAlignment="1">
      <alignment horizontal="left" vertical="center" indent="4"/>
    </xf>
    <xf numFmtId="0" fontId="24" fillId="19" borderId="6" xfId="0" applyFont="1" applyFill="1" applyBorder="1" applyAlignment="1">
      <alignment horizontal="center" vertical="center"/>
    </xf>
    <xf numFmtId="49" fontId="3" fillId="20" borderId="5" xfId="0" applyNumberFormat="1" applyFont="1" applyFill="1" applyBorder="1" applyAlignment="1">
      <alignment horizontal="center" vertical="center"/>
    </xf>
    <xf numFmtId="0" fontId="3" fillId="20" borderId="6" xfId="0" applyFont="1" applyFill="1" applyBorder="1" applyAlignment="1">
      <alignment horizontal="left" vertical="center" indent="4"/>
    </xf>
    <xf numFmtId="176" fontId="3" fillId="20" borderId="6" xfId="0" applyNumberFormat="1" applyFont="1" applyFill="1" applyBorder="1">
      <alignment vertical="center"/>
    </xf>
    <xf numFmtId="0" fontId="24" fillId="20" borderId="6" xfId="0" applyFont="1" applyFill="1" applyBorder="1" applyAlignment="1">
      <alignment horizontal="center" vertical="center"/>
    </xf>
    <xf numFmtId="176" fontId="3" fillId="20" borderId="8" xfId="0" applyNumberFormat="1" applyFont="1" applyFill="1" applyBorder="1">
      <alignment vertical="center"/>
    </xf>
    <xf numFmtId="0" fontId="5" fillId="0" borderId="6" xfId="0" applyFont="1" applyFill="1" applyBorder="1" applyAlignment="1">
      <alignment vertical="center"/>
    </xf>
    <xf numFmtId="0" fontId="5" fillId="0" borderId="12" xfId="0" applyFont="1" applyFill="1" applyBorder="1" applyAlignment="1">
      <alignment horizontal="left" vertical="center"/>
    </xf>
    <xf numFmtId="0" fontId="24" fillId="0" borderId="12" xfId="0" applyFont="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Border="1" applyAlignment="1">
      <alignment horizontal="left" vertical="center"/>
    </xf>
    <xf numFmtId="176" fontId="5" fillId="0" borderId="0" xfId="0" applyNumberFormat="1" applyFont="1" applyFill="1" applyBorder="1">
      <alignment vertical="center"/>
    </xf>
    <xf numFmtId="0" fontId="24" fillId="0" borderId="0" xfId="0" applyFont="1" applyFill="1" applyBorder="1" applyAlignment="1">
      <alignment horizontal="center" vertical="center"/>
    </xf>
    <xf numFmtId="176" fontId="3" fillId="19" borderId="6" xfId="0" applyNumberFormat="1" applyFont="1" applyFill="1" applyBorder="1">
      <alignment vertical="center"/>
    </xf>
    <xf numFmtId="176" fontId="3" fillId="19" borderId="8" xfId="0" applyNumberFormat="1" applyFont="1" applyFill="1" applyBorder="1">
      <alignment vertical="center"/>
    </xf>
    <xf numFmtId="0" fontId="5" fillId="17" borderId="15" xfId="0" applyFont="1" applyFill="1" applyBorder="1" applyAlignment="1">
      <alignment horizontal="center" vertical="center"/>
    </xf>
    <xf numFmtId="0" fontId="5" fillId="17" borderId="3" xfId="0" applyFont="1" applyFill="1" applyBorder="1" applyAlignment="1">
      <alignment horizontal="center" vertical="center"/>
    </xf>
    <xf numFmtId="0" fontId="5" fillId="17" borderId="2" xfId="0" applyFont="1" applyFill="1" applyBorder="1" applyAlignment="1">
      <alignment horizontal="center" vertical="center"/>
    </xf>
    <xf numFmtId="0" fontId="5" fillId="17" borderId="4" xfId="0" applyFont="1" applyFill="1" applyBorder="1" applyAlignment="1">
      <alignment horizontal="center" vertical="center"/>
    </xf>
    <xf numFmtId="0" fontId="5" fillId="17" borderId="6" xfId="0" applyFont="1" applyFill="1" applyBorder="1" applyAlignment="1">
      <alignment horizontal="center" vertical="center"/>
    </xf>
    <xf numFmtId="0" fontId="5" fillId="17" borderId="8" xfId="0" applyFont="1" applyFill="1" applyBorder="1" applyAlignment="1">
      <alignment horizontal="center" vertical="center"/>
    </xf>
    <xf numFmtId="0" fontId="5" fillId="17" borderId="5" xfId="0" applyFont="1" applyFill="1" applyBorder="1" applyAlignment="1">
      <alignment horizontal="center" vertical="center"/>
    </xf>
    <xf numFmtId="0" fontId="5" fillId="17" borderId="6" xfId="0" applyFont="1" applyFill="1" applyBorder="1" applyAlignment="1">
      <alignment vertical="center"/>
    </xf>
    <xf numFmtId="176" fontId="5" fillId="17" borderId="6" xfId="0" applyNumberFormat="1" applyFont="1" applyFill="1" applyBorder="1">
      <alignment vertical="center"/>
    </xf>
    <xf numFmtId="0" fontId="24" fillId="17" borderId="6" xfId="0" applyFont="1" applyFill="1" applyBorder="1" applyAlignment="1">
      <alignment horizontal="center" vertical="center"/>
    </xf>
    <xf numFmtId="176" fontId="5" fillId="17" borderId="8" xfId="0" applyNumberFormat="1" applyFont="1" applyFill="1" applyBorder="1">
      <alignment vertical="center"/>
    </xf>
    <xf numFmtId="0" fontId="5" fillId="17" borderId="7" xfId="0" applyFont="1" applyFill="1" applyBorder="1" applyAlignment="1">
      <alignment horizontal="left" vertical="center"/>
    </xf>
    <xf numFmtId="49" fontId="3" fillId="17" borderId="5" xfId="0" applyNumberFormat="1" applyFont="1" applyFill="1" applyBorder="1" applyAlignment="1">
      <alignment horizontal="center" vertical="center"/>
    </xf>
    <xf numFmtId="0" fontId="1" fillId="17" borderId="6" xfId="0" applyFont="1" applyFill="1" applyBorder="1" applyAlignment="1">
      <alignment horizontal="left" vertical="center" indent="2"/>
    </xf>
    <xf numFmtId="176" fontId="3" fillId="17" borderId="6" xfId="0" applyNumberFormat="1" applyFont="1" applyFill="1" applyBorder="1">
      <alignment vertical="center"/>
    </xf>
    <xf numFmtId="176" fontId="3" fillId="17" borderId="8" xfId="0" applyNumberFormat="1" applyFont="1" applyFill="1" applyBorder="1">
      <alignment vertical="center"/>
    </xf>
    <xf numFmtId="0" fontId="3" fillId="17" borderId="6" xfId="0" applyFont="1" applyFill="1" applyBorder="1" applyAlignment="1">
      <alignment horizontal="left" vertical="center" indent="2"/>
    </xf>
    <xf numFmtId="0" fontId="3" fillId="17" borderId="5" xfId="0" applyFont="1" applyFill="1" applyBorder="1" applyAlignment="1">
      <alignment horizontal="center" vertical="center"/>
    </xf>
    <xf numFmtId="0" fontId="5" fillId="17" borderId="11" xfId="0" applyFont="1" applyFill="1" applyBorder="1" applyAlignment="1">
      <alignment horizontal="center" vertical="center"/>
    </xf>
    <xf numFmtId="0" fontId="5" fillId="17" borderId="12" xfId="0" applyFont="1" applyFill="1" applyBorder="1" applyAlignment="1">
      <alignment vertical="center"/>
    </xf>
    <xf numFmtId="176" fontId="5" fillId="17" borderId="12" xfId="0" applyNumberFormat="1" applyFont="1" applyFill="1" applyBorder="1">
      <alignment vertical="center"/>
    </xf>
    <xf numFmtId="0" fontId="24" fillId="17" borderId="12" xfId="0" applyFont="1" applyFill="1" applyBorder="1" applyAlignment="1">
      <alignment horizontal="center" vertical="center"/>
    </xf>
    <xf numFmtId="176" fontId="5" fillId="17" borderId="17" xfId="0" applyNumberFormat="1" applyFont="1" applyFill="1" applyBorder="1">
      <alignment vertical="center"/>
    </xf>
    <xf numFmtId="0" fontId="24" fillId="0" borderId="0" xfId="0" applyFont="1" applyFill="1">
      <alignment vertical="center"/>
    </xf>
    <xf numFmtId="0" fontId="25" fillId="0" borderId="0" xfId="0" applyFont="1" applyFill="1">
      <alignment vertical="center"/>
    </xf>
    <xf numFmtId="0" fontId="26" fillId="0" borderId="0" xfId="0" applyFont="1" applyFill="1">
      <alignment vertical="center"/>
    </xf>
    <xf numFmtId="0" fontId="15" fillId="0" borderId="0" xfId="0" applyFont="1" applyAlignment="1">
      <alignment horizontal="center" vertical="center"/>
    </xf>
    <xf numFmtId="0" fontId="15" fillId="0" borderId="1" xfId="0" applyFont="1" applyBorder="1">
      <alignment vertical="center"/>
    </xf>
    <xf numFmtId="2" fontId="15" fillId="0" borderId="4" xfId="0" applyNumberFormat="1" applyFont="1" applyBorder="1" applyAlignment="1">
      <alignment horizontal="right" vertical="center"/>
    </xf>
    <xf numFmtId="2" fontId="15" fillId="0" borderId="0" xfId="0" applyNumberFormat="1" applyFont="1" applyBorder="1" applyAlignment="1">
      <alignment horizontal="center" vertical="center"/>
    </xf>
    <xf numFmtId="0" fontId="27" fillId="0" borderId="0" xfId="0" applyFont="1">
      <alignment vertical="center"/>
    </xf>
    <xf numFmtId="0" fontId="15" fillId="0" borderId="5" xfId="0" applyFont="1" applyBorder="1">
      <alignment vertical="center"/>
    </xf>
    <xf numFmtId="2" fontId="15" fillId="0" borderId="8" xfId="0" applyNumberFormat="1" applyFont="1" applyBorder="1" applyAlignment="1">
      <alignment horizontal="right" vertical="center"/>
    </xf>
    <xf numFmtId="2" fontId="15" fillId="7" borderId="8" xfId="0" applyNumberFormat="1" applyFont="1" applyFill="1" applyBorder="1" applyAlignment="1">
      <alignment horizontal="right" vertical="center"/>
    </xf>
    <xf numFmtId="1" fontId="15" fillId="0" borderId="8" xfId="0" applyNumberFormat="1" applyFont="1" applyBorder="1" applyAlignment="1">
      <alignment horizontal="right" vertical="center"/>
    </xf>
    <xf numFmtId="0" fontId="15" fillId="0" borderId="11" xfId="0" applyFont="1" applyBorder="1">
      <alignment vertical="center"/>
    </xf>
    <xf numFmtId="9" fontId="15" fillId="0" borderId="17" xfId="3" applyFont="1" applyBorder="1" applyAlignment="1">
      <alignment horizontal="right" vertical="center"/>
    </xf>
    <xf numFmtId="9" fontId="15" fillId="0" borderId="0" xfId="3" applyFont="1" applyBorder="1" applyAlignment="1">
      <alignment horizontal="center" vertical="center"/>
    </xf>
    <xf numFmtId="2" fontId="15" fillId="21" borderId="4" xfId="0" applyNumberFormat="1" applyFont="1" applyFill="1" applyBorder="1" applyAlignment="1">
      <alignment horizontal="right" vertical="center"/>
    </xf>
    <xf numFmtId="0" fontId="15" fillId="0" borderId="16" xfId="0" applyFont="1" applyBorder="1">
      <alignment vertical="center"/>
    </xf>
    <xf numFmtId="2" fontId="15" fillId="21" borderId="18" xfId="0" applyNumberFormat="1" applyFont="1" applyFill="1" applyBorder="1" applyAlignment="1">
      <alignment horizontal="right" vertical="center"/>
    </xf>
    <xf numFmtId="9" fontId="15" fillId="0" borderId="8" xfId="3" applyFont="1" applyBorder="1" applyAlignment="1">
      <alignment horizontal="right" vertical="center"/>
    </xf>
    <xf numFmtId="0" fontId="15" fillId="0" borderId="0" xfId="0" applyFont="1" applyBorder="1" applyAlignment="1">
      <alignment horizontal="center" vertical="center"/>
    </xf>
    <xf numFmtId="180" fontId="15" fillId="0" borderId="0" xfId="0" applyNumberFormat="1" applyFont="1">
      <alignment vertical="center"/>
    </xf>
    <xf numFmtId="0" fontId="15" fillId="0" borderId="19" xfId="0" applyFont="1" applyBorder="1">
      <alignment vertical="center"/>
    </xf>
    <xf numFmtId="9" fontId="15" fillId="0" borderId="20" xfId="3" applyFont="1" applyBorder="1" applyAlignment="1">
      <alignment horizontal="right" vertical="center"/>
    </xf>
    <xf numFmtId="181" fontId="15" fillId="0" borderId="0" xfId="0" applyNumberFormat="1" applyFont="1">
      <alignment vertical="center"/>
    </xf>
    <xf numFmtId="1" fontId="15" fillId="0" borderId="17" xfId="0" applyNumberFormat="1" applyFont="1" applyBorder="1" applyAlignment="1">
      <alignment horizontal="right" vertical="center"/>
    </xf>
    <xf numFmtId="0" fontId="15" fillId="0" borderId="0" xfId="0" applyFont="1" applyBorder="1">
      <alignment vertical="center"/>
    </xf>
    <xf numFmtId="9" fontId="15" fillId="0" borderId="0" xfId="3" applyFont="1" applyBorder="1" applyAlignment="1">
      <alignment horizontal="right" vertical="center"/>
    </xf>
    <xf numFmtId="2" fontId="26" fillId="22" borderId="0" xfId="0" applyNumberFormat="1" applyFont="1" applyFill="1" applyBorder="1" applyAlignment="1">
      <alignment horizontal="center" vertical="center"/>
    </xf>
    <xf numFmtId="2" fontId="28" fillId="22" borderId="0" xfId="0" applyNumberFormat="1" applyFont="1" applyFill="1" applyBorder="1" applyAlignment="1">
      <alignment horizontal="center" vertical="center"/>
    </xf>
    <xf numFmtId="2" fontId="15" fillId="0" borderId="0" xfId="0" applyNumberFormat="1" applyFont="1" applyFill="1" applyBorder="1">
      <alignment vertical="center"/>
    </xf>
    <xf numFmtId="9" fontId="29" fillId="0" borderId="0" xfId="3" applyFont="1" applyAlignment="1">
      <alignment horizontal="center" vertical="center"/>
    </xf>
    <xf numFmtId="10" fontId="15" fillId="0" borderId="0" xfId="3" applyNumberFormat="1" applyFont="1" applyFill="1" applyBorder="1">
      <alignment vertical="center"/>
    </xf>
    <xf numFmtId="2" fontId="15" fillId="0" borderId="0" xfId="0" applyNumberFormat="1" applyFont="1" applyAlignment="1">
      <alignment horizontal="right" vertical="center"/>
    </xf>
    <xf numFmtId="2" fontId="15" fillId="0" borderId="0" xfId="0" applyNumberFormat="1" applyFont="1" applyAlignment="1">
      <alignment horizontal="center" vertical="center"/>
    </xf>
    <xf numFmtId="0" fontId="29" fillId="0" borderId="0" xfId="0" applyFont="1" applyAlignment="1">
      <alignment horizontal="center" vertical="center"/>
    </xf>
    <xf numFmtId="0" fontId="26" fillId="23" borderId="15" xfId="0" applyFont="1" applyFill="1" applyBorder="1" applyAlignment="1">
      <alignment horizontal="center" vertical="center"/>
    </xf>
    <xf numFmtId="0" fontId="26" fillId="23" borderId="3" xfId="0" applyFont="1" applyFill="1" applyBorder="1" applyAlignment="1">
      <alignment horizontal="center" vertical="center"/>
    </xf>
    <xf numFmtId="0" fontId="26" fillId="23" borderId="21" xfId="0" applyFont="1" applyFill="1" applyBorder="1" applyAlignment="1">
      <alignment horizontal="center" vertical="center"/>
    </xf>
    <xf numFmtId="0" fontId="26" fillId="23" borderId="22" xfId="0" applyFont="1" applyFill="1" applyBorder="1" applyAlignment="1">
      <alignment horizontal="center" vertical="center"/>
    </xf>
    <xf numFmtId="0" fontId="5" fillId="3" borderId="12" xfId="0" applyFont="1" applyFill="1" applyBorder="1" applyAlignment="1">
      <alignment horizontal="center" vertical="center"/>
    </xf>
    <xf numFmtId="0" fontId="5" fillId="4" borderId="12"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7" xfId="0" applyFont="1" applyFill="1" applyBorder="1" applyAlignment="1">
      <alignment horizontal="center" vertical="center"/>
    </xf>
    <xf numFmtId="0" fontId="26" fillId="0" borderId="15" xfId="0" applyFont="1" applyFill="1" applyBorder="1" applyAlignment="1">
      <alignment horizontal="center" vertical="center"/>
    </xf>
    <xf numFmtId="0" fontId="15" fillId="0" borderId="3" xfId="0" applyFont="1" applyFill="1" applyBorder="1" applyAlignment="1">
      <alignment horizontal="left" vertical="center"/>
    </xf>
    <xf numFmtId="0" fontId="26" fillId="0" borderId="3" xfId="0" applyFont="1" applyFill="1" applyBorder="1" applyAlignment="1">
      <alignment horizontal="center" vertical="center"/>
    </xf>
    <xf numFmtId="9" fontId="5" fillId="0" borderId="3" xfId="3" applyNumberFormat="1" applyFont="1" applyFill="1" applyBorder="1" applyAlignment="1">
      <alignment horizontal="center" vertical="center"/>
    </xf>
    <xf numFmtId="9" fontId="5" fillId="0" borderId="23" xfId="3" applyNumberFormat="1" applyFont="1" applyFill="1" applyBorder="1" applyAlignment="1">
      <alignment horizontal="center" vertical="center"/>
    </xf>
    <xf numFmtId="0" fontId="15" fillId="0" borderId="15" xfId="0" applyFont="1" applyFill="1" applyBorder="1" applyAlignment="1">
      <alignment horizontal="center" vertical="center"/>
    </xf>
    <xf numFmtId="0" fontId="15" fillId="0" borderId="2" xfId="0" applyFont="1" applyFill="1" applyBorder="1">
      <alignment vertical="center"/>
    </xf>
    <xf numFmtId="2" fontId="15" fillId="0" borderId="2" xfId="0" applyNumberFormat="1" applyFont="1" applyFill="1" applyBorder="1">
      <alignment vertical="center"/>
    </xf>
    <xf numFmtId="0" fontId="15" fillId="0" borderId="2" xfId="0" applyFont="1" applyFill="1" applyBorder="1" applyAlignment="1">
      <alignment horizontal="center" vertical="center"/>
    </xf>
    <xf numFmtId="2" fontId="15" fillId="0" borderId="4" xfId="0" applyNumberFormat="1" applyFont="1" applyFill="1" applyBorder="1">
      <alignment vertical="center"/>
    </xf>
    <xf numFmtId="0" fontId="15" fillId="0" borderId="24" xfId="0" applyFont="1" applyFill="1" applyBorder="1" applyAlignment="1">
      <alignment horizontal="center" vertical="center"/>
    </xf>
    <xf numFmtId="0" fontId="15" fillId="22" borderId="6" xfId="0" applyFont="1" applyFill="1" applyBorder="1" applyAlignment="1">
      <alignment horizontal="left" vertical="center" indent="2"/>
    </xf>
    <xf numFmtId="2" fontId="15" fillId="22" borderId="6" xfId="0" applyNumberFormat="1" applyFont="1" applyFill="1" applyBorder="1">
      <alignment vertical="center"/>
    </xf>
    <xf numFmtId="0" fontId="15" fillId="22" borderId="6" xfId="0" applyFont="1" applyFill="1" applyBorder="1" applyAlignment="1">
      <alignment horizontal="center" vertical="center"/>
    </xf>
    <xf numFmtId="2" fontId="15" fillId="22" borderId="25" xfId="0" applyNumberFormat="1" applyFont="1" applyFill="1" applyBorder="1">
      <alignment vertical="center"/>
    </xf>
    <xf numFmtId="0" fontId="15" fillId="0" borderId="6" xfId="0" applyFont="1" applyFill="1" applyBorder="1" applyAlignment="1">
      <alignment horizontal="left" vertical="center" indent="2"/>
    </xf>
    <xf numFmtId="2" fontId="15" fillId="0" borderId="6" xfId="0" applyNumberFormat="1" applyFont="1" applyFill="1" applyBorder="1">
      <alignment vertical="center"/>
    </xf>
    <xf numFmtId="0" fontId="15" fillId="0" borderId="6" xfId="0" applyFont="1" applyFill="1" applyBorder="1" applyAlignment="1">
      <alignment horizontal="center" vertical="center"/>
    </xf>
    <xf numFmtId="2" fontId="15" fillId="0" borderId="25" xfId="0" applyNumberFormat="1" applyFont="1" applyFill="1" applyBorder="1">
      <alignment vertical="center"/>
    </xf>
    <xf numFmtId="2" fontId="15" fillId="0" borderId="20" xfId="0" applyNumberFormat="1" applyFont="1" applyFill="1" applyBorder="1">
      <alignment vertical="center"/>
    </xf>
    <xf numFmtId="0" fontId="26" fillId="0" borderId="6" xfId="0" applyFont="1" applyFill="1" applyBorder="1">
      <alignment vertical="center"/>
    </xf>
    <xf numFmtId="2" fontId="26" fillId="0" borderId="6" xfId="0" applyNumberFormat="1" applyFont="1" applyFill="1" applyBorder="1">
      <alignment vertical="center"/>
    </xf>
    <xf numFmtId="2" fontId="26" fillId="0" borderId="25" xfId="0" applyNumberFormat="1" applyFont="1" applyFill="1" applyBorder="1">
      <alignment vertical="center"/>
    </xf>
    <xf numFmtId="2" fontId="26" fillId="0" borderId="20" xfId="0" applyNumberFormat="1" applyFont="1" applyFill="1" applyBorder="1">
      <alignment vertical="center"/>
    </xf>
    <xf numFmtId="0" fontId="24" fillId="0" borderId="25" xfId="0" applyFont="1" applyFill="1" applyBorder="1" applyAlignment="1">
      <alignment horizontal="left" vertical="center" indent="2"/>
    </xf>
    <xf numFmtId="2" fontId="24" fillId="0" borderId="6" xfId="0" applyNumberFormat="1" applyFont="1" applyFill="1" applyBorder="1">
      <alignment vertical="center"/>
    </xf>
    <xf numFmtId="2" fontId="24" fillId="0" borderId="25" xfId="0" applyNumberFormat="1" applyFont="1" applyFill="1" applyBorder="1">
      <alignment vertical="center"/>
    </xf>
    <xf numFmtId="2" fontId="24" fillId="0" borderId="20" xfId="0" applyNumberFormat="1" applyFont="1" applyFill="1" applyBorder="1">
      <alignment vertical="center"/>
    </xf>
    <xf numFmtId="0" fontId="15" fillId="0" borderId="25" xfId="0" applyFont="1" applyFill="1" applyBorder="1" applyAlignment="1">
      <alignment horizontal="left" vertical="center"/>
    </xf>
    <xf numFmtId="0" fontId="15" fillId="0" borderId="21" xfId="0" applyFont="1" applyFill="1" applyBorder="1" applyAlignment="1">
      <alignment horizontal="center" vertical="center"/>
    </xf>
    <xf numFmtId="0" fontId="15" fillId="0" borderId="12" xfId="0" applyFont="1" applyFill="1" applyBorder="1">
      <alignment vertical="center"/>
    </xf>
    <xf numFmtId="0" fontId="15" fillId="0" borderId="12" xfId="0" applyFont="1" applyFill="1" applyBorder="1" applyAlignment="1">
      <alignment horizontal="right" vertical="center"/>
    </xf>
    <xf numFmtId="0" fontId="15" fillId="0" borderId="12" xfId="0" applyFont="1" applyFill="1" applyBorder="1" applyAlignment="1">
      <alignment horizontal="center" vertical="center"/>
    </xf>
    <xf numFmtId="2" fontId="15" fillId="0" borderId="12" xfId="0" applyNumberFormat="1" applyFont="1" applyFill="1" applyBorder="1">
      <alignment vertical="center"/>
    </xf>
    <xf numFmtId="2" fontId="15" fillId="0" borderId="17" xfId="0" applyNumberFormat="1" applyFont="1" applyFill="1" applyBorder="1">
      <alignment vertical="center"/>
    </xf>
    <xf numFmtId="2" fontId="15" fillId="0" borderId="8" xfId="0" applyNumberFormat="1" applyFont="1" applyFill="1" applyBorder="1">
      <alignment vertical="center"/>
    </xf>
    <xf numFmtId="2" fontId="26" fillId="0" borderId="8" xfId="0" applyNumberFormat="1" applyFont="1" applyFill="1" applyBorder="1">
      <alignment vertical="center"/>
    </xf>
    <xf numFmtId="2" fontId="15" fillId="0" borderId="22" xfId="0" applyNumberFormat="1" applyFont="1" applyFill="1" applyBorder="1">
      <alignment vertical="center"/>
    </xf>
    <xf numFmtId="2" fontId="15" fillId="0" borderId="26" xfId="0" applyNumberFormat="1" applyFont="1" applyFill="1" applyBorder="1">
      <alignment vertical="center"/>
    </xf>
    <xf numFmtId="0" fontId="24" fillId="0" borderId="6" xfId="0" applyFont="1" applyFill="1" applyBorder="1" applyAlignment="1">
      <alignment horizontal="left" vertical="center" indent="3"/>
    </xf>
    <xf numFmtId="0" fontId="15" fillId="0" borderId="25" xfId="0" applyFont="1" applyFill="1" applyBorder="1">
      <alignment vertical="center"/>
    </xf>
    <xf numFmtId="0" fontId="15" fillId="0" borderId="25" xfId="0" applyFont="1" applyFill="1" applyBorder="1" applyAlignment="1">
      <alignment horizontal="center" vertical="center"/>
    </xf>
    <xf numFmtId="2" fontId="15" fillId="0" borderId="3" xfId="0" applyNumberFormat="1" applyFont="1" applyFill="1" applyBorder="1">
      <alignment vertical="center"/>
    </xf>
    <xf numFmtId="2" fontId="15" fillId="0" borderId="23" xfId="0" applyNumberFormat="1" applyFont="1" applyFill="1" applyBorder="1">
      <alignment vertical="center"/>
    </xf>
    <xf numFmtId="0" fontId="15" fillId="22" borderId="7" xfId="0" applyFont="1" applyFill="1" applyBorder="1" applyAlignment="1">
      <alignment horizontal="left" vertical="center" indent="2"/>
    </xf>
    <xf numFmtId="2" fontId="15" fillId="22" borderId="7" xfId="0" applyNumberFormat="1" applyFont="1" applyFill="1" applyBorder="1">
      <alignment vertical="center"/>
    </xf>
    <xf numFmtId="0" fontId="15" fillId="22" borderId="7" xfId="0" applyFont="1" applyFill="1" applyBorder="1" applyAlignment="1">
      <alignment horizontal="center" vertical="center"/>
    </xf>
    <xf numFmtId="2" fontId="15" fillId="0" borderId="7" xfId="0" applyNumberFormat="1" applyFont="1" applyFill="1" applyBorder="1">
      <alignment vertical="center"/>
    </xf>
    <xf numFmtId="0" fontId="15" fillId="0" borderId="7" xfId="0" applyFont="1" applyFill="1" applyBorder="1" applyAlignment="1">
      <alignment horizontal="center" vertical="center"/>
    </xf>
    <xf numFmtId="2" fontId="30" fillId="0" borderId="6" xfId="0" applyNumberFormat="1" applyFont="1" applyFill="1" applyBorder="1">
      <alignment vertical="center"/>
    </xf>
    <xf numFmtId="2" fontId="30" fillId="0" borderId="8" xfId="0" applyNumberFormat="1" applyFont="1" applyFill="1" applyBorder="1">
      <alignment vertical="center"/>
    </xf>
    <xf numFmtId="2" fontId="26" fillId="0" borderId="7" xfId="0" applyNumberFormat="1" applyFont="1" applyFill="1" applyBorder="1">
      <alignment vertical="center"/>
    </xf>
    <xf numFmtId="0" fontId="24" fillId="0" borderId="6" xfId="0" applyFont="1" applyFill="1" applyBorder="1" applyAlignment="1">
      <alignment horizontal="left" vertical="center" indent="2"/>
    </xf>
    <xf numFmtId="0" fontId="15" fillId="0" borderId="1"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5" xfId="0" applyFont="1" applyFill="1" applyBorder="1" applyAlignment="1">
      <alignment horizontal="center" vertical="center"/>
    </xf>
    <xf numFmtId="0" fontId="15" fillId="0" borderId="19" xfId="0" applyFont="1" applyFill="1" applyBorder="1" applyAlignment="1">
      <alignment horizontal="center" vertical="center"/>
    </xf>
    <xf numFmtId="0" fontId="15" fillId="0" borderId="11" xfId="0" applyFont="1" applyFill="1" applyBorder="1" applyAlignment="1">
      <alignment horizontal="center" vertical="center"/>
    </xf>
    <xf numFmtId="0" fontId="26" fillId="0" borderId="24" xfId="0" applyFont="1" applyFill="1" applyBorder="1" applyAlignment="1">
      <alignment horizontal="center" vertical="center"/>
    </xf>
    <xf numFmtId="0" fontId="26" fillId="0" borderId="21" xfId="0" applyFont="1" applyFill="1" applyBorder="1" applyAlignment="1">
      <alignment horizontal="center" vertical="center"/>
    </xf>
    <xf numFmtId="0" fontId="26" fillId="0" borderId="1" xfId="0" applyFont="1" applyFill="1" applyBorder="1" applyAlignment="1">
      <alignment horizontal="center" vertical="center"/>
    </xf>
    <xf numFmtId="0" fontId="26" fillId="0" borderId="2" xfId="0" applyFont="1" applyFill="1" applyBorder="1">
      <alignment vertical="center"/>
    </xf>
    <xf numFmtId="2" fontId="26" fillId="0" borderId="2" xfId="0" applyNumberFormat="1" applyFont="1" applyFill="1" applyBorder="1">
      <alignment vertical="center"/>
    </xf>
    <xf numFmtId="176" fontId="26" fillId="0" borderId="2" xfId="0" applyNumberFormat="1" applyFont="1" applyFill="1" applyBorder="1">
      <alignment vertical="center"/>
    </xf>
    <xf numFmtId="0" fontId="26" fillId="0" borderId="22" xfId="0" applyFont="1" applyFill="1" applyBorder="1">
      <alignment vertical="center"/>
    </xf>
    <xf numFmtId="2" fontId="26" fillId="0" borderId="22" xfId="0" applyNumberFormat="1" applyFont="1" applyFill="1" applyBorder="1">
      <alignment vertical="center"/>
    </xf>
    <xf numFmtId="0" fontId="15" fillId="0" borderId="22" xfId="0" applyFont="1" applyFill="1" applyBorder="1" applyAlignment="1">
      <alignment horizontal="center" vertical="center"/>
    </xf>
    <xf numFmtId="176" fontId="26" fillId="0" borderId="22" xfId="0" applyNumberFormat="1" applyFont="1" applyFill="1" applyBorder="1">
      <alignment vertical="center"/>
    </xf>
    <xf numFmtId="0" fontId="31" fillId="0" borderId="0" xfId="0" applyFont="1">
      <alignment vertical="center"/>
    </xf>
    <xf numFmtId="2" fontId="15" fillId="0" borderId="8" xfId="0" applyNumberFormat="1" applyFont="1" applyFill="1" applyBorder="1" applyAlignment="1">
      <alignment horizontal="right" vertical="center"/>
    </xf>
    <xf numFmtId="0" fontId="32" fillId="0" borderId="0" xfId="0" applyFont="1">
      <alignment vertical="center"/>
    </xf>
    <xf numFmtId="9" fontId="5" fillId="0" borderId="2" xfId="3" applyNumberFormat="1" applyFont="1" applyFill="1" applyBorder="1" applyAlignment="1">
      <alignment horizontal="center" vertical="center"/>
    </xf>
    <xf numFmtId="9" fontId="5" fillId="0" borderId="4" xfId="3" applyNumberFormat="1" applyFont="1" applyFill="1" applyBorder="1" applyAlignment="1">
      <alignment horizontal="center" vertical="center"/>
    </xf>
    <xf numFmtId="176" fontId="15" fillId="0" borderId="6" xfId="0" applyNumberFormat="1" applyFont="1" applyFill="1" applyBorder="1">
      <alignment vertical="center"/>
    </xf>
    <xf numFmtId="0" fontId="15" fillId="0" borderId="2" xfId="0" applyFont="1" applyFill="1" applyBorder="1" applyAlignment="1">
      <alignment horizontal="right" vertical="center"/>
    </xf>
    <xf numFmtId="0" fontId="24" fillId="0" borderId="2" xfId="0" applyFont="1" applyFill="1" applyBorder="1" applyAlignment="1">
      <alignment horizontal="center" vertical="center"/>
    </xf>
    <xf numFmtId="0" fontId="15" fillId="0" borderId="6" xfId="0" applyFont="1" applyFill="1" applyBorder="1" applyAlignment="1">
      <alignment horizontal="right" vertical="center"/>
    </xf>
    <xf numFmtId="0" fontId="15" fillId="0" borderId="6" xfId="0" applyFont="1" applyFill="1" applyBorder="1" applyAlignment="1">
      <alignment horizontal="left" vertical="center"/>
    </xf>
    <xf numFmtId="0" fontId="24" fillId="0" borderId="12" xfId="0" applyFont="1" applyFill="1" applyBorder="1" applyAlignment="1">
      <alignment horizontal="center" vertical="center"/>
    </xf>
    <xf numFmtId="0" fontId="15" fillId="0" borderId="7" xfId="0" applyFont="1" applyFill="1" applyBorder="1">
      <alignment vertical="center"/>
    </xf>
    <xf numFmtId="2" fontId="15" fillId="0" borderId="18" xfId="0" applyNumberFormat="1" applyFont="1" applyFill="1" applyBorder="1">
      <alignment vertical="center"/>
    </xf>
    <xf numFmtId="0" fontId="26" fillId="0" borderId="0" xfId="0" applyFont="1" applyFill="1" applyBorder="1">
      <alignment vertical="center"/>
    </xf>
    <xf numFmtId="0" fontId="26" fillId="0" borderId="5" xfId="0" applyFont="1" applyFill="1" applyBorder="1" applyAlignment="1">
      <alignment horizontal="center" vertical="center"/>
    </xf>
    <xf numFmtId="0" fontId="26" fillId="0" borderId="19" xfId="0" applyFont="1" applyFill="1" applyBorder="1" applyAlignment="1">
      <alignment horizontal="center" vertical="center"/>
    </xf>
    <xf numFmtId="176" fontId="26" fillId="0" borderId="4" xfId="0" applyNumberFormat="1" applyFont="1" applyFill="1" applyBorder="1">
      <alignment vertical="center"/>
    </xf>
    <xf numFmtId="176" fontId="26" fillId="0" borderId="12" xfId="0" applyNumberFormat="1" applyFont="1" applyFill="1" applyBorder="1">
      <alignment vertical="center"/>
    </xf>
    <xf numFmtId="176" fontId="26" fillId="0" borderId="17" xfId="0" applyNumberFormat="1" applyFont="1" applyFill="1" applyBorder="1">
      <alignment vertical="center"/>
    </xf>
    <xf numFmtId="0" fontId="5" fillId="0" borderId="27" xfId="0" applyFont="1" applyFill="1" applyBorder="1" applyAlignment="1">
      <alignment vertical="center"/>
    </xf>
    <xf numFmtId="0" fontId="5" fillId="0" borderId="28" xfId="0" applyFont="1" applyFill="1" applyBorder="1" applyAlignment="1">
      <alignment vertical="center"/>
    </xf>
    <xf numFmtId="0" fontId="33" fillId="0" borderId="28" xfId="0" applyFont="1" applyFill="1" applyBorder="1" applyAlignment="1">
      <alignment horizontal="center" vertical="center"/>
    </xf>
    <xf numFmtId="0" fontId="33" fillId="0" borderId="29" xfId="0" applyFont="1" applyFill="1" applyBorder="1" applyAlignment="1">
      <alignment horizontal="center" vertical="center"/>
    </xf>
    <xf numFmtId="0" fontId="5" fillId="24" borderId="19" xfId="0" applyFont="1" applyFill="1" applyBorder="1" applyAlignment="1">
      <alignment horizontal="center" vertical="center"/>
    </xf>
    <xf numFmtId="0" fontId="5" fillId="24" borderId="30" xfId="0" applyFont="1" applyFill="1" applyBorder="1" applyAlignment="1">
      <alignment horizontal="center" vertical="center"/>
    </xf>
    <xf numFmtId="0" fontId="5" fillId="24" borderId="25" xfId="0" applyFont="1" applyFill="1" applyBorder="1" applyAlignment="1">
      <alignment horizontal="center" vertical="center"/>
    </xf>
    <xf numFmtId="57" fontId="17" fillId="3" borderId="6" xfId="0" applyNumberFormat="1" applyFont="1" applyFill="1" applyBorder="1" applyAlignment="1">
      <alignment horizontal="center" vertical="center"/>
    </xf>
    <xf numFmtId="57" fontId="5" fillId="3" borderId="6" xfId="0" applyNumberFormat="1" applyFont="1" applyFill="1" applyBorder="1" applyAlignment="1">
      <alignment horizontal="center" vertical="center"/>
    </xf>
    <xf numFmtId="57" fontId="17" fillId="4" borderId="6" xfId="0" applyNumberFormat="1" applyFont="1" applyFill="1" applyBorder="1" applyAlignment="1">
      <alignment horizontal="center" vertical="center"/>
    </xf>
    <xf numFmtId="57" fontId="17" fillId="25" borderId="6" xfId="0" applyNumberFormat="1" applyFont="1" applyFill="1" applyBorder="1" applyAlignment="1">
      <alignment horizontal="center" vertical="center"/>
    </xf>
    <xf numFmtId="57" fontId="5" fillId="25" borderId="6" xfId="0" applyNumberFormat="1" applyFont="1" applyFill="1" applyBorder="1" applyAlignment="1">
      <alignment horizontal="center" vertical="center"/>
    </xf>
    <xf numFmtId="57" fontId="5" fillId="25" borderId="8" xfId="0" applyNumberFormat="1" applyFont="1" applyFill="1" applyBorder="1" applyAlignment="1">
      <alignment horizontal="center" vertical="center"/>
    </xf>
    <xf numFmtId="0" fontId="5" fillId="24" borderId="24" xfId="0" applyFont="1" applyFill="1" applyBorder="1" applyAlignment="1">
      <alignment horizontal="center" vertical="center"/>
    </xf>
    <xf numFmtId="0" fontId="5" fillId="24" borderId="7" xfId="0" applyFont="1" applyFill="1" applyBorder="1" applyAlignment="1">
      <alignment horizontal="center" vertical="center"/>
    </xf>
    <xf numFmtId="0" fontId="5" fillId="17" borderId="24" xfId="0" applyFont="1" applyFill="1" applyBorder="1" applyAlignment="1">
      <alignment vertical="center"/>
    </xf>
    <xf numFmtId="182" fontId="5" fillId="17" borderId="6" xfId="3" applyNumberFormat="1" applyFont="1" applyFill="1" applyBorder="1" applyAlignment="1">
      <alignment horizontal="center" vertical="center"/>
    </xf>
    <xf numFmtId="0" fontId="5" fillId="17" borderId="30" xfId="0" applyFont="1" applyFill="1" applyBorder="1" applyAlignment="1">
      <alignment vertical="center"/>
    </xf>
    <xf numFmtId="10" fontId="5" fillId="17" borderId="6" xfId="0" applyNumberFormat="1" applyFont="1" applyFill="1" applyBorder="1" applyAlignment="1">
      <alignment horizontal="center" vertical="center"/>
    </xf>
    <xf numFmtId="10" fontId="5" fillId="17" borderId="8" xfId="0" applyNumberFormat="1" applyFont="1" applyFill="1" applyBorder="1" applyAlignment="1">
      <alignment horizontal="center" vertical="center"/>
    </xf>
    <xf numFmtId="0" fontId="5" fillId="17" borderId="16" xfId="0" applyFont="1" applyFill="1" applyBorder="1" applyAlignment="1">
      <alignment vertical="center"/>
    </xf>
    <xf numFmtId="0" fontId="5" fillId="17" borderId="7" xfId="0" applyFont="1" applyFill="1" applyBorder="1" applyAlignment="1">
      <alignment vertical="center"/>
    </xf>
    <xf numFmtId="183" fontId="5" fillId="17" borderId="6" xfId="3" applyNumberFormat="1" applyFont="1" applyFill="1" applyBorder="1" applyAlignment="1">
      <alignment horizontal="center" vertical="center"/>
    </xf>
    <xf numFmtId="2" fontId="5" fillId="0" borderId="6" xfId="0" applyNumberFormat="1" applyFont="1" applyBorder="1">
      <alignment vertical="center"/>
    </xf>
    <xf numFmtId="2" fontId="5" fillId="0" borderId="6" xfId="0" applyNumberFormat="1" applyFont="1" applyFill="1" applyBorder="1">
      <alignment vertical="center"/>
    </xf>
    <xf numFmtId="2" fontId="5" fillId="0" borderId="8" xfId="0" applyNumberFormat="1" applyFont="1" applyBorder="1">
      <alignment vertical="center"/>
    </xf>
    <xf numFmtId="0" fontId="34" fillId="0" borderId="5" xfId="0" applyFont="1" applyFill="1" applyBorder="1" applyAlignment="1">
      <alignment horizontal="center" vertical="center"/>
    </xf>
    <xf numFmtId="0" fontId="34" fillId="0" borderId="6" xfId="0" applyFont="1" applyFill="1" applyBorder="1" applyAlignment="1">
      <alignment horizontal="left" vertical="center" indent="2"/>
    </xf>
    <xf numFmtId="2" fontId="34" fillId="0" borderId="6" xfId="0" applyNumberFormat="1" applyFont="1" applyBorder="1">
      <alignment vertical="center"/>
    </xf>
    <xf numFmtId="2" fontId="3" fillId="0" borderId="6" xfId="0" applyNumberFormat="1" applyFont="1" applyBorder="1">
      <alignment vertical="center"/>
    </xf>
    <xf numFmtId="2" fontId="3" fillId="0" borderId="6" xfId="0" applyNumberFormat="1" applyFont="1" applyFill="1" applyBorder="1">
      <alignment vertical="center"/>
    </xf>
    <xf numFmtId="2" fontId="3" fillId="0" borderId="8" xfId="0" applyNumberFormat="1" applyFont="1" applyBorder="1">
      <alignment vertical="center"/>
    </xf>
    <xf numFmtId="57" fontId="3" fillId="7" borderId="6" xfId="0" applyNumberFormat="1" applyFont="1" applyFill="1" applyBorder="1" applyAlignment="1">
      <alignment horizontal="left" vertical="center" indent="4"/>
    </xf>
    <xf numFmtId="2" fontId="1" fillId="26" borderId="6" xfId="0" applyNumberFormat="1" applyFont="1" applyFill="1" applyBorder="1">
      <alignment vertical="center"/>
    </xf>
    <xf numFmtId="2" fontId="1" fillId="26" borderId="8" xfId="0" applyNumberFormat="1" applyFont="1" applyFill="1" applyBorder="1">
      <alignment vertical="center"/>
    </xf>
    <xf numFmtId="2" fontId="1" fillId="0" borderId="6" xfId="0" applyNumberFormat="1" applyFont="1" applyFill="1" applyBorder="1">
      <alignment vertical="center"/>
    </xf>
    <xf numFmtId="0" fontId="3" fillId="17" borderId="6" xfId="0" applyFont="1" applyFill="1" applyBorder="1" applyAlignment="1">
      <alignment horizontal="left" vertical="center" indent="3"/>
    </xf>
    <xf numFmtId="2" fontId="3" fillId="17" borderId="6" xfId="0" applyNumberFormat="1" applyFont="1" applyFill="1" applyBorder="1">
      <alignment vertical="center"/>
    </xf>
    <xf numFmtId="0" fontId="3" fillId="17" borderId="6" xfId="0" applyFont="1" applyFill="1" applyBorder="1" applyAlignment="1">
      <alignment horizontal="center" vertical="center"/>
    </xf>
    <xf numFmtId="2" fontId="1" fillId="17" borderId="6" xfId="0" applyNumberFormat="1" applyFont="1" applyFill="1" applyBorder="1">
      <alignment vertical="center"/>
    </xf>
    <xf numFmtId="2" fontId="1" fillId="17" borderId="8" xfId="0" applyNumberFormat="1" applyFont="1" applyFill="1" applyBorder="1">
      <alignment vertical="center"/>
    </xf>
    <xf numFmtId="0" fontId="3" fillId="0" borderId="19" xfId="0" applyFont="1" applyFill="1" applyBorder="1" applyAlignment="1">
      <alignment horizontal="center" vertical="center"/>
    </xf>
    <xf numFmtId="2" fontId="1" fillId="26" borderId="25" xfId="0" applyNumberFormat="1" applyFont="1" applyFill="1" applyBorder="1">
      <alignment vertical="center"/>
    </xf>
    <xf numFmtId="2" fontId="1" fillId="26" borderId="20" xfId="0" applyNumberFormat="1" applyFont="1" applyFill="1" applyBorder="1">
      <alignment vertical="center"/>
    </xf>
    <xf numFmtId="2" fontId="1" fillId="0" borderId="25" xfId="0" applyNumberFormat="1" applyFont="1" applyFill="1" applyBorder="1">
      <alignment vertical="center"/>
    </xf>
    <xf numFmtId="2" fontId="34" fillId="0" borderId="6" xfId="0" applyNumberFormat="1" applyFont="1" applyFill="1" applyBorder="1">
      <alignment vertical="center"/>
    </xf>
    <xf numFmtId="2" fontId="3" fillId="0" borderId="8" xfId="0" applyNumberFormat="1" applyFont="1" applyFill="1" applyBorder="1">
      <alignment vertical="center"/>
    </xf>
    <xf numFmtId="2" fontId="5" fillId="0" borderId="8" xfId="0" applyNumberFormat="1" applyFont="1" applyFill="1" applyBorder="1">
      <alignment vertical="center"/>
    </xf>
    <xf numFmtId="2" fontId="1" fillId="0" borderId="6" xfId="0" applyNumberFormat="1" applyFont="1" applyBorder="1">
      <alignment vertical="center"/>
    </xf>
    <xf numFmtId="2" fontId="1" fillId="0" borderId="8" xfId="0" applyNumberFormat="1" applyFont="1" applyBorder="1">
      <alignment vertical="center"/>
    </xf>
    <xf numFmtId="0" fontId="3" fillId="0" borderId="12" xfId="0" applyFont="1" applyFill="1" applyBorder="1" applyAlignment="1">
      <alignment horizontal="left" vertical="center" indent="4"/>
    </xf>
    <xf numFmtId="2" fontId="3" fillId="0" borderId="12" xfId="0" applyNumberFormat="1" applyFont="1" applyBorder="1">
      <alignment vertical="center"/>
    </xf>
    <xf numFmtId="2" fontId="3" fillId="0" borderId="12" xfId="0" applyNumberFormat="1" applyFont="1" applyFill="1" applyBorder="1">
      <alignment vertical="center"/>
    </xf>
    <xf numFmtId="2" fontId="3" fillId="0" borderId="17" xfId="0" applyNumberFormat="1" applyFont="1" applyFill="1" applyBorder="1">
      <alignment vertical="center"/>
    </xf>
    <xf numFmtId="0" fontId="3" fillId="0" borderId="0" xfId="0" applyFont="1" applyFill="1" applyBorder="1" applyAlignment="1">
      <alignment horizontal="left" vertical="center" indent="2"/>
    </xf>
    <xf numFmtId="184" fontId="3" fillId="0" borderId="0" xfId="0" applyNumberFormat="1" applyFont="1" applyBorder="1">
      <alignment vertical="center"/>
    </xf>
    <xf numFmtId="185" fontId="3" fillId="0" borderId="0" xfId="0" applyNumberFormat="1" applyFont="1" applyFill="1" applyBorder="1" applyAlignment="1">
      <alignment horizontal="center" vertical="center"/>
    </xf>
    <xf numFmtId="2" fontId="3" fillId="0" borderId="0" xfId="0" applyNumberFormat="1" applyFont="1" applyBorder="1">
      <alignment vertical="center"/>
    </xf>
    <xf numFmtId="186" fontId="3" fillId="0" borderId="0" xfId="0" applyNumberFormat="1" applyFont="1" applyFill="1" applyBorder="1" applyAlignment="1">
      <alignment vertical="center"/>
    </xf>
    <xf numFmtId="0" fontId="21" fillId="7" borderId="31" xfId="0" applyFont="1" applyFill="1" applyBorder="1" applyAlignment="1">
      <alignment horizontal="center" vertical="center" textRotation="255"/>
    </xf>
    <xf numFmtId="0" fontId="3" fillId="0" borderId="1" xfId="0" applyFont="1" applyFill="1" applyBorder="1" applyAlignment="1">
      <alignment horizontal="left" vertical="center" indent="2"/>
    </xf>
    <xf numFmtId="187" fontId="3" fillId="0" borderId="2" xfId="0" applyNumberFormat="1" applyFont="1" applyFill="1" applyBorder="1" applyAlignment="1">
      <alignment horizontal="center" vertical="center"/>
    </xf>
    <xf numFmtId="187" fontId="3" fillId="0" borderId="4" xfId="0" applyNumberFormat="1" applyFont="1" applyFill="1" applyBorder="1" applyAlignment="1">
      <alignment vertical="center"/>
    </xf>
    <xf numFmtId="185" fontId="3" fillId="0" borderId="0" xfId="0" applyNumberFormat="1" applyFont="1" applyFill="1" applyAlignment="1">
      <alignment horizontal="center" vertical="center"/>
    </xf>
    <xf numFmtId="2" fontId="3" fillId="0" borderId="0" xfId="0" applyNumberFormat="1" applyFont="1">
      <alignment vertical="center"/>
    </xf>
    <xf numFmtId="186" fontId="3" fillId="0" borderId="0" xfId="0" applyNumberFormat="1" applyFont="1" applyFill="1" applyAlignment="1">
      <alignment vertical="center"/>
    </xf>
    <xf numFmtId="0" fontId="21" fillId="7" borderId="32" xfId="0" applyFont="1" applyFill="1" applyBorder="1" applyAlignment="1">
      <alignment horizontal="center" vertical="center" textRotation="255"/>
    </xf>
    <xf numFmtId="0" fontId="3" fillId="0" borderId="19" xfId="0" applyFont="1" applyFill="1" applyBorder="1" applyAlignment="1">
      <alignment horizontal="left" vertical="center" indent="2"/>
    </xf>
    <xf numFmtId="1" fontId="3" fillId="0" borderId="6" xfId="0" applyNumberFormat="1" applyFont="1" applyBorder="1" applyAlignment="1">
      <alignment horizontal="center" vertical="center"/>
    </xf>
    <xf numFmtId="0" fontId="3" fillId="0" borderId="8" xfId="0" applyFont="1" applyFill="1" applyBorder="1" applyAlignment="1">
      <alignment horizontal="center" vertical="center"/>
    </xf>
    <xf numFmtId="187" fontId="3" fillId="0" borderId="0" xfId="0" applyNumberFormat="1" applyFont="1" applyFill="1" applyBorder="1" applyAlignment="1">
      <alignment horizontal="left" vertical="center"/>
    </xf>
    <xf numFmtId="0" fontId="3" fillId="0" borderId="16" xfId="0" applyFont="1" applyFill="1" applyBorder="1" applyAlignment="1">
      <alignment horizontal="left" vertical="center" indent="2"/>
    </xf>
    <xf numFmtId="187" fontId="3" fillId="0" borderId="6" xfId="0" applyNumberFormat="1" applyFont="1" applyFill="1" applyBorder="1" applyAlignment="1">
      <alignment horizontal="center" vertical="center"/>
    </xf>
    <xf numFmtId="0" fontId="3" fillId="0" borderId="0" xfId="0" applyNumberFormat="1" applyFont="1" applyFill="1" applyAlignment="1">
      <alignment horizontal="center" vertical="center"/>
    </xf>
    <xf numFmtId="0" fontId="3" fillId="0" borderId="5" xfId="0" applyFont="1" applyFill="1" applyBorder="1" applyAlignment="1">
      <alignment horizontal="left" vertical="center" indent="2"/>
    </xf>
    <xf numFmtId="187" fontId="10" fillId="0" borderId="6" xfId="0" applyNumberFormat="1" applyFont="1" applyFill="1" applyBorder="1" applyAlignment="1">
      <alignment horizontal="center" vertical="center"/>
    </xf>
    <xf numFmtId="187" fontId="3" fillId="0" borderId="8" xfId="0" applyNumberFormat="1" applyFont="1" applyFill="1" applyBorder="1" applyAlignment="1">
      <alignment vertical="center"/>
    </xf>
    <xf numFmtId="187" fontId="35" fillId="0" borderId="8" xfId="0" applyNumberFormat="1" applyFont="1" applyFill="1" applyBorder="1" applyAlignment="1">
      <alignment horizontal="center" vertical="center"/>
    </xf>
    <xf numFmtId="2" fontId="3" fillId="0" borderId="6" xfId="0" applyNumberFormat="1" applyFont="1" applyBorder="1" applyAlignment="1">
      <alignment horizontal="center" vertical="center"/>
    </xf>
    <xf numFmtId="187" fontId="3" fillId="0" borderId="8" xfId="0" applyNumberFormat="1" applyFont="1" applyFill="1" applyBorder="1" applyAlignment="1">
      <alignment horizontal="center" vertical="center"/>
    </xf>
    <xf numFmtId="0" fontId="3" fillId="0" borderId="11" xfId="0" applyFont="1" applyFill="1" applyBorder="1" applyAlignment="1">
      <alignment horizontal="left" vertical="center" indent="2"/>
    </xf>
    <xf numFmtId="10" fontId="3" fillId="0" borderId="12" xfId="3" applyNumberFormat="1" applyFont="1" applyFill="1" applyBorder="1" applyAlignment="1">
      <alignment horizontal="center" vertical="center"/>
    </xf>
    <xf numFmtId="187" fontId="3" fillId="0" borderId="17" xfId="0" applyNumberFormat="1" applyFont="1" applyFill="1" applyBorder="1" applyAlignment="1">
      <alignment horizontal="center" vertical="center"/>
    </xf>
    <xf numFmtId="1" fontId="3" fillId="0" borderId="33" xfId="0" applyNumberFormat="1" applyFont="1" applyBorder="1" applyAlignment="1">
      <alignment horizontal="center" vertical="center"/>
    </xf>
    <xf numFmtId="1" fontId="3" fillId="0" borderId="34" xfId="0" applyNumberFormat="1" applyFont="1" applyBorder="1" applyAlignment="1">
      <alignment horizontal="center" vertical="center"/>
    </xf>
    <xf numFmtId="1" fontId="3" fillId="0" borderId="2" xfId="0" applyNumberFormat="1" applyFont="1" applyFill="1" applyBorder="1" applyAlignment="1">
      <alignment horizontal="center" vertical="center"/>
    </xf>
    <xf numFmtId="1" fontId="3" fillId="0" borderId="4" xfId="0" applyNumberFormat="1" applyFont="1" applyFill="1" applyBorder="1" applyAlignment="1">
      <alignment horizontal="center" vertical="center"/>
    </xf>
    <xf numFmtId="184" fontId="3" fillId="0" borderId="35" xfId="0" applyNumberFormat="1" applyFont="1" applyBorder="1" applyAlignment="1">
      <alignment horizontal="center" vertical="center"/>
    </xf>
    <xf numFmtId="184" fontId="3" fillId="0" borderId="9" xfId="0" applyNumberFormat="1" applyFont="1" applyBorder="1" applyAlignment="1">
      <alignment horizontal="center" vertical="center"/>
    </xf>
    <xf numFmtId="1" fontId="35" fillId="0" borderId="6" xfId="0" applyNumberFormat="1" applyFont="1" applyBorder="1" applyAlignment="1">
      <alignment horizontal="center" vertical="center"/>
    </xf>
    <xf numFmtId="1" fontId="35" fillId="0" borderId="8" xfId="0" applyNumberFormat="1" applyFont="1" applyBorder="1" applyAlignment="1">
      <alignment horizontal="center" vertical="center"/>
    </xf>
    <xf numFmtId="184" fontId="3" fillId="0" borderId="25" xfId="0" applyNumberFormat="1" applyFont="1" applyBorder="1" applyAlignment="1">
      <alignment horizontal="center" vertical="center"/>
    </xf>
    <xf numFmtId="0" fontId="36" fillId="0" borderId="6" xfId="0" applyFont="1" applyFill="1" applyBorder="1" applyAlignment="1">
      <alignment horizontal="center" vertical="center"/>
    </xf>
    <xf numFmtId="0" fontId="3" fillId="0" borderId="36" xfId="0" applyFont="1" applyBorder="1">
      <alignment vertical="center"/>
    </xf>
    <xf numFmtId="184" fontId="3" fillId="0" borderId="22" xfId="0" applyNumberFormat="1" applyFont="1" applyBorder="1" applyAlignment="1">
      <alignment horizontal="center" vertical="center"/>
    </xf>
    <xf numFmtId="0" fontId="36" fillId="0" borderId="12" xfId="0" applyFont="1" applyFill="1" applyBorder="1" applyAlignment="1">
      <alignment horizontal="center" vertical="center"/>
    </xf>
    <xf numFmtId="1" fontId="3" fillId="0" borderId="12" xfId="0" applyNumberFormat="1" applyFont="1" applyBorder="1" applyAlignment="1">
      <alignment horizontal="center" vertical="center"/>
    </xf>
    <xf numFmtId="0" fontId="3" fillId="0" borderId="37" xfId="0" applyFont="1" applyBorder="1">
      <alignment vertical="center"/>
    </xf>
    <xf numFmtId="0" fontId="3" fillId="0" borderId="38" xfId="0" applyFont="1" applyBorder="1">
      <alignment vertical="center"/>
    </xf>
    <xf numFmtId="0" fontId="37" fillId="0" borderId="39" xfId="0" applyFont="1" applyBorder="1" applyAlignment="1">
      <alignment horizontal="center" vertical="center"/>
    </xf>
    <xf numFmtId="0" fontId="3" fillId="0" borderId="2" xfId="0" applyFont="1" applyBorder="1">
      <alignment vertical="center"/>
    </xf>
    <xf numFmtId="0" fontId="3" fillId="0" borderId="2" xfId="0" applyFont="1" applyFill="1" applyBorder="1" applyAlignment="1">
      <alignment horizontal="center" vertical="center"/>
    </xf>
    <xf numFmtId="2" fontId="3" fillId="0" borderId="2" xfId="0" applyNumberFormat="1" applyFont="1" applyBorder="1" applyAlignment="1">
      <alignment horizontal="right" vertical="center"/>
    </xf>
    <xf numFmtId="2" fontId="3" fillId="0" borderId="4" xfId="0" applyNumberFormat="1" applyFont="1" applyBorder="1" applyAlignment="1">
      <alignment horizontal="right" vertical="center"/>
    </xf>
    <xf numFmtId="0" fontId="37" fillId="0" borderId="40" xfId="0" applyFont="1" applyBorder="1" applyAlignment="1">
      <alignment horizontal="center" vertical="center"/>
    </xf>
    <xf numFmtId="2" fontId="3" fillId="0" borderId="6" xfId="0" applyNumberFormat="1" applyFont="1" applyBorder="1" applyAlignment="1">
      <alignment horizontal="right" vertical="center"/>
    </xf>
    <xf numFmtId="2" fontId="3" fillId="0" borderId="8" xfId="0" applyNumberFormat="1" applyFont="1" applyBorder="1" applyAlignment="1">
      <alignment horizontal="right" vertical="center"/>
    </xf>
    <xf numFmtId="2" fontId="5" fillId="0" borderId="6" xfId="0" applyNumberFormat="1" applyFont="1" applyBorder="1" applyAlignment="1">
      <alignment horizontal="right" vertical="center"/>
    </xf>
    <xf numFmtId="0" fontId="37" fillId="0" borderId="41" xfId="0" applyFont="1" applyBorder="1" applyAlignment="1">
      <alignment horizontal="center" vertical="center"/>
    </xf>
    <xf numFmtId="2" fontId="3" fillId="0" borderId="12" xfId="0" applyNumberFormat="1" applyFont="1" applyBorder="1" applyAlignment="1">
      <alignment horizontal="right" vertical="center"/>
    </xf>
    <xf numFmtId="2" fontId="3" fillId="0" borderId="17" xfId="0" applyNumberFormat="1" applyFont="1" applyBorder="1" applyAlignment="1">
      <alignment horizontal="right" vertical="center"/>
    </xf>
    <xf numFmtId="0" fontId="38" fillId="0" borderId="39" xfId="0" applyFont="1" applyBorder="1" applyAlignment="1">
      <alignment horizontal="center" vertical="center"/>
    </xf>
    <xf numFmtId="0" fontId="38" fillId="0" borderId="40" xfId="0" applyFont="1" applyBorder="1" applyAlignment="1">
      <alignment horizontal="center" vertical="center"/>
    </xf>
    <xf numFmtId="0" fontId="21" fillId="7" borderId="42" xfId="0" applyFont="1" applyFill="1" applyBorder="1" applyAlignment="1">
      <alignment horizontal="center" vertical="center" textRotation="255"/>
    </xf>
    <xf numFmtId="0" fontId="38" fillId="0" borderId="41" xfId="0" applyFont="1" applyBorder="1" applyAlignment="1">
      <alignment horizontal="center" vertical="center"/>
    </xf>
    <xf numFmtId="0" fontId="3" fillId="0" borderId="0" xfId="0" applyFont="1" applyFill="1" applyAlignment="1">
      <alignment horizontal="left" vertical="center" indent="2"/>
    </xf>
    <xf numFmtId="184" fontId="3" fillId="0" borderId="0" xfId="0" applyNumberFormat="1" applyFont="1" applyAlignment="1">
      <alignment horizontal="center" vertical="center"/>
    </xf>
    <xf numFmtId="1" fontId="3" fillId="0" borderId="0" xfId="0" applyNumberFormat="1" applyFont="1" applyAlignment="1">
      <alignment horizontal="center" vertical="center"/>
    </xf>
    <xf numFmtId="0" fontId="21" fillId="7" borderId="43" xfId="0" applyFont="1" applyFill="1" applyBorder="1" applyAlignment="1">
      <alignment horizontal="center" vertical="center" textRotation="255"/>
    </xf>
    <xf numFmtId="0" fontId="21" fillId="7" borderId="44" xfId="0" applyFont="1" applyFill="1" applyBorder="1" applyAlignment="1">
      <alignment horizontal="center" vertical="center" textRotation="255"/>
    </xf>
    <xf numFmtId="1" fontId="3" fillId="0" borderId="8" xfId="0" applyNumberFormat="1" applyFont="1" applyBorder="1" applyAlignment="1">
      <alignment horizontal="center" vertical="center"/>
    </xf>
    <xf numFmtId="1" fontId="3" fillId="0" borderId="9" xfId="0" applyNumberFormat="1" applyFont="1" applyBorder="1" applyAlignment="1">
      <alignment horizontal="center" vertical="center"/>
    </xf>
    <xf numFmtId="1" fontId="3" fillId="0" borderId="17" xfId="0" applyNumberFormat="1" applyFont="1" applyBorder="1" applyAlignment="1">
      <alignment horizontal="center" vertical="center"/>
    </xf>
    <xf numFmtId="0" fontId="21" fillId="7" borderId="45" xfId="0" applyFont="1" applyFill="1" applyBorder="1" applyAlignment="1">
      <alignment horizontal="center" vertical="center" textRotation="255"/>
    </xf>
    <xf numFmtId="184" fontId="3" fillId="0" borderId="0" xfId="0" applyNumberFormat="1" applyFont="1">
      <alignment vertical="center"/>
    </xf>
    <xf numFmtId="0" fontId="5" fillId="0" borderId="35" xfId="0" applyFont="1" applyFill="1" applyBorder="1" applyAlignment="1">
      <alignment vertical="center"/>
    </xf>
    <xf numFmtId="0" fontId="5" fillId="0" borderId="46" xfId="0" applyFont="1" applyFill="1" applyBorder="1" applyAlignment="1">
      <alignment vertical="center"/>
    </xf>
    <xf numFmtId="188" fontId="5" fillId="0" borderId="46" xfId="0" applyNumberFormat="1" applyFont="1" applyFill="1" applyBorder="1" applyAlignment="1">
      <alignment vertical="center"/>
    </xf>
    <xf numFmtId="0" fontId="5" fillId="0" borderId="9" xfId="0" applyFont="1" applyFill="1" applyBorder="1" applyAlignment="1">
      <alignment vertical="center"/>
    </xf>
    <xf numFmtId="0" fontId="5" fillId="24" borderId="6" xfId="0" applyFont="1" applyFill="1" applyBorder="1" applyAlignment="1">
      <alignment horizontal="center" vertical="center"/>
    </xf>
    <xf numFmtId="0" fontId="5" fillId="3" borderId="6" xfId="0" applyNumberFormat="1" applyFont="1" applyFill="1" applyBorder="1" applyAlignment="1">
      <alignment horizontal="center" vertical="center"/>
    </xf>
    <xf numFmtId="0" fontId="5" fillId="4" borderId="6" xfId="0" applyNumberFormat="1" applyFont="1" applyFill="1" applyBorder="1" applyAlignment="1">
      <alignment horizontal="center" vertical="center"/>
    </xf>
    <xf numFmtId="57" fontId="17" fillId="7" borderId="6" xfId="0" applyNumberFormat="1" applyFont="1" applyFill="1" applyBorder="1" applyAlignment="1">
      <alignment horizontal="center" vertical="center"/>
    </xf>
    <xf numFmtId="0" fontId="5" fillId="5" borderId="6" xfId="0" applyNumberFormat="1" applyFont="1" applyFill="1" applyBorder="1" applyAlignment="1">
      <alignment horizontal="center" vertical="center"/>
    </xf>
    <xf numFmtId="2" fontId="3" fillId="7" borderId="6" xfId="0" applyNumberFormat="1" applyFont="1" applyFill="1" applyBorder="1">
      <alignment vertical="center"/>
    </xf>
    <xf numFmtId="2" fontId="3" fillId="0" borderId="0" xfId="0" applyNumberFormat="1" applyFont="1" applyFill="1">
      <alignment vertical="center"/>
    </xf>
    <xf numFmtId="0" fontId="5" fillId="7" borderId="35" xfId="0" applyFont="1" applyFill="1" applyBorder="1" applyAlignment="1">
      <alignment vertical="center"/>
    </xf>
    <xf numFmtId="0" fontId="5" fillId="7" borderId="46" xfId="0" applyFont="1" applyFill="1" applyBorder="1" applyAlignment="1">
      <alignment vertical="center"/>
    </xf>
    <xf numFmtId="0" fontId="6" fillId="3" borderId="6" xfId="0" applyNumberFormat="1" applyFont="1" applyFill="1" applyBorder="1" applyAlignment="1">
      <alignment horizontal="center" vertical="center"/>
    </xf>
    <xf numFmtId="0" fontId="3" fillId="7" borderId="6" xfId="0" applyFont="1" applyFill="1" applyBorder="1" applyAlignment="1">
      <alignment horizontal="left" vertical="center" indent="3"/>
    </xf>
    <xf numFmtId="0" fontId="3" fillId="7" borderId="31" xfId="0" applyFont="1" applyFill="1" applyBorder="1" applyAlignment="1">
      <alignment horizontal="center" vertical="center"/>
    </xf>
    <xf numFmtId="0" fontId="3" fillId="7" borderId="31" xfId="0" applyFont="1" applyFill="1" applyBorder="1" applyAlignment="1">
      <alignment horizontal="center" vertical="center" wrapText="1"/>
    </xf>
    <xf numFmtId="2" fontId="3" fillId="0" borderId="34" xfId="0" applyNumberFormat="1" applyFont="1" applyFill="1" applyBorder="1" applyAlignment="1">
      <alignment horizontal="center" vertical="center"/>
    </xf>
    <xf numFmtId="2" fontId="3" fillId="0" borderId="2" xfId="0" applyNumberFormat="1" applyFont="1" applyFill="1" applyBorder="1" applyAlignment="1">
      <alignment horizontal="center" vertical="center"/>
    </xf>
    <xf numFmtId="2" fontId="3" fillId="0" borderId="34" xfId="0" applyNumberFormat="1" applyFont="1" applyBorder="1" applyAlignment="1">
      <alignment horizontal="left" vertical="center"/>
    </xf>
    <xf numFmtId="2" fontId="3" fillId="0" borderId="2" xfId="0" applyNumberFormat="1" applyFont="1" applyBorder="1" applyAlignment="1">
      <alignment horizontal="center" vertical="center"/>
    </xf>
    <xf numFmtId="2" fontId="3" fillId="0" borderId="4" xfId="0" applyNumberFormat="1" applyFont="1" applyBorder="1" applyAlignment="1">
      <alignment horizontal="center" vertical="center"/>
    </xf>
    <xf numFmtId="0" fontId="3" fillId="7" borderId="32" xfId="0" applyFont="1" applyFill="1" applyBorder="1" applyAlignment="1">
      <alignment horizontal="center" vertical="center"/>
    </xf>
    <xf numFmtId="0" fontId="3" fillId="7" borderId="32" xfId="0" applyFont="1" applyFill="1" applyBorder="1" applyAlignment="1">
      <alignment horizontal="center" vertical="center" wrapText="1"/>
    </xf>
    <xf numFmtId="2" fontId="3" fillId="0" borderId="9" xfId="0" applyNumberFormat="1" applyFont="1" applyFill="1" applyBorder="1" applyAlignment="1">
      <alignment horizontal="center" vertical="center"/>
    </xf>
    <xf numFmtId="2" fontId="3" fillId="0" borderId="6" xfId="0" applyNumberFormat="1" applyFont="1" applyFill="1" applyBorder="1" applyAlignment="1">
      <alignment horizontal="center" vertical="center"/>
    </xf>
    <xf numFmtId="2" fontId="3" fillId="0" borderId="9" xfId="0" applyNumberFormat="1" applyFont="1" applyBorder="1">
      <alignment vertical="center"/>
    </xf>
    <xf numFmtId="2" fontId="3" fillId="0" borderId="8" xfId="0" applyNumberFormat="1" applyFont="1" applyBorder="1" applyAlignment="1">
      <alignment horizontal="center" vertical="center"/>
    </xf>
    <xf numFmtId="2" fontId="3" fillId="0" borderId="47" xfId="0" applyNumberFormat="1" applyFont="1" applyBorder="1" applyAlignment="1">
      <alignment horizontal="left" vertical="center"/>
    </xf>
    <xf numFmtId="0" fontId="5" fillId="27" borderId="6" xfId="0" applyFont="1" applyFill="1" applyBorder="1" applyAlignment="1">
      <alignment horizontal="center" vertical="center" wrapText="1"/>
    </xf>
    <xf numFmtId="2" fontId="3" fillId="0" borderId="48" xfId="0" applyNumberFormat="1" applyFont="1" applyBorder="1" applyAlignment="1">
      <alignment horizontal="left" vertical="center"/>
    </xf>
    <xf numFmtId="2" fontId="3" fillId="0" borderId="0" xfId="0" applyNumberFormat="1" applyFont="1" applyAlignment="1">
      <alignment horizontal="center" vertical="center"/>
    </xf>
    <xf numFmtId="2" fontId="3" fillId="0" borderId="13" xfId="0" applyNumberFormat="1" applyFont="1" applyFill="1" applyBorder="1" applyAlignment="1">
      <alignment horizontal="center" vertical="center"/>
    </xf>
    <xf numFmtId="2" fontId="3" fillId="0" borderId="12" xfId="0" applyNumberFormat="1" applyFont="1" applyFill="1" applyBorder="1" applyAlignment="1">
      <alignment horizontal="center" vertical="center"/>
    </xf>
    <xf numFmtId="2" fontId="3" fillId="0" borderId="13" xfId="0" applyNumberFormat="1" applyFont="1" applyBorder="1">
      <alignment vertical="center"/>
    </xf>
    <xf numFmtId="10" fontId="3" fillId="0" borderId="12" xfId="3" applyNumberFormat="1" applyFont="1" applyBorder="1" applyAlignment="1">
      <alignment horizontal="center" vertical="center"/>
    </xf>
    <xf numFmtId="2" fontId="3" fillId="0" borderId="17" xfId="0" applyNumberFormat="1" applyFont="1" applyBorder="1" applyAlignment="1">
      <alignment horizontal="center" vertical="center"/>
    </xf>
    <xf numFmtId="2" fontId="3" fillId="0" borderId="49" xfId="0" applyNumberFormat="1" applyFont="1" applyFill="1" applyBorder="1" applyAlignment="1">
      <alignment horizontal="center" vertical="center"/>
    </xf>
    <xf numFmtId="1" fontId="3" fillId="0" borderId="28" xfId="0" applyNumberFormat="1" applyFont="1" applyBorder="1" applyAlignment="1">
      <alignment horizontal="center" vertical="center"/>
    </xf>
    <xf numFmtId="185" fontId="3" fillId="0" borderId="2" xfId="0" applyNumberFormat="1" applyFont="1" applyFill="1" applyBorder="1" applyAlignment="1">
      <alignment horizontal="center" vertical="center"/>
    </xf>
    <xf numFmtId="185" fontId="3" fillId="0" borderId="4" xfId="0" applyNumberFormat="1" applyFont="1" applyFill="1" applyBorder="1" applyAlignment="1">
      <alignment horizontal="center" vertical="center"/>
    </xf>
    <xf numFmtId="2" fontId="3" fillId="0" borderId="50" xfId="0" applyNumberFormat="1" applyFont="1" applyFill="1" applyBorder="1" applyAlignment="1">
      <alignment horizontal="center" vertical="center"/>
    </xf>
    <xf numFmtId="184" fontId="3" fillId="0" borderId="46" xfId="0" applyNumberFormat="1" applyFont="1" applyBorder="1" applyAlignment="1">
      <alignment horizontal="center" vertical="center"/>
    </xf>
    <xf numFmtId="2" fontId="3" fillId="0" borderId="25" xfId="0" applyNumberFormat="1" applyFont="1" applyFill="1" applyBorder="1" applyAlignment="1">
      <alignment horizontal="center" vertical="center"/>
    </xf>
    <xf numFmtId="2" fontId="3" fillId="0" borderId="30" xfId="0" applyNumberFormat="1" applyFont="1" applyFill="1" applyBorder="1" applyAlignment="1">
      <alignment horizontal="center" vertical="center"/>
    </xf>
    <xf numFmtId="2" fontId="3" fillId="0" borderId="7" xfId="0" applyNumberFormat="1" applyFont="1" applyFill="1" applyBorder="1" applyAlignment="1">
      <alignment horizontal="center" vertical="center"/>
    </xf>
    <xf numFmtId="2" fontId="3" fillId="0" borderId="51" xfId="0" applyNumberFormat="1" applyFont="1" applyFill="1" applyBorder="1" applyAlignment="1">
      <alignment horizontal="center" vertical="center"/>
    </xf>
    <xf numFmtId="2" fontId="3" fillId="0" borderId="22" xfId="0" applyNumberFormat="1" applyFont="1" applyFill="1" applyBorder="1" applyAlignment="1">
      <alignment horizontal="center" vertical="center"/>
    </xf>
    <xf numFmtId="1" fontId="3" fillId="0" borderId="52" xfId="0" applyNumberFormat="1" applyFont="1" applyBorder="1" applyAlignment="1">
      <alignment horizontal="center" vertical="center"/>
    </xf>
    <xf numFmtId="1" fontId="3" fillId="0" borderId="53" xfId="0" applyNumberFormat="1" applyFont="1" applyBorder="1" applyAlignment="1">
      <alignment horizontal="center" vertical="center"/>
    </xf>
    <xf numFmtId="1" fontId="3" fillId="0" borderId="48" xfId="0" applyNumberFormat="1" applyFont="1" applyBorder="1" applyAlignment="1">
      <alignment horizontal="center" vertical="center"/>
    </xf>
    <xf numFmtId="185" fontId="3" fillId="0" borderId="7" xfId="0" applyNumberFormat="1" applyFont="1" applyFill="1" applyBorder="1" applyAlignment="1">
      <alignment horizontal="center" vertical="center"/>
    </xf>
    <xf numFmtId="185" fontId="3" fillId="0" borderId="18" xfId="0" applyNumberFormat="1" applyFont="1" applyFill="1" applyBorder="1" applyAlignment="1">
      <alignment horizontal="center" vertical="center"/>
    </xf>
    <xf numFmtId="2" fontId="3" fillId="0" borderId="0" xfId="0" applyNumberFormat="1" applyFont="1" applyFill="1" applyBorder="1">
      <alignment vertical="center"/>
    </xf>
    <xf numFmtId="0" fontId="3" fillId="7" borderId="42" xfId="0" applyFont="1" applyFill="1" applyBorder="1" applyAlignment="1">
      <alignment horizontal="center" vertical="center"/>
    </xf>
    <xf numFmtId="0" fontId="3" fillId="7" borderId="42" xfId="0" applyFont="1" applyFill="1" applyBorder="1" applyAlignment="1">
      <alignment horizontal="center" vertical="center" wrapText="1"/>
    </xf>
    <xf numFmtId="0" fontId="3" fillId="0" borderId="0" xfId="0" applyFont="1" applyBorder="1" applyAlignment="1">
      <alignment vertical="center"/>
    </xf>
    <xf numFmtId="0" fontId="3" fillId="0" borderId="0" xfId="0" applyFont="1" applyBorder="1" applyAlignment="1">
      <alignment vertical="center" wrapText="1"/>
    </xf>
    <xf numFmtId="2" fontId="3" fillId="0" borderId="0" xfId="0" applyNumberFormat="1" applyFont="1" applyFill="1" applyBorder="1" applyAlignment="1">
      <alignment vertical="center"/>
    </xf>
    <xf numFmtId="0" fontId="6" fillId="0" borderId="35" xfId="0" applyFont="1" applyFill="1" applyBorder="1" applyAlignment="1">
      <alignment vertical="center"/>
    </xf>
    <xf numFmtId="0" fontId="39" fillId="0" borderId="46" xfId="0" applyFont="1" applyFill="1" applyBorder="1" applyAlignment="1">
      <alignment horizontal="center" vertical="center"/>
    </xf>
    <xf numFmtId="0" fontId="39" fillId="0" borderId="9" xfId="0" applyFont="1" applyFill="1" applyBorder="1" applyAlignment="1">
      <alignment horizontal="center" vertical="center"/>
    </xf>
    <xf numFmtId="0" fontId="5" fillId="25" borderId="6" xfId="0" applyFont="1" applyFill="1" applyBorder="1" applyAlignment="1">
      <alignment horizontal="center" vertical="center"/>
    </xf>
    <xf numFmtId="0" fontId="40" fillId="0" borderId="46" xfId="0" applyFont="1" applyFill="1" applyBorder="1" applyAlignment="1">
      <alignment horizontal="center" vertical="center"/>
    </xf>
    <xf numFmtId="0" fontId="40" fillId="0" borderId="9" xfId="0" applyFont="1" applyFill="1" applyBorder="1" applyAlignment="1">
      <alignment horizontal="center" vertical="center"/>
    </xf>
    <xf numFmtId="2" fontId="1" fillId="7" borderId="6" xfId="0" applyNumberFormat="1" applyFont="1" applyFill="1" applyBorder="1">
      <alignment vertical="center"/>
    </xf>
    <xf numFmtId="0" fontId="5" fillId="28" borderId="6"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6" xfId="0" applyFont="1" applyFill="1" applyBorder="1">
      <alignment vertical="center"/>
    </xf>
    <xf numFmtId="176" fontId="3" fillId="8" borderId="25" xfId="0" applyNumberFormat="1" applyFont="1" applyFill="1" applyBorder="1">
      <alignment vertical="center"/>
    </xf>
    <xf numFmtId="0" fontId="3" fillId="8" borderId="6" xfId="0" applyFont="1" applyFill="1" applyBorder="1" applyAlignment="1">
      <alignment horizontal="center" vertical="center"/>
    </xf>
    <xf numFmtId="176" fontId="5" fillId="8" borderId="6" xfId="0" applyNumberFormat="1" applyFont="1" applyFill="1" applyBorder="1">
      <alignment vertical="center"/>
    </xf>
    <xf numFmtId="176" fontId="5" fillId="8" borderId="8" xfId="0" applyNumberFormat="1" applyFont="1" applyFill="1" applyBorder="1">
      <alignment vertical="center"/>
    </xf>
    <xf numFmtId="0" fontId="3" fillId="8" borderId="5" xfId="0" applyFont="1" applyFill="1" applyBorder="1" applyAlignment="1">
      <alignment horizontal="center" vertical="center"/>
    </xf>
    <xf numFmtId="0" fontId="3" fillId="8" borderId="6" xfId="0" applyFont="1" applyFill="1" applyBorder="1" applyAlignment="1">
      <alignment horizontal="left" vertical="center" indent="1"/>
    </xf>
    <xf numFmtId="176" fontId="3" fillId="8" borderId="6" xfId="0" applyNumberFormat="1" applyFont="1" applyFill="1" applyBorder="1">
      <alignment vertical="center"/>
    </xf>
    <xf numFmtId="176" fontId="3" fillId="8" borderId="8" xfId="0" applyNumberFormat="1" applyFont="1" applyFill="1" applyBorder="1">
      <alignment vertical="center"/>
    </xf>
    <xf numFmtId="0" fontId="5" fillId="8" borderId="11" xfId="0" applyFont="1" applyFill="1" applyBorder="1" applyAlignment="1">
      <alignment horizontal="center" vertical="center"/>
    </xf>
    <xf numFmtId="0" fontId="5" fillId="8" borderId="12" xfId="0" applyFont="1" applyFill="1" applyBorder="1">
      <alignment vertical="center"/>
    </xf>
    <xf numFmtId="176" fontId="5" fillId="8" borderId="12" xfId="0" applyNumberFormat="1" applyFont="1" applyFill="1" applyBorder="1">
      <alignment vertical="center"/>
    </xf>
    <xf numFmtId="176" fontId="5" fillId="8" borderId="17" xfId="0" applyNumberFormat="1" applyFont="1" applyFill="1" applyBorder="1">
      <alignment vertical="center"/>
    </xf>
    <xf numFmtId="0" fontId="26" fillId="11" borderId="7" xfId="0" applyFont="1" applyFill="1" applyBorder="1" applyAlignment="1">
      <alignment horizontal="center" vertical="center"/>
    </xf>
    <xf numFmtId="0" fontId="5" fillId="11" borderId="7" xfId="0" applyFont="1" applyFill="1" applyBorder="1" applyAlignment="1">
      <alignment horizontal="center" vertical="center"/>
    </xf>
    <xf numFmtId="57" fontId="17" fillId="11" borderId="7" xfId="0" applyNumberFormat="1" applyFont="1" applyFill="1" applyBorder="1" applyAlignment="1">
      <alignment horizontal="center" vertical="center"/>
    </xf>
    <xf numFmtId="0" fontId="3" fillId="29" borderId="6" xfId="0" applyFont="1" applyFill="1" applyBorder="1" applyAlignment="1">
      <alignment horizontal="center" vertical="center"/>
    </xf>
    <xf numFmtId="9" fontId="3" fillId="29" borderId="6" xfId="0" applyNumberFormat="1" applyFont="1" applyFill="1" applyBorder="1" applyAlignment="1">
      <alignment horizontal="center" vertical="center"/>
    </xf>
    <xf numFmtId="0" fontId="5" fillId="0" borderId="6" xfId="0" applyFont="1" applyBorder="1" applyAlignment="1">
      <alignment horizontal="center" vertical="center"/>
    </xf>
    <xf numFmtId="0" fontId="17" fillId="0" borderId="6" xfId="0" applyFont="1" applyBorder="1" applyAlignment="1">
      <alignment horizontal="center" vertical="center"/>
    </xf>
    <xf numFmtId="0" fontId="17" fillId="0" borderId="6" xfId="0" applyFont="1" applyBorder="1">
      <alignment vertical="center"/>
    </xf>
    <xf numFmtId="2" fontId="17" fillId="0" borderId="6" xfId="0" applyNumberFormat="1" applyFont="1" applyBorder="1">
      <alignment vertical="center"/>
    </xf>
    <xf numFmtId="10" fontId="5" fillId="0" borderId="6" xfId="0" applyNumberFormat="1" applyFont="1" applyBorder="1">
      <alignment vertical="center"/>
    </xf>
    <xf numFmtId="0" fontId="5" fillId="0" borderId="0" xfId="0" applyFont="1" applyFill="1" applyBorder="1" applyAlignment="1">
      <alignment vertical="center"/>
    </xf>
    <xf numFmtId="9" fontId="3" fillId="0" borderId="0" xfId="0" applyNumberFormat="1" applyFont="1" applyFill="1" applyBorder="1" applyAlignment="1">
      <alignment horizontal="center" vertical="center"/>
    </xf>
    <xf numFmtId="0" fontId="5" fillId="7" borderId="35" xfId="0" applyFont="1" applyFill="1" applyBorder="1" applyAlignment="1">
      <alignment horizontal="center" vertical="center"/>
    </xf>
    <xf numFmtId="0" fontId="5" fillId="7" borderId="9" xfId="0" applyFont="1" applyFill="1" applyBorder="1" applyAlignment="1">
      <alignment horizontal="center" vertical="center"/>
    </xf>
    <xf numFmtId="0" fontId="3" fillId="7" borderId="35" xfId="0" applyFont="1" applyFill="1" applyBorder="1" applyAlignment="1">
      <alignment horizontal="center" vertical="center"/>
    </xf>
    <xf numFmtId="0" fontId="3" fillId="7" borderId="9" xfId="0" applyFont="1" applyFill="1" applyBorder="1" applyAlignment="1">
      <alignment horizontal="center" vertical="center"/>
    </xf>
    <xf numFmtId="2" fontId="15" fillId="0" borderId="6" xfId="0" applyNumberFormat="1" applyFont="1" applyBorder="1">
      <alignment vertical="center"/>
    </xf>
    <xf numFmtId="0" fontId="24" fillId="0" borderId="0" xfId="0" applyFont="1">
      <alignment vertical="center"/>
    </xf>
    <xf numFmtId="0" fontId="26" fillId="0" borderId="6" xfId="0" applyFont="1" applyBorder="1" applyAlignment="1">
      <alignment horizontal="center" vertical="center" wrapText="1"/>
    </xf>
    <xf numFmtId="187" fontId="41" fillId="0" borderId="6" xfId="0" applyNumberFormat="1" applyFont="1" applyFill="1" applyBorder="1" applyAlignment="1">
      <alignment horizontal="right" vertical="center"/>
    </xf>
    <xf numFmtId="9" fontId="42" fillId="0" borderId="6" xfId="0" applyNumberFormat="1" applyFont="1" applyBorder="1">
      <alignment vertical="center"/>
    </xf>
    <xf numFmtId="9" fontId="24" fillId="0" borderId="0" xfId="0" applyNumberFormat="1" applyFont="1">
      <alignment vertical="center"/>
    </xf>
    <xf numFmtId="10" fontId="24" fillId="0" borderId="0" xfId="0" applyNumberFormat="1" applyFont="1">
      <alignment vertical="center"/>
    </xf>
    <xf numFmtId="9" fontId="24" fillId="0" borderId="0" xfId="0" applyNumberFormat="1" applyFont="1" applyAlignment="1">
      <alignment horizontal="center" vertical="center"/>
    </xf>
    <xf numFmtId="0" fontId="42" fillId="0" borderId="54" xfId="0" applyFont="1" applyBorder="1" applyAlignment="1">
      <alignment horizontal="center" vertical="center"/>
    </xf>
    <xf numFmtId="0" fontId="42" fillId="0" borderId="55" xfId="0" applyFont="1" applyBorder="1" applyAlignment="1">
      <alignment horizontal="center" vertical="center"/>
    </xf>
    <xf numFmtId="0" fontId="42" fillId="7" borderId="54" xfId="0" applyFont="1" applyFill="1" applyBorder="1" applyAlignment="1">
      <alignment horizontal="center" vertical="center"/>
    </xf>
    <xf numFmtId="0" fontId="42" fillId="7" borderId="55" xfId="0" applyFont="1" applyFill="1" applyBorder="1" applyAlignment="1">
      <alignment horizontal="center" vertical="center"/>
    </xf>
    <xf numFmtId="0" fontId="43" fillId="0" borderId="0" xfId="0" applyFont="1">
      <alignment vertical="center"/>
    </xf>
    <xf numFmtId="57" fontId="41" fillId="0" borderId="16" xfId="0" applyNumberFormat="1" applyFont="1" applyFill="1" applyBorder="1" applyAlignment="1">
      <alignment horizontal="right" vertical="center"/>
    </xf>
    <xf numFmtId="9" fontId="41" fillId="0" borderId="18" xfId="0" applyNumberFormat="1" applyFont="1" applyBorder="1">
      <alignment vertical="center"/>
    </xf>
    <xf numFmtId="9" fontId="41" fillId="0" borderId="8" xfId="0" applyNumberFormat="1" applyFont="1" applyBorder="1">
      <alignment vertical="center"/>
    </xf>
    <xf numFmtId="57" fontId="41" fillId="0" borderId="1" xfId="0" applyNumberFormat="1" applyFont="1" applyFill="1" applyBorder="1" applyAlignment="1">
      <alignment horizontal="right" vertical="center"/>
    </xf>
    <xf numFmtId="9" fontId="41" fillId="0" borderId="23" xfId="0" applyNumberFormat="1" applyFont="1" applyBorder="1">
      <alignment vertical="center"/>
    </xf>
    <xf numFmtId="57" fontId="24" fillId="0" borderId="16" xfId="0" applyNumberFormat="1" applyFont="1" applyFill="1" applyBorder="1" applyAlignment="1">
      <alignment horizontal="right" vertical="center"/>
    </xf>
    <xf numFmtId="9" fontId="24" fillId="0" borderId="18" xfId="0" applyNumberFormat="1" applyFont="1" applyBorder="1">
      <alignment vertical="center"/>
    </xf>
    <xf numFmtId="0" fontId="42" fillId="7" borderId="6" xfId="0" applyFont="1" applyFill="1" applyBorder="1" applyAlignment="1">
      <alignment horizontal="center" vertical="center"/>
    </xf>
    <xf numFmtId="0" fontId="42" fillId="0" borderId="6" xfId="0" applyFont="1" applyBorder="1" applyAlignment="1">
      <alignment horizontal="center" vertical="center"/>
    </xf>
    <xf numFmtId="57" fontId="24" fillId="0" borderId="5" xfId="0" applyNumberFormat="1" applyFont="1" applyFill="1" applyBorder="1" applyAlignment="1">
      <alignment horizontal="right" vertical="center"/>
    </xf>
    <xf numFmtId="9" fontId="24" fillId="0" borderId="8" xfId="0" applyNumberFormat="1" applyFont="1" applyBorder="1">
      <alignment vertical="center"/>
    </xf>
    <xf numFmtId="57" fontId="24" fillId="0" borderId="5" xfId="0" applyNumberFormat="1" applyFont="1" applyBorder="1">
      <alignment vertical="center"/>
    </xf>
    <xf numFmtId="9" fontId="24" fillId="0" borderId="6" xfId="0" applyNumberFormat="1" applyFont="1" applyBorder="1">
      <alignment vertical="center"/>
    </xf>
    <xf numFmtId="0" fontId="44" fillId="0" borderId="0" xfId="0" applyFont="1" applyAlignment="1">
      <alignment horizontal="right" vertical="center"/>
    </xf>
    <xf numFmtId="0" fontId="24" fillId="30" borderId="6" xfId="0" applyFont="1" applyFill="1" applyBorder="1" applyAlignment="1">
      <alignment horizontal="center" vertical="center"/>
    </xf>
    <xf numFmtId="10" fontId="24" fillId="30" borderId="6" xfId="0" applyNumberFormat="1" applyFont="1" applyFill="1" applyBorder="1">
      <alignment vertical="center"/>
    </xf>
    <xf numFmtId="0" fontId="24" fillId="28" borderId="6" xfId="0" applyFont="1" applyFill="1" applyBorder="1" applyAlignment="1">
      <alignment horizontal="center" vertical="center"/>
    </xf>
    <xf numFmtId="10" fontId="41" fillId="28" borderId="6" xfId="0" applyNumberFormat="1" applyFont="1" applyFill="1" applyBorder="1">
      <alignment vertical="center"/>
    </xf>
    <xf numFmtId="0" fontId="24" fillId="31" borderId="6" xfId="0" applyFont="1" applyFill="1" applyBorder="1" applyAlignment="1">
      <alignment horizontal="center" vertical="center"/>
    </xf>
    <xf numFmtId="10" fontId="24" fillId="31" borderId="6" xfId="0" applyNumberFormat="1" applyFont="1" applyFill="1" applyBorder="1">
      <alignment vertical="center"/>
    </xf>
    <xf numFmtId="57" fontId="24" fillId="0" borderId="11" xfId="0" applyNumberFormat="1" applyFont="1" applyFill="1" applyBorder="1" applyAlignment="1">
      <alignment horizontal="right" vertical="center"/>
    </xf>
    <xf numFmtId="57" fontId="24" fillId="0" borderId="11" xfId="0" applyNumberFormat="1" applyFont="1" applyBorder="1">
      <alignment vertical="center"/>
    </xf>
    <xf numFmtId="57" fontId="24" fillId="0" borderId="1" xfId="0" applyNumberFormat="1" applyFont="1" applyFill="1" applyBorder="1" applyAlignment="1">
      <alignment horizontal="right" vertical="center"/>
    </xf>
    <xf numFmtId="57" fontId="24" fillId="0" borderId="1" xfId="0" applyNumberFormat="1" applyFont="1" applyBorder="1">
      <alignment vertical="center"/>
    </xf>
    <xf numFmtId="57" fontId="41" fillId="0" borderId="5" xfId="0" applyNumberFormat="1" applyFont="1" applyFill="1" applyBorder="1" applyAlignment="1">
      <alignment horizontal="right" vertical="center"/>
    </xf>
    <xf numFmtId="57" fontId="41" fillId="0" borderId="5" xfId="0" applyNumberFormat="1" applyFont="1" applyBorder="1">
      <alignment vertical="center"/>
    </xf>
    <xf numFmtId="0" fontId="5" fillId="32" borderId="6" xfId="0" applyFont="1" applyFill="1" applyBorder="1" applyAlignment="1">
      <alignment horizontal="center" vertical="center"/>
    </xf>
    <xf numFmtId="0" fontId="5" fillId="33" borderId="6" xfId="0" applyFont="1" applyFill="1" applyBorder="1" applyAlignment="1">
      <alignment horizontal="center" vertical="center"/>
    </xf>
    <xf numFmtId="0" fontId="21" fillId="30" borderId="35" xfId="0" applyFont="1" applyFill="1" applyBorder="1" applyAlignment="1">
      <alignment vertical="center"/>
    </xf>
    <xf numFmtId="0" fontId="21" fillId="30" borderId="46" xfId="0" applyFont="1" applyFill="1" applyBorder="1" applyAlignment="1">
      <alignment vertical="center"/>
    </xf>
    <xf numFmtId="0" fontId="21" fillId="30" borderId="9" xfId="0" applyFont="1" applyFill="1" applyBorder="1" applyAlignment="1">
      <alignment vertical="center"/>
    </xf>
    <xf numFmtId="0" fontId="21" fillId="31" borderId="46" xfId="0" applyFont="1" applyFill="1" applyBorder="1" applyAlignment="1">
      <alignment vertical="center"/>
    </xf>
    <xf numFmtId="0" fontId="21" fillId="31" borderId="9" xfId="0" applyFont="1" applyFill="1" applyBorder="1" applyAlignment="1">
      <alignment vertical="center"/>
    </xf>
    <xf numFmtId="189" fontId="24" fillId="33" borderId="6" xfId="0" applyNumberFormat="1" applyFont="1" applyFill="1" applyBorder="1" applyAlignment="1">
      <alignment horizontal="center" vertical="center"/>
    </xf>
    <xf numFmtId="189" fontId="24" fillId="3" borderId="6" xfId="0" applyNumberFormat="1" applyFont="1" applyFill="1" applyBorder="1" applyAlignment="1">
      <alignment horizontal="center" vertical="center"/>
    </xf>
    <xf numFmtId="189" fontId="24" fillId="28" borderId="6" xfId="0" applyNumberFormat="1" applyFont="1" applyFill="1" applyBorder="1" applyAlignment="1">
      <alignment horizontal="center" vertical="center"/>
    </xf>
    <xf numFmtId="189" fontId="45" fillId="28" borderId="6" xfId="0" applyNumberFormat="1" applyFont="1" applyFill="1" applyBorder="1" applyAlignment="1">
      <alignment horizontal="center" vertical="center"/>
    </xf>
    <xf numFmtId="189" fontId="45" fillId="7" borderId="6" xfId="0" applyNumberFormat="1" applyFont="1" applyFill="1" applyBorder="1" applyAlignment="1">
      <alignment horizontal="center" vertical="center"/>
    </xf>
    <xf numFmtId="189" fontId="24" fillId="5" borderId="6" xfId="0" applyNumberFormat="1" applyFont="1" applyFill="1" applyBorder="1" applyAlignment="1">
      <alignment horizontal="center" vertical="center"/>
    </xf>
    <xf numFmtId="189" fontId="24" fillId="3" borderId="35" xfId="0" applyNumberFormat="1" applyFont="1" applyFill="1" applyBorder="1" applyAlignment="1">
      <alignment horizontal="center" vertical="center"/>
    </xf>
    <xf numFmtId="189" fontId="24" fillId="3" borderId="46" xfId="0" applyNumberFormat="1" applyFont="1" applyFill="1" applyBorder="1" applyAlignment="1">
      <alignment horizontal="center" vertical="center"/>
    </xf>
    <xf numFmtId="189" fontId="24" fillId="3" borderId="9" xfId="0" applyNumberFormat="1" applyFont="1" applyFill="1" applyBorder="1" applyAlignment="1">
      <alignment horizontal="center" vertical="center"/>
    </xf>
    <xf numFmtId="0" fontId="46" fillId="34" borderId="6" xfId="0" applyFont="1" applyFill="1" applyBorder="1" applyAlignment="1">
      <alignment horizontal="center" vertical="center"/>
    </xf>
    <xf numFmtId="187" fontId="47" fillId="33" borderId="6" xfId="0" applyNumberFormat="1" applyFont="1" applyFill="1" applyBorder="1" applyAlignment="1">
      <alignment horizontal="center" vertical="center"/>
    </xf>
    <xf numFmtId="187" fontId="47" fillId="28" borderId="25" xfId="0" applyNumberFormat="1" applyFont="1" applyFill="1" applyBorder="1" applyAlignment="1">
      <alignment horizontal="center" vertical="center"/>
    </xf>
    <xf numFmtId="0" fontId="43" fillId="0" borderId="6" xfId="0" applyFont="1" applyBorder="1" applyAlignment="1">
      <alignment horizontal="center" vertical="center"/>
    </xf>
    <xf numFmtId="187" fontId="24" fillId="33" borderId="6" xfId="0" applyNumberFormat="1" applyFont="1" applyFill="1" applyBorder="1" applyAlignment="1">
      <alignment horizontal="center" vertical="center"/>
    </xf>
    <xf numFmtId="187" fontId="24" fillId="35" borderId="6" xfId="0" applyNumberFormat="1" applyFont="1" applyFill="1" applyBorder="1" applyAlignment="1">
      <alignment horizontal="center" vertical="center"/>
    </xf>
    <xf numFmtId="187" fontId="24" fillId="28" borderId="6" xfId="0" applyNumberFormat="1" applyFont="1" applyFill="1" applyBorder="1" applyAlignment="1">
      <alignment horizontal="center" vertical="center"/>
    </xf>
    <xf numFmtId="187" fontId="47" fillId="22" borderId="6" xfId="0" applyNumberFormat="1" applyFont="1" applyFill="1" applyBorder="1" applyAlignment="1">
      <alignment horizontal="center" vertical="center"/>
    </xf>
    <xf numFmtId="187" fontId="47" fillId="27" borderId="6" xfId="0" applyNumberFormat="1" applyFont="1" applyFill="1" applyBorder="1" applyAlignment="1">
      <alignment horizontal="center" vertical="center"/>
    </xf>
    <xf numFmtId="187" fontId="48" fillId="22" borderId="6" xfId="0" applyNumberFormat="1" applyFont="1" applyFill="1" applyBorder="1" applyAlignment="1">
      <alignment horizontal="center" vertical="center"/>
    </xf>
    <xf numFmtId="187" fontId="24" fillId="27" borderId="6" xfId="0" applyNumberFormat="1" applyFont="1" applyFill="1" applyBorder="1" applyAlignment="1">
      <alignment horizontal="center" vertical="center"/>
    </xf>
    <xf numFmtId="187" fontId="47" fillId="20" borderId="25" xfId="0" applyNumberFormat="1" applyFont="1" applyFill="1" applyBorder="1" applyAlignment="1">
      <alignment horizontal="center" vertical="center"/>
    </xf>
    <xf numFmtId="187" fontId="24" fillId="20" borderId="6" xfId="0" applyNumberFormat="1" applyFont="1" applyFill="1" applyBorder="1" applyAlignment="1">
      <alignment horizontal="center" vertical="center"/>
    </xf>
    <xf numFmtId="187" fontId="47" fillId="36" borderId="25" xfId="0" applyNumberFormat="1" applyFont="1" applyFill="1" applyBorder="1" applyAlignment="1">
      <alignment horizontal="center" vertical="center"/>
    </xf>
    <xf numFmtId="187" fontId="24" fillId="36" borderId="6" xfId="0" applyNumberFormat="1" applyFont="1" applyFill="1" applyBorder="1" applyAlignment="1">
      <alignment horizontal="center" vertical="center"/>
    </xf>
    <xf numFmtId="0" fontId="2" fillId="0" borderId="0" xfId="0" applyFont="1" applyAlignment="1">
      <alignment horizontal="center" vertical="center"/>
    </xf>
    <xf numFmtId="187" fontId="42" fillId="33" borderId="6" xfId="0" applyNumberFormat="1" applyFont="1" applyFill="1" applyBorder="1" applyAlignment="1">
      <alignment horizontal="center" vertical="center"/>
    </xf>
    <xf numFmtId="0" fontId="6" fillId="0" borderId="0" xfId="0" applyFont="1" applyFill="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0" fontId="51" fillId="0" borderId="0" xfId="0" applyFont="1">
      <alignment vertical="center"/>
    </xf>
    <xf numFmtId="0" fontId="51" fillId="0" borderId="0" xfId="0" applyFont="1" applyAlignment="1">
      <alignment horizontal="center" vertical="center"/>
    </xf>
    <xf numFmtId="0" fontId="1" fillId="0" borderId="0" xfId="0" applyFont="1" applyAlignment="1">
      <alignment horizontal="center" vertical="center"/>
    </xf>
    <xf numFmtId="0" fontId="6" fillId="23" borderId="6" xfId="0" applyFont="1" applyFill="1" applyBorder="1" applyAlignment="1">
      <alignment horizontal="center" vertical="center"/>
    </xf>
    <xf numFmtId="0" fontId="52" fillId="23" borderId="6" xfId="0" applyFont="1" applyFill="1" applyBorder="1" applyAlignment="1">
      <alignment horizontal="center" vertical="center"/>
    </xf>
    <xf numFmtId="0" fontId="6" fillId="23" borderId="30" xfId="0" applyFont="1" applyFill="1" applyBorder="1" applyAlignment="1">
      <alignment horizontal="center" vertical="center" wrapText="1"/>
    </xf>
    <xf numFmtId="0" fontId="26" fillId="0" borderId="6" xfId="0" applyFont="1" applyFill="1" applyBorder="1" applyAlignment="1">
      <alignment horizontal="center" vertical="center" wrapText="1"/>
    </xf>
    <xf numFmtId="0" fontId="2" fillId="0" borderId="6" xfId="0" applyFont="1" applyFill="1" applyBorder="1" applyAlignment="1">
      <alignment horizontal="center" vertical="center"/>
    </xf>
    <xf numFmtId="0" fontId="53" fillId="0" borderId="6" xfId="0" applyFont="1" applyFill="1" applyBorder="1" applyAlignment="1">
      <alignment horizontal="center" vertical="center"/>
    </xf>
    <xf numFmtId="0" fontId="1" fillId="0" borderId="6" xfId="0" applyFont="1" applyFill="1" applyBorder="1" applyAlignment="1">
      <alignment horizontal="center" vertical="center"/>
    </xf>
    <xf numFmtId="0" fontId="15" fillId="0" borderId="6" xfId="0" applyFont="1" applyFill="1" applyBorder="1" applyAlignment="1">
      <alignment vertical="center" wrapText="1"/>
    </xf>
    <xf numFmtId="176" fontId="50" fillId="0" borderId="6" xfId="0" applyNumberFormat="1" applyFont="1" applyFill="1" applyBorder="1" applyAlignment="1">
      <alignment horizontal="center" vertical="center"/>
    </xf>
    <xf numFmtId="0" fontId="5" fillId="0" borderId="6" xfId="0" applyFont="1" applyFill="1" applyBorder="1" applyAlignment="1">
      <alignment horizontal="left" vertical="center" indent="3"/>
    </xf>
    <xf numFmtId="187" fontId="50" fillId="0" borderId="6" xfId="0" applyNumberFormat="1" applyFont="1" applyFill="1" applyBorder="1" applyAlignment="1">
      <alignment horizontal="center" vertical="center"/>
    </xf>
    <xf numFmtId="0" fontId="15" fillId="0" borderId="25" xfId="0" applyFont="1" applyBorder="1" applyAlignment="1">
      <alignment horizontal="left" vertical="center" wrapText="1"/>
    </xf>
    <xf numFmtId="0" fontId="3" fillId="37" borderId="6" xfId="0" applyFont="1" applyFill="1" applyBorder="1" applyAlignment="1">
      <alignment horizontal="left" vertical="center" indent="5"/>
    </xf>
    <xf numFmtId="0" fontId="1" fillId="37" borderId="6" xfId="0" applyFont="1" applyFill="1" applyBorder="1" applyAlignment="1">
      <alignment horizontal="center" vertical="center"/>
    </xf>
    <xf numFmtId="0" fontId="53" fillId="37" borderId="6" xfId="0" applyFont="1" applyFill="1" applyBorder="1" applyAlignment="1">
      <alignment horizontal="center" vertical="center"/>
    </xf>
    <xf numFmtId="0" fontId="15" fillId="37" borderId="6" xfId="0" applyFont="1" applyFill="1" applyBorder="1" applyAlignment="1">
      <alignment vertical="center" wrapText="1"/>
    </xf>
    <xf numFmtId="187" fontId="50" fillId="37" borderId="6" xfId="0" applyNumberFormat="1" applyFont="1" applyFill="1" applyBorder="1" applyAlignment="1">
      <alignment horizontal="center" vertical="center"/>
    </xf>
    <xf numFmtId="0" fontId="15" fillId="0" borderId="30" xfId="0" applyFont="1" applyBorder="1" applyAlignment="1">
      <alignment horizontal="left" vertical="center" wrapText="1"/>
    </xf>
    <xf numFmtId="0" fontId="15" fillId="0" borderId="7" xfId="0" applyFont="1" applyBorder="1" applyAlignment="1">
      <alignment horizontal="left" vertical="center" wrapText="1"/>
    </xf>
    <xf numFmtId="0" fontId="3" fillId="37" borderId="6" xfId="0" applyFont="1" applyFill="1" applyBorder="1" applyAlignment="1">
      <alignment horizontal="left" vertical="center" indent="3"/>
    </xf>
    <xf numFmtId="0" fontId="2" fillId="37" borderId="6" xfId="0" applyFont="1" applyFill="1" applyBorder="1" applyAlignment="1">
      <alignment horizontal="center" vertical="center"/>
    </xf>
    <xf numFmtId="176" fontId="50" fillId="37" borderId="6" xfId="0" applyNumberFormat="1" applyFont="1" applyFill="1" applyBorder="1" applyAlignment="1">
      <alignment horizontal="center" vertical="center"/>
    </xf>
    <xf numFmtId="177" fontId="50" fillId="37" borderId="6" xfId="0" applyNumberFormat="1" applyFont="1" applyFill="1" applyBorder="1" applyAlignment="1">
      <alignment horizontal="center" vertical="center"/>
    </xf>
    <xf numFmtId="9" fontId="54" fillId="0" borderId="6" xfId="0" applyNumberFormat="1" applyFont="1" applyFill="1" applyBorder="1" applyAlignment="1">
      <alignment horizontal="center" vertical="center"/>
    </xf>
    <xf numFmtId="57" fontId="3" fillId="0" borderId="6" xfId="0" applyNumberFormat="1" applyFont="1" applyFill="1" applyBorder="1" applyAlignment="1">
      <alignment horizontal="left" vertical="center" indent="3"/>
    </xf>
    <xf numFmtId="0" fontId="15" fillId="0" borderId="6" xfId="0" applyFont="1" applyBorder="1" applyAlignment="1">
      <alignment vertical="center" wrapText="1"/>
    </xf>
    <xf numFmtId="10" fontId="50" fillId="0" borderId="6" xfId="0" applyNumberFormat="1" applyFont="1" applyBorder="1" applyAlignment="1">
      <alignment horizontal="center" vertical="center"/>
    </xf>
    <xf numFmtId="0" fontId="15" fillId="0" borderId="6" xfId="0" applyFont="1" applyBorder="1" applyAlignment="1">
      <alignment horizontal="center" vertical="center"/>
    </xf>
    <xf numFmtId="0" fontId="15" fillId="0" borderId="6" xfId="0" applyFont="1" applyBorder="1" applyAlignment="1">
      <alignment horizontal="center" vertical="center" wrapText="1"/>
    </xf>
    <xf numFmtId="0" fontId="50" fillId="0" borderId="6" xfId="0" applyFont="1" applyFill="1" applyBorder="1" applyAlignment="1">
      <alignment horizontal="center" vertical="center"/>
    </xf>
    <xf numFmtId="0" fontId="6" fillId="0" borderId="30" xfId="0" applyFont="1" applyFill="1" applyBorder="1" applyAlignment="1">
      <alignment horizontal="center" vertical="center" wrapText="1"/>
    </xf>
    <xf numFmtId="0" fontId="50" fillId="0" borderId="6" xfId="0" applyFont="1" applyBorder="1" applyAlignment="1">
      <alignment horizontal="center" vertical="center"/>
    </xf>
    <xf numFmtId="0" fontId="6" fillId="23" borderId="7" xfId="0" applyFont="1" applyFill="1" applyBorder="1" applyAlignment="1">
      <alignment horizontal="center" vertical="center" wrapText="1"/>
    </xf>
    <xf numFmtId="176" fontId="50" fillId="0" borderId="6" xfId="0" applyNumberFormat="1" applyFont="1" applyBorder="1" applyAlignment="1">
      <alignment horizontal="center" vertical="center"/>
    </xf>
    <xf numFmtId="190" fontId="3" fillId="0" borderId="6" xfId="0" applyNumberFormat="1" applyFont="1" applyFill="1" applyBorder="1" applyAlignment="1">
      <alignment horizontal="left" vertical="center" indent="4"/>
    </xf>
    <xf numFmtId="9" fontId="50" fillId="0" borderId="6" xfId="0" applyNumberFormat="1" applyFont="1" applyFill="1" applyBorder="1" applyAlignment="1">
      <alignment horizontal="center" vertical="center"/>
    </xf>
    <xf numFmtId="0" fontId="15" fillId="0" borderId="6" xfId="0" applyFont="1" applyFill="1" applyBorder="1" applyAlignment="1">
      <alignment horizontal="center" vertical="center" wrapText="1"/>
    </xf>
    <xf numFmtId="0" fontId="49" fillId="0" borderId="6" xfId="0" applyFont="1" applyFill="1" applyBorder="1" applyAlignment="1">
      <alignment horizontal="center" vertical="center"/>
    </xf>
    <xf numFmtId="0" fontId="30" fillId="0" borderId="6" xfId="0" applyFont="1" applyFill="1" applyBorder="1" applyAlignment="1">
      <alignment horizontal="center" vertical="center"/>
    </xf>
    <xf numFmtId="9" fontId="3" fillId="0" borderId="6" xfId="0" applyNumberFormat="1" applyFont="1" applyFill="1" applyBorder="1" applyAlignment="1">
      <alignment horizontal="center" vertical="center"/>
    </xf>
    <xf numFmtId="0" fontId="15" fillId="0" borderId="6" xfId="0" applyFont="1" applyFill="1" applyBorder="1" applyAlignment="1">
      <alignment horizontal="left" vertical="center" indent="4"/>
    </xf>
    <xf numFmtId="0" fontId="53" fillId="0" borderId="6"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24" fillId="0" borderId="6" xfId="0" applyFont="1" applyBorder="1" applyAlignment="1">
      <alignment horizontal="center" vertical="center" wrapText="1"/>
    </xf>
    <xf numFmtId="0" fontId="15" fillId="0" borderId="6" xfId="0" applyFont="1" applyFill="1" applyBorder="1" applyAlignment="1">
      <alignment horizontal="left" vertical="center" indent="5"/>
    </xf>
    <xf numFmtId="0" fontId="55" fillId="0" borderId="6" xfId="0" applyFont="1" applyFill="1" applyBorder="1" applyAlignment="1">
      <alignment horizontal="center" vertical="center"/>
    </xf>
    <xf numFmtId="0" fontId="48" fillId="0" borderId="6" xfId="0" applyFont="1" applyFill="1" applyBorder="1" applyAlignment="1">
      <alignment horizontal="center" vertical="center"/>
    </xf>
    <xf numFmtId="0" fontId="48" fillId="0" borderId="6" xfId="0" applyFont="1" applyBorder="1" applyAlignment="1">
      <alignment vertical="center" wrapText="1"/>
    </xf>
    <xf numFmtId="177" fontId="3" fillId="0" borderId="6" xfId="0" applyNumberFormat="1" applyFont="1" applyBorder="1" applyAlignment="1">
      <alignment horizontal="center" vertical="center"/>
    </xf>
    <xf numFmtId="0" fontId="24" fillId="0" borderId="6" xfId="0" applyFont="1" applyBorder="1">
      <alignment vertical="center"/>
    </xf>
    <xf numFmtId="0" fontId="1" fillId="0" borderId="6" xfId="0" applyFont="1" applyBorder="1" applyAlignment="1">
      <alignment vertical="center" wrapText="1"/>
    </xf>
    <xf numFmtId="0" fontId="1" fillId="0" borderId="6" xfId="0" applyFont="1" applyFill="1" applyBorder="1" applyAlignment="1">
      <alignment vertical="center" wrapText="1"/>
    </xf>
    <xf numFmtId="0" fontId="6" fillId="23" borderId="25" xfId="0" applyFont="1" applyFill="1" applyBorder="1" applyAlignment="1">
      <alignment horizontal="center" vertical="center" wrapText="1"/>
    </xf>
    <xf numFmtId="2" fontId="50" fillId="0" borderId="6" xfId="0" applyNumberFormat="1" applyFont="1" applyFill="1" applyBorder="1" applyAlignment="1">
      <alignment horizontal="right" vertical="center"/>
    </xf>
    <xf numFmtId="9" fontId="1" fillId="0" borderId="6" xfId="0" applyNumberFormat="1" applyFont="1" applyFill="1" applyBorder="1" applyAlignment="1">
      <alignment horizontal="center" vertical="center"/>
    </xf>
    <xf numFmtId="2" fontId="19" fillId="0" borderId="6" xfId="0" applyNumberFormat="1" applyFont="1" applyFill="1" applyBorder="1" applyAlignment="1">
      <alignment horizontal="right" vertical="center"/>
    </xf>
    <xf numFmtId="0" fontId="6" fillId="38" borderId="30" xfId="0" applyFont="1" applyFill="1" applyBorder="1" applyAlignment="1">
      <alignment horizontal="center" vertical="center"/>
    </xf>
    <xf numFmtId="57" fontId="5" fillId="0" borderId="6" xfId="0" applyNumberFormat="1" applyFont="1" applyFill="1" applyBorder="1" applyAlignment="1">
      <alignment horizontal="left" vertical="center" indent="3"/>
    </xf>
    <xf numFmtId="0" fontId="6" fillId="0" borderId="6" xfId="0" applyFont="1" applyFill="1" applyBorder="1">
      <alignment vertical="center"/>
    </xf>
    <xf numFmtId="0" fontId="3" fillId="37" borderId="6" xfId="0" applyFont="1" applyFill="1" applyBorder="1" applyAlignment="1">
      <alignment horizontal="left" vertical="center" indent="2"/>
    </xf>
    <xf numFmtId="0" fontId="1" fillId="37" borderId="6" xfId="0" applyFont="1" applyFill="1" applyBorder="1" applyAlignment="1">
      <alignment vertical="center" wrapText="1"/>
    </xf>
    <xf numFmtId="0" fontId="50" fillId="37" borderId="6" xfId="0" applyFont="1" applyFill="1" applyBorder="1" applyAlignment="1">
      <alignment horizontal="center" vertical="center"/>
    </xf>
    <xf numFmtId="0" fontId="26" fillId="0" borderId="6" xfId="0" applyFont="1" applyFill="1" applyBorder="1" applyAlignment="1">
      <alignment horizontal="center" vertical="center"/>
    </xf>
    <xf numFmtId="0" fontId="53" fillId="0" borderId="25" xfId="0" applyFont="1" applyFill="1" applyBorder="1" applyAlignment="1">
      <alignment horizontal="center" vertical="center"/>
    </xf>
    <xf numFmtId="0" fontId="1" fillId="0" borderId="25" xfId="0" applyFont="1" applyFill="1" applyBorder="1" applyAlignment="1">
      <alignment horizontal="center" vertical="center"/>
    </xf>
    <xf numFmtId="10" fontId="50" fillId="0" borderId="6" xfId="0" applyNumberFormat="1" applyFont="1" applyFill="1" applyBorder="1" applyAlignment="1">
      <alignment horizontal="center" vertical="center"/>
    </xf>
    <xf numFmtId="0" fontId="5" fillId="0" borderId="25" xfId="0" applyFont="1" applyFill="1" applyBorder="1" applyAlignment="1">
      <alignment horizontal="left" vertical="center"/>
    </xf>
    <xf numFmtId="0" fontId="49" fillId="0" borderId="25" xfId="0" applyFont="1" applyFill="1" applyBorder="1" applyAlignment="1">
      <alignment horizontal="center" vertical="center"/>
    </xf>
    <xf numFmtId="0" fontId="30" fillId="0" borderId="25" xfId="0" applyFont="1" applyFill="1" applyBorder="1" applyAlignment="1">
      <alignment horizontal="center" vertical="center"/>
    </xf>
    <xf numFmtId="0" fontId="30" fillId="0" borderId="6" xfId="0" applyFont="1" applyFill="1" applyBorder="1" applyAlignment="1">
      <alignment vertical="center" wrapText="1"/>
    </xf>
    <xf numFmtId="0" fontId="27" fillId="0" borderId="6" xfId="0" applyFont="1" applyFill="1" applyBorder="1" applyAlignment="1">
      <alignment horizontal="left" vertical="center" indent="5"/>
    </xf>
    <xf numFmtId="0" fontId="30" fillId="0" borderId="6" xfId="0" applyFont="1" applyBorder="1" applyAlignment="1">
      <alignment horizontal="center" vertical="center"/>
    </xf>
    <xf numFmtId="0" fontId="26" fillId="0" borderId="6" xfId="0" applyFont="1" applyBorder="1" applyAlignment="1">
      <alignment horizontal="center" vertical="center"/>
    </xf>
    <xf numFmtId="0" fontId="5" fillId="0" borderId="6" xfId="0" applyFont="1" applyFill="1" applyBorder="1" applyAlignment="1">
      <alignment horizontal="left" vertical="center" indent="2"/>
    </xf>
    <xf numFmtId="2" fontId="50" fillId="0" borderId="6" xfId="0" applyNumberFormat="1" applyFont="1" applyBorder="1" applyAlignment="1">
      <alignment horizontal="center" vertical="center"/>
    </xf>
    <xf numFmtId="49" fontId="15" fillId="7" borderId="6" xfId="0" applyNumberFormat="1" applyFont="1" applyFill="1" applyBorder="1" applyAlignment="1">
      <alignment horizontal="center" vertical="center"/>
    </xf>
    <xf numFmtId="0" fontId="6" fillId="7" borderId="6" xfId="0" applyFont="1" applyFill="1" applyBorder="1">
      <alignment vertical="center"/>
    </xf>
    <xf numFmtId="0" fontId="30" fillId="7" borderId="6" xfId="0" applyFont="1" applyFill="1" applyBorder="1" applyAlignment="1">
      <alignment horizontal="center" vertical="center"/>
    </xf>
    <xf numFmtId="0" fontId="49" fillId="7" borderId="25" xfId="0" applyFont="1" applyFill="1" applyBorder="1" applyAlignment="1">
      <alignment horizontal="center" vertical="center"/>
    </xf>
    <xf numFmtId="0" fontId="30" fillId="7" borderId="25" xfId="0" applyFont="1" applyFill="1" applyBorder="1" applyAlignment="1">
      <alignment horizontal="center" vertical="center"/>
    </xf>
    <xf numFmtId="0" fontId="30" fillId="7" borderId="6" xfId="0" applyFont="1" applyFill="1" applyBorder="1" applyAlignment="1">
      <alignment vertical="center" wrapText="1"/>
    </xf>
    <xf numFmtId="0" fontId="50" fillId="7" borderId="6" xfId="0" applyFont="1" applyFill="1" applyBorder="1" applyAlignment="1">
      <alignment horizontal="center" vertical="center"/>
    </xf>
    <xf numFmtId="0" fontId="26" fillId="7" borderId="6" xfId="0" applyFont="1" applyFill="1" applyBorder="1" applyAlignment="1">
      <alignment horizontal="center" vertical="center"/>
    </xf>
    <xf numFmtId="9" fontId="50" fillId="7" borderId="6" xfId="0" applyNumberFormat="1" applyFont="1" applyFill="1" applyBorder="1" applyAlignment="1">
      <alignment horizontal="center" vertical="center"/>
    </xf>
    <xf numFmtId="0" fontId="6" fillId="39" borderId="25" xfId="0" applyFont="1" applyFill="1" applyBorder="1" applyAlignment="1">
      <alignment horizontal="center" vertical="center" wrapText="1"/>
    </xf>
    <xf numFmtId="9" fontId="50" fillId="0" borderId="6" xfId="0" applyNumberFormat="1" applyFont="1" applyBorder="1" applyAlignment="1">
      <alignment horizontal="center" vertical="center"/>
    </xf>
    <xf numFmtId="0" fontId="6" fillId="0" borderId="25" xfId="0" applyFont="1" applyFill="1" applyBorder="1" applyAlignment="1">
      <alignment horizontal="center" vertical="center" wrapText="1"/>
    </xf>
    <xf numFmtId="0" fontId="2" fillId="0" borderId="6" xfId="0" applyFont="1" applyFill="1" applyBorder="1" applyAlignment="1">
      <alignment horizontal="center" vertical="center" wrapText="1"/>
    </xf>
    <xf numFmtId="176" fontId="19" fillId="0" borderId="6" xfId="0" applyNumberFormat="1" applyFont="1" applyFill="1" applyBorder="1" applyAlignment="1">
      <alignment horizontal="center" vertical="center"/>
    </xf>
    <xf numFmtId="0" fontId="47" fillId="0" borderId="25" xfId="0" applyFont="1" applyFill="1" applyBorder="1" applyAlignment="1">
      <alignment horizontal="center" vertical="center" wrapText="1"/>
    </xf>
    <xf numFmtId="0" fontId="24" fillId="0" borderId="6" xfId="0" applyFont="1" applyBorder="1" applyAlignment="1">
      <alignment vertical="center" wrapText="1"/>
    </xf>
    <xf numFmtId="176" fontId="42" fillId="0" borderId="6" xfId="0" applyNumberFormat="1" applyFont="1" applyBorder="1" applyAlignment="1">
      <alignment horizontal="center" vertical="center"/>
    </xf>
    <xf numFmtId="0" fontId="15" fillId="0" borderId="25" xfId="0" applyFont="1" applyBorder="1" applyAlignment="1">
      <alignment vertical="center" wrapText="1"/>
    </xf>
    <xf numFmtId="0" fontId="48" fillId="0" borderId="25" xfId="0" applyFont="1" applyFill="1" applyBorder="1" applyAlignment="1">
      <alignment horizontal="center" vertical="center"/>
    </xf>
    <xf numFmtId="0" fontId="24" fillId="0" borderId="25" xfId="0" applyFont="1" applyBorder="1" applyAlignment="1">
      <alignment vertical="center" wrapText="1"/>
    </xf>
    <xf numFmtId="0" fontId="15" fillId="0" borderId="25" xfId="0" applyFont="1" applyBorder="1" applyAlignment="1">
      <alignment horizontal="center" vertical="center" wrapText="1"/>
    </xf>
    <xf numFmtId="191" fontId="50" fillId="0" borderId="6" xfId="0" applyNumberFormat="1" applyFont="1" applyBorder="1" applyAlignment="1">
      <alignment horizontal="center" vertical="center"/>
    </xf>
    <xf numFmtId="0" fontId="26" fillId="0" borderId="25"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7" xfId="0" applyFont="1" applyFill="1" applyBorder="1" applyAlignment="1">
      <alignment horizontal="center" vertical="center"/>
    </xf>
    <xf numFmtId="0" fontId="15" fillId="0" borderId="7" xfId="0" applyFont="1" applyBorder="1" applyAlignment="1">
      <alignment horizontal="center" vertical="center" wrapText="1"/>
    </xf>
    <xf numFmtId="0" fontId="1" fillId="0" borderId="7" xfId="0" applyFont="1" applyBorder="1" applyAlignment="1">
      <alignment horizontal="center" vertical="center" wrapText="1"/>
    </xf>
    <xf numFmtId="0" fontId="1" fillId="0" borderId="7" xfId="0" applyFont="1" applyFill="1" applyBorder="1" applyAlignment="1">
      <alignment horizontal="center" vertical="center" wrapText="1"/>
    </xf>
    <xf numFmtId="0" fontId="6" fillId="28" borderId="25" xfId="0" applyFont="1" applyFill="1" applyBorder="1" applyAlignment="1">
      <alignment horizontal="center" vertical="center" wrapText="1"/>
    </xf>
    <xf numFmtId="49" fontId="15" fillId="0" borderId="6" xfId="0" applyNumberFormat="1" applyFont="1" applyBorder="1" applyAlignment="1">
      <alignment horizontal="center" vertical="center" wrapText="1"/>
    </xf>
    <xf numFmtId="0" fontId="1" fillId="0" borderId="6" xfId="0" applyFont="1" applyBorder="1">
      <alignment vertical="center"/>
    </xf>
    <xf numFmtId="49" fontId="15" fillId="0" borderId="6" xfId="0" applyNumberFormat="1" applyFont="1" applyFill="1" applyBorder="1" applyAlignment="1">
      <alignment horizontal="center" vertical="center" wrapText="1"/>
    </xf>
    <xf numFmtId="0" fontId="6" fillId="0" borderId="6" xfId="0" applyFont="1" applyFill="1" applyBorder="1" applyAlignment="1">
      <alignment horizontal="center" vertical="center"/>
    </xf>
    <xf numFmtId="0" fontId="1" fillId="0" borderId="6" xfId="0" applyFont="1" applyFill="1" applyBorder="1">
      <alignment vertical="center"/>
    </xf>
    <xf numFmtId="0" fontId="19" fillId="0" borderId="6" xfId="0" applyFont="1" applyFill="1" applyBorder="1" applyAlignment="1">
      <alignment horizontal="center" vertical="center"/>
    </xf>
    <xf numFmtId="0" fontId="27" fillId="0" borderId="6" xfId="0" applyFont="1" applyFill="1" applyBorder="1" applyAlignment="1">
      <alignment horizontal="center" vertical="center"/>
    </xf>
    <xf numFmtId="0" fontId="30" fillId="0" borderId="6" xfId="0" applyFont="1" applyBorder="1">
      <alignment vertical="center"/>
    </xf>
    <xf numFmtId="0" fontId="2" fillId="0" borderId="25" xfId="0" applyFont="1" applyFill="1" applyBorder="1" applyAlignment="1">
      <alignment horizontal="center" vertical="center"/>
    </xf>
    <xf numFmtId="0" fontId="2" fillId="0" borderId="6" xfId="0" applyFont="1" applyFill="1" applyBorder="1" applyAlignment="1">
      <alignment horizontal="left" vertical="center" indent="2"/>
    </xf>
    <xf numFmtId="0" fontId="19" fillId="27" borderId="6" xfId="0" applyFont="1" applyFill="1" applyBorder="1" applyAlignment="1">
      <alignment horizontal="center" vertical="center"/>
    </xf>
    <xf numFmtId="0" fontId="56" fillId="0" borderId="6" xfId="0" applyFont="1" applyFill="1" applyBorder="1" applyAlignment="1">
      <alignment horizontal="center" vertical="center"/>
    </xf>
    <xf numFmtId="0" fontId="5" fillId="0" borderId="6" xfId="0" applyFont="1" applyFill="1" applyBorder="1" applyAlignment="1">
      <alignment horizontal="left" vertical="center" indent="6"/>
    </xf>
    <xf numFmtId="0" fontId="9" fillId="0" borderId="6" xfId="0" applyFont="1" applyFill="1" applyBorder="1" applyAlignment="1">
      <alignment horizontal="center" vertical="center" wrapText="1"/>
    </xf>
    <xf numFmtId="10" fontId="19" fillId="0" borderId="6" xfId="3" applyNumberFormat="1" applyFont="1" applyFill="1" applyBorder="1" applyAlignment="1">
      <alignment horizontal="center" vertical="center"/>
    </xf>
    <xf numFmtId="0" fontId="6" fillId="23" borderId="56" xfId="0" applyFont="1" applyFill="1" applyBorder="1" applyAlignment="1">
      <alignment horizontal="center" vertical="center" wrapText="1"/>
    </xf>
    <xf numFmtId="0" fontId="26" fillId="0" borderId="9" xfId="0" applyFont="1" applyBorder="1" applyAlignment="1">
      <alignment horizontal="center" vertical="center" wrapText="1"/>
    </xf>
    <xf numFmtId="0" fontId="6" fillId="23" borderId="0" xfId="0" applyFont="1" applyFill="1" applyAlignment="1">
      <alignment horizontal="center" vertical="center" wrapText="1"/>
    </xf>
    <xf numFmtId="9" fontId="1" fillId="0" borderId="6" xfId="0" applyNumberFormat="1" applyFont="1" applyBorder="1" applyAlignment="1">
      <alignment horizontal="left" vertical="center" wrapText="1"/>
    </xf>
    <xf numFmtId="0" fontId="15" fillId="0" borderId="9" xfId="0" applyFont="1" applyBorder="1" applyAlignment="1">
      <alignment horizontal="center" vertical="center" wrapText="1"/>
    </xf>
    <xf numFmtId="0" fontId="26" fillId="0" borderId="9" xfId="0" applyFont="1" applyFill="1" applyBorder="1" applyAlignment="1">
      <alignment horizontal="center" vertical="center" wrapText="1"/>
    </xf>
    <xf numFmtId="0" fontId="9" fillId="0" borderId="6" xfId="0" applyFont="1" applyFill="1" applyBorder="1">
      <alignment vertical="center"/>
    </xf>
    <xf numFmtId="0" fontId="3" fillId="0" borderId="6" xfId="0" applyFont="1" applyFill="1" applyBorder="1" applyAlignment="1">
      <alignment vertical="center" wrapText="1"/>
    </xf>
    <xf numFmtId="0" fontId="15" fillId="0" borderId="9" xfId="0" applyFont="1" applyFill="1" applyBorder="1" applyAlignment="1">
      <alignment horizontal="center" vertical="center" wrapText="1"/>
    </xf>
    <xf numFmtId="0" fontId="26" fillId="7" borderId="6" xfId="0" applyFont="1" applyFill="1" applyBorder="1" applyAlignment="1">
      <alignment horizontal="center" vertical="center" wrapText="1"/>
    </xf>
    <xf numFmtId="0" fontId="9" fillId="7" borderId="6" xfId="0" applyFont="1" applyFill="1" applyBorder="1">
      <alignment vertical="center"/>
    </xf>
    <xf numFmtId="0" fontId="1" fillId="7" borderId="6" xfId="0" applyFont="1" applyFill="1" applyBorder="1" applyAlignment="1">
      <alignment horizontal="center" vertical="center"/>
    </xf>
    <xf numFmtId="0" fontId="53" fillId="7" borderId="6" xfId="0" applyFont="1" applyFill="1" applyBorder="1" applyAlignment="1">
      <alignment horizontal="center" vertical="center"/>
    </xf>
    <xf numFmtId="0" fontId="2" fillId="7" borderId="6" xfId="0" applyFont="1" applyFill="1" applyBorder="1" applyAlignment="1">
      <alignment horizontal="center" vertical="center"/>
    </xf>
    <xf numFmtId="0" fontId="15" fillId="7" borderId="6" xfId="0" applyFont="1" applyFill="1" applyBorder="1" applyAlignment="1">
      <alignment vertical="center" wrapText="1"/>
    </xf>
    <xf numFmtId="0" fontId="15" fillId="7" borderId="6" xfId="0" applyFont="1" applyFill="1" applyBorder="1" applyAlignment="1">
      <alignment horizontal="center" vertical="center" wrapText="1"/>
    </xf>
    <xf numFmtId="0" fontId="15" fillId="7" borderId="6" xfId="0" applyFont="1" applyFill="1" applyBorder="1" applyAlignment="1">
      <alignment horizontal="center" vertical="center"/>
    </xf>
    <xf numFmtId="182" fontId="50" fillId="7" borderId="6" xfId="0" applyNumberFormat="1" applyFont="1" applyFill="1" applyBorder="1" applyAlignment="1">
      <alignment horizontal="center" vertical="center"/>
    </xf>
    <xf numFmtId="0" fontId="3" fillId="0" borderId="0" xfId="0" applyFont="1" applyAlignment="1">
      <alignment vertical="center"/>
    </xf>
    <xf numFmtId="0" fontId="53" fillId="0" borderId="0" xfId="0" applyFont="1" applyAlignment="1">
      <alignment horizontal="center" vertical="center"/>
    </xf>
    <xf numFmtId="0" fontId="5" fillId="2" borderId="56" xfId="0" applyFont="1" applyFill="1" applyBorder="1" applyAlignment="1">
      <alignment horizontal="center" vertical="center"/>
    </xf>
    <xf numFmtId="0" fontId="3" fillId="0" borderId="9" xfId="0" applyFont="1" applyBorder="1" applyAlignment="1">
      <alignment horizontal="center" vertical="center"/>
    </xf>
    <xf numFmtId="0" fontId="5" fillId="2" borderId="0" xfId="0" applyFont="1" applyFill="1" applyAlignment="1">
      <alignment horizontal="center" vertical="center"/>
    </xf>
    <xf numFmtId="9" fontId="3" fillId="0" borderId="6" xfId="0" applyNumberFormat="1" applyFont="1" applyBorder="1" applyAlignment="1">
      <alignment horizontal="center" vertical="center"/>
    </xf>
    <xf numFmtId="0" fontId="53" fillId="0" borderId="6" xfId="0" applyFont="1" applyBorder="1" applyAlignment="1">
      <alignment horizontal="center" vertical="center"/>
    </xf>
    <xf numFmtId="0" fontId="3" fillId="0" borderId="9" xfId="0" applyFont="1" applyBorder="1" applyAlignment="1">
      <alignment horizontal="left" vertical="center" indent="2"/>
    </xf>
    <xf numFmtId="0" fontId="57"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numFmt numFmtId="177" formatCode="0_ "/>
    </dxf>
    <dxf>
      <font>
        <b val="1"/>
        <i val="0"/>
        <color rgb="FFC00000"/>
      </font>
    </dxf>
    <dxf>
      <font>
        <b val="1"/>
        <i val="0"/>
        <color rgb="FFFF0000"/>
      </font>
    </dxf>
  </dxfs>
  <tableStyles count="0" defaultTableStyle="TableStyleMedium2" defaultPivotStyle="PivotStyleLight16"/>
  <colors>
    <mruColors>
      <color rgb="008A72F2"/>
      <color rgb="00F286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sheetPr>
  <dimension ref="B1:L1082"/>
  <sheetViews>
    <sheetView showGridLines="0" zoomScale="70" zoomScaleNormal="70" workbookViewId="0">
      <pane xSplit="2" ySplit="3" topLeftCell="C200" activePane="bottomRight" state="frozen"/>
      <selection/>
      <selection pane="topRight"/>
      <selection pane="bottomLeft"/>
      <selection pane="bottomRight" activeCell="I253" sqref="I253"/>
    </sheetView>
  </sheetViews>
  <sheetFormatPr defaultColWidth="9.78181818181818" defaultRowHeight="21.5"/>
  <cols>
    <col min="1" max="1" width="2.55454545454545" style="106" customWidth="1"/>
    <col min="2" max="2" width="12.7818181818182" style="106" customWidth="1"/>
    <col min="3" max="3" width="9.55454545454545" style="310" customWidth="1"/>
    <col min="4" max="4" width="55" style="6" customWidth="1"/>
    <col min="5" max="5" width="42.2181818181818" style="310" customWidth="1"/>
    <col min="6" max="6" width="23.4454545454545" style="732" customWidth="1"/>
    <col min="7" max="7" width="17.2181818181818" style="310" customWidth="1"/>
    <col min="8" max="8" width="39.2181818181818" style="106" customWidth="1"/>
    <col min="9" max="9" width="25.4454545454545" style="733" customWidth="1"/>
    <col min="10" max="10" width="18" style="310" customWidth="1"/>
    <col min="11" max="11" width="86.5545454545454" style="106" customWidth="1"/>
    <col min="12" max="12" width="21.7818181818182" style="106" customWidth="1"/>
    <col min="13" max="258" width="9.78181818181818" style="106"/>
    <col min="259" max="259" width="5.78181818181818" style="106" customWidth="1"/>
    <col min="260" max="260" width="15.5545454545455" style="106" customWidth="1"/>
    <col min="261" max="261" width="9.55454545454545" style="106" customWidth="1"/>
    <col min="262" max="262" width="30.8909090909091" style="106" customWidth="1"/>
    <col min="263" max="263" width="17.2181818181818" style="106" customWidth="1"/>
    <col min="264" max="264" width="69.2181818181818" style="106" customWidth="1"/>
    <col min="265" max="265" width="19.7818181818182" style="106" customWidth="1"/>
    <col min="266" max="266" width="18" style="106" customWidth="1"/>
    <col min="267" max="267" width="72.1090909090909" style="106" customWidth="1"/>
    <col min="268" max="268" width="21.7818181818182" style="106" customWidth="1"/>
    <col min="269" max="514" width="9.78181818181818" style="106"/>
    <col min="515" max="515" width="5.78181818181818" style="106" customWidth="1"/>
    <col min="516" max="516" width="15.5545454545455" style="106" customWidth="1"/>
    <col min="517" max="517" width="9.55454545454545" style="106" customWidth="1"/>
    <col min="518" max="518" width="30.8909090909091" style="106" customWidth="1"/>
    <col min="519" max="519" width="17.2181818181818" style="106" customWidth="1"/>
    <col min="520" max="520" width="69.2181818181818" style="106" customWidth="1"/>
    <col min="521" max="521" width="19.7818181818182" style="106" customWidth="1"/>
    <col min="522" max="522" width="18" style="106" customWidth="1"/>
    <col min="523" max="523" width="72.1090909090909" style="106" customWidth="1"/>
    <col min="524" max="524" width="21.7818181818182" style="106" customWidth="1"/>
    <col min="525" max="770" width="9.78181818181818" style="106"/>
    <col min="771" max="771" width="5.78181818181818" style="106" customWidth="1"/>
    <col min="772" max="772" width="15.5545454545455" style="106" customWidth="1"/>
    <col min="773" max="773" width="9.55454545454545" style="106" customWidth="1"/>
    <col min="774" max="774" width="30.8909090909091" style="106" customWidth="1"/>
    <col min="775" max="775" width="17.2181818181818" style="106" customWidth="1"/>
    <col min="776" max="776" width="69.2181818181818" style="106" customWidth="1"/>
    <col min="777" max="777" width="19.7818181818182" style="106" customWidth="1"/>
    <col min="778" max="778" width="18" style="106" customWidth="1"/>
    <col min="779" max="779" width="72.1090909090909" style="106" customWidth="1"/>
    <col min="780" max="780" width="21.7818181818182" style="106" customWidth="1"/>
    <col min="781" max="1026" width="9.78181818181818" style="106"/>
    <col min="1027" max="1027" width="5.78181818181818" style="106" customWidth="1"/>
    <col min="1028" max="1028" width="15.5545454545455" style="106" customWidth="1"/>
    <col min="1029" max="1029" width="9.55454545454545" style="106" customWidth="1"/>
    <col min="1030" max="1030" width="30.8909090909091" style="106" customWidth="1"/>
    <col min="1031" max="1031" width="17.2181818181818" style="106" customWidth="1"/>
    <col min="1032" max="1032" width="69.2181818181818" style="106" customWidth="1"/>
    <col min="1033" max="1033" width="19.7818181818182" style="106" customWidth="1"/>
    <col min="1034" max="1034" width="18" style="106" customWidth="1"/>
    <col min="1035" max="1035" width="72.1090909090909" style="106" customWidth="1"/>
    <col min="1036" max="1036" width="21.7818181818182" style="106" customWidth="1"/>
    <col min="1037" max="1282" width="9.78181818181818" style="106"/>
    <col min="1283" max="1283" width="5.78181818181818" style="106" customWidth="1"/>
    <col min="1284" max="1284" width="15.5545454545455" style="106" customWidth="1"/>
    <col min="1285" max="1285" width="9.55454545454545" style="106" customWidth="1"/>
    <col min="1286" max="1286" width="30.8909090909091" style="106" customWidth="1"/>
    <col min="1287" max="1287" width="17.2181818181818" style="106" customWidth="1"/>
    <col min="1288" max="1288" width="69.2181818181818" style="106" customWidth="1"/>
    <col min="1289" max="1289" width="19.7818181818182" style="106" customWidth="1"/>
    <col min="1290" max="1290" width="18" style="106" customWidth="1"/>
    <col min="1291" max="1291" width="72.1090909090909" style="106" customWidth="1"/>
    <col min="1292" max="1292" width="21.7818181818182" style="106" customWidth="1"/>
    <col min="1293" max="1538" width="9.78181818181818" style="106"/>
    <col min="1539" max="1539" width="5.78181818181818" style="106" customWidth="1"/>
    <col min="1540" max="1540" width="15.5545454545455" style="106" customWidth="1"/>
    <col min="1541" max="1541" width="9.55454545454545" style="106" customWidth="1"/>
    <col min="1542" max="1542" width="30.8909090909091" style="106" customWidth="1"/>
    <col min="1543" max="1543" width="17.2181818181818" style="106" customWidth="1"/>
    <col min="1544" max="1544" width="69.2181818181818" style="106" customWidth="1"/>
    <col min="1545" max="1545" width="19.7818181818182" style="106" customWidth="1"/>
    <col min="1546" max="1546" width="18" style="106" customWidth="1"/>
    <col min="1547" max="1547" width="72.1090909090909" style="106" customWidth="1"/>
    <col min="1548" max="1548" width="21.7818181818182" style="106" customWidth="1"/>
    <col min="1549" max="1794" width="9.78181818181818" style="106"/>
    <col min="1795" max="1795" width="5.78181818181818" style="106" customWidth="1"/>
    <col min="1796" max="1796" width="15.5545454545455" style="106" customWidth="1"/>
    <col min="1797" max="1797" width="9.55454545454545" style="106" customWidth="1"/>
    <col min="1798" max="1798" width="30.8909090909091" style="106" customWidth="1"/>
    <col min="1799" max="1799" width="17.2181818181818" style="106" customWidth="1"/>
    <col min="1800" max="1800" width="69.2181818181818" style="106" customWidth="1"/>
    <col min="1801" max="1801" width="19.7818181818182" style="106" customWidth="1"/>
    <col min="1802" max="1802" width="18" style="106" customWidth="1"/>
    <col min="1803" max="1803" width="72.1090909090909" style="106" customWidth="1"/>
    <col min="1804" max="1804" width="21.7818181818182" style="106" customWidth="1"/>
    <col min="1805" max="2050" width="9.78181818181818" style="106"/>
    <col min="2051" max="2051" width="5.78181818181818" style="106" customWidth="1"/>
    <col min="2052" max="2052" width="15.5545454545455" style="106" customWidth="1"/>
    <col min="2053" max="2053" width="9.55454545454545" style="106" customWidth="1"/>
    <col min="2054" max="2054" width="30.8909090909091" style="106" customWidth="1"/>
    <col min="2055" max="2055" width="17.2181818181818" style="106" customWidth="1"/>
    <col min="2056" max="2056" width="69.2181818181818" style="106" customWidth="1"/>
    <col min="2057" max="2057" width="19.7818181818182" style="106" customWidth="1"/>
    <col min="2058" max="2058" width="18" style="106" customWidth="1"/>
    <col min="2059" max="2059" width="72.1090909090909" style="106" customWidth="1"/>
    <col min="2060" max="2060" width="21.7818181818182" style="106" customWidth="1"/>
    <col min="2061" max="2306" width="9.78181818181818" style="106"/>
    <col min="2307" max="2307" width="5.78181818181818" style="106" customWidth="1"/>
    <col min="2308" max="2308" width="15.5545454545455" style="106" customWidth="1"/>
    <col min="2309" max="2309" width="9.55454545454545" style="106" customWidth="1"/>
    <col min="2310" max="2310" width="30.8909090909091" style="106" customWidth="1"/>
    <col min="2311" max="2311" width="17.2181818181818" style="106" customWidth="1"/>
    <col min="2312" max="2312" width="69.2181818181818" style="106" customWidth="1"/>
    <col min="2313" max="2313" width="19.7818181818182" style="106" customWidth="1"/>
    <col min="2314" max="2314" width="18" style="106" customWidth="1"/>
    <col min="2315" max="2315" width="72.1090909090909" style="106" customWidth="1"/>
    <col min="2316" max="2316" width="21.7818181818182" style="106" customWidth="1"/>
    <col min="2317" max="2562" width="9.78181818181818" style="106"/>
    <col min="2563" max="2563" width="5.78181818181818" style="106" customWidth="1"/>
    <col min="2564" max="2564" width="15.5545454545455" style="106" customWidth="1"/>
    <col min="2565" max="2565" width="9.55454545454545" style="106" customWidth="1"/>
    <col min="2566" max="2566" width="30.8909090909091" style="106" customWidth="1"/>
    <col min="2567" max="2567" width="17.2181818181818" style="106" customWidth="1"/>
    <col min="2568" max="2568" width="69.2181818181818" style="106" customWidth="1"/>
    <col min="2569" max="2569" width="19.7818181818182" style="106" customWidth="1"/>
    <col min="2570" max="2570" width="18" style="106" customWidth="1"/>
    <col min="2571" max="2571" width="72.1090909090909" style="106" customWidth="1"/>
    <col min="2572" max="2572" width="21.7818181818182" style="106" customWidth="1"/>
    <col min="2573" max="2818" width="9.78181818181818" style="106"/>
    <col min="2819" max="2819" width="5.78181818181818" style="106" customWidth="1"/>
    <col min="2820" max="2820" width="15.5545454545455" style="106" customWidth="1"/>
    <col min="2821" max="2821" width="9.55454545454545" style="106" customWidth="1"/>
    <col min="2822" max="2822" width="30.8909090909091" style="106" customWidth="1"/>
    <col min="2823" max="2823" width="17.2181818181818" style="106" customWidth="1"/>
    <col min="2824" max="2824" width="69.2181818181818" style="106" customWidth="1"/>
    <col min="2825" max="2825" width="19.7818181818182" style="106" customWidth="1"/>
    <col min="2826" max="2826" width="18" style="106" customWidth="1"/>
    <col min="2827" max="2827" width="72.1090909090909" style="106" customWidth="1"/>
    <col min="2828" max="2828" width="21.7818181818182" style="106" customWidth="1"/>
    <col min="2829" max="3074" width="9.78181818181818" style="106"/>
    <col min="3075" max="3075" width="5.78181818181818" style="106" customWidth="1"/>
    <col min="3076" max="3076" width="15.5545454545455" style="106" customWidth="1"/>
    <col min="3077" max="3077" width="9.55454545454545" style="106" customWidth="1"/>
    <col min="3078" max="3078" width="30.8909090909091" style="106" customWidth="1"/>
    <col min="3079" max="3079" width="17.2181818181818" style="106" customWidth="1"/>
    <col min="3080" max="3080" width="69.2181818181818" style="106" customWidth="1"/>
    <col min="3081" max="3081" width="19.7818181818182" style="106" customWidth="1"/>
    <col min="3082" max="3082" width="18" style="106" customWidth="1"/>
    <col min="3083" max="3083" width="72.1090909090909" style="106" customWidth="1"/>
    <col min="3084" max="3084" width="21.7818181818182" style="106" customWidth="1"/>
    <col min="3085" max="3330" width="9.78181818181818" style="106"/>
    <col min="3331" max="3331" width="5.78181818181818" style="106" customWidth="1"/>
    <col min="3332" max="3332" width="15.5545454545455" style="106" customWidth="1"/>
    <col min="3333" max="3333" width="9.55454545454545" style="106" customWidth="1"/>
    <col min="3334" max="3334" width="30.8909090909091" style="106" customWidth="1"/>
    <col min="3335" max="3335" width="17.2181818181818" style="106" customWidth="1"/>
    <col min="3336" max="3336" width="69.2181818181818" style="106" customWidth="1"/>
    <col min="3337" max="3337" width="19.7818181818182" style="106" customWidth="1"/>
    <col min="3338" max="3338" width="18" style="106" customWidth="1"/>
    <col min="3339" max="3339" width="72.1090909090909" style="106" customWidth="1"/>
    <col min="3340" max="3340" width="21.7818181818182" style="106" customWidth="1"/>
    <col min="3341" max="3586" width="9.78181818181818" style="106"/>
    <col min="3587" max="3587" width="5.78181818181818" style="106" customWidth="1"/>
    <col min="3588" max="3588" width="15.5545454545455" style="106" customWidth="1"/>
    <col min="3589" max="3589" width="9.55454545454545" style="106" customWidth="1"/>
    <col min="3590" max="3590" width="30.8909090909091" style="106" customWidth="1"/>
    <col min="3591" max="3591" width="17.2181818181818" style="106" customWidth="1"/>
    <col min="3592" max="3592" width="69.2181818181818" style="106" customWidth="1"/>
    <col min="3593" max="3593" width="19.7818181818182" style="106" customWidth="1"/>
    <col min="3594" max="3594" width="18" style="106" customWidth="1"/>
    <col min="3595" max="3595" width="72.1090909090909" style="106" customWidth="1"/>
    <col min="3596" max="3596" width="21.7818181818182" style="106" customWidth="1"/>
    <col min="3597" max="3842" width="9.78181818181818" style="106"/>
    <col min="3843" max="3843" width="5.78181818181818" style="106" customWidth="1"/>
    <col min="3844" max="3844" width="15.5545454545455" style="106" customWidth="1"/>
    <col min="3845" max="3845" width="9.55454545454545" style="106" customWidth="1"/>
    <col min="3846" max="3846" width="30.8909090909091" style="106" customWidth="1"/>
    <col min="3847" max="3847" width="17.2181818181818" style="106" customWidth="1"/>
    <col min="3848" max="3848" width="69.2181818181818" style="106" customWidth="1"/>
    <col min="3849" max="3849" width="19.7818181818182" style="106" customWidth="1"/>
    <col min="3850" max="3850" width="18" style="106" customWidth="1"/>
    <col min="3851" max="3851" width="72.1090909090909" style="106" customWidth="1"/>
    <col min="3852" max="3852" width="21.7818181818182" style="106" customWidth="1"/>
    <col min="3853" max="4098" width="9.78181818181818" style="106"/>
    <col min="4099" max="4099" width="5.78181818181818" style="106" customWidth="1"/>
    <col min="4100" max="4100" width="15.5545454545455" style="106" customWidth="1"/>
    <col min="4101" max="4101" width="9.55454545454545" style="106" customWidth="1"/>
    <col min="4102" max="4102" width="30.8909090909091" style="106" customWidth="1"/>
    <col min="4103" max="4103" width="17.2181818181818" style="106" customWidth="1"/>
    <col min="4104" max="4104" width="69.2181818181818" style="106" customWidth="1"/>
    <col min="4105" max="4105" width="19.7818181818182" style="106" customWidth="1"/>
    <col min="4106" max="4106" width="18" style="106" customWidth="1"/>
    <col min="4107" max="4107" width="72.1090909090909" style="106" customWidth="1"/>
    <col min="4108" max="4108" width="21.7818181818182" style="106" customWidth="1"/>
    <col min="4109" max="4354" width="9.78181818181818" style="106"/>
    <col min="4355" max="4355" width="5.78181818181818" style="106" customWidth="1"/>
    <col min="4356" max="4356" width="15.5545454545455" style="106" customWidth="1"/>
    <col min="4357" max="4357" width="9.55454545454545" style="106" customWidth="1"/>
    <col min="4358" max="4358" width="30.8909090909091" style="106" customWidth="1"/>
    <col min="4359" max="4359" width="17.2181818181818" style="106" customWidth="1"/>
    <col min="4360" max="4360" width="69.2181818181818" style="106" customWidth="1"/>
    <col min="4361" max="4361" width="19.7818181818182" style="106" customWidth="1"/>
    <col min="4362" max="4362" width="18" style="106" customWidth="1"/>
    <col min="4363" max="4363" width="72.1090909090909" style="106" customWidth="1"/>
    <col min="4364" max="4364" width="21.7818181818182" style="106" customWidth="1"/>
    <col min="4365" max="4610" width="9.78181818181818" style="106"/>
    <col min="4611" max="4611" width="5.78181818181818" style="106" customWidth="1"/>
    <col min="4612" max="4612" width="15.5545454545455" style="106" customWidth="1"/>
    <col min="4613" max="4613" width="9.55454545454545" style="106" customWidth="1"/>
    <col min="4614" max="4614" width="30.8909090909091" style="106" customWidth="1"/>
    <col min="4615" max="4615" width="17.2181818181818" style="106" customWidth="1"/>
    <col min="4616" max="4616" width="69.2181818181818" style="106" customWidth="1"/>
    <col min="4617" max="4617" width="19.7818181818182" style="106" customWidth="1"/>
    <col min="4618" max="4618" width="18" style="106" customWidth="1"/>
    <col min="4619" max="4619" width="72.1090909090909" style="106" customWidth="1"/>
    <col min="4620" max="4620" width="21.7818181818182" style="106" customWidth="1"/>
    <col min="4621" max="4866" width="9.78181818181818" style="106"/>
    <col min="4867" max="4867" width="5.78181818181818" style="106" customWidth="1"/>
    <col min="4868" max="4868" width="15.5545454545455" style="106" customWidth="1"/>
    <col min="4869" max="4869" width="9.55454545454545" style="106" customWidth="1"/>
    <col min="4870" max="4870" width="30.8909090909091" style="106" customWidth="1"/>
    <col min="4871" max="4871" width="17.2181818181818" style="106" customWidth="1"/>
    <col min="4872" max="4872" width="69.2181818181818" style="106" customWidth="1"/>
    <col min="4873" max="4873" width="19.7818181818182" style="106" customWidth="1"/>
    <col min="4874" max="4874" width="18" style="106" customWidth="1"/>
    <col min="4875" max="4875" width="72.1090909090909" style="106" customWidth="1"/>
    <col min="4876" max="4876" width="21.7818181818182" style="106" customWidth="1"/>
    <col min="4877" max="5122" width="9.78181818181818" style="106"/>
    <col min="5123" max="5123" width="5.78181818181818" style="106" customWidth="1"/>
    <col min="5124" max="5124" width="15.5545454545455" style="106" customWidth="1"/>
    <col min="5125" max="5125" width="9.55454545454545" style="106" customWidth="1"/>
    <col min="5126" max="5126" width="30.8909090909091" style="106" customWidth="1"/>
    <col min="5127" max="5127" width="17.2181818181818" style="106" customWidth="1"/>
    <col min="5128" max="5128" width="69.2181818181818" style="106" customWidth="1"/>
    <col min="5129" max="5129" width="19.7818181818182" style="106" customWidth="1"/>
    <col min="5130" max="5130" width="18" style="106" customWidth="1"/>
    <col min="5131" max="5131" width="72.1090909090909" style="106" customWidth="1"/>
    <col min="5132" max="5132" width="21.7818181818182" style="106" customWidth="1"/>
    <col min="5133" max="5378" width="9.78181818181818" style="106"/>
    <col min="5379" max="5379" width="5.78181818181818" style="106" customWidth="1"/>
    <col min="5380" max="5380" width="15.5545454545455" style="106" customWidth="1"/>
    <col min="5381" max="5381" width="9.55454545454545" style="106" customWidth="1"/>
    <col min="5382" max="5382" width="30.8909090909091" style="106" customWidth="1"/>
    <col min="5383" max="5383" width="17.2181818181818" style="106" customWidth="1"/>
    <col min="5384" max="5384" width="69.2181818181818" style="106" customWidth="1"/>
    <col min="5385" max="5385" width="19.7818181818182" style="106" customWidth="1"/>
    <col min="5386" max="5386" width="18" style="106" customWidth="1"/>
    <col min="5387" max="5387" width="72.1090909090909" style="106" customWidth="1"/>
    <col min="5388" max="5388" width="21.7818181818182" style="106" customWidth="1"/>
    <col min="5389" max="5634" width="9.78181818181818" style="106"/>
    <col min="5635" max="5635" width="5.78181818181818" style="106" customWidth="1"/>
    <col min="5636" max="5636" width="15.5545454545455" style="106" customWidth="1"/>
    <col min="5637" max="5637" width="9.55454545454545" style="106" customWidth="1"/>
    <col min="5638" max="5638" width="30.8909090909091" style="106" customWidth="1"/>
    <col min="5639" max="5639" width="17.2181818181818" style="106" customWidth="1"/>
    <col min="5640" max="5640" width="69.2181818181818" style="106" customWidth="1"/>
    <col min="5641" max="5641" width="19.7818181818182" style="106" customWidth="1"/>
    <col min="5642" max="5642" width="18" style="106" customWidth="1"/>
    <col min="5643" max="5643" width="72.1090909090909" style="106" customWidth="1"/>
    <col min="5644" max="5644" width="21.7818181818182" style="106" customWidth="1"/>
    <col min="5645" max="5890" width="9.78181818181818" style="106"/>
    <col min="5891" max="5891" width="5.78181818181818" style="106" customWidth="1"/>
    <col min="5892" max="5892" width="15.5545454545455" style="106" customWidth="1"/>
    <col min="5893" max="5893" width="9.55454545454545" style="106" customWidth="1"/>
    <col min="5894" max="5894" width="30.8909090909091" style="106" customWidth="1"/>
    <col min="5895" max="5895" width="17.2181818181818" style="106" customWidth="1"/>
    <col min="5896" max="5896" width="69.2181818181818" style="106" customWidth="1"/>
    <col min="5897" max="5897" width="19.7818181818182" style="106" customWidth="1"/>
    <col min="5898" max="5898" width="18" style="106" customWidth="1"/>
    <col min="5899" max="5899" width="72.1090909090909" style="106" customWidth="1"/>
    <col min="5900" max="5900" width="21.7818181818182" style="106" customWidth="1"/>
    <col min="5901" max="6146" width="9.78181818181818" style="106"/>
    <col min="6147" max="6147" width="5.78181818181818" style="106" customWidth="1"/>
    <col min="6148" max="6148" width="15.5545454545455" style="106" customWidth="1"/>
    <col min="6149" max="6149" width="9.55454545454545" style="106" customWidth="1"/>
    <col min="6150" max="6150" width="30.8909090909091" style="106" customWidth="1"/>
    <col min="6151" max="6151" width="17.2181818181818" style="106" customWidth="1"/>
    <col min="6152" max="6152" width="69.2181818181818" style="106" customWidth="1"/>
    <col min="6153" max="6153" width="19.7818181818182" style="106" customWidth="1"/>
    <col min="6154" max="6154" width="18" style="106" customWidth="1"/>
    <col min="6155" max="6155" width="72.1090909090909" style="106" customWidth="1"/>
    <col min="6156" max="6156" width="21.7818181818182" style="106" customWidth="1"/>
    <col min="6157" max="6402" width="9.78181818181818" style="106"/>
    <col min="6403" max="6403" width="5.78181818181818" style="106" customWidth="1"/>
    <col min="6404" max="6404" width="15.5545454545455" style="106" customWidth="1"/>
    <col min="6405" max="6405" width="9.55454545454545" style="106" customWidth="1"/>
    <col min="6406" max="6406" width="30.8909090909091" style="106" customWidth="1"/>
    <col min="6407" max="6407" width="17.2181818181818" style="106" customWidth="1"/>
    <col min="6408" max="6408" width="69.2181818181818" style="106" customWidth="1"/>
    <col min="6409" max="6409" width="19.7818181818182" style="106" customWidth="1"/>
    <col min="6410" max="6410" width="18" style="106" customWidth="1"/>
    <col min="6411" max="6411" width="72.1090909090909" style="106" customWidth="1"/>
    <col min="6412" max="6412" width="21.7818181818182" style="106" customWidth="1"/>
    <col min="6413" max="6658" width="9.78181818181818" style="106"/>
    <col min="6659" max="6659" width="5.78181818181818" style="106" customWidth="1"/>
    <col min="6660" max="6660" width="15.5545454545455" style="106" customWidth="1"/>
    <col min="6661" max="6661" width="9.55454545454545" style="106" customWidth="1"/>
    <col min="6662" max="6662" width="30.8909090909091" style="106" customWidth="1"/>
    <col min="6663" max="6663" width="17.2181818181818" style="106" customWidth="1"/>
    <col min="6664" max="6664" width="69.2181818181818" style="106" customWidth="1"/>
    <col min="6665" max="6665" width="19.7818181818182" style="106" customWidth="1"/>
    <col min="6666" max="6666" width="18" style="106" customWidth="1"/>
    <col min="6667" max="6667" width="72.1090909090909" style="106" customWidth="1"/>
    <col min="6668" max="6668" width="21.7818181818182" style="106" customWidth="1"/>
    <col min="6669" max="6914" width="9.78181818181818" style="106"/>
    <col min="6915" max="6915" width="5.78181818181818" style="106" customWidth="1"/>
    <col min="6916" max="6916" width="15.5545454545455" style="106" customWidth="1"/>
    <col min="6917" max="6917" width="9.55454545454545" style="106" customWidth="1"/>
    <col min="6918" max="6918" width="30.8909090909091" style="106" customWidth="1"/>
    <col min="6919" max="6919" width="17.2181818181818" style="106" customWidth="1"/>
    <col min="6920" max="6920" width="69.2181818181818" style="106" customWidth="1"/>
    <col min="6921" max="6921" width="19.7818181818182" style="106" customWidth="1"/>
    <col min="6922" max="6922" width="18" style="106" customWidth="1"/>
    <col min="6923" max="6923" width="72.1090909090909" style="106" customWidth="1"/>
    <col min="6924" max="6924" width="21.7818181818182" style="106" customWidth="1"/>
    <col min="6925" max="7170" width="9.78181818181818" style="106"/>
    <col min="7171" max="7171" width="5.78181818181818" style="106" customWidth="1"/>
    <col min="7172" max="7172" width="15.5545454545455" style="106" customWidth="1"/>
    <col min="7173" max="7173" width="9.55454545454545" style="106" customWidth="1"/>
    <col min="7174" max="7174" width="30.8909090909091" style="106" customWidth="1"/>
    <col min="7175" max="7175" width="17.2181818181818" style="106" customWidth="1"/>
    <col min="7176" max="7176" width="69.2181818181818" style="106" customWidth="1"/>
    <col min="7177" max="7177" width="19.7818181818182" style="106" customWidth="1"/>
    <col min="7178" max="7178" width="18" style="106" customWidth="1"/>
    <col min="7179" max="7179" width="72.1090909090909" style="106" customWidth="1"/>
    <col min="7180" max="7180" width="21.7818181818182" style="106" customWidth="1"/>
    <col min="7181" max="7426" width="9.78181818181818" style="106"/>
    <col min="7427" max="7427" width="5.78181818181818" style="106" customWidth="1"/>
    <col min="7428" max="7428" width="15.5545454545455" style="106" customWidth="1"/>
    <col min="7429" max="7429" width="9.55454545454545" style="106" customWidth="1"/>
    <col min="7430" max="7430" width="30.8909090909091" style="106" customWidth="1"/>
    <col min="7431" max="7431" width="17.2181818181818" style="106" customWidth="1"/>
    <col min="7432" max="7432" width="69.2181818181818" style="106" customWidth="1"/>
    <col min="7433" max="7433" width="19.7818181818182" style="106" customWidth="1"/>
    <col min="7434" max="7434" width="18" style="106" customWidth="1"/>
    <col min="7435" max="7435" width="72.1090909090909" style="106" customWidth="1"/>
    <col min="7436" max="7436" width="21.7818181818182" style="106" customWidth="1"/>
    <col min="7437" max="7682" width="9.78181818181818" style="106"/>
    <col min="7683" max="7683" width="5.78181818181818" style="106" customWidth="1"/>
    <col min="7684" max="7684" width="15.5545454545455" style="106" customWidth="1"/>
    <col min="7685" max="7685" width="9.55454545454545" style="106" customWidth="1"/>
    <col min="7686" max="7686" width="30.8909090909091" style="106" customWidth="1"/>
    <col min="7687" max="7687" width="17.2181818181818" style="106" customWidth="1"/>
    <col min="7688" max="7688" width="69.2181818181818" style="106" customWidth="1"/>
    <col min="7689" max="7689" width="19.7818181818182" style="106" customWidth="1"/>
    <col min="7690" max="7690" width="18" style="106" customWidth="1"/>
    <col min="7691" max="7691" width="72.1090909090909" style="106" customWidth="1"/>
    <col min="7692" max="7692" width="21.7818181818182" style="106" customWidth="1"/>
    <col min="7693" max="7938" width="9.78181818181818" style="106"/>
    <col min="7939" max="7939" width="5.78181818181818" style="106" customWidth="1"/>
    <col min="7940" max="7940" width="15.5545454545455" style="106" customWidth="1"/>
    <col min="7941" max="7941" width="9.55454545454545" style="106" customWidth="1"/>
    <col min="7942" max="7942" width="30.8909090909091" style="106" customWidth="1"/>
    <col min="7943" max="7943" width="17.2181818181818" style="106" customWidth="1"/>
    <col min="7944" max="7944" width="69.2181818181818" style="106" customWidth="1"/>
    <col min="7945" max="7945" width="19.7818181818182" style="106" customWidth="1"/>
    <col min="7946" max="7946" width="18" style="106" customWidth="1"/>
    <col min="7947" max="7947" width="72.1090909090909" style="106" customWidth="1"/>
    <col min="7948" max="7948" width="21.7818181818182" style="106" customWidth="1"/>
    <col min="7949" max="8194" width="9.78181818181818" style="106"/>
    <col min="8195" max="8195" width="5.78181818181818" style="106" customWidth="1"/>
    <col min="8196" max="8196" width="15.5545454545455" style="106" customWidth="1"/>
    <col min="8197" max="8197" width="9.55454545454545" style="106" customWidth="1"/>
    <col min="8198" max="8198" width="30.8909090909091" style="106" customWidth="1"/>
    <col min="8199" max="8199" width="17.2181818181818" style="106" customWidth="1"/>
    <col min="8200" max="8200" width="69.2181818181818" style="106" customWidth="1"/>
    <col min="8201" max="8201" width="19.7818181818182" style="106" customWidth="1"/>
    <col min="8202" max="8202" width="18" style="106" customWidth="1"/>
    <col min="8203" max="8203" width="72.1090909090909" style="106" customWidth="1"/>
    <col min="8204" max="8204" width="21.7818181818182" style="106" customWidth="1"/>
    <col min="8205" max="8450" width="9.78181818181818" style="106"/>
    <col min="8451" max="8451" width="5.78181818181818" style="106" customWidth="1"/>
    <col min="8452" max="8452" width="15.5545454545455" style="106" customWidth="1"/>
    <col min="8453" max="8453" width="9.55454545454545" style="106" customWidth="1"/>
    <col min="8454" max="8454" width="30.8909090909091" style="106" customWidth="1"/>
    <col min="8455" max="8455" width="17.2181818181818" style="106" customWidth="1"/>
    <col min="8456" max="8456" width="69.2181818181818" style="106" customWidth="1"/>
    <col min="8457" max="8457" width="19.7818181818182" style="106" customWidth="1"/>
    <col min="8458" max="8458" width="18" style="106" customWidth="1"/>
    <col min="8459" max="8459" width="72.1090909090909" style="106" customWidth="1"/>
    <col min="8460" max="8460" width="21.7818181818182" style="106" customWidth="1"/>
    <col min="8461" max="8706" width="9.78181818181818" style="106"/>
    <col min="8707" max="8707" width="5.78181818181818" style="106" customWidth="1"/>
    <col min="8708" max="8708" width="15.5545454545455" style="106" customWidth="1"/>
    <col min="8709" max="8709" width="9.55454545454545" style="106" customWidth="1"/>
    <col min="8710" max="8710" width="30.8909090909091" style="106" customWidth="1"/>
    <col min="8711" max="8711" width="17.2181818181818" style="106" customWidth="1"/>
    <col min="8712" max="8712" width="69.2181818181818" style="106" customWidth="1"/>
    <col min="8713" max="8713" width="19.7818181818182" style="106" customWidth="1"/>
    <col min="8714" max="8714" width="18" style="106" customWidth="1"/>
    <col min="8715" max="8715" width="72.1090909090909" style="106" customWidth="1"/>
    <col min="8716" max="8716" width="21.7818181818182" style="106" customWidth="1"/>
    <col min="8717" max="8962" width="9.78181818181818" style="106"/>
    <col min="8963" max="8963" width="5.78181818181818" style="106" customWidth="1"/>
    <col min="8964" max="8964" width="15.5545454545455" style="106" customWidth="1"/>
    <col min="8965" max="8965" width="9.55454545454545" style="106" customWidth="1"/>
    <col min="8966" max="8966" width="30.8909090909091" style="106" customWidth="1"/>
    <col min="8967" max="8967" width="17.2181818181818" style="106" customWidth="1"/>
    <col min="8968" max="8968" width="69.2181818181818" style="106" customWidth="1"/>
    <col min="8969" max="8969" width="19.7818181818182" style="106" customWidth="1"/>
    <col min="8970" max="8970" width="18" style="106" customWidth="1"/>
    <col min="8971" max="8971" width="72.1090909090909" style="106" customWidth="1"/>
    <col min="8972" max="8972" width="21.7818181818182" style="106" customWidth="1"/>
    <col min="8973" max="9218" width="9.78181818181818" style="106"/>
    <col min="9219" max="9219" width="5.78181818181818" style="106" customWidth="1"/>
    <col min="9220" max="9220" width="15.5545454545455" style="106" customWidth="1"/>
    <col min="9221" max="9221" width="9.55454545454545" style="106" customWidth="1"/>
    <col min="9222" max="9222" width="30.8909090909091" style="106" customWidth="1"/>
    <col min="9223" max="9223" width="17.2181818181818" style="106" customWidth="1"/>
    <col min="9224" max="9224" width="69.2181818181818" style="106" customWidth="1"/>
    <col min="9225" max="9225" width="19.7818181818182" style="106" customWidth="1"/>
    <col min="9226" max="9226" width="18" style="106" customWidth="1"/>
    <col min="9227" max="9227" width="72.1090909090909" style="106" customWidth="1"/>
    <col min="9228" max="9228" width="21.7818181818182" style="106" customWidth="1"/>
    <col min="9229" max="9474" width="9.78181818181818" style="106"/>
    <col min="9475" max="9475" width="5.78181818181818" style="106" customWidth="1"/>
    <col min="9476" max="9476" width="15.5545454545455" style="106" customWidth="1"/>
    <col min="9477" max="9477" width="9.55454545454545" style="106" customWidth="1"/>
    <col min="9478" max="9478" width="30.8909090909091" style="106" customWidth="1"/>
    <col min="9479" max="9479" width="17.2181818181818" style="106" customWidth="1"/>
    <col min="9480" max="9480" width="69.2181818181818" style="106" customWidth="1"/>
    <col min="9481" max="9481" width="19.7818181818182" style="106" customWidth="1"/>
    <col min="9482" max="9482" width="18" style="106" customWidth="1"/>
    <col min="9483" max="9483" width="72.1090909090909" style="106" customWidth="1"/>
    <col min="9484" max="9484" width="21.7818181818182" style="106" customWidth="1"/>
    <col min="9485" max="9730" width="9.78181818181818" style="106"/>
    <col min="9731" max="9731" width="5.78181818181818" style="106" customWidth="1"/>
    <col min="9732" max="9732" width="15.5545454545455" style="106" customWidth="1"/>
    <col min="9733" max="9733" width="9.55454545454545" style="106" customWidth="1"/>
    <col min="9734" max="9734" width="30.8909090909091" style="106" customWidth="1"/>
    <col min="9735" max="9735" width="17.2181818181818" style="106" customWidth="1"/>
    <col min="9736" max="9736" width="69.2181818181818" style="106" customWidth="1"/>
    <col min="9737" max="9737" width="19.7818181818182" style="106" customWidth="1"/>
    <col min="9738" max="9738" width="18" style="106" customWidth="1"/>
    <col min="9739" max="9739" width="72.1090909090909" style="106" customWidth="1"/>
    <col min="9740" max="9740" width="21.7818181818182" style="106" customWidth="1"/>
    <col min="9741" max="9986" width="9.78181818181818" style="106"/>
    <col min="9987" max="9987" width="5.78181818181818" style="106" customWidth="1"/>
    <col min="9988" max="9988" width="15.5545454545455" style="106" customWidth="1"/>
    <col min="9989" max="9989" width="9.55454545454545" style="106" customWidth="1"/>
    <col min="9990" max="9990" width="30.8909090909091" style="106" customWidth="1"/>
    <col min="9991" max="9991" width="17.2181818181818" style="106" customWidth="1"/>
    <col min="9992" max="9992" width="69.2181818181818" style="106" customWidth="1"/>
    <col min="9993" max="9993" width="19.7818181818182" style="106" customWidth="1"/>
    <col min="9994" max="9994" width="18" style="106" customWidth="1"/>
    <col min="9995" max="9995" width="72.1090909090909" style="106" customWidth="1"/>
    <col min="9996" max="9996" width="21.7818181818182" style="106" customWidth="1"/>
    <col min="9997" max="10242" width="9.78181818181818" style="106"/>
    <col min="10243" max="10243" width="5.78181818181818" style="106" customWidth="1"/>
    <col min="10244" max="10244" width="15.5545454545455" style="106" customWidth="1"/>
    <col min="10245" max="10245" width="9.55454545454545" style="106" customWidth="1"/>
    <col min="10246" max="10246" width="30.8909090909091" style="106" customWidth="1"/>
    <col min="10247" max="10247" width="17.2181818181818" style="106" customWidth="1"/>
    <col min="10248" max="10248" width="69.2181818181818" style="106" customWidth="1"/>
    <col min="10249" max="10249" width="19.7818181818182" style="106" customWidth="1"/>
    <col min="10250" max="10250" width="18" style="106" customWidth="1"/>
    <col min="10251" max="10251" width="72.1090909090909" style="106" customWidth="1"/>
    <col min="10252" max="10252" width="21.7818181818182" style="106" customWidth="1"/>
    <col min="10253" max="10498" width="9.78181818181818" style="106"/>
    <col min="10499" max="10499" width="5.78181818181818" style="106" customWidth="1"/>
    <col min="10500" max="10500" width="15.5545454545455" style="106" customWidth="1"/>
    <col min="10501" max="10501" width="9.55454545454545" style="106" customWidth="1"/>
    <col min="10502" max="10502" width="30.8909090909091" style="106" customWidth="1"/>
    <col min="10503" max="10503" width="17.2181818181818" style="106" customWidth="1"/>
    <col min="10504" max="10504" width="69.2181818181818" style="106" customWidth="1"/>
    <col min="10505" max="10505" width="19.7818181818182" style="106" customWidth="1"/>
    <col min="10506" max="10506" width="18" style="106" customWidth="1"/>
    <col min="10507" max="10507" width="72.1090909090909" style="106" customWidth="1"/>
    <col min="10508" max="10508" width="21.7818181818182" style="106" customWidth="1"/>
    <col min="10509" max="10754" width="9.78181818181818" style="106"/>
    <col min="10755" max="10755" width="5.78181818181818" style="106" customWidth="1"/>
    <col min="10756" max="10756" width="15.5545454545455" style="106" customWidth="1"/>
    <col min="10757" max="10757" width="9.55454545454545" style="106" customWidth="1"/>
    <col min="10758" max="10758" width="30.8909090909091" style="106" customWidth="1"/>
    <col min="10759" max="10759" width="17.2181818181818" style="106" customWidth="1"/>
    <col min="10760" max="10760" width="69.2181818181818" style="106" customWidth="1"/>
    <col min="10761" max="10761" width="19.7818181818182" style="106" customWidth="1"/>
    <col min="10762" max="10762" width="18" style="106" customWidth="1"/>
    <col min="10763" max="10763" width="72.1090909090909" style="106" customWidth="1"/>
    <col min="10764" max="10764" width="21.7818181818182" style="106" customWidth="1"/>
    <col min="10765" max="11010" width="9.78181818181818" style="106"/>
    <col min="11011" max="11011" width="5.78181818181818" style="106" customWidth="1"/>
    <col min="11012" max="11012" width="15.5545454545455" style="106" customWidth="1"/>
    <col min="11013" max="11013" width="9.55454545454545" style="106" customWidth="1"/>
    <col min="11014" max="11014" width="30.8909090909091" style="106" customWidth="1"/>
    <col min="11015" max="11015" width="17.2181818181818" style="106" customWidth="1"/>
    <col min="11016" max="11016" width="69.2181818181818" style="106" customWidth="1"/>
    <col min="11017" max="11017" width="19.7818181818182" style="106" customWidth="1"/>
    <col min="11018" max="11018" width="18" style="106" customWidth="1"/>
    <col min="11019" max="11019" width="72.1090909090909" style="106" customWidth="1"/>
    <col min="11020" max="11020" width="21.7818181818182" style="106" customWidth="1"/>
    <col min="11021" max="11266" width="9.78181818181818" style="106"/>
    <col min="11267" max="11267" width="5.78181818181818" style="106" customWidth="1"/>
    <col min="11268" max="11268" width="15.5545454545455" style="106" customWidth="1"/>
    <col min="11269" max="11269" width="9.55454545454545" style="106" customWidth="1"/>
    <col min="11270" max="11270" width="30.8909090909091" style="106" customWidth="1"/>
    <col min="11271" max="11271" width="17.2181818181818" style="106" customWidth="1"/>
    <col min="11272" max="11272" width="69.2181818181818" style="106" customWidth="1"/>
    <col min="11273" max="11273" width="19.7818181818182" style="106" customWidth="1"/>
    <col min="11274" max="11274" width="18" style="106" customWidth="1"/>
    <col min="11275" max="11275" width="72.1090909090909" style="106" customWidth="1"/>
    <col min="11276" max="11276" width="21.7818181818182" style="106" customWidth="1"/>
    <col min="11277" max="11522" width="9.78181818181818" style="106"/>
    <col min="11523" max="11523" width="5.78181818181818" style="106" customWidth="1"/>
    <col min="11524" max="11524" width="15.5545454545455" style="106" customWidth="1"/>
    <col min="11525" max="11525" width="9.55454545454545" style="106" customWidth="1"/>
    <col min="11526" max="11526" width="30.8909090909091" style="106" customWidth="1"/>
    <col min="11527" max="11527" width="17.2181818181818" style="106" customWidth="1"/>
    <col min="11528" max="11528" width="69.2181818181818" style="106" customWidth="1"/>
    <col min="11529" max="11529" width="19.7818181818182" style="106" customWidth="1"/>
    <col min="11530" max="11530" width="18" style="106" customWidth="1"/>
    <col min="11531" max="11531" width="72.1090909090909" style="106" customWidth="1"/>
    <col min="11532" max="11532" width="21.7818181818182" style="106" customWidth="1"/>
    <col min="11533" max="11778" width="9.78181818181818" style="106"/>
    <col min="11779" max="11779" width="5.78181818181818" style="106" customWidth="1"/>
    <col min="11780" max="11780" width="15.5545454545455" style="106" customWidth="1"/>
    <col min="11781" max="11781" width="9.55454545454545" style="106" customWidth="1"/>
    <col min="11782" max="11782" width="30.8909090909091" style="106" customWidth="1"/>
    <col min="11783" max="11783" width="17.2181818181818" style="106" customWidth="1"/>
    <col min="11784" max="11784" width="69.2181818181818" style="106" customWidth="1"/>
    <col min="11785" max="11785" width="19.7818181818182" style="106" customWidth="1"/>
    <col min="11786" max="11786" width="18" style="106" customWidth="1"/>
    <col min="11787" max="11787" width="72.1090909090909" style="106" customWidth="1"/>
    <col min="11788" max="11788" width="21.7818181818182" style="106" customWidth="1"/>
    <col min="11789" max="12034" width="9.78181818181818" style="106"/>
    <col min="12035" max="12035" width="5.78181818181818" style="106" customWidth="1"/>
    <col min="12036" max="12036" width="15.5545454545455" style="106" customWidth="1"/>
    <col min="12037" max="12037" width="9.55454545454545" style="106" customWidth="1"/>
    <col min="12038" max="12038" width="30.8909090909091" style="106" customWidth="1"/>
    <col min="12039" max="12039" width="17.2181818181818" style="106" customWidth="1"/>
    <col min="12040" max="12040" width="69.2181818181818" style="106" customWidth="1"/>
    <col min="12041" max="12041" width="19.7818181818182" style="106" customWidth="1"/>
    <col min="12042" max="12042" width="18" style="106" customWidth="1"/>
    <col min="12043" max="12043" width="72.1090909090909" style="106" customWidth="1"/>
    <col min="12044" max="12044" width="21.7818181818182" style="106" customWidth="1"/>
    <col min="12045" max="12290" width="9.78181818181818" style="106"/>
    <col min="12291" max="12291" width="5.78181818181818" style="106" customWidth="1"/>
    <col min="12292" max="12292" width="15.5545454545455" style="106" customWidth="1"/>
    <col min="12293" max="12293" width="9.55454545454545" style="106" customWidth="1"/>
    <col min="12294" max="12294" width="30.8909090909091" style="106" customWidth="1"/>
    <col min="12295" max="12295" width="17.2181818181818" style="106" customWidth="1"/>
    <col min="12296" max="12296" width="69.2181818181818" style="106" customWidth="1"/>
    <col min="12297" max="12297" width="19.7818181818182" style="106" customWidth="1"/>
    <col min="12298" max="12298" width="18" style="106" customWidth="1"/>
    <col min="12299" max="12299" width="72.1090909090909" style="106" customWidth="1"/>
    <col min="12300" max="12300" width="21.7818181818182" style="106" customWidth="1"/>
    <col min="12301" max="12546" width="9.78181818181818" style="106"/>
    <col min="12547" max="12547" width="5.78181818181818" style="106" customWidth="1"/>
    <col min="12548" max="12548" width="15.5545454545455" style="106" customWidth="1"/>
    <col min="12549" max="12549" width="9.55454545454545" style="106" customWidth="1"/>
    <col min="12550" max="12550" width="30.8909090909091" style="106" customWidth="1"/>
    <col min="12551" max="12551" width="17.2181818181818" style="106" customWidth="1"/>
    <col min="12552" max="12552" width="69.2181818181818" style="106" customWidth="1"/>
    <col min="12553" max="12553" width="19.7818181818182" style="106" customWidth="1"/>
    <col min="12554" max="12554" width="18" style="106" customWidth="1"/>
    <col min="12555" max="12555" width="72.1090909090909" style="106" customWidth="1"/>
    <col min="12556" max="12556" width="21.7818181818182" style="106" customWidth="1"/>
    <col min="12557" max="12802" width="9.78181818181818" style="106"/>
    <col min="12803" max="12803" width="5.78181818181818" style="106" customWidth="1"/>
    <col min="12804" max="12804" width="15.5545454545455" style="106" customWidth="1"/>
    <col min="12805" max="12805" width="9.55454545454545" style="106" customWidth="1"/>
    <col min="12806" max="12806" width="30.8909090909091" style="106" customWidth="1"/>
    <col min="12807" max="12807" width="17.2181818181818" style="106" customWidth="1"/>
    <col min="12808" max="12808" width="69.2181818181818" style="106" customWidth="1"/>
    <col min="12809" max="12809" width="19.7818181818182" style="106" customWidth="1"/>
    <col min="12810" max="12810" width="18" style="106" customWidth="1"/>
    <col min="12811" max="12811" width="72.1090909090909" style="106" customWidth="1"/>
    <col min="12812" max="12812" width="21.7818181818182" style="106" customWidth="1"/>
    <col min="12813" max="13058" width="9.78181818181818" style="106"/>
    <col min="13059" max="13059" width="5.78181818181818" style="106" customWidth="1"/>
    <col min="13060" max="13060" width="15.5545454545455" style="106" customWidth="1"/>
    <col min="13061" max="13061" width="9.55454545454545" style="106" customWidth="1"/>
    <col min="13062" max="13062" width="30.8909090909091" style="106" customWidth="1"/>
    <col min="13063" max="13063" width="17.2181818181818" style="106" customWidth="1"/>
    <col min="13064" max="13064" width="69.2181818181818" style="106" customWidth="1"/>
    <col min="13065" max="13065" width="19.7818181818182" style="106" customWidth="1"/>
    <col min="13066" max="13066" width="18" style="106" customWidth="1"/>
    <col min="13067" max="13067" width="72.1090909090909" style="106" customWidth="1"/>
    <col min="13068" max="13068" width="21.7818181818182" style="106" customWidth="1"/>
    <col min="13069" max="13314" width="9.78181818181818" style="106"/>
    <col min="13315" max="13315" width="5.78181818181818" style="106" customWidth="1"/>
    <col min="13316" max="13316" width="15.5545454545455" style="106" customWidth="1"/>
    <col min="13317" max="13317" width="9.55454545454545" style="106" customWidth="1"/>
    <col min="13318" max="13318" width="30.8909090909091" style="106" customWidth="1"/>
    <col min="13319" max="13319" width="17.2181818181818" style="106" customWidth="1"/>
    <col min="13320" max="13320" width="69.2181818181818" style="106" customWidth="1"/>
    <col min="13321" max="13321" width="19.7818181818182" style="106" customWidth="1"/>
    <col min="13322" max="13322" width="18" style="106" customWidth="1"/>
    <col min="13323" max="13323" width="72.1090909090909" style="106" customWidth="1"/>
    <col min="13324" max="13324" width="21.7818181818182" style="106" customWidth="1"/>
    <col min="13325" max="13570" width="9.78181818181818" style="106"/>
    <col min="13571" max="13571" width="5.78181818181818" style="106" customWidth="1"/>
    <col min="13572" max="13572" width="15.5545454545455" style="106" customWidth="1"/>
    <col min="13573" max="13573" width="9.55454545454545" style="106" customWidth="1"/>
    <col min="13574" max="13574" width="30.8909090909091" style="106" customWidth="1"/>
    <col min="13575" max="13575" width="17.2181818181818" style="106" customWidth="1"/>
    <col min="13576" max="13576" width="69.2181818181818" style="106" customWidth="1"/>
    <col min="13577" max="13577" width="19.7818181818182" style="106" customWidth="1"/>
    <col min="13578" max="13578" width="18" style="106" customWidth="1"/>
    <col min="13579" max="13579" width="72.1090909090909" style="106" customWidth="1"/>
    <col min="13580" max="13580" width="21.7818181818182" style="106" customWidth="1"/>
    <col min="13581" max="13826" width="9.78181818181818" style="106"/>
    <col min="13827" max="13827" width="5.78181818181818" style="106" customWidth="1"/>
    <col min="13828" max="13828" width="15.5545454545455" style="106" customWidth="1"/>
    <col min="13829" max="13829" width="9.55454545454545" style="106" customWidth="1"/>
    <col min="13830" max="13830" width="30.8909090909091" style="106" customWidth="1"/>
    <col min="13831" max="13831" width="17.2181818181818" style="106" customWidth="1"/>
    <col min="13832" max="13832" width="69.2181818181818" style="106" customWidth="1"/>
    <col min="13833" max="13833" width="19.7818181818182" style="106" customWidth="1"/>
    <col min="13834" max="13834" width="18" style="106" customWidth="1"/>
    <col min="13835" max="13835" width="72.1090909090909" style="106" customWidth="1"/>
    <col min="13836" max="13836" width="21.7818181818182" style="106" customWidth="1"/>
    <col min="13837" max="14082" width="9.78181818181818" style="106"/>
    <col min="14083" max="14083" width="5.78181818181818" style="106" customWidth="1"/>
    <col min="14084" max="14084" width="15.5545454545455" style="106" customWidth="1"/>
    <col min="14085" max="14085" width="9.55454545454545" style="106" customWidth="1"/>
    <col min="14086" max="14086" width="30.8909090909091" style="106" customWidth="1"/>
    <col min="14087" max="14087" width="17.2181818181818" style="106" customWidth="1"/>
    <col min="14088" max="14088" width="69.2181818181818" style="106" customWidth="1"/>
    <col min="14089" max="14089" width="19.7818181818182" style="106" customWidth="1"/>
    <col min="14090" max="14090" width="18" style="106" customWidth="1"/>
    <col min="14091" max="14091" width="72.1090909090909" style="106" customWidth="1"/>
    <col min="14092" max="14092" width="21.7818181818182" style="106" customWidth="1"/>
    <col min="14093" max="14338" width="9.78181818181818" style="106"/>
    <col min="14339" max="14339" width="5.78181818181818" style="106" customWidth="1"/>
    <col min="14340" max="14340" width="15.5545454545455" style="106" customWidth="1"/>
    <col min="14341" max="14341" width="9.55454545454545" style="106" customWidth="1"/>
    <col min="14342" max="14342" width="30.8909090909091" style="106" customWidth="1"/>
    <col min="14343" max="14343" width="17.2181818181818" style="106" customWidth="1"/>
    <col min="14344" max="14344" width="69.2181818181818" style="106" customWidth="1"/>
    <col min="14345" max="14345" width="19.7818181818182" style="106" customWidth="1"/>
    <col min="14346" max="14346" width="18" style="106" customWidth="1"/>
    <col min="14347" max="14347" width="72.1090909090909" style="106" customWidth="1"/>
    <col min="14348" max="14348" width="21.7818181818182" style="106" customWidth="1"/>
    <col min="14349" max="14594" width="9.78181818181818" style="106"/>
    <col min="14595" max="14595" width="5.78181818181818" style="106" customWidth="1"/>
    <col min="14596" max="14596" width="15.5545454545455" style="106" customWidth="1"/>
    <col min="14597" max="14597" width="9.55454545454545" style="106" customWidth="1"/>
    <col min="14598" max="14598" width="30.8909090909091" style="106" customWidth="1"/>
    <col min="14599" max="14599" width="17.2181818181818" style="106" customWidth="1"/>
    <col min="14600" max="14600" width="69.2181818181818" style="106" customWidth="1"/>
    <col min="14601" max="14601" width="19.7818181818182" style="106" customWidth="1"/>
    <col min="14602" max="14602" width="18" style="106" customWidth="1"/>
    <col min="14603" max="14603" width="72.1090909090909" style="106" customWidth="1"/>
    <col min="14604" max="14604" width="21.7818181818182" style="106" customWidth="1"/>
    <col min="14605" max="14850" width="9.78181818181818" style="106"/>
    <col min="14851" max="14851" width="5.78181818181818" style="106" customWidth="1"/>
    <col min="14852" max="14852" width="15.5545454545455" style="106" customWidth="1"/>
    <col min="14853" max="14853" width="9.55454545454545" style="106" customWidth="1"/>
    <col min="14854" max="14854" width="30.8909090909091" style="106" customWidth="1"/>
    <col min="14855" max="14855" width="17.2181818181818" style="106" customWidth="1"/>
    <col min="14856" max="14856" width="69.2181818181818" style="106" customWidth="1"/>
    <col min="14857" max="14857" width="19.7818181818182" style="106" customWidth="1"/>
    <col min="14858" max="14858" width="18" style="106" customWidth="1"/>
    <col min="14859" max="14859" width="72.1090909090909" style="106" customWidth="1"/>
    <col min="14860" max="14860" width="21.7818181818182" style="106" customWidth="1"/>
    <col min="14861" max="15106" width="9.78181818181818" style="106"/>
    <col min="15107" max="15107" width="5.78181818181818" style="106" customWidth="1"/>
    <col min="15108" max="15108" width="15.5545454545455" style="106" customWidth="1"/>
    <col min="15109" max="15109" width="9.55454545454545" style="106" customWidth="1"/>
    <col min="15110" max="15110" width="30.8909090909091" style="106" customWidth="1"/>
    <col min="15111" max="15111" width="17.2181818181818" style="106" customWidth="1"/>
    <col min="15112" max="15112" width="69.2181818181818" style="106" customWidth="1"/>
    <col min="15113" max="15113" width="19.7818181818182" style="106" customWidth="1"/>
    <col min="15114" max="15114" width="18" style="106" customWidth="1"/>
    <col min="15115" max="15115" width="72.1090909090909" style="106" customWidth="1"/>
    <col min="15116" max="15116" width="21.7818181818182" style="106" customWidth="1"/>
    <col min="15117" max="15362" width="9.78181818181818" style="106"/>
    <col min="15363" max="15363" width="5.78181818181818" style="106" customWidth="1"/>
    <col min="15364" max="15364" width="15.5545454545455" style="106" customWidth="1"/>
    <col min="15365" max="15365" width="9.55454545454545" style="106" customWidth="1"/>
    <col min="15366" max="15366" width="30.8909090909091" style="106" customWidth="1"/>
    <col min="15367" max="15367" width="17.2181818181818" style="106" customWidth="1"/>
    <col min="15368" max="15368" width="69.2181818181818" style="106" customWidth="1"/>
    <col min="15369" max="15369" width="19.7818181818182" style="106" customWidth="1"/>
    <col min="15370" max="15370" width="18" style="106" customWidth="1"/>
    <col min="15371" max="15371" width="72.1090909090909" style="106" customWidth="1"/>
    <col min="15372" max="15372" width="21.7818181818182" style="106" customWidth="1"/>
    <col min="15373" max="15618" width="9.78181818181818" style="106"/>
    <col min="15619" max="15619" width="5.78181818181818" style="106" customWidth="1"/>
    <col min="15620" max="15620" width="15.5545454545455" style="106" customWidth="1"/>
    <col min="15621" max="15621" width="9.55454545454545" style="106" customWidth="1"/>
    <col min="15622" max="15622" width="30.8909090909091" style="106" customWidth="1"/>
    <col min="15623" max="15623" width="17.2181818181818" style="106" customWidth="1"/>
    <col min="15624" max="15624" width="69.2181818181818" style="106" customWidth="1"/>
    <col min="15625" max="15625" width="19.7818181818182" style="106" customWidth="1"/>
    <col min="15626" max="15626" width="18" style="106" customWidth="1"/>
    <col min="15627" max="15627" width="72.1090909090909" style="106" customWidth="1"/>
    <col min="15628" max="15628" width="21.7818181818182" style="106" customWidth="1"/>
    <col min="15629" max="15874" width="9.78181818181818" style="106"/>
    <col min="15875" max="15875" width="5.78181818181818" style="106" customWidth="1"/>
    <col min="15876" max="15876" width="15.5545454545455" style="106" customWidth="1"/>
    <col min="15877" max="15877" width="9.55454545454545" style="106" customWidth="1"/>
    <col min="15878" max="15878" width="30.8909090909091" style="106" customWidth="1"/>
    <col min="15879" max="15879" width="17.2181818181818" style="106" customWidth="1"/>
    <col min="15880" max="15880" width="69.2181818181818" style="106" customWidth="1"/>
    <col min="15881" max="15881" width="19.7818181818182" style="106" customWidth="1"/>
    <col min="15882" max="15882" width="18" style="106" customWidth="1"/>
    <col min="15883" max="15883" width="72.1090909090909" style="106" customWidth="1"/>
    <col min="15884" max="15884" width="21.7818181818182" style="106" customWidth="1"/>
    <col min="15885" max="16130" width="9.78181818181818" style="106"/>
    <col min="16131" max="16131" width="5.78181818181818" style="106" customWidth="1"/>
    <col min="16132" max="16132" width="15.5545454545455" style="106" customWidth="1"/>
    <col min="16133" max="16133" width="9.55454545454545" style="106" customWidth="1"/>
    <col min="16134" max="16134" width="30.8909090909091" style="106" customWidth="1"/>
    <col min="16135" max="16135" width="17.2181818181818" style="106" customWidth="1"/>
    <col min="16136" max="16136" width="69.2181818181818" style="106" customWidth="1"/>
    <col min="16137" max="16137" width="19.7818181818182" style="106" customWidth="1"/>
    <col min="16138" max="16138" width="18" style="106" customWidth="1"/>
    <col min="16139" max="16139" width="72.1090909090909" style="106" customWidth="1"/>
    <col min="16140" max="16140" width="21.7818181818182" style="106" customWidth="1"/>
    <col min="16141" max="16384" width="9.78181818181818" style="106"/>
  </cols>
  <sheetData>
    <row r="1" spans="2:12">
      <c r="D1" s="734" t="s">
        <v>0</v>
      </c>
      <c r="H1" s="734"/>
      <c r="I1" s="735"/>
      <c r="J1" s="736"/>
    </row>
    <row r="2" ht="4.5" customHeight="1"/>
    <row r="3" s="310" customFormat="1" ht="37.95" customHeight="1" spans="2:12">
      <c r="B3" s="737" t="s">
        <v>1</v>
      </c>
      <c r="C3" s="737" t="s">
        <v>2</v>
      </c>
      <c r="D3" s="737" t="s">
        <v>3</v>
      </c>
      <c r="E3" s="737" t="s">
        <v>4</v>
      </c>
      <c r="F3" s="738" t="s">
        <v>5</v>
      </c>
      <c r="G3" s="737" t="s">
        <v>6</v>
      </c>
      <c r="H3" s="737" t="s">
        <v>7</v>
      </c>
      <c r="I3" s="737" t="s">
        <v>8</v>
      </c>
      <c r="J3" s="737" t="s">
        <v>9</v>
      </c>
      <c r="K3" s="737" t="s">
        <v>10</v>
      </c>
      <c r="L3" s="737" t="s">
        <v>11</v>
      </c>
    </row>
    <row r="4" s="105" customFormat="1" spans="2:12">
      <c r="B4" s="739" t="s">
        <v>12</v>
      </c>
      <c r="C4" s="740">
        <v>1</v>
      </c>
      <c r="D4" s="95" t="s">
        <v>13</v>
      </c>
      <c r="E4" s="741" t="s">
        <v>14</v>
      </c>
      <c r="F4" s="742"/>
      <c r="G4" s="743"/>
      <c r="H4" s="744"/>
      <c r="I4" s="745">
        <f>ROUNDUP(I10,0)</f>
        <v>8</v>
      </c>
      <c r="J4" s="367" t="s">
        <v>15</v>
      </c>
      <c r="K4" s="744" t="s">
        <v>16</v>
      </c>
      <c r="L4" s="133"/>
    </row>
    <row r="5" s="105" customFormat="1" spans="2:12">
      <c r="B5" s="739"/>
      <c r="C5" s="740"/>
      <c r="D5" s="746" t="s">
        <v>17</v>
      </c>
      <c r="E5" s="743" t="s">
        <v>18</v>
      </c>
      <c r="F5" s="742"/>
      <c r="G5" s="743"/>
      <c r="H5" s="744"/>
      <c r="I5" s="747">
        <v>44958</v>
      </c>
      <c r="J5" s="367"/>
      <c r="K5" s="748" t="s">
        <v>19</v>
      </c>
      <c r="L5" s="133"/>
    </row>
    <row r="6" spans="2:12">
      <c r="B6" s="739"/>
      <c r="C6" s="661"/>
      <c r="D6" s="749" t="s">
        <v>20</v>
      </c>
      <c r="E6" s="750"/>
      <c r="F6" s="751"/>
      <c r="G6" s="750"/>
      <c r="H6" s="752"/>
      <c r="I6" s="753">
        <v>45291</v>
      </c>
      <c r="J6" s="367"/>
      <c r="K6" s="754"/>
      <c r="L6" s="132"/>
    </row>
    <row r="7" s="105" customFormat="1" spans="2:12">
      <c r="B7" s="739"/>
      <c r="C7" s="740"/>
      <c r="D7" s="746" t="s">
        <v>21</v>
      </c>
      <c r="E7" s="743" t="s">
        <v>18</v>
      </c>
      <c r="F7" s="742"/>
      <c r="G7" s="743"/>
      <c r="H7" s="744"/>
      <c r="I7" s="747">
        <v>47695</v>
      </c>
      <c r="J7" s="367"/>
      <c r="K7" s="755"/>
      <c r="L7" s="133"/>
    </row>
    <row r="8" spans="2:12">
      <c r="B8" s="739"/>
      <c r="C8" s="661"/>
      <c r="D8" s="749" t="s">
        <v>22</v>
      </c>
      <c r="E8" s="750"/>
      <c r="F8" s="751"/>
      <c r="G8" s="750"/>
      <c r="H8" s="752"/>
      <c r="I8" s="753">
        <v>47484</v>
      </c>
      <c r="J8" s="367"/>
      <c r="K8" s="755"/>
      <c r="L8" s="132"/>
    </row>
    <row r="9" spans="2:12">
      <c r="B9" s="739"/>
      <c r="C9" s="661"/>
      <c r="D9" s="756" t="s">
        <v>23</v>
      </c>
      <c r="E9" s="757" t="s">
        <v>24</v>
      </c>
      <c r="F9" s="751"/>
      <c r="G9" s="750"/>
      <c r="H9" s="752"/>
      <c r="I9" s="758">
        <f>ROUND(DATEDIF(I5,I7,"D")/365*12,0)</f>
        <v>90</v>
      </c>
      <c r="J9" s="367" t="s">
        <v>25</v>
      </c>
      <c r="K9" s="755"/>
      <c r="L9" s="132"/>
    </row>
    <row r="10" spans="2:12">
      <c r="B10" s="739"/>
      <c r="C10" s="661"/>
      <c r="D10" s="756" t="s">
        <v>26</v>
      </c>
      <c r="E10" s="757"/>
      <c r="F10" s="751"/>
      <c r="G10" s="750"/>
      <c r="H10" s="752"/>
      <c r="I10" s="758">
        <f>I9/12</f>
        <v>7.5</v>
      </c>
      <c r="J10" s="367" t="s">
        <v>15</v>
      </c>
      <c r="K10" s="755"/>
      <c r="L10" s="132"/>
    </row>
    <row r="11" spans="2:12">
      <c r="B11" s="739"/>
      <c r="C11" s="661"/>
      <c r="D11" s="756" t="s">
        <v>27</v>
      </c>
      <c r="E11" s="757" t="s">
        <v>24</v>
      </c>
      <c r="F11" s="751"/>
      <c r="G11" s="750"/>
      <c r="H11" s="752"/>
      <c r="I11" s="759">
        <f>ROUND(DATEDIF(I5,I6,"D")/365*12,0)</f>
        <v>11</v>
      </c>
      <c r="J11" s="367" t="s">
        <v>25</v>
      </c>
      <c r="K11" s="755"/>
      <c r="L11" s="132"/>
    </row>
    <row r="12" spans="2:12">
      <c r="B12" s="739"/>
      <c r="C12" s="661"/>
      <c r="D12" s="756" t="s">
        <v>28</v>
      </c>
      <c r="E12" s="757" t="s">
        <v>24</v>
      </c>
      <c r="F12" s="751"/>
      <c r="G12" s="750"/>
      <c r="H12" s="752"/>
      <c r="I12" s="758">
        <f>ROUND(DATEDIF(I8,I7,"D")/365*12,0)</f>
        <v>7</v>
      </c>
      <c r="J12" s="367" t="s">
        <v>25</v>
      </c>
      <c r="K12" s="755"/>
      <c r="L12" s="132"/>
    </row>
    <row r="13" s="105" customFormat="1" spans="2:12">
      <c r="B13" s="739"/>
      <c r="C13" s="740">
        <v>2</v>
      </c>
      <c r="D13" s="95" t="s">
        <v>29</v>
      </c>
      <c r="E13" s="743"/>
      <c r="F13" s="742"/>
      <c r="G13" s="743"/>
      <c r="H13" s="744"/>
      <c r="I13" s="760">
        <f>SUM(I14:I23)</f>
        <v>1</v>
      </c>
      <c r="J13" s="367"/>
      <c r="K13" s="744"/>
      <c r="L13" s="133"/>
    </row>
    <row r="14" spans="2:12">
      <c r="B14" s="739"/>
      <c r="C14" s="661"/>
      <c r="D14" s="761" t="s">
        <v>30</v>
      </c>
      <c r="E14" s="741" t="s">
        <v>24</v>
      </c>
      <c r="F14" s="742"/>
      <c r="G14" s="743"/>
      <c r="H14" s="762"/>
      <c r="I14" s="763">
        <f>投资概算明细!F24</f>
        <v>0.0327765365848023</v>
      </c>
      <c r="J14" s="764" t="s">
        <v>31</v>
      </c>
      <c r="K14" s="761" t="s">
        <v>32</v>
      </c>
      <c r="L14" s="132"/>
    </row>
    <row r="15" spans="2:12">
      <c r="B15" s="739"/>
      <c r="C15" s="765"/>
      <c r="D15" s="761">
        <v>45261</v>
      </c>
      <c r="E15" s="741" t="s">
        <v>24</v>
      </c>
      <c r="F15" s="742"/>
      <c r="G15" s="743"/>
      <c r="H15" s="762"/>
      <c r="I15" s="763">
        <f>投资概算明细!G24</f>
        <v>0.0764785853645388</v>
      </c>
      <c r="J15" s="764" t="s">
        <v>31</v>
      </c>
      <c r="K15" s="761" t="s">
        <v>33</v>
      </c>
      <c r="L15" s="132"/>
    </row>
    <row r="16" spans="2:12">
      <c r="B16" s="739"/>
      <c r="C16" s="765"/>
      <c r="D16" s="761">
        <v>45627</v>
      </c>
      <c r="E16" s="741" t="s">
        <v>24</v>
      </c>
      <c r="F16" s="742"/>
      <c r="G16" s="743"/>
      <c r="H16" s="762"/>
      <c r="I16" s="763">
        <f>投资概算明细!H24</f>
        <v>0.106223778309684</v>
      </c>
      <c r="J16" s="764" t="s">
        <v>31</v>
      </c>
      <c r="K16" s="761" t="s">
        <v>34</v>
      </c>
      <c r="L16" s="132"/>
    </row>
    <row r="17" spans="2:12">
      <c r="B17" s="739"/>
      <c r="C17" s="765"/>
      <c r="D17" s="761">
        <v>45992</v>
      </c>
      <c r="E17" s="741" t="s">
        <v>24</v>
      </c>
      <c r="F17" s="742"/>
      <c r="G17" s="743"/>
      <c r="H17" s="762"/>
      <c r="I17" s="763">
        <f>投资概算明细!I24</f>
        <v>0.120564564030911</v>
      </c>
      <c r="J17" s="764" t="s">
        <v>31</v>
      </c>
      <c r="K17" s="761" t="s">
        <v>35</v>
      </c>
      <c r="L17" s="132"/>
    </row>
    <row r="18" spans="2:12">
      <c r="B18" s="739"/>
      <c r="C18" s="765"/>
      <c r="D18" s="761">
        <v>46357</v>
      </c>
      <c r="E18" s="741" t="s">
        <v>24</v>
      </c>
      <c r="F18" s="742"/>
      <c r="G18" s="743"/>
      <c r="H18" s="762"/>
      <c r="I18" s="763">
        <f>投资概算明细!J24</f>
        <v>0.131846304133589</v>
      </c>
      <c r="J18" s="764" t="s">
        <v>31</v>
      </c>
      <c r="K18" s="761" t="s">
        <v>36</v>
      </c>
      <c r="L18" s="132"/>
    </row>
    <row r="19" spans="2:12">
      <c r="B19" s="739"/>
      <c r="C19" s="765"/>
      <c r="D19" s="761">
        <v>46722</v>
      </c>
      <c r="E19" s="741" t="s">
        <v>24</v>
      </c>
      <c r="F19" s="742"/>
      <c r="G19" s="743"/>
      <c r="H19" s="762"/>
      <c r="I19" s="763">
        <f>投资概算明细!K24</f>
        <v>0.176246001388892</v>
      </c>
      <c r="J19" s="764" t="s">
        <v>31</v>
      </c>
      <c r="K19" s="761" t="s">
        <v>37</v>
      </c>
      <c r="L19" s="132"/>
    </row>
    <row r="20" spans="2:12">
      <c r="B20" s="739"/>
      <c r="C20" s="765"/>
      <c r="D20" s="761">
        <v>47088</v>
      </c>
      <c r="E20" s="741" t="s">
        <v>24</v>
      </c>
      <c r="F20" s="742"/>
      <c r="G20" s="743"/>
      <c r="H20" s="762"/>
      <c r="I20" s="763">
        <f>投资概算明细!L24</f>
        <v>0.161596723672013</v>
      </c>
      <c r="J20" s="764" t="s">
        <v>31</v>
      </c>
      <c r="K20" s="761" t="s">
        <v>38</v>
      </c>
      <c r="L20" s="132"/>
    </row>
    <row r="21" spans="2:12">
      <c r="B21" s="739"/>
      <c r="C21" s="765"/>
      <c r="D21" s="761" t="s">
        <v>39</v>
      </c>
      <c r="E21" s="741" t="s">
        <v>24</v>
      </c>
      <c r="F21" s="742"/>
      <c r="G21" s="743"/>
      <c r="H21" s="762"/>
      <c r="I21" s="763">
        <f>投资概算明细!M24</f>
        <v>0.0816374444315258</v>
      </c>
      <c r="J21" s="764" t="s">
        <v>31</v>
      </c>
      <c r="K21" s="761" t="s">
        <v>40</v>
      </c>
      <c r="L21" s="132"/>
    </row>
    <row r="22" spans="2:12">
      <c r="B22" s="739"/>
      <c r="C22" s="765"/>
      <c r="D22" s="761">
        <v>47453</v>
      </c>
      <c r="E22" s="741" t="s">
        <v>24</v>
      </c>
      <c r="F22" s="742"/>
      <c r="G22" s="743"/>
      <c r="H22" s="762"/>
      <c r="I22" s="763">
        <f>投资概算明细!N24</f>
        <v>0.0544249629543505</v>
      </c>
      <c r="J22" s="764" t="s">
        <v>31</v>
      </c>
      <c r="K22" s="761" t="s">
        <v>41</v>
      </c>
      <c r="L22" s="132"/>
    </row>
    <row r="23" spans="2:12">
      <c r="B23" s="739"/>
      <c r="C23" s="765"/>
      <c r="D23" s="761">
        <v>47665</v>
      </c>
      <c r="E23" s="741" t="s">
        <v>24</v>
      </c>
      <c r="F23" s="742"/>
      <c r="G23" s="743"/>
      <c r="H23" s="762"/>
      <c r="I23" s="763">
        <f>投资概算明细!O24</f>
        <v>0.0582050991296923</v>
      </c>
      <c r="J23" s="764" t="s">
        <v>31</v>
      </c>
      <c r="K23" s="761" t="s">
        <v>42</v>
      </c>
      <c r="L23" s="132"/>
    </row>
    <row r="24" spans="2:12">
      <c r="B24" s="739"/>
      <c r="C24" s="765"/>
      <c r="D24" s="86" t="s">
        <v>43</v>
      </c>
      <c r="E24" s="741" t="s">
        <v>44</v>
      </c>
      <c r="F24" s="742"/>
      <c r="G24" s="743"/>
      <c r="H24" s="762"/>
      <c r="I24" s="763"/>
      <c r="J24" s="764"/>
      <c r="K24" s="762"/>
      <c r="L24" s="132"/>
    </row>
    <row r="25" s="105" customFormat="1" spans="2:12">
      <c r="B25" s="739"/>
      <c r="C25" s="740">
        <v>3</v>
      </c>
      <c r="D25" s="95" t="s">
        <v>45</v>
      </c>
      <c r="E25" s="743" t="s">
        <v>46</v>
      </c>
      <c r="F25" s="742"/>
      <c r="G25" s="743"/>
      <c r="H25" s="744"/>
      <c r="I25" s="766">
        <f>YEAR(I27)-YEAR(I5)+1</f>
        <v>8</v>
      </c>
      <c r="J25" s="367" t="s">
        <v>47</v>
      </c>
      <c r="K25" s="744"/>
      <c r="L25" s="133"/>
    </row>
    <row r="26" s="105" customFormat="1" ht="20.55" customHeight="1" spans="2:12">
      <c r="B26" s="739"/>
      <c r="C26" s="740">
        <v>4</v>
      </c>
      <c r="D26" s="95" t="s">
        <v>48</v>
      </c>
      <c r="E26" s="743" t="s">
        <v>49</v>
      </c>
      <c r="F26" s="742"/>
      <c r="G26" s="743"/>
      <c r="H26" s="744"/>
      <c r="I26" s="766">
        <v>40</v>
      </c>
      <c r="J26" s="367" t="s">
        <v>15</v>
      </c>
      <c r="K26" s="133"/>
      <c r="L26" s="133"/>
    </row>
    <row r="27" s="105" customFormat="1" ht="20.55" customHeight="1" spans="2:12">
      <c r="B27" s="767"/>
      <c r="C27" s="740"/>
      <c r="D27" s="746" t="s">
        <v>50</v>
      </c>
      <c r="E27" s="741" t="s">
        <v>24</v>
      </c>
      <c r="F27" s="742"/>
      <c r="G27" s="743"/>
      <c r="H27" s="744"/>
      <c r="I27" s="747">
        <f>I7+1</f>
        <v>47696</v>
      </c>
      <c r="J27" s="367"/>
      <c r="K27" s="133" t="s">
        <v>51</v>
      </c>
      <c r="L27" s="133"/>
    </row>
    <row r="28" s="105" customFormat="1" ht="20.55" customHeight="1" spans="2:12">
      <c r="B28" s="767"/>
      <c r="C28" s="740"/>
      <c r="D28" s="746" t="s">
        <v>52</v>
      </c>
      <c r="E28" s="741" t="s">
        <v>24</v>
      </c>
      <c r="F28" s="742"/>
      <c r="G28" s="743"/>
      <c r="H28" s="744"/>
      <c r="I28" s="747">
        <f>I7+I26*365+INT(I26/4)</f>
        <v>62305</v>
      </c>
      <c r="J28" s="367"/>
      <c r="K28" s="133" t="s">
        <v>53</v>
      </c>
      <c r="L28" s="133"/>
    </row>
    <row r="29" s="105" customFormat="1" ht="20.55" customHeight="1" spans="2:12">
      <c r="B29" s="739"/>
      <c r="C29" s="740">
        <v>5</v>
      </c>
      <c r="D29" s="95" t="s">
        <v>54</v>
      </c>
      <c r="E29" s="743" t="s">
        <v>55</v>
      </c>
      <c r="F29" s="742"/>
      <c r="G29" s="743"/>
      <c r="H29" s="744"/>
      <c r="I29" s="766"/>
      <c r="J29" s="367" t="s">
        <v>56</v>
      </c>
      <c r="K29" s="133" t="s">
        <v>57</v>
      </c>
      <c r="L29" s="133"/>
    </row>
    <row r="30" s="105" customFormat="1" ht="20.55" customHeight="1" spans="2:12">
      <c r="B30" s="739"/>
      <c r="C30" s="740">
        <v>6</v>
      </c>
      <c r="D30" s="95" t="s">
        <v>58</v>
      </c>
      <c r="E30" s="743" t="s">
        <v>59</v>
      </c>
      <c r="F30" s="742"/>
      <c r="G30" s="743"/>
      <c r="H30" s="744"/>
      <c r="I30" s="766"/>
      <c r="J30" s="367"/>
      <c r="K30" s="133" t="s">
        <v>60</v>
      </c>
      <c r="L30" s="133"/>
    </row>
    <row r="31" ht="20.55" customHeight="1" spans="2:12">
      <c r="B31" s="739"/>
      <c r="C31" s="661"/>
      <c r="D31" s="54" t="s">
        <v>61</v>
      </c>
      <c r="E31" s="743" t="s">
        <v>59</v>
      </c>
      <c r="F31" s="742"/>
      <c r="G31" s="743"/>
      <c r="H31" s="762"/>
      <c r="I31" s="768"/>
      <c r="J31" s="367"/>
      <c r="K31" s="132"/>
      <c r="L31" s="132"/>
    </row>
    <row r="32" ht="20.55" customHeight="1" spans="2:12">
      <c r="B32" s="769"/>
      <c r="C32" s="661"/>
      <c r="D32" s="54" t="s">
        <v>62</v>
      </c>
      <c r="E32" s="743" t="s">
        <v>59</v>
      </c>
      <c r="F32" s="742"/>
      <c r="G32" s="743"/>
      <c r="H32" s="762"/>
      <c r="I32" s="768"/>
      <c r="J32" s="367"/>
      <c r="K32" s="132"/>
      <c r="L32" s="132"/>
    </row>
    <row r="33" ht="20.55" customHeight="1" spans="2:12">
      <c r="B33" s="739" t="s">
        <v>63</v>
      </c>
      <c r="C33" s="661">
        <v>1</v>
      </c>
      <c r="D33" s="95" t="s">
        <v>64</v>
      </c>
      <c r="E33" s="743" t="s">
        <v>49</v>
      </c>
      <c r="F33" s="742"/>
      <c r="G33" s="743"/>
      <c r="H33" s="762"/>
      <c r="I33" s="770">
        <v>1400</v>
      </c>
      <c r="J33" s="764" t="s">
        <v>65</v>
      </c>
      <c r="K33" s="132" t="s">
        <v>66</v>
      </c>
      <c r="L33" s="132"/>
    </row>
    <row r="34" ht="20.55" customHeight="1" spans="2:12">
      <c r="B34" s="739"/>
      <c r="C34" s="661">
        <v>2</v>
      </c>
      <c r="D34" s="95" t="s">
        <v>67</v>
      </c>
      <c r="E34" s="743" t="s">
        <v>49</v>
      </c>
      <c r="F34" s="742"/>
      <c r="G34" s="743"/>
      <c r="H34" s="132"/>
      <c r="I34" s="770">
        <v>1169.28571428571</v>
      </c>
      <c r="J34" s="764" t="s">
        <v>68</v>
      </c>
      <c r="K34" s="132"/>
      <c r="L34" s="132"/>
    </row>
    <row r="35" s="105" customFormat="1" ht="20.55" customHeight="1" spans="2:12">
      <c r="B35" s="767"/>
      <c r="C35" s="740">
        <v>3</v>
      </c>
      <c r="D35" s="95" t="s">
        <v>69</v>
      </c>
      <c r="E35" s="743"/>
      <c r="F35" s="742"/>
      <c r="G35" s="743"/>
      <c r="H35" s="133"/>
      <c r="I35" s="745"/>
      <c r="J35" s="367"/>
      <c r="K35" s="133"/>
      <c r="L35" s="133"/>
    </row>
    <row r="36" s="105" customFormat="1" ht="20.55" customHeight="1" spans="2:12">
      <c r="B36" s="767"/>
      <c r="C36" s="740"/>
      <c r="D36" s="771">
        <v>47150</v>
      </c>
      <c r="E36" s="743" t="s">
        <v>70</v>
      </c>
      <c r="F36" s="742"/>
      <c r="G36" s="743"/>
      <c r="H36" s="133"/>
      <c r="I36" s="772">
        <v>0</v>
      </c>
      <c r="J36" s="367" t="s">
        <v>31</v>
      </c>
      <c r="K36" s="133"/>
      <c r="L36" s="133"/>
    </row>
    <row r="37" s="105" customFormat="1" ht="20.55" customHeight="1" spans="2:12">
      <c r="B37" s="767"/>
      <c r="C37" s="740"/>
      <c r="D37" s="771">
        <v>47362</v>
      </c>
      <c r="E37" s="743" t="s">
        <v>70</v>
      </c>
      <c r="F37" s="742"/>
      <c r="G37" s="743"/>
      <c r="H37" s="133"/>
      <c r="I37" s="772">
        <v>0</v>
      </c>
      <c r="J37" s="367" t="s">
        <v>31</v>
      </c>
      <c r="K37" s="133"/>
      <c r="L37" s="133"/>
    </row>
    <row r="38" s="105" customFormat="1" ht="20.55" customHeight="1" spans="2:12">
      <c r="B38" s="767"/>
      <c r="C38" s="740"/>
      <c r="D38" s="771">
        <v>47543</v>
      </c>
      <c r="E38" s="743" t="s">
        <v>70</v>
      </c>
      <c r="F38" s="742"/>
      <c r="G38" s="743"/>
      <c r="H38" s="133"/>
      <c r="I38" s="772">
        <v>0</v>
      </c>
      <c r="J38" s="367" t="s">
        <v>31</v>
      </c>
      <c r="K38" s="133"/>
      <c r="L38" s="133"/>
    </row>
    <row r="39" s="105" customFormat="1" ht="20.55" customHeight="1" spans="2:12">
      <c r="B39" s="767"/>
      <c r="C39" s="740"/>
      <c r="D39" s="771">
        <v>47696</v>
      </c>
      <c r="E39" s="743" t="s">
        <v>70</v>
      </c>
      <c r="F39" s="742"/>
      <c r="G39" s="743"/>
      <c r="H39" s="133"/>
      <c r="I39" s="772">
        <v>1</v>
      </c>
      <c r="J39" s="367" t="s">
        <v>31</v>
      </c>
      <c r="K39" s="133"/>
      <c r="L39" s="133"/>
    </row>
    <row r="40" s="105" customFormat="1" ht="20.55" customHeight="1" spans="2:12">
      <c r="B40" s="767"/>
      <c r="C40" s="740">
        <v>4</v>
      </c>
      <c r="D40" s="95" t="s">
        <v>71</v>
      </c>
      <c r="E40" s="743"/>
      <c r="F40" s="742"/>
      <c r="G40" s="743"/>
      <c r="H40" s="133"/>
      <c r="I40" s="745"/>
      <c r="J40" s="367"/>
      <c r="K40" s="133"/>
      <c r="L40" s="133"/>
    </row>
    <row r="41" s="105" customFormat="1" ht="20.55" customHeight="1" spans="2:12">
      <c r="B41" s="767"/>
      <c r="C41" s="773">
        <v>4.1</v>
      </c>
      <c r="D41" s="95" t="s">
        <v>72</v>
      </c>
      <c r="E41" s="743"/>
      <c r="F41" s="742"/>
      <c r="G41" s="743"/>
      <c r="H41" s="133"/>
      <c r="I41" s="745"/>
      <c r="J41" s="367"/>
      <c r="K41" s="133"/>
      <c r="L41" s="133"/>
    </row>
    <row r="42" s="105" customFormat="1" ht="20.55" customHeight="1" spans="2:12">
      <c r="B42" s="767"/>
      <c r="C42" s="740"/>
      <c r="D42" s="771">
        <v>47150</v>
      </c>
      <c r="E42" s="743" t="s">
        <v>70</v>
      </c>
      <c r="F42" s="742"/>
      <c r="G42" s="743"/>
      <c r="H42" s="133"/>
      <c r="I42" s="772">
        <v>0</v>
      </c>
      <c r="J42" s="367" t="s">
        <v>31</v>
      </c>
      <c r="K42" s="133"/>
      <c r="L42" s="133"/>
    </row>
    <row r="43" s="105" customFormat="1" ht="20.55" customHeight="1" spans="2:12">
      <c r="B43" s="767"/>
      <c r="C43" s="740"/>
      <c r="D43" s="771">
        <v>47362</v>
      </c>
      <c r="E43" s="743" t="s">
        <v>70</v>
      </c>
      <c r="F43" s="742"/>
      <c r="G43" s="743"/>
      <c r="H43" s="133"/>
      <c r="I43" s="772">
        <v>0</v>
      </c>
      <c r="J43" s="367" t="s">
        <v>31</v>
      </c>
      <c r="K43" s="133"/>
      <c r="L43" s="133"/>
    </row>
    <row r="44" s="105" customFormat="1" ht="20.55" customHeight="1" spans="2:12">
      <c r="B44" s="767"/>
      <c r="C44" s="740"/>
      <c r="D44" s="771">
        <v>47543</v>
      </c>
      <c r="E44" s="743" t="s">
        <v>70</v>
      </c>
      <c r="F44" s="742"/>
      <c r="G44" s="743"/>
      <c r="H44" s="133"/>
      <c r="I44" s="772">
        <v>0</v>
      </c>
      <c r="J44" s="367" t="s">
        <v>31</v>
      </c>
      <c r="K44" s="133"/>
      <c r="L44" s="133"/>
    </row>
    <row r="45" s="105" customFormat="1" ht="20.55" customHeight="1" spans="2:12">
      <c r="B45" s="767"/>
      <c r="C45" s="740"/>
      <c r="D45" s="771">
        <v>47696</v>
      </c>
      <c r="E45" s="743" t="s">
        <v>70</v>
      </c>
      <c r="F45" s="742"/>
      <c r="G45" s="743"/>
      <c r="H45" s="133"/>
      <c r="I45" s="772">
        <v>1</v>
      </c>
      <c r="J45" s="367" t="s">
        <v>31</v>
      </c>
      <c r="K45" s="133"/>
      <c r="L45" s="133"/>
    </row>
    <row r="46" s="105" customFormat="1" ht="16.5" spans="2:12">
      <c r="B46" s="767"/>
      <c r="C46" s="773">
        <v>4.2</v>
      </c>
      <c r="D46" s="95" t="s">
        <v>73</v>
      </c>
      <c r="E46" s="741" t="s">
        <v>24</v>
      </c>
      <c r="F46" s="774"/>
      <c r="G46" s="775"/>
      <c r="H46" s="133"/>
      <c r="I46" s="776"/>
      <c r="J46" s="367"/>
      <c r="K46" s="133"/>
      <c r="L46" s="133"/>
    </row>
    <row r="47" s="105" customFormat="1" ht="16.5" hidden="1" spans="2:12">
      <c r="B47" s="767"/>
      <c r="C47" s="740"/>
      <c r="D47" s="777" t="s">
        <v>74</v>
      </c>
      <c r="E47" s="741" t="s">
        <v>24</v>
      </c>
      <c r="F47" s="774"/>
      <c r="G47" s="775"/>
      <c r="H47" s="133"/>
      <c r="I47" s="776">
        <f>'投产&amp;达产比例'!Z11</f>
        <v>0</v>
      </c>
      <c r="J47" s="367" t="s">
        <v>31</v>
      </c>
      <c r="K47" s="133"/>
      <c r="L47" s="133"/>
    </row>
    <row r="48" s="105" customFormat="1" ht="16.5" hidden="1" spans="2:12">
      <c r="B48" s="767"/>
      <c r="C48" s="740"/>
      <c r="D48" s="777" t="s">
        <v>75</v>
      </c>
      <c r="E48" s="741" t="s">
        <v>24</v>
      </c>
      <c r="F48" s="774"/>
      <c r="G48" s="775"/>
      <c r="H48" s="133"/>
      <c r="I48" s="776">
        <f>'投产&amp;达产比例'!Z12</f>
        <v>0</v>
      </c>
      <c r="J48" s="367" t="s">
        <v>31</v>
      </c>
      <c r="K48" s="133"/>
      <c r="L48" s="133"/>
    </row>
    <row r="49" s="105" customFormat="1" ht="16.5" hidden="1" spans="2:12">
      <c r="B49" s="767"/>
      <c r="C49" s="740"/>
      <c r="D49" s="777" t="s">
        <v>76</v>
      </c>
      <c r="E49" s="741" t="s">
        <v>24</v>
      </c>
      <c r="F49" s="774"/>
      <c r="G49" s="775"/>
      <c r="H49" s="133"/>
      <c r="I49" s="776">
        <f>'投产&amp;达产比例'!Z13</f>
        <v>0</v>
      </c>
      <c r="J49" s="367" t="s">
        <v>31</v>
      </c>
      <c r="K49" s="133"/>
      <c r="L49" s="133"/>
    </row>
    <row r="50" s="105" customFormat="1" ht="16.5" hidden="1" spans="2:12">
      <c r="B50" s="767"/>
      <c r="C50" s="740"/>
      <c r="D50" s="777" t="s">
        <v>77</v>
      </c>
      <c r="E50" s="741" t="s">
        <v>24</v>
      </c>
      <c r="F50" s="774"/>
      <c r="G50" s="775"/>
      <c r="H50" s="133"/>
      <c r="I50" s="776">
        <f>'投产&amp;达产比例'!Z14</f>
        <v>0</v>
      </c>
      <c r="J50" s="367" t="s">
        <v>31</v>
      </c>
      <c r="K50" s="133"/>
      <c r="L50" s="133"/>
    </row>
    <row r="51" s="105" customFormat="1" ht="16.5" hidden="1" spans="2:12">
      <c r="B51" s="767"/>
      <c r="C51" s="740"/>
      <c r="D51" s="777" t="s">
        <v>78</v>
      </c>
      <c r="E51" s="741" t="s">
        <v>24</v>
      </c>
      <c r="F51" s="774"/>
      <c r="G51" s="775"/>
      <c r="H51" s="133"/>
      <c r="I51" s="776">
        <f>'投产&amp;达产比例'!Z15</f>
        <v>0</v>
      </c>
      <c r="J51" s="367" t="s">
        <v>31</v>
      </c>
      <c r="K51" s="133"/>
      <c r="L51" s="133"/>
    </row>
    <row r="52" s="105" customFormat="1" ht="16.5" hidden="1" spans="2:12">
      <c r="B52" s="767"/>
      <c r="C52" s="740"/>
      <c r="D52" s="777" t="s">
        <v>79</v>
      </c>
      <c r="E52" s="741" t="s">
        <v>24</v>
      </c>
      <c r="F52" s="774"/>
      <c r="G52" s="775"/>
      <c r="H52" s="133"/>
      <c r="I52" s="776">
        <f>'投产&amp;达产比例'!Z16</f>
        <v>0</v>
      </c>
      <c r="J52" s="367" t="s">
        <v>31</v>
      </c>
      <c r="K52" s="133"/>
      <c r="L52" s="133"/>
    </row>
    <row r="53" s="105" customFormat="1" ht="16.5" hidden="1" spans="2:12">
      <c r="B53" s="767"/>
      <c r="C53" s="740"/>
      <c r="D53" s="777" t="s">
        <v>80</v>
      </c>
      <c r="E53" s="741" t="s">
        <v>24</v>
      </c>
      <c r="F53" s="774"/>
      <c r="G53" s="775"/>
      <c r="H53" s="133"/>
      <c r="I53" s="776">
        <f>'投产&amp;达产比例'!Z17</f>
        <v>0</v>
      </c>
      <c r="J53" s="367" t="s">
        <v>31</v>
      </c>
      <c r="K53" s="133"/>
      <c r="L53" s="133"/>
    </row>
    <row r="54" s="105" customFormat="1" ht="16.5" hidden="1" spans="2:12">
      <c r="B54" s="767"/>
      <c r="C54" s="740"/>
      <c r="D54" s="777" t="s">
        <v>81</v>
      </c>
      <c r="E54" s="741" t="s">
        <v>24</v>
      </c>
      <c r="F54" s="774"/>
      <c r="G54" s="775"/>
      <c r="H54" s="133"/>
      <c r="I54" s="776">
        <f>'投产&amp;达产比例'!Z18</f>
        <v>0.416666666666667</v>
      </c>
      <c r="J54" s="367" t="s">
        <v>31</v>
      </c>
      <c r="K54" s="133"/>
      <c r="L54" s="133"/>
    </row>
    <row r="55" s="105" customFormat="1" ht="16.5" hidden="1" spans="2:12">
      <c r="B55" s="767"/>
      <c r="C55" s="740"/>
      <c r="D55" s="777" t="s">
        <v>82</v>
      </c>
      <c r="E55" s="741" t="s">
        <v>24</v>
      </c>
      <c r="F55" s="774"/>
      <c r="G55" s="775"/>
      <c r="H55" s="133"/>
      <c r="I55" s="776">
        <f>'投产&amp;达产比例'!Z19</f>
        <v>1</v>
      </c>
      <c r="J55" s="367" t="s">
        <v>31</v>
      </c>
      <c r="K55" s="133"/>
      <c r="L55" s="133"/>
    </row>
    <row r="56" s="105" customFormat="1" ht="16.5" hidden="1" spans="2:12">
      <c r="B56" s="767"/>
      <c r="C56" s="740"/>
      <c r="D56" s="777" t="s">
        <v>83</v>
      </c>
      <c r="E56" s="741" t="s">
        <v>24</v>
      </c>
      <c r="F56" s="774"/>
      <c r="G56" s="775"/>
      <c r="H56" s="133"/>
      <c r="I56" s="776">
        <f>'投产&amp;达产比例'!Z20</f>
        <v>1</v>
      </c>
      <c r="J56" s="367" t="s">
        <v>31</v>
      </c>
      <c r="K56" s="133"/>
      <c r="L56" s="133"/>
    </row>
    <row r="57" s="105" customFormat="1" ht="16.5" hidden="1" spans="2:12">
      <c r="B57" s="767"/>
      <c r="C57" s="740"/>
      <c r="D57" s="777" t="s">
        <v>84</v>
      </c>
      <c r="E57" s="741" t="s">
        <v>24</v>
      </c>
      <c r="F57" s="774"/>
      <c r="G57" s="775"/>
      <c r="H57" s="133"/>
      <c r="I57" s="776">
        <f>'投产&amp;达产比例'!Z21</f>
        <v>1</v>
      </c>
      <c r="J57" s="367" t="s">
        <v>31</v>
      </c>
      <c r="K57" s="133"/>
      <c r="L57" s="133"/>
    </row>
    <row r="58" s="105" customFormat="1" ht="16.5" hidden="1" spans="2:12">
      <c r="B58" s="767"/>
      <c r="C58" s="740"/>
      <c r="D58" s="777" t="s">
        <v>85</v>
      </c>
      <c r="E58" s="741" t="s">
        <v>24</v>
      </c>
      <c r="F58" s="774"/>
      <c r="G58" s="775"/>
      <c r="H58" s="133"/>
      <c r="I58" s="776">
        <f>'投产&amp;达产比例'!Z22</f>
        <v>1</v>
      </c>
      <c r="J58" s="367" t="s">
        <v>31</v>
      </c>
      <c r="K58" s="133"/>
      <c r="L58" s="133"/>
    </row>
    <row r="59" s="105" customFormat="1" ht="16.5" hidden="1" spans="2:12">
      <c r="B59" s="767"/>
      <c r="C59" s="740"/>
      <c r="D59" s="777" t="s">
        <v>86</v>
      </c>
      <c r="E59" s="741" t="s">
        <v>24</v>
      </c>
      <c r="F59" s="774"/>
      <c r="G59" s="775"/>
      <c r="H59" s="133"/>
      <c r="I59" s="776">
        <f>'投产&amp;达产比例'!Z23</f>
        <v>1</v>
      </c>
      <c r="J59" s="367" t="s">
        <v>31</v>
      </c>
      <c r="K59" s="133"/>
      <c r="L59" s="133"/>
    </row>
    <row r="60" s="105" customFormat="1" ht="16.5" hidden="1" spans="2:12">
      <c r="B60" s="767"/>
      <c r="C60" s="740"/>
      <c r="D60" s="777" t="s">
        <v>87</v>
      </c>
      <c r="E60" s="741" t="s">
        <v>24</v>
      </c>
      <c r="F60" s="774"/>
      <c r="G60" s="775"/>
      <c r="H60" s="133"/>
      <c r="I60" s="776">
        <f>'投产&amp;达产比例'!Z24</f>
        <v>1</v>
      </c>
      <c r="J60" s="367" t="s">
        <v>31</v>
      </c>
      <c r="K60" s="133"/>
      <c r="L60" s="133"/>
    </row>
    <row r="61" s="105" customFormat="1" ht="16.5" hidden="1" spans="2:12">
      <c r="B61" s="767"/>
      <c r="C61" s="740"/>
      <c r="D61" s="777" t="s">
        <v>88</v>
      </c>
      <c r="E61" s="741" t="s">
        <v>24</v>
      </c>
      <c r="F61" s="774"/>
      <c r="G61" s="775"/>
      <c r="H61" s="133"/>
      <c r="I61" s="776">
        <f>'投产&amp;达产比例'!Z25</f>
        <v>1</v>
      </c>
      <c r="J61" s="367" t="s">
        <v>31</v>
      </c>
      <c r="K61" s="133"/>
      <c r="L61" s="133"/>
    </row>
    <row r="62" s="105" customFormat="1" ht="16.5" hidden="1" spans="2:12">
      <c r="B62" s="767"/>
      <c r="C62" s="740"/>
      <c r="D62" s="777" t="s">
        <v>89</v>
      </c>
      <c r="E62" s="741" t="s">
        <v>24</v>
      </c>
      <c r="F62" s="774"/>
      <c r="G62" s="775"/>
      <c r="H62" s="133"/>
      <c r="I62" s="776">
        <f>'投产&amp;达产比例'!Z26</f>
        <v>1</v>
      </c>
      <c r="J62" s="367" t="s">
        <v>31</v>
      </c>
      <c r="K62" s="133"/>
      <c r="L62" s="133"/>
    </row>
    <row r="63" s="105" customFormat="1" ht="16.5" hidden="1" spans="2:12">
      <c r="B63" s="767"/>
      <c r="C63" s="740"/>
      <c r="D63" s="777" t="s">
        <v>90</v>
      </c>
      <c r="E63" s="741" t="s">
        <v>24</v>
      </c>
      <c r="F63" s="774"/>
      <c r="G63" s="775"/>
      <c r="H63" s="133"/>
      <c r="I63" s="776">
        <f>'投产&amp;达产比例'!Z27</f>
        <v>1</v>
      </c>
      <c r="J63" s="367" t="s">
        <v>31</v>
      </c>
      <c r="K63" s="133"/>
      <c r="L63" s="133"/>
    </row>
    <row r="64" s="105" customFormat="1" ht="16.5" hidden="1" spans="2:12">
      <c r="B64" s="767"/>
      <c r="C64" s="740"/>
      <c r="D64" s="777" t="s">
        <v>91</v>
      </c>
      <c r="E64" s="741" t="s">
        <v>24</v>
      </c>
      <c r="F64" s="774"/>
      <c r="G64" s="775"/>
      <c r="H64" s="133"/>
      <c r="I64" s="776">
        <f>'投产&amp;达产比例'!Z28</f>
        <v>1</v>
      </c>
      <c r="J64" s="367" t="s">
        <v>31</v>
      </c>
      <c r="K64" s="133"/>
      <c r="L64" s="133"/>
    </row>
    <row r="65" s="105" customFormat="1" ht="16.5" hidden="1" spans="2:12">
      <c r="B65" s="767"/>
      <c r="C65" s="740"/>
      <c r="D65" s="777" t="s">
        <v>92</v>
      </c>
      <c r="E65" s="741" t="s">
        <v>24</v>
      </c>
      <c r="F65" s="774"/>
      <c r="G65" s="775"/>
      <c r="H65" s="133"/>
      <c r="I65" s="776">
        <f>'投产&amp;达产比例'!Z29</f>
        <v>1</v>
      </c>
      <c r="J65" s="367" t="s">
        <v>31</v>
      </c>
      <c r="K65" s="133"/>
      <c r="L65" s="133"/>
    </row>
    <row r="66" s="105" customFormat="1" ht="16.5" hidden="1" spans="2:12">
      <c r="B66" s="767"/>
      <c r="C66" s="740"/>
      <c r="D66" s="777" t="s">
        <v>93</v>
      </c>
      <c r="E66" s="741" t="s">
        <v>24</v>
      </c>
      <c r="F66" s="774"/>
      <c r="G66" s="775"/>
      <c r="H66" s="133"/>
      <c r="I66" s="776">
        <f>'投产&amp;达产比例'!Z30</f>
        <v>1</v>
      </c>
      <c r="J66" s="367" t="s">
        <v>31</v>
      </c>
      <c r="K66" s="133"/>
      <c r="L66" s="133"/>
    </row>
    <row r="67" s="105" customFormat="1" ht="16.5" hidden="1" spans="2:12">
      <c r="B67" s="767"/>
      <c r="C67" s="740"/>
      <c r="D67" s="777" t="s">
        <v>94</v>
      </c>
      <c r="E67" s="741" t="s">
        <v>24</v>
      </c>
      <c r="F67" s="774"/>
      <c r="G67" s="775"/>
      <c r="H67" s="133"/>
      <c r="I67" s="776">
        <f>'投产&amp;达产比例'!Z31</f>
        <v>1</v>
      </c>
      <c r="J67" s="367" t="s">
        <v>31</v>
      </c>
      <c r="K67" s="133"/>
      <c r="L67" s="133"/>
    </row>
    <row r="68" s="105" customFormat="1" ht="16.5" hidden="1" spans="2:12">
      <c r="B68" s="767"/>
      <c r="C68" s="740"/>
      <c r="D68" s="777" t="s">
        <v>95</v>
      </c>
      <c r="E68" s="741" t="s">
        <v>24</v>
      </c>
      <c r="F68" s="774"/>
      <c r="G68" s="775"/>
      <c r="H68" s="133"/>
      <c r="I68" s="776">
        <f>'投产&amp;达产比例'!Z32</f>
        <v>1</v>
      </c>
      <c r="J68" s="367" t="s">
        <v>31</v>
      </c>
      <c r="K68" s="133"/>
      <c r="L68" s="133"/>
    </row>
    <row r="69" s="105" customFormat="1" ht="16.5" hidden="1" spans="2:12">
      <c r="B69" s="767"/>
      <c r="C69" s="740"/>
      <c r="D69" s="777" t="s">
        <v>96</v>
      </c>
      <c r="E69" s="741" t="s">
        <v>24</v>
      </c>
      <c r="F69" s="774"/>
      <c r="G69" s="775"/>
      <c r="H69" s="133"/>
      <c r="I69" s="776">
        <f>'投产&amp;达产比例'!Z33</f>
        <v>1</v>
      </c>
      <c r="J69" s="367" t="s">
        <v>31</v>
      </c>
      <c r="K69" s="133"/>
      <c r="L69" s="133"/>
    </row>
    <row r="70" s="105" customFormat="1" ht="16.5" hidden="1" spans="2:12">
      <c r="B70" s="767"/>
      <c r="C70" s="740"/>
      <c r="D70" s="777" t="s">
        <v>97</v>
      </c>
      <c r="E70" s="741" t="s">
        <v>24</v>
      </c>
      <c r="F70" s="774"/>
      <c r="G70" s="775"/>
      <c r="H70" s="133"/>
      <c r="I70" s="776">
        <f>'投产&amp;达产比例'!Z34</f>
        <v>1</v>
      </c>
      <c r="J70" s="367" t="s">
        <v>31</v>
      </c>
      <c r="K70" s="133"/>
      <c r="L70" s="133"/>
    </row>
    <row r="71" s="105" customFormat="1" ht="16.5" hidden="1" spans="2:12">
      <c r="B71" s="767"/>
      <c r="C71" s="740"/>
      <c r="D71" s="777" t="s">
        <v>98</v>
      </c>
      <c r="E71" s="741" t="s">
        <v>24</v>
      </c>
      <c r="F71" s="774"/>
      <c r="G71" s="775"/>
      <c r="H71" s="133"/>
      <c r="I71" s="776">
        <f>'投产&amp;达产比例'!Z35</f>
        <v>1</v>
      </c>
      <c r="J71" s="367" t="s">
        <v>31</v>
      </c>
      <c r="K71" s="133"/>
      <c r="L71" s="133"/>
    </row>
    <row r="72" s="105" customFormat="1" ht="16.5" hidden="1" spans="2:12">
      <c r="B72" s="767"/>
      <c r="C72" s="740"/>
      <c r="D72" s="777" t="s">
        <v>99</v>
      </c>
      <c r="E72" s="741" t="s">
        <v>24</v>
      </c>
      <c r="F72" s="774"/>
      <c r="G72" s="775"/>
      <c r="H72" s="133"/>
      <c r="I72" s="776">
        <f>'投产&amp;达产比例'!Z36</f>
        <v>1</v>
      </c>
      <c r="J72" s="367" t="s">
        <v>31</v>
      </c>
      <c r="K72" s="133"/>
      <c r="L72" s="133"/>
    </row>
    <row r="73" s="105" customFormat="1" ht="16.5" hidden="1" spans="2:12">
      <c r="B73" s="767"/>
      <c r="C73" s="740"/>
      <c r="D73" s="777" t="s">
        <v>100</v>
      </c>
      <c r="E73" s="741" t="s">
        <v>24</v>
      </c>
      <c r="F73" s="774"/>
      <c r="G73" s="775"/>
      <c r="H73" s="133"/>
      <c r="I73" s="776">
        <f>'投产&amp;达产比例'!Z37</f>
        <v>1</v>
      </c>
      <c r="J73" s="367" t="s">
        <v>31</v>
      </c>
      <c r="K73" s="133"/>
      <c r="L73" s="133"/>
    </row>
    <row r="74" s="105" customFormat="1" ht="16.5" hidden="1" spans="2:12">
      <c r="B74" s="767"/>
      <c r="C74" s="740"/>
      <c r="D74" s="777" t="s">
        <v>101</v>
      </c>
      <c r="E74" s="741" t="s">
        <v>24</v>
      </c>
      <c r="F74" s="774"/>
      <c r="G74" s="775"/>
      <c r="H74" s="133"/>
      <c r="I74" s="776">
        <f>'投产&amp;达产比例'!Z38</f>
        <v>1</v>
      </c>
      <c r="J74" s="367" t="s">
        <v>31</v>
      </c>
      <c r="K74" s="133"/>
      <c r="L74" s="133"/>
    </row>
    <row r="75" s="105" customFormat="1" ht="16.5" hidden="1" spans="2:12">
      <c r="B75" s="767"/>
      <c r="C75" s="740"/>
      <c r="D75" s="777" t="s">
        <v>102</v>
      </c>
      <c r="E75" s="741" t="s">
        <v>24</v>
      </c>
      <c r="F75" s="774"/>
      <c r="G75" s="775"/>
      <c r="H75" s="133"/>
      <c r="I75" s="776">
        <f>'投产&amp;达产比例'!Z39</f>
        <v>1</v>
      </c>
      <c r="J75" s="367" t="s">
        <v>31</v>
      </c>
      <c r="K75" s="133"/>
      <c r="L75" s="133"/>
    </row>
    <row r="76" s="105" customFormat="1" ht="16.5" hidden="1" spans="2:12">
      <c r="B76" s="767"/>
      <c r="C76" s="740"/>
      <c r="D76" s="777" t="s">
        <v>103</v>
      </c>
      <c r="E76" s="741" t="s">
        <v>24</v>
      </c>
      <c r="F76" s="774"/>
      <c r="G76" s="775"/>
      <c r="H76" s="133"/>
      <c r="I76" s="776">
        <f>'投产&amp;达产比例'!Z40</f>
        <v>1</v>
      </c>
      <c r="J76" s="367" t="s">
        <v>31</v>
      </c>
      <c r="K76" s="133"/>
      <c r="L76" s="133"/>
    </row>
    <row r="77" s="105" customFormat="1" ht="16.5" hidden="1" spans="2:12">
      <c r="B77" s="767"/>
      <c r="C77" s="740"/>
      <c r="D77" s="777" t="s">
        <v>104</v>
      </c>
      <c r="E77" s="741" t="s">
        <v>24</v>
      </c>
      <c r="F77" s="774"/>
      <c r="G77" s="775"/>
      <c r="H77" s="133"/>
      <c r="I77" s="776">
        <f>'投产&amp;达产比例'!Z41</f>
        <v>1</v>
      </c>
      <c r="J77" s="367" t="s">
        <v>31</v>
      </c>
      <c r="K77" s="133"/>
      <c r="L77" s="133"/>
    </row>
    <row r="78" s="105" customFormat="1" ht="16.5" hidden="1" spans="2:12">
      <c r="B78" s="767"/>
      <c r="C78" s="740"/>
      <c r="D78" s="777" t="s">
        <v>105</v>
      </c>
      <c r="E78" s="741" t="s">
        <v>24</v>
      </c>
      <c r="F78" s="774"/>
      <c r="G78" s="775"/>
      <c r="H78" s="133"/>
      <c r="I78" s="776">
        <f>'投产&amp;达产比例'!Z42</f>
        <v>1</v>
      </c>
      <c r="J78" s="367" t="s">
        <v>31</v>
      </c>
      <c r="K78" s="133"/>
      <c r="L78" s="133"/>
    </row>
    <row r="79" s="105" customFormat="1" ht="16.5" hidden="1" spans="2:12">
      <c r="B79" s="767"/>
      <c r="C79" s="740"/>
      <c r="D79" s="777" t="s">
        <v>106</v>
      </c>
      <c r="E79" s="741" t="s">
        <v>24</v>
      </c>
      <c r="F79" s="774"/>
      <c r="G79" s="775"/>
      <c r="H79" s="133"/>
      <c r="I79" s="776">
        <f>'投产&amp;达产比例'!Z43</f>
        <v>1</v>
      </c>
      <c r="J79" s="367" t="s">
        <v>31</v>
      </c>
      <c r="K79" s="133"/>
      <c r="L79" s="133"/>
    </row>
    <row r="80" s="105" customFormat="1" ht="16.5" hidden="1" spans="2:12">
      <c r="B80" s="767"/>
      <c r="C80" s="740"/>
      <c r="D80" s="777" t="s">
        <v>107</v>
      </c>
      <c r="E80" s="741" t="s">
        <v>24</v>
      </c>
      <c r="F80" s="774"/>
      <c r="G80" s="775"/>
      <c r="H80" s="133"/>
      <c r="I80" s="776">
        <f>'投产&amp;达产比例'!Z44</f>
        <v>1</v>
      </c>
      <c r="J80" s="367" t="s">
        <v>31</v>
      </c>
      <c r="K80" s="133"/>
      <c r="L80" s="133"/>
    </row>
    <row r="81" s="105" customFormat="1" ht="16.5" hidden="1" spans="2:12">
      <c r="B81" s="767"/>
      <c r="C81" s="740"/>
      <c r="D81" s="777" t="s">
        <v>108</v>
      </c>
      <c r="E81" s="741" t="s">
        <v>24</v>
      </c>
      <c r="F81" s="774"/>
      <c r="G81" s="775"/>
      <c r="H81" s="133"/>
      <c r="I81" s="776">
        <f>'投产&amp;达产比例'!Z45</f>
        <v>1</v>
      </c>
      <c r="J81" s="367" t="s">
        <v>31</v>
      </c>
      <c r="K81" s="133"/>
      <c r="L81" s="133"/>
    </row>
    <row r="82" s="105" customFormat="1" ht="16.5" hidden="1" spans="2:12">
      <c r="B82" s="767"/>
      <c r="C82" s="740"/>
      <c r="D82" s="777" t="s">
        <v>109</v>
      </c>
      <c r="E82" s="741" t="s">
        <v>24</v>
      </c>
      <c r="F82" s="774"/>
      <c r="G82" s="775"/>
      <c r="H82" s="133"/>
      <c r="I82" s="776">
        <f>'投产&amp;达产比例'!Z46</f>
        <v>1</v>
      </c>
      <c r="J82" s="367" t="s">
        <v>31</v>
      </c>
      <c r="K82" s="133"/>
      <c r="L82" s="133"/>
    </row>
    <row r="83" s="105" customFormat="1" ht="16.5" hidden="1" spans="2:12">
      <c r="B83" s="767"/>
      <c r="C83" s="740"/>
      <c r="D83" s="777" t="s">
        <v>110</v>
      </c>
      <c r="E83" s="741" t="s">
        <v>24</v>
      </c>
      <c r="F83" s="774"/>
      <c r="G83" s="775"/>
      <c r="H83" s="133"/>
      <c r="I83" s="776">
        <f>'投产&amp;达产比例'!Z47</f>
        <v>1</v>
      </c>
      <c r="J83" s="367" t="s">
        <v>31</v>
      </c>
      <c r="K83" s="133"/>
      <c r="L83" s="133"/>
    </row>
    <row r="84" s="105" customFormat="1" ht="16.5" hidden="1" spans="2:12">
      <c r="B84" s="767"/>
      <c r="C84" s="740"/>
      <c r="D84" s="777" t="s">
        <v>111</v>
      </c>
      <c r="E84" s="741" t="s">
        <v>24</v>
      </c>
      <c r="F84" s="774"/>
      <c r="G84" s="775"/>
      <c r="H84" s="133"/>
      <c r="I84" s="776">
        <f>'投产&amp;达产比例'!Z48</f>
        <v>1</v>
      </c>
      <c r="J84" s="367" t="s">
        <v>31</v>
      </c>
      <c r="K84" s="133"/>
      <c r="L84" s="133"/>
    </row>
    <row r="85" s="105" customFormat="1" ht="16.5" hidden="1" spans="2:12">
      <c r="B85" s="767"/>
      <c r="C85" s="740"/>
      <c r="D85" s="777" t="s">
        <v>112</v>
      </c>
      <c r="E85" s="741" t="s">
        <v>24</v>
      </c>
      <c r="F85" s="774"/>
      <c r="G85" s="775"/>
      <c r="H85" s="133"/>
      <c r="I85" s="776">
        <f>'投产&amp;达产比例'!Z49</f>
        <v>1</v>
      </c>
      <c r="J85" s="367" t="s">
        <v>31</v>
      </c>
      <c r="K85" s="133"/>
      <c r="L85" s="133"/>
    </row>
    <row r="86" s="105" customFormat="1" ht="16.5" hidden="1" spans="2:12">
      <c r="B86" s="767"/>
      <c r="C86" s="740"/>
      <c r="D86" s="777" t="s">
        <v>113</v>
      </c>
      <c r="E86" s="741" t="s">
        <v>24</v>
      </c>
      <c r="F86" s="774"/>
      <c r="G86" s="775"/>
      <c r="H86" s="133"/>
      <c r="I86" s="776">
        <f>'投产&amp;达产比例'!Z50</f>
        <v>1</v>
      </c>
      <c r="J86" s="367" t="s">
        <v>31</v>
      </c>
      <c r="K86" s="133"/>
      <c r="L86" s="133"/>
    </row>
    <row r="87" s="105" customFormat="1" ht="16.5" hidden="1" spans="2:12">
      <c r="B87" s="767"/>
      <c r="C87" s="740"/>
      <c r="D87" s="777" t="s">
        <v>114</v>
      </c>
      <c r="E87" s="741" t="s">
        <v>24</v>
      </c>
      <c r="F87" s="774"/>
      <c r="G87" s="775"/>
      <c r="H87" s="133"/>
      <c r="I87" s="776">
        <f>'投产&amp;达产比例'!Z51</f>
        <v>1</v>
      </c>
      <c r="J87" s="367" t="s">
        <v>31</v>
      </c>
      <c r="K87" s="133"/>
      <c r="L87" s="133"/>
    </row>
    <row r="88" s="105" customFormat="1" ht="16.5" hidden="1" spans="2:12">
      <c r="B88" s="767"/>
      <c r="C88" s="740"/>
      <c r="D88" s="777" t="s">
        <v>115</v>
      </c>
      <c r="E88" s="741" t="s">
        <v>24</v>
      </c>
      <c r="F88" s="774"/>
      <c r="G88" s="775"/>
      <c r="H88" s="133"/>
      <c r="I88" s="776">
        <f>'投产&amp;达产比例'!Z52</f>
        <v>1</v>
      </c>
      <c r="J88" s="367" t="s">
        <v>31</v>
      </c>
      <c r="K88" s="133"/>
      <c r="L88" s="133"/>
    </row>
    <row r="89" s="105" customFormat="1" ht="16.5" hidden="1" spans="2:12">
      <c r="B89" s="767"/>
      <c r="C89" s="740"/>
      <c r="D89" s="777" t="s">
        <v>116</v>
      </c>
      <c r="E89" s="741" t="s">
        <v>24</v>
      </c>
      <c r="F89" s="774"/>
      <c r="G89" s="775"/>
      <c r="H89" s="133"/>
      <c r="I89" s="776">
        <f>'投产&amp;达产比例'!Z53</f>
        <v>1</v>
      </c>
      <c r="J89" s="367" t="s">
        <v>31</v>
      </c>
      <c r="K89" s="133"/>
      <c r="L89" s="133"/>
    </row>
    <row r="90" s="105" customFormat="1" ht="16.5" hidden="1" spans="2:12">
      <c r="B90" s="767"/>
      <c r="C90" s="740"/>
      <c r="D90" s="777" t="s">
        <v>117</v>
      </c>
      <c r="E90" s="741" t="s">
        <v>24</v>
      </c>
      <c r="F90" s="774"/>
      <c r="G90" s="775"/>
      <c r="H90" s="133"/>
      <c r="I90" s="776">
        <f>'投产&amp;达产比例'!Z54</f>
        <v>1</v>
      </c>
      <c r="J90" s="367" t="s">
        <v>31</v>
      </c>
      <c r="K90" s="133"/>
      <c r="L90" s="133"/>
    </row>
    <row r="91" s="105" customFormat="1" ht="16.5" hidden="1" spans="2:12">
      <c r="B91" s="767"/>
      <c r="C91" s="740"/>
      <c r="D91" s="777" t="s">
        <v>118</v>
      </c>
      <c r="E91" s="741" t="s">
        <v>24</v>
      </c>
      <c r="F91" s="774"/>
      <c r="G91" s="775"/>
      <c r="H91" s="133"/>
      <c r="I91" s="776">
        <f>'投产&amp;达产比例'!Z55</f>
        <v>1</v>
      </c>
      <c r="J91" s="367" t="s">
        <v>31</v>
      </c>
      <c r="K91" s="133"/>
      <c r="L91" s="133"/>
    </row>
    <row r="92" s="105" customFormat="1" ht="16.5" hidden="1" spans="2:12">
      <c r="B92" s="767"/>
      <c r="C92" s="740"/>
      <c r="D92" s="777" t="s">
        <v>119</v>
      </c>
      <c r="E92" s="741" t="s">
        <v>24</v>
      </c>
      <c r="F92" s="774"/>
      <c r="G92" s="775"/>
      <c r="H92" s="133"/>
      <c r="I92" s="776">
        <f>'投产&amp;达产比例'!Z56</f>
        <v>1</v>
      </c>
      <c r="J92" s="367" t="s">
        <v>31</v>
      </c>
      <c r="K92" s="133"/>
      <c r="L92" s="133"/>
    </row>
    <row r="93" s="105" customFormat="1" ht="16.5" hidden="1" spans="2:12">
      <c r="B93" s="767"/>
      <c r="C93" s="740"/>
      <c r="D93" s="777" t="s">
        <v>120</v>
      </c>
      <c r="E93" s="741" t="s">
        <v>24</v>
      </c>
      <c r="F93" s="774"/>
      <c r="G93" s="775"/>
      <c r="H93" s="133"/>
      <c r="I93" s="776">
        <f>'投产&amp;达产比例'!Z57</f>
        <v>1</v>
      </c>
      <c r="J93" s="367" t="s">
        <v>31</v>
      </c>
      <c r="K93" s="133"/>
      <c r="L93" s="133"/>
    </row>
    <row r="94" s="105" customFormat="1" ht="16.5" hidden="1" spans="2:12">
      <c r="B94" s="767"/>
      <c r="C94" s="740"/>
      <c r="D94" s="777" t="s">
        <v>121</v>
      </c>
      <c r="E94" s="741" t="s">
        <v>24</v>
      </c>
      <c r="F94" s="774"/>
      <c r="G94" s="775"/>
      <c r="H94" s="133"/>
      <c r="I94" s="776">
        <f>'投产&amp;达产比例'!Z58</f>
        <v>0.583333333333333</v>
      </c>
      <c r="J94" s="367" t="s">
        <v>31</v>
      </c>
      <c r="K94" s="133"/>
      <c r="L94" s="133"/>
    </row>
    <row r="95" s="105" customFormat="1" ht="33" spans="2:12">
      <c r="B95" s="739"/>
      <c r="C95" s="740">
        <v>5</v>
      </c>
      <c r="D95" s="95" t="s">
        <v>122</v>
      </c>
      <c r="E95" s="741" t="s">
        <v>24</v>
      </c>
      <c r="F95" s="778"/>
      <c r="G95" s="741"/>
      <c r="H95" s="779" t="s">
        <v>123</v>
      </c>
      <c r="I95" s="766"/>
      <c r="J95" s="367" t="s">
        <v>124</v>
      </c>
      <c r="K95" s="133" t="s">
        <v>125</v>
      </c>
      <c r="L95" s="133"/>
    </row>
    <row r="96" s="660" customFormat="1" ht="16.5" hidden="1" spans="2:12">
      <c r="B96" s="739"/>
      <c r="C96" s="780"/>
      <c r="D96" s="781" t="s">
        <v>74</v>
      </c>
      <c r="E96" s="741" t="s">
        <v>24</v>
      </c>
      <c r="F96" s="782"/>
      <c r="G96" s="783"/>
      <c r="H96" s="784"/>
      <c r="I96" s="785">
        <f>$I$33*$I$34*I47</f>
        <v>0</v>
      </c>
      <c r="J96" s="256" t="s">
        <v>124</v>
      </c>
      <c r="K96" s="786"/>
      <c r="L96" s="786"/>
    </row>
    <row r="97" s="660" customFormat="1" ht="16.5" hidden="1" spans="2:12">
      <c r="B97" s="739"/>
      <c r="C97" s="780"/>
      <c r="D97" s="781" t="s">
        <v>75</v>
      </c>
      <c r="E97" s="741" t="s">
        <v>24</v>
      </c>
      <c r="F97" s="782"/>
      <c r="G97" s="783"/>
      <c r="H97" s="784"/>
      <c r="I97" s="785">
        <f t="shared" ref="I97:I143" si="0">$I$33*$I$34*I48</f>
        <v>0</v>
      </c>
      <c r="J97" s="256" t="s">
        <v>124</v>
      </c>
      <c r="K97" s="786"/>
      <c r="L97" s="786"/>
    </row>
    <row r="98" s="660" customFormat="1" ht="16.5" hidden="1" spans="2:12">
      <c r="B98" s="739"/>
      <c r="C98" s="780"/>
      <c r="D98" s="781" t="s">
        <v>76</v>
      </c>
      <c r="E98" s="741" t="s">
        <v>24</v>
      </c>
      <c r="F98" s="782"/>
      <c r="G98" s="783"/>
      <c r="H98" s="784"/>
      <c r="I98" s="785">
        <f t="shared" si="0"/>
        <v>0</v>
      </c>
      <c r="J98" s="256" t="s">
        <v>124</v>
      </c>
      <c r="K98" s="786"/>
      <c r="L98" s="786"/>
    </row>
    <row r="99" s="660" customFormat="1" ht="16.5" hidden="1" spans="2:12">
      <c r="B99" s="739"/>
      <c r="C99" s="780"/>
      <c r="D99" s="781" t="s">
        <v>77</v>
      </c>
      <c r="E99" s="741" t="s">
        <v>24</v>
      </c>
      <c r="F99" s="782"/>
      <c r="G99" s="783"/>
      <c r="H99" s="784"/>
      <c r="I99" s="785">
        <f t="shared" si="0"/>
        <v>0</v>
      </c>
      <c r="J99" s="256" t="s">
        <v>124</v>
      </c>
      <c r="K99" s="786"/>
      <c r="L99" s="786"/>
    </row>
    <row r="100" s="660" customFormat="1" ht="16.5" hidden="1" spans="2:12">
      <c r="B100" s="739"/>
      <c r="C100" s="780"/>
      <c r="D100" s="781" t="s">
        <v>78</v>
      </c>
      <c r="E100" s="741" t="s">
        <v>24</v>
      </c>
      <c r="F100" s="782"/>
      <c r="G100" s="783"/>
      <c r="H100" s="784"/>
      <c r="I100" s="785">
        <f t="shared" si="0"/>
        <v>0</v>
      </c>
      <c r="J100" s="256" t="s">
        <v>124</v>
      </c>
      <c r="K100" s="786"/>
      <c r="L100" s="786"/>
    </row>
    <row r="101" s="660" customFormat="1" ht="16.5" hidden="1" spans="2:12">
      <c r="B101" s="739"/>
      <c r="C101" s="780"/>
      <c r="D101" s="781" t="s">
        <v>79</v>
      </c>
      <c r="E101" s="741" t="s">
        <v>24</v>
      </c>
      <c r="F101" s="782"/>
      <c r="G101" s="783"/>
      <c r="H101" s="784"/>
      <c r="I101" s="785">
        <f t="shared" si="0"/>
        <v>0</v>
      </c>
      <c r="J101" s="256" t="s">
        <v>124</v>
      </c>
      <c r="K101" s="786"/>
      <c r="L101" s="786"/>
    </row>
    <row r="102" s="660" customFormat="1" ht="16.5" hidden="1" spans="2:12">
      <c r="B102" s="739"/>
      <c r="C102" s="780"/>
      <c r="D102" s="781" t="s">
        <v>80</v>
      </c>
      <c r="E102" s="741" t="s">
        <v>24</v>
      </c>
      <c r="F102" s="782"/>
      <c r="G102" s="783"/>
      <c r="H102" s="784"/>
      <c r="I102" s="785">
        <f t="shared" si="0"/>
        <v>0</v>
      </c>
      <c r="J102" s="256" t="s">
        <v>124</v>
      </c>
      <c r="K102" s="786"/>
      <c r="L102" s="786"/>
    </row>
    <row r="103" s="660" customFormat="1" ht="16.5" hidden="1" spans="2:12">
      <c r="B103" s="739"/>
      <c r="C103" s="780"/>
      <c r="D103" s="781" t="s">
        <v>81</v>
      </c>
      <c r="E103" s="741" t="s">
        <v>24</v>
      </c>
      <c r="F103" s="782"/>
      <c r="G103" s="783"/>
      <c r="H103" s="784"/>
      <c r="I103" s="785">
        <f t="shared" si="0"/>
        <v>682083.333333331</v>
      </c>
      <c r="J103" s="256" t="s">
        <v>124</v>
      </c>
      <c r="K103" s="786"/>
      <c r="L103" s="786"/>
    </row>
    <row r="104" s="660" customFormat="1" ht="16.5" hidden="1" spans="2:12">
      <c r="B104" s="739"/>
      <c r="C104" s="780"/>
      <c r="D104" s="781" t="s">
        <v>82</v>
      </c>
      <c r="E104" s="741" t="s">
        <v>24</v>
      </c>
      <c r="F104" s="782"/>
      <c r="G104" s="783"/>
      <c r="H104" s="784"/>
      <c r="I104" s="785">
        <f t="shared" si="0"/>
        <v>1636999.99999999</v>
      </c>
      <c r="J104" s="256" t="s">
        <v>124</v>
      </c>
      <c r="K104" s="786"/>
      <c r="L104" s="786"/>
    </row>
    <row r="105" s="660" customFormat="1" ht="16.5" hidden="1" spans="2:12">
      <c r="B105" s="739"/>
      <c r="C105" s="780"/>
      <c r="D105" s="781" t="s">
        <v>83</v>
      </c>
      <c r="E105" s="741" t="s">
        <v>24</v>
      </c>
      <c r="F105" s="782"/>
      <c r="G105" s="783"/>
      <c r="H105" s="784"/>
      <c r="I105" s="785">
        <f t="shared" si="0"/>
        <v>1636999.99999999</v>
      </c>
      <c r="J105" s="256" t="s">
        <v>124</v>
      </c>
      <c r="K105" s="786"/>
      <c r="L105" s="786"/>
    </row>
    <row r="106" s="660" customFormat="1" ht="16.5" hidden="1" spans="2:12">
      <c r="B106" s="739"/>
      <c r="C106" s="780"/>
      <c r="D106" s="781" t="s">
        <v>84</v>
      </c>
      <c r="E106" s="741" t="s">
        <v>24</v>
      </c>
      <c r="F106" s="782"/>
      <c r="G106" s="783"/>
      <c r="H106" s="784"/>
      <c r="I106" s="785">
        <f t="shared" si="0"/>
        <v>1636999.99999999</v>
      </c>
      <c r="J106" s="256" t="s">
        <v>124</v>
      </c>
      <c r="K106" s="786"/>
      <c r="L106" s="786"/>
    </row>
    <row r="107" s="660" customFormat="1" ht="16.5" hidden="1" spans="2:12">
      <c r="B107" s="739"/>
      <c r="C107" s="780"/>
      <c r="D107" s="781" t="s">
        <v>85</v>
      </c>
      <c r="E107" s="741" t="s">
        <v>24</v>
      </c>
      <c r="F107" s="782"/>
      <c r="G107" s="783"/>
      <c r="H107" s="784"/>
      <c r="I107" s="785">
        <f t="shared" si="0"/>
        <v>1636999.99999999</v>
      </c>
      <c r="J107" s="256" t="s">
        <v>124</v>
      </c>
      <c r="K107" s="786"/>
      <c r="L107" s="786"/>
    </row>
    <row r="108" s="660" customFormat="1" ht="16.5" hidden="1" spans="2:12">
      <c r="B108" s="739"/>
      <c r="C108" s="780"/>
      <c r="D108" s="781" t="s">
        <v>86</v>
      </c>
      <c r="E108" s="741" t="s">
        <v>24</v>
      </c>
      <c r="F108" s="782"/>
      <c r="G108" s="783"/>
      <c r="H108" s="784"/>
      <c r="I108" s="785">
        <f t="shared" si="0"/>
        <v>1636999.99999999</v>
      </c>
      <c r="J108" s="256" t="s">
        <v>124</v>
      </c>
      <c r="K108" s="786"/>
      <c r="L108" s="786"/>
    </row>
    <row r="109" s="660" customFormat="1" ht="16.5" hidden="1" spans="2:12">
      <c r="B109" s="739"/>
      <c r="C109" s="780"/>
      <c r="D109" s="781" t="s">
        <v>87</v>
      </c>
      <c r="E109" s="741" t="s">
        <v>24</v>
      </c>
      <c r="F109" s="782"/>
      <c r="G109" s="783"/>
      <c r="H109" s="784"/>
      <c r="I109" s="785">
        <f t="shared" si="0"/>
        <v>1636999.99999999</v>
      </c>
      <c r="J109" s="256" t="s">
        <v>124</v>
      </c>
      <c r="K109" s="786"/>
      <c r="L109" s="786"/>
    </row>
    <row r="110" s="660" customFormat="1" ht="16.5" hidden="1" spans="2:12">
      <c r="B110" s="739"/>
      <c r="C110" s="780"/>
      <c r="D110" s="781" t="s">
        <v>88</v>
      </c>
      <c r="E110" s="741" t="s">
        <v>24</v>
      </c>
      <c r="F110" s="782"/>
      <c r="G110" s="783"/>
      <c r="H110" s="784"/>
      <c r="I110" s="785">
        <f t="shared" si="0"/>
        <v>1636999.99999999</v>
      </c>
      <c r="J110" s="256" t="s">
        <v>124</v>
      </c>
      <c r="K110" s="786"/>
      <c r="L110" s="786"/>
    </row>
    <row r="111" s="660" customFormat="1" ht="16.5" hidden="1" spans="2:12">
      <c r="B111" s="739"/>
      <c r="C111" s="780"/>
      <c r="D111" s="781" t="s">
        <v>89</v>
      </c>
      <c r="E111" s="741" t="s">
        <v>24</v>
      </c>
      <c r="F111" s="782"/>
      <c r="G111" s="783"/>
      <c r="H111" s="784"/>
      <c r="I111" s="785">
        <f t="shared" si="0"/>
        <v>1636999.99999999</v>
      </c>
      <c r="J111" s="256" t="s">
        <v>124</v>
      </c>
      <c r="K111" s="786"/>
      <c r="L111" s="786"/>
    </row>
    <row r="112" s="660" customFormat="1" ht="16.5" hidden="1" spans="2:12">
      <c r="B112" s="739"/>
      <c r="C112" s="780"/>
      <c r="D112" s="781" t="s">
        <v>90</v>
      </c>
      <c r="E112" s="741" t="s">
        <v>24</v>
      </c>
      <c r="F112" s="782"/>
      <c r="G112" s="783"/>
      <c r="H112" s="784"/>
      <c r="I112" s="785">
        <f t="shared" si="0"/>
        <v>1636999.99999999</v>
      </c>
      <c r="J112" s="256" t="s">
        <v>124</v>
      </c>
      <c r="K112" s="786"/>
      <c r="L112" s="786"/>
    </row>
    <row r="113" s="660" customFormat="1" ht="16.5" hidden="1" spans="2:12">
      <c r="B113" s="739"/>
      <c r="C113" s="780"/>
      <c r="D113" s="781" t="s">
        <v>91</v>
      </c>
      <c r="E113" s="741" t="s">
        <v>24</v>
      </c>
      <c r="F113" s="782"/>
      <c r="G113" s="783"/>
      <c r="H113" s="784"/>
      <c r="I113" s="785">
        <f t="shared" si="0"/>
        <v>1636999.99999999</v>
      </c>
      <c r="J113" s="256" t="s">
        <v>124</v>
      </c>
      <c r="K113" s="786"/>
      <c r="L113" s="786"/>
    </row>
    <row r="114" s="660" customFormat="1" ht="16.5" hidden="1" spans="2:12">
      <c r="B114" s="739"/>
      <c r="C114" s="780"/>
      <c r="D114" s="781" t="s">
        <v>92</v>
      </c>
      <c r="E114" s="741" t="s">
        <v>24</v>
      </c>
      <c r="F114" s="782"/>
      <c r="G114" s="783"/>
      <c r="H114" s="784"/>
      <c r="I114" s="785">
        <f t="shared" si="0"/>
        <v>1636999.99999999</v>
      </c>
      <c r="J114" s="256" t="s">
        <v>124</v>
      </c>
      <c r="K114" s="786"/>
      <c r="L114" s="786"/>
    </row>
    <row r="115" s="660" customFormat="1" ht="16.5" hidden="1" spans="2:12">
      <c r="B115" s="739"/>
      <c r="C115" s="780"/>
      <c r="D115" s="781" t="s">
        <v>93</v>
      </c>
      <c r="E115" s="741" t="s">
        <v>24</v>
      </c>
      <c r="F115" s="782"/>
      <c r="G115" s="783"/>
      <c r="H115" s="784"/>
      <c r="I115" s="785">
        <f t="shared" si="0"/>
        <v>1636999.99999999</v>
      </c>
      <c r="J115" s="256" t="s">
        <v>124</v>
      </c>
      <c r="K115" s="786"/>
      <c r="L115" s="786"/>
    </row>
    <row r="116" s="660" customFormat="1" ht="16.5" hidden="1" spans="2:12">
      <c r="B116" s="739"/>
      <c r="C116" s="780"/>
      <c r="D116" s="781" t="s">
        <v>94</v>
      </c>
      <c r="E116" s="741" t="s">
        <v>24</v>
      </c>
      <c r="F116" s="782"/>
      <c r="G116" s="783"/>
      <c r="H116" s="784"/>
      <c r="I116" s="785">
        <f t="shared" si="0"/>
        <v>1636999.99999999</v>
      </c>
      <c r="J116" s="256" t="s">
        <v>124</v>
      </c>
      <c r="K116" s="786"/>
      <c r="L116" s="786"/>
    </row>
    <row r="117" s="660" customFormat="1" ht="16.5" hidden="1" spans="2:12">
      <c r="B117" s="739"/>
      <c r="C117" s="780"/>
      <c r="D117" s="781" t="s">
        <v>95</v>
      </c>
      <c r="E117" s="741" t="s">
        <v>24</v>
      </c>
      <c r="F117" s="782"/>
      <c r="G117" s="783"/>
      <c r="H117" s="784"/>
      <c r="I117" s="785">
        <f t="shared" si="0"/>
        <v>1636999.99999999</v>
      </c>
      <c r="J117" s="256" t="s">
        <v>124</v>
      </c>
      <c r="K117" s="786"/>
      <c r="L117" s="786"/>
    </row>
    <row r="118" s="660" customFormat="1" ht="16.5" hidden="1" spans="2:12">
      <c r="B118" s="739"/>
      <c r="C118" s="780"/>
      <c r="D118" s="781" t="s">
        <v>96</v>
      </c>
      <c r="E118" s="741" t="s">
        <v>24</v>
      </c>
      <c r="F118" s="782"/>
      <c r="G118" s="783"/>
      <c r="H118" s="784"/>
      <c r="I118" s="785">
        <f t="shared" si="0"/>
        <v>1636999.99999999</v>
      </c>
      <c r="J118" s="256" t="s">
        <v>124</v>
      </c>
      <c r="K118" s="786"/>
      <c r="L118" s="786"/>
    </row>
    <row r="119" s="660" customFormat="1" ht="16.5" hidden="1" spans="2:12">
      <c r="B119" s="739"/>
      <c r="C119" s="780"/>
      <c r="D119" s="781" t="s">
        <v>97</v>
      </c>
      <c r="E119" s="741" t="s">
        <v>24</v>
      </c>
      <c r="F119" s="782"/>
      <c r="G119" s="783"/>
      <c r="H119" s="784"/>
      <c r="I119" s="785">
        <f t="shared" si="0"/>
        <v>1636999.99999999</v>
      </c>
      <c r="J119" s="256" t="s">
        <v>124</v>
      </c>
      <c r="K119" s="786"/>
      <c r="L119" s="786"/>
    </row>
    <row r="120" s="660" customFormat="1" ht="16.5" hidden="1" spans="2:12">
      <c r="B120" s="739"/>
      <c r="C120" s="780"/>
      <c r="D120" s="781" t="s">
        <v>98</v>
      </c>
      <c r="E120" s="741" t="s">
        <v>24</v>
      </c>
      <c r="F120" s="782"/>
      <c r="G120" s="783"/>
      <c r="H120" s="784"/>
      <c r="I120" s="785">
        <f t="shared" si="0"/>
        <v>1636999.99999999</v>
      </c>
      <c r="J120" s="256" t="s">
        <v>124</v>
      </c>
      <c r="K120" s="786"/>
      <c r="L120" s="786"/>
    </row>
    <row r="121" s="660" customFormat="1" ht="16.5" hidden="1" spans="2:12">
      <c r="B121" s="739"/>
      <c r="C121" s="780"/>
      <c r="D121" s="781" t="s">
        <v>99</v>
      </c>
      <c r="E121" s="741" t="s">
        <v>24</v>
      </c>
      <c r="F121" s="782"/>
      <c r="G121" s="783"/>
      <c r="H121" s="784"/>
      <c r="I121" s="785">
        <f t="shared" si="0"/>
        <v>1636999.99999999</v>
      </c>
      <c r="J121" s="256" t="s">
        <v>124</v>
      </c>
      <c r="K121" s="786"/>
      <c r="L121" s="786"/>
    </row>
    <row r="122" s="660" customFormat="1" ht="16.5" hidden="1" spans="2:12">
      <c r="B122" s="739"/>
      <c r="C122" s="780"/>
      <c r="D122" s="781" t="s">
        <v>100</v>
      </c>
      <c r="E122" s="741" t="s">
        <v>24</v>
      </c>
      <c r="F122" s="782"/>
      <c r="G122" s="783"/>
      <c r="H122" s="784"/>
      <c r="I122" s="785">
        <f t="shared" si="0"/>
        <v>1636999.99999999</v>
      </c>
      <c r="J122" s="256" t="s">
        <v>124</v>
      </c>
      <c r="K122" s="786"/>
      <c r="L122" s="786"/>
    </row>
    <row r="123" s="660" customFormat="1" ht="16.5" hidden="1" spans="2:12">
      <c r="B123" s="739"/>
      <c r="C123" s="780"/>
      <c r="D123" s="781" t="s">
        <v>101</v>
      </c>
      <c r="E123" s="741" t="s">
        <v>24</v>
      </c>
      <c r="F123" s="782"/>
      <c r="G123" s="783"/>
      <c r="H123" s="784"/>
      <c r="I123" s="785">
        <f t="shared" si="0"/>
        <v>1636999.99999999</v>
      </c>
      <c r="J123" s="256" t="s">
        <v>124</v>
      </c>
      <c r="K123" s="786"/>
      <c r="L123" s="786"/>
    </row>
    <row r="124" s="660" customFormat="1" ht="16.5" hidden="1" spans="2:12">
      <c r="B124" s="739"/>
      <c r="C124" s="780"/>
      <c r="D124" s="781" t="s">
        <v>102</v>
      </c>
      <c r="E124" s="741" t="s">
        <v>24</v>
      </c>
      <c r="F124" s="782"/>
      <c r="G124" s="783"/>
      <c r="H124" s="784"/>
      <c r="I124" s="785">
        <f t="shared" si="0"/>
        <v>1636999.99999999</v>
      </c>
      <c r="J124" s="256" t="s">
        <v>124</v>
      </c>
      <c r="K124" s="786"/>
      <c r="L124" s="786"/>
    </row>
    <row r="125" s="660" customFormat="1" ht="16.5" hidden="1" spans="2:12">
      <c r="B125" s="739"/>
      <c r="C125" s="780"/>
      <c r="D125" s="781" t="s">
        <v>103</v>
      </c>
      <c r="E125" s="741" t="s">
        <v>24</v>
      </c>
      <c r="F125" s="782"/>
      <c r="G125" s="783"/>
      <c r="H125" s="784"/>
      <c r="I125" s="785">
        <f t="shared" si="0"/>
        <v>1636999.99999999</v>
      </c>
      <c r="J125" s="256" t="s">
        <v>124</v>
      </c>
      <c r="K125" s="786"/>
      <c r="L125" s="786"/>
    </row>
    <row r="126" s="660" customFormat="1" ht="16.5" hidden="1" spans="2:12">
      <c r="B126" s="739"/>
      <c r="C126" s="780"/>
      <c r="D126" s="781" t="s">
        <v>104</v>
      </c>
      <c r="E126" s="741" t="s">
        <v>24</v>
      </c>
      <c r="F126" s="782"/>
      <c r="G126" s="783"/>
      <c r="H126" s="784"/>
      <c r="I126" s="785">
        <f t="shared" si="0"/>
        <v>1636999.99999999</v>
      </c>
      <c r="J126" s="256" t="s">
        <v>124</v>
      </c>
      <c r="K126" s="786"/>
      <c r="L126" s="786"/>
    </row>
    <row r="127" s="660" customFormat="1" ht="16.5" hidden="1" spans="2:12">
      <c r="B127" s="739"/>
      <c r="C127" s="780"/>
      <c r="D127" s="781" t="s">
        <v>105</v>
      </c>
      <c r="E127" s="741" t="s">
        <v>24</v>
      </c>
      <c r="F127" s="782"/>
      <c r="G127" s="783"/>
      <c r="H127" s="784"/>
      <c r="I127" s="785">
        <f t="shared" si="0"/>
        <v>1636999.99999999</v>
      </c>
      <c r="J127" s="256" t="s">
        <v>124</v>
      </c>
      <c r="K127" s="786"/>
      <c r="L127" s="786"/>
    </row>
    <row r="128" s="660" customFormat="1" ht="16.5" hidden="1" spans="2:12">
      <c r="B128" s="739"/>
      <c r="C128" s="780"/>
      <c r="D128" s="781" t="s">
        <v>106</v>
      </c>
      <c r="E128" s="741" t="s">
        <v>24</v>
      </c>
      <c r="F128" s="782"/>
      <c r="G128" s="783"/>
      <c r="H128" s="784"/>
      <c r="I128" s="785">
        <f t="shared" si="0"/>
        <v>1636999.99999999</v>
      </c>
      <c r="J128" s="256" t="s">
        <v>124</v>
      </c>
      <c r="K128" s="786"/>
      <c r="L128" s="786"/>
    </row>
    <row r="129" s="660" customFormat="1" ht="16.5" hidden="1" spans="2:12">
      <c r="B129" s="739"/>
      <c r="C129" s="780"/>
      <c r="D129" s="781" t="s">
        <v>107</v>
      </c>
      <c r="E129" s="741" t="s">
        <v>24</v>
      </c>
      <c r="F129" s="782"/>
      <c r="G129" s="783"/>
      <c r="H129" s="784"/>
      <c r="I129" s="785">
        <f t="shared" si="0"/>
        <v>1636999.99999999</v>
      </c>
      <c r="J129" s="256" t="s">
        <v>124</v>
      </c>
      <c r="K129" s="786"/>
      <c r="L129" s="786"/>
    </row>
    <row r="130" s="660" customFormat="1" ht="16.5" hidden="1" spans="2:12">
      <c r="B130" s="739"/>
      <c r="C130" s="780"/>
      <c r="D130" s="781" t="s">
        <v>108</v>
      </c>
      <c r="E130" s="741" t="s">
        <v>24</v>
      </c>
      <c r="F130" s="782"/>
      <c r="G130" s="783"/>
      <c r="H130" s="784"/>
      <c r="I130" s="785">
        <f t="shared" si="0"/>
        <v>1636999.99999999</v>
      </c>
      <c r="J130" s="256" t="s">
        <v>124</v>
      </c>
      <c r="K130" s="786"/>
      <c r="L130" s="786"/>
    </row>
    <row r="131" s="660" customFormat="1" ht="16.5" hidden="1" spans="2:12">
      <c r="B131" s="739"/>
      <c r="C131" s="780"/>
      <c r="D131" s="781" t="s">
        <v>109</v>
      </c>
      <c r="E131" s="741" t="s">
        <v>24</v>
      </c>
      <c r="F131" s="782"/>
      <c r="G131" s="783"/>
      <c r="H131" s="784"/>
      <c r="I131" s="785">
        <f t="shared" si="0"/>
        <v>1636999.99999999</v>
      </c>
      <c r="J131" s="256" t="s">
        <v>124</v>
      </c>
      <c r="K131" s="786"/>
      <c r="L131" s="786"/>
    </row>
    <row r="132" s="660" customFormat="1" ht="16.5" hidden="1" spans="2:12">
      <c r="B132" s="739"/>
      <c r="C132" s="780"/>
      <c r="D132" s="781" t="s">
        <v>110</v>
      </c>
      <c r="E132" s="741" t="s">
        <v>24</v>
      </c>
      <c r="F132" s="782"/>
      <c r="G132" s="783"/>
      <c r="H132" s="784"/>
      <c r="I132" s="785">
        <f t="shared" si="0"/>
        <v>1636999.99999999</v>
      </c>
      <c r="J132" s="256" t="s">
        <v>124</v>
      </c>
      <c r="K132" s="786"/>
      <c r="L132" s="786"/>
    </row>
    <row r="133" s="660" customFormat="1" ht="16.5" hidden="1" spans="2:12">
      <c r="B133" s="739"/>
      <c r="C133" s="780"/>
      <c r="D133" s="781" t="s">
        <v>111</v>
      </c>
      <c r="E133" s="741" t="s">
        <v>24</v>
      </c>
      <c r="F133" s="782"/>
      <c r="G133" s="783"/>
      <c r="H133" s="784"/>
      <c r="I133" s="785">
        <f t="shared" si="0"/>
        <v>1636999.99999999</v>
      </c>
      <c r="J133" s="256" t="s">
        <v>124</v>
      </c>
      <c r="K133" s="786"/>
      <c r="L133" s="786"/>
    </row>
    <row r="134" s="660" customFormat="1" ht="16.5" hidden="1" spans="2:12">
      <c r="B134" s="739"/>
      <c r="C134" s="780"/>
      <c r="D134" s="781" t="s">
        <v>112</v>
      </c>
      <c r="E134" s="741" t="s">
        <v>24</v>
      </c>
      <c r="F134" s="782"/>
      <c r="G134" s="783"/>
      <c r="H134" s="784"/>
      <c r="I134" s="785">
        <f t="shared" si="0"/>
        <v>1636999.99999999</v>
      </c>
      <c r="J134" s="256" t="s">
        <v>124</v>
      </c>
      <c r="K134" s="786"/>
      <c r="L134" s="786"/>
    </row>
    <row r="135" s="660" customFormat="1" ht="16.5" hidden="1" spans="2:12">
      <c r="B135" s="739"/>
      <c r="C135" s="780"/>
      <c r="D135" s="781" t="s">
        <v>113</v>
      </c>
      <c r="E135" s="741" t="s">
        <v>24</v>
      </c>
      <c r="F135" s="782"/>
      <c r="G135" s="783"/>
      <c r="H135" s="784"/>
      <c r="I135" s="785">
        <f t="shared" si="0"/>
        <v>1636999.99999999</v>
      </c>
      <c r="J135" s="256" t="s">
        <v>124</v>
      </c>
      <c r="K135" s="786"/>
      <c r="L135" s="786"/>
    </row>
    <row r="136" s="660" customFormat="1" ht="16.5" hidden="1" spans="2:12">
      <c r="B136" s="739"/>
      <c r="C136" s="780"/>
      <c r="D136" s="781" t="s">
        <v>114</v>
      </c>
      <c r="E136" s="741" t="s">
        <v>24</v>
      </c>
      <c r="F136" s="782"/>
      <c r="G136" s="783"/>
      <c r="H136" s="784"/>
      <c r="I136" s="785">
        <f t="shared" si="0"/>
        <v>1636999.99999999</v>
      </c>
      <c r="J136" s="256" t="s">
        <v>124</v>
      </c>
      <c r="K136" s="786"/>
      <c r="L136" s="786"/>
    </row>
    <row r="137" s="660" customFormat="1" ht="16.5" hidden="1" spans="2:12">
      <c r="B137" s="739"/>
      <c r="C137" s="780"/>
      <c r="D137" s="781" t="s">
        <v>115</v>
      </c>
      <c r="E137" s="741" t="s">
        <v>24</v>
      </c>
      <c r="F137" s="782"/>
      <c r="G137" s="783"/>
      <c r="H137" s="784"/>
      <c r="I137" s="785">
        <f t="shared" si="0"/>
        <v>1636999.99999999</v>
      </c>
      <c r="J137" s="256" t="s">
        <v>124</v>
      </c>
      <c r="K137" s="786"/>
      <c r="L137" s="786"/>
    </row>
    <row r="138" s="660" customFormat="1" ht="16.5" hidden="1" spans="2:12">
      <c r="B138" s="739"/>
      <c r="C138" s="780"/>
      <c r="D138" s="781" t="s">
        <v>116</v>
      </c>
      <c r="E138" s="741" t="s">
        <v>24</v>
      </c>
      <c r="F138" s="782"/>
      <c r="G138" s="783"/>
      <c r="H138" s="784"/>
      <c r="I138" s="785">
        <f t="shared" si="0"/>
        <v>1636999.99999999</v>
      </c>
      <c r="J138" s="256" t="s">
        <v>124</v>
      </c>
      <c r="K138" s="786"/>
      <c r="L138" s="786"/>
    </row>
    <row r="139" s="660" customFormat="1" ht="16.5" hidden="1" spans="2:12">
      <c r="B139" s="739"/>
      <c r="C139" s="780"/>
      <c r="D139" s="781" t="s">
        <v>117</v>
      </c>
      <c r="E139" s="741" t="s">
        <v>24</v>
      </c>
      <c r="F139" s="782"/>
      <c r="G139" s="783"/>
      <c r="H139" s="784"/>
      <c r="I139" s="785">
        <f t="shared" si="0"/>
        <v>1636999.99999999</v>
      </c>
      <c r="J139" s="256" t="s">
        <v>124</v>
      </c>
      <c r="K139" s="786"/>
      <c r="L139" s="786"/>
    </row>
    <row r="140" s="660" customFormat="1" ht="16.5" hidden="1" spans="2:12">
      <c r="B140" s="739"/>
      <c r="C140" s="780"/>
      <c r="D140" s="781" t="s">
        <v>118</v>
      </c>
      <c r="E140" s="741" t="s">
        <v>24</v>
      </c>
      <c r="F140" s="782"/>
      <c r="G140" s="783"/>
      <c r="H140" s="784"/>
      <c r="I140" s="785">
        <f t="shared" si="0"/>
        <v>1636999.99999999</v>
      </c>
      <c r="J140" s="256" t="s">
        <v>124</v>
      </c>
      <c r="K140" s="786"/>
      <c r="L140" s="786"/>
    </row>
    <row r="141" s="660" customFormat="1" ht="16.5" hidden="1" spans="2:12">
      <c r="B141" s="739"/>
      <c r="C141" s="780"/>
      <c r="D141" s="781" t="s">
        <v>119</v>
      </c>
      <c r="E141" s="741" t="s">
        <v>24</v>
      </c>
      <c r="F141" s="782"/>
      <c r="G141" s="783"/>
      <c r="H141" s="784"/>
      <c r="I141" s="785">
        <f t="shared" si="0"/>
        <v>1636999.99999999</v>
      </c>
      <c r="J141" s="256" t="s">
        <v>124</v>
      </c>
      <c r="K141" s="786"/>
      <c r="L141" s="786"/>
    </row>
    <row r="142" s="660" customFormat="1" ht="16.5" hidden="1" spans="2:12">
      <c r="B142" s="739"/>
      <c r="C142" s="780"/>
      <c r="D142" s="781" t="s">
        <v>120</v>
      </c>
      <c r="E142" s="741" t="s">
        <v>24</v>
      </c>
      <c r="F142" s="782"/>
      <c r="G142" s="783"/>
      <c r="H142" s="784"/>
      <c r="I142" s="785">
        <f t="shared" si="0"/>
        <v>1636999.99999999</v>
      </c>
      <c r="J142" s="256" t="s">
        <v>124</v>
      </c>
      <c r="K142" s="786"/>
      <c r="L142" s="786"/>
    </row>
    <row r="143" ht="16.5" hidden="1" spans="2:12">
      <c r="B143" s="739"/>
      <c r="C143" s="765"/>
      <c r="D143" s="781" t="s">
        <v>121</v>
      </c>
      <c r="E143" s="741" t="s">
        <v>24</v>
      </c>
      <c r="F143" s="742"/>
      <c r="G143" s="743"/>
      <c r="H143" s="787"/>
      <c r="I143" s="785">
        <f t="shared" si="0"/>
        <v>954916.666666663</v>
      </c>
      <c r="J143" s="256" t="s">
        <v>124</v>
      </c>
      <c r="K143" s="132"/>
      <c r="L143" s="132"/>
    </row>
    <row r="144" s="105" customFormat="1" ht="39" customHeight="1" spans="2:12">
      <c r="B144" s="739"/>
      <c r="C144" s="740">
        <v>6</v>
      </c>
      <c r="D144" s="95" t="s">
        <v>126</v>
      </c>
      <c r="E144" s="743" t="s">
        <v>49</v>
      </c>
      <c r="F144" s="742"/>
      <c r="G144" s="743"/>
      <c r="H144" s="788"/>
      <c r="I144" s="766">
        <v>0.35</v>
      </c>
      <c r="J144" s="764" t="s">
        <v>127</v>
      </c>
      <c r="K144" s="133"/>
      <c r="L144" s="133"/>
    </row>
    <row r="145" ht="16.5" hidden="1" spans="2:12">
      <c r="B145" s="739"/>
      <c r="C145" s="765"/>
      <c r="D145" s="781" t="s">
        <v>74</v>
      </c>
      <c r="E145" s="743" t="s">
        <v>49</v>
      </c>
      <c r="F145" s="742"/>
      <c r="G145" s="743"/>
      <c r="H145" s="787"/>
      <c r="I145" s="29">
        <f>$I$144</f>
        <v>0.35</v>
      </c>
      <c r="J145" s="764" t="s">
        <v>127</v>
      </c>
      <c r="K145" s="132"/>
      <c r="L145" s="132"/>
    </row>
    <row r="146" ht="16.5" hidden="1" spans="2:12">
      <c r="B146" s="739"/>
      <c r="C146" s="765"/>
      <c r="D146" s="781" t="s">
        <v>75</v>
      </c>
      <c r="E146" s="743" t="s">
        <v>49</v>
      </c>
      <c r="F146" s="742"/>
      <c r="G146" s="743"/>
      <c r="H146" s="787"/>
      <c r="I146" s="29">
        <f t="shared" ref="I146:I155" si="1">$I$144</f>
        <v>0.35</v>
      </c>
      <c r="J146" s="764" t="s">
        <v>127</v>
      </c>
      <c r="K146" s="132"/>
      <c r="L146" s="132"/>
    </row>
    <row r="147" ht="16.5" hidden="1" spans="2:12">
      <c r="B147" s="739"/>
      <c r="C147" s="765"/>
      <c r="D147" s="781" t="s">
        <v>76</v>
      </c>
      <c r="E147" s="743" t="s">
        <v>49</v>
      </c>
      <c r="F147" s="742"/>
      <c r="G147" s="743"/>
      <c r="H147" s="787"/>
      <c r="I147" s="29">
        <f t="shared" si="1"/>
        <v>0.35</v>
      </c>
      <c r="J147" s="764" t="s">
        <v>127</v>
      </c>
      <c r="K147" s="132"/>
      <c r="L147" s="132"/>
    </row>
    <row r="148" ht="16.5" hidden="1" spans="2:12">
      <c r="B148" s="739"/>
      <c r="C148" s="765"/>
      <c r="D148" s="781" t="s">
        <v>77</v>
      </c>
      <c r="E148" s="743" t="s">
        <v>49</v>
      </c>
      <c r="F148" s="742"/>
      <c r="G148" s="743"/>
      <c r="H148" s="787"/>
      <c r="I148" s="29">
        <f t="shared" si="1"/>
        <v>0.35</v>
      </c>
      <c r="J148" s="764" t="s">
        <v>127</v>
      </c>
      <c r="K148" s="132"/>
      <c r="L148" s="132"/>
    </row>
    <row r="149" ht="16.5" hidden="1" spans="2:12">
      <c r="B149" s="739"/>
      <c r="C149" s="765"/>
      <c r="D149" s="781" t="s">
        <v>78</v>
      </c>
      <c r="E149" s="743" t="s">
        <v>49</v>
      </c>
      <c r="F149" s="742"/>
      <c r="G149" s="743"/>
      <c r="H149" s="787"/>
      <c r="I149" s="29">
        <f t="shared" si="1"/>
        <v>0.35</v>
      </c>
      <c r="J149" s="764" t="s">
        <v>127</v>
      </c>
      <c r="K149" s="132"/>
      <c r="L149" s="132"/>
    </row>
    <row r="150" ht="16.5" hidden="1" spans="2:12">
      <c r="B150" s="739"/>
      <c r="C150" s="765"/>
      <c r="D150" s="781" t="s">
        <v>79</v>
      </c>
      <c r="E150" s="743" t="s">
        <v>49</v>
      </c>
      <c r="F150" s="742"/>
      <c r="G150" s="743"/>
      <c r="H150" s="787"/>
      <c r="I150" s="29">
        <f t="shared" si="1"/>
        <v>0.35</v>
      </c>
      <c r="J150" s="764" t="s">
        <v>127</v>
      </c>
      <c r="K150" s="132"/>
      <c r="L150" s="132"/>
    </row>
    <row r="151" ht="16.5" hidden="1" spans="2:12">
      <c r="B151" s="739"/>
      <c r="C151" s="765"/>
      <c r="D151" s="781" t="s">
        <v>80</v>
      </c>
      <c r="E151" s="743" t="s">
        <v>49</v>
      </c>
      <c r="F151" s="742"/>
      <c r="G151" s="743"/>
      <c r="H151" s="787"/>
      <c r="I151" s="29">
        <f t="shared" si="1"/>
        <v>0.35</v>
      </c>
      <c r="J151" s="764" t="s">
        <v>127</v>
      </c>
      <c r="K151" s="132"/>
      <c r="L151" s="132"/>
    </row>
    <row r="152" ht="16.5" hidden="1" spans="2:12">
      <c r="B152" s="739"/>
      <c r="C152" s="765"/>
      <c r="D152" s="781" t="s">
        <v>81</v>
      </c>
      <c r="E152" s="743" t="s">
        <v>49</v>
      </c>
      <c r="F152" s="742"/>
      <c r="G152" s="743"/>
      <c r="H152" s="787"/>
      <c r="I152" s="29">
        <f t="shared" si="1"/>
        <v>0.35</v>
      </c>
      <c r="J152" s="764" t="s">
        <v>127</v>
      </c>
      <c r="K152" s="132"/>
      <c r="L152" s="132"/>
    </row>
    <row r="153" ht="16.5" hidden="1" spans="2:12">
      <c r="B153" s="739"/>
      <c r="C153" s="765"/>
      <c r="D153" s="781" t="s">
        <v>82</v>
      </c>
      <c r="E153" s="743" t="s">
        <v>49</v>
      </c>
      <c r="F153" s="742"/>
      <c r="G153" s="743"/>
      <c r="H153" s="787"/>
      <c r="I153" s="29">
        <f t="shared" si="1"/>
        <v>0.35</v>
      </c>
      <c r="J153" s="764" t="s">
        <v>127</v>
      </c>
      <c r="K153" s="132"/>
      <c r="L153" s="132"/>
    </row>
    <row r="154" ht="16.5" hidden="1" spans="2:12">
      <c r="B154" s="739"/>
      <c r="C154" s="765"/>
      <c r="D154" s="781" t="s">
        <v>83</v>
      </c>
      <c r="E154" s="743" t="s">
        <v>49</v>
      </c>
      <c r="F154" s="742"/>
      <c r="G154" s="743"/>
      <c r="H154" s="787"/>
      <c r="I154" s="29">
        <f t="shared" si="1"/>
        <v>0.35</v>
      </c>
      <c r="J154" s="764" t="s">
        <v>127</v>
      </c>
      <c r="K154" s="132"/>
      <c r="L154" s="132"/>
    </row>
    <row r="155" ht="16.5" hidden="1" spans="2:12">
      <c r="B155" s="739"/>
      <c r="C155" s="765"/>
      <c r="D155" s="781" t="s">
        <v>84</v>
      </c>
      <c r="E155" s="743" t="s">
        <v>49</v>
      </c>
      <c r="F155" s="742"/>
      <c r="G155" s="743"/>
      <c r="H155" s="787"/>
      <c r="I155" s="29">
        <f t="shared" si="1"/>
        <v>0.35</v>
      </c>
      <c r="J155" s="764" t="s">
        <v>127</v>
      </c>
      <c r="K155" s="132"/>
      <c r="L155" s="132"/>
    </row>
    <row r="156" ht="16.5" hidden="1" spans="2:12">
      <c r="B156" s="739"/>
      <c r="C156" s="765"/>
      <c r="D156" s="781" t="s">
        <v>85</v>
      </c>
      <c r="E156" s="743" t="s">
        <v>49</v>
      </c>
      <c r="F156" s="742"/>
      <c r="G156" s="743"/>
      <c r="H156" s="787"/>
      <c r="I156" s="29">
        <f t="shared" ref="I156:I165" si="2">$I$144</f>
        <v>0.35</v>
      </c>
      <c r="J156" s="764" t="s">
        <v>127</v>
      </c>
      <c r="K156" s="132"/>
      <c r="L156" s="132"/>
    </row>
    <row r="157" ht="16.5" hidden="1" spans="2:12">
      <c r="B157" s="739"/>
      <c r="C157" s="765"/>
      <c r="D157" s="781" t="s">
        <v>86</v>
      </c>
      <c r="E157" s="743" t="s">
        <v>49</v>
      </c>
      <c r="F157" s="742"/>
      <c r="G157" s="743"/>
      <c r="H157" s="787"/>
      <c r="I157" s="29">
        <f t="shared" si="2"/>
        <v>0.35</v>
      </c>
      <c r="J157" s="764" t="s">
        <v>127</v>
      </c>
      <c r="K157" s="132"/>
      <c r="L157" s="132"/>
    </row>
    <row r="158" ht="16.5" hidden="1" spans="2:12">
      <c r="B158" s="739"/>
      <c r="C158" s="765"/>
      <c r="D158" s="781" t="s">
        <v>87</v>
      </c>
      <c r="E158" s="743" t="s">
        <v>49</v>
      </c>
      <c r="F158" s="742"/>
      <c r="G158" s="743"/>
      <c r="H158" s="787"/>
      <c r="I158" s="29">
        <f t="shared" si="2"/>
        <v>0.35</v>
      </c>
      <c r="J158" s="764" t="s">
        <v>127</v>
      </c>
      <c r="K158" s="132"/>
      <c r="L158" s="132"/>
    </row>
    <row r="159" ht="16.5" hidden="1" spans="2:12">
      <c r="B159" s="739"/>
      <c r="C159" s="765"/>
      <c r="D159" s="781" t="s">
        <v>88</v>
      </c>
      <c r="E159" s="743" t="s">
        <v>49</v>
      </c>
      <c r="F159" s="742"/>
      <c r="G159" s="743"/>
      <c r="H159" s="787"/>
      <c r="I159" s="29">
        <f t="shared" si="2"/>
        <v>0.35</v>
      </c>
      <c r="J159" s="764" t="s">
        <v>127</v>
      </c>
      <c r="K159" s="132"/>
      <c r="L159" s="132"/>
    </row>
    <row r="160" ht="16.5" hidden="1" spans="2:12">
      <c r="B160" s="739"/>
      <c r="C160" s="765"/>
      <c r="D160" s="781" t="s">
        <v>89</v>
      </c>
      <c r="E160" s="743" t="s">
        <v>49</v>
      </c>
      <c r="F160" s="742"/>
      <c r="G160" s="743"/>
      <c r="H160" s="787"/>
      <c r="I160" s="29">
        <f t="shared" si="2"/>
        <v>0.35</v>
      </c>
      <c r="J160" s="764" t="s">
        <v>127</v>
      </c>
      <c r="K160" s="132"/>
      <c r="L160" s="132"/>
    </row>
    <row r="161" ht="16.5" hidden="1" spans="2:12">
      <c r="B161" s="739"/>
      <c r="C161" s="765"/>
      <c r="D161" s="781" t="s">
        <v>90</v>
      </c>
      <c r="E161" s="743" t="s">
        <v>49</v>
      </c>
      <c r="F161" s="742"/>
      <c r="G161" s="743"/>
      <c r="H161" s="787"/>
      <c r="I161" s="29">
        <f t="shared" si="2"/>
        <v>0.35</v>
      </c>
      <c r="J161" s="764" t="s">
        <v>127</v>
      </c>
      <c r="K161" s="132"/>
      <c r="L161" s="132"/>
    </row>
    <row r="162" ht="16.5" hidden="1" spans="2:12">
      <c r="B162" s="739"/>
      <c r="C162" s="765"/>
      <c r="D162" s="781" t="s">
        <v>91</v>
      </c>
      <c r="E162" s="743" t="s">
        <v>49</v>
      </c>
      <c r="F162" s="742"/>
      <c r="G162" s="743"/>
      <c r="H162" s="787"/>
      <c r="I162" s="29">
        <f t="shared" si="2"/>
        <v>0.35</v>
      </c>
      <c r="J162" s="764" t="s">
        <v>127</v>
      </c>
      <c r="K162" s="132"/>
      <c r="L162" s="132"/>
    </row>
    <row r="163" ht="16.5" hidden="1" spans="2:12">
      <c r="B163" s="739"/>
      <c r="C163" s="765"/>
      <c r="D163" s="781" t="s">
        <v>92</v>
      </c>
      <c r="E163" s="743" t="s">
        <v>49</v>
      </c>
      <c r="F163" s="742"/>
      <c r="G163" s="743"/>
      <c r="H163" s="787"/>
      <c r="I163" s="29">
        <f t="shared" si="2"/>
        <v>0.35</v>
      </c>
      <c r="J163" s="764" t="s">
        <v>127</v>
      </c>
      <c r="K163" s="132"/>
      <c r="L163" s="132"/>
    </row>
    <row r="164" ht="16.5" hidden="1" spans="2:12">
      <c r="B164" s="739"/>
      <c r="C164" s="765"/>
      <c r="D164" s="781" t="s">
        <v>93</v>
      </c>
      <c r="E164" s="743" t="s">
        <v>49</v>
      </c>
      <c r="F164" s="742"/>
      <c r="G164" s="743"/>
      <c r="H164" s="787"/>
      <c r="I164" s="29">
        <f t="shared" si="2"/>
        <v>0.35</v>
      </c>
      <c r="J164" s="764" t="s">
        <v>127</v>
      </c>
      <c r="K164" s="132"/>
      <c r="L164" s="132"/>
    </row>
    <row r="165" ht="16.5" hidden="1" spans="2:12">
      <c r="B165" s="739"/>
      <c r="C165" s="765"/>
      <c r="D165" s="781" t="s">
        <v>94</v>
      </c>
      <c r="E165" s="743" t="s">
        <v>49</v>
      </c>
      <c r="F165" s="742"/>
      <c r="G165" s="743"/>
      <c r="H165" s="787"/>
      <c r="I165" s="29">
        <f t="shared" si="2"/>
        <v>0.35</v>
      </c>
      <c r="J165" s="764" t="s">
        <v>127</v>
      </c>
      <c r="K165" s="132"/>
      <c r="L165" s="132"/>
    </row>
    <row r="166" ht="16.5" hidden="1" spans="2:12">
      <c r="B166" s="739"/>
      <c r="C166" s="765"/>
      <c r="D166" s="781" t="s">
        <v>95</v>
      </c>
      <c r="E166" s="743" t="s">
        <v>49</v>
      </c>
      <c r="F166" s="742"/>
      <c r="G166" s="743"/>
      <c r="H166" s="787"/>
      <c r="I166" s="29">
        <f t="shared" ref="I166:I175" si="3">$I$144</f>
        <v>0.35</v>
      </c>
      <c r="J166" s="764" t="s">
        <v>127</v>
      </c>
      <c r="K166" s="132"/>
      <c r="L166" s="132"/>
    </row>
    <row r="167" ht="16.5" hidden="1" spans="2:12">
      <c r="B167" s="739"/>
      <c r="C167" s="765"/>
      <c r="D167" s="781" t="s">
        <v>96</v>
      </c>
      <c r="E167" s="743" t="s">
        <v>49</v>
      </c>
      <c r="F167" s="742"/>
      <c r="G167" s="743"/>
      <c r="H167" s="787"/>
      <c r="I167" s="29">
        <f t="shared" si="3"/>
        <v>0.35</v>
      </c>
      <c r="J167" s="764" t="s">
        <v>127</v>
      </c>
      <c r="K167" s="132"/>
      <c r="L167" s="132"/>
    </row>
    <row r="168" ht="16.5" hidden="1" spans="2:12">
      <c r="B168" s="739"/>
      <c r="C168" s="765"/>
      <c r="D168" s="781" t="s">
        <v>97</v>
      </c>
      <c r="E168" s="743" t="s">
        <v>49</v>
      </c>
      <c r="F168" s="742"/>
      <c r="G168" s="743"/>
      <c r="H168" s="787"/>
      <c r="I168" s="29">
        <f t="shared" si="3"/>
        <v>0.35</v>
      </c>
      <c r="J168" s="764" t="s">
        <v>127</v>
      </c>
      <c r="K168" s="132"/>
      <c r="L168" s="132"/>
    </row>
    <row r="169" ht="16.5" hidden="1" spans="2:12">
      <c r="B169" s="739"/>
      <c r="C169" s="765"/>
      <c r="D169" s="781" t="s">
        <v>98</v>
      </c>
      <c r="E169" s="743" t="s">
        <v>49</v>
      </c>
      <c r="F169" s="742"/>
      <c r="G169" s="743"/>
      <c r="H169" s="787"/>
      <c r="I169" s="29">
        <f t="shared" si="3"/>
        <v>0.35</v>
      </c>
      <c r="J169" s="764" t="s">
        <v>127</v>
      </c>
      <c r="K169" s="132"/>
      <c r="L169" s="132"/>
    </row>
    <row r="170" ht="16.5" hidden="1" spans="2:12">
      <c r="B170" s="739"/>
      <c r="C170" s="765"/>
      <c r="D170" s="781" t="s">
        <v>99</v>
      </c>
      <c r="E170" s="743" t="s">
        <v>49</v>
      </c>
      <c r="F170" s="742"/>
      <c r="G170" s="743"/>
      <c r="H170" s="787"/>
      <c r="I170" s="29">
        <f t="shared" si="3"/>
        <v>0.35</v>
      </c>
      <c r="J170" s="764" t="s">
        <v>127</v>
      </c>
      <c r="K170" s="132"/>
      <c r="L170" s="132"/>
    </row>
    <row r="171" ht="16.5" hidden="1" spans="2:12">
      <c r="B171" s="739"/>
      <c r="C171" s="765"/>
      <c r="D171" s="781" t="s">
        <v>100</v>
      </c>
      <c r="E171" s="743" t="s">
        <v>49</v>
      </c>
      <c r="F171" s="742"/>
      <c r="G171" s="743"/>
      <c r="H171" s="787"/>
      <c r="I171" s="29">
        <f t="shared" si="3"/>
        <v>0.35</v>
      </c>
      <c r="J171" s="764" t="s">
        <v>127</v>
      </c>
      <c r="K171" s="132"/>
      <c r="L171" s="132"/>
    </row>
    <row r="172" ht="16.5" hidden="1" spans="2:12">
      <c r="B172" s="739"/>
      <c r="C172" s="765"/>
      <c r="D172" s="781" t="s">
        <v>101</v>
      </c>
      <c r="E172" s="743" t="s">
        <v>49</v>
      </c>
      <c r="F172" s="742"/>
      <c r="G172" s="743"/>
      <c r="H172" s="787"/>
      <c r="I172" s="29">
        <f t="shared" si="3"/>
        <v>0.35</v>
      </c>
      <c r="J172" s="764" t="s">
        <v>127</v>
      </c>
      <c r="K172" s="132"/>
      <c r="L172" s="132"/>
    </row>
    <row r="173" ht="16.5" hidden="1" spans="2:12">
      <c r="B173" s="739"/>
      <c r="C173" s="765"/>
      <c r="D173" s="781" t="s">
        <v>102</v>
      </c>
      <c r="E173" s="743" t="s">
        <v>49</v>
      </c>
      <c r="F173" s="742"/>
      <c r="G173" s="743"/>
      <c r="H173" s="787"/>
      <c r="I173" s="29">
        <f t="shared" si="3"/>
        <v>0.35</v>
      </c>
      <c r="J173" s="764" t="s">
        <v>127</v>
      </c>
      <c r="K173" s="132"/>
      <c r="L173" s="132"/>
    </row>
    <row r="174" ht="16.5" hidden="1" spans="2:12">
      <c r="B174" s="739"/>
      <c r="C174" s="765"/>
      <c r="D174" s="781" t="s">
        <v>103</v>
      </c>
      <c r="E174" s="743" t="s">
        <v>49</v>
      </c>
      <c r="F174" s="742"/>
      <c r="G174" s="743"/>
      <c r="H174" s="787"/>
      <c r="I174" s="29">
        <f t="shared" si="3"/>
        <v>0.35</v>
      </c>
      <c r="J174" s="764" t="s">
        <v>127</v>
      </c>
      <c r="K174" s="132"/>
      <c r="L174" s="132"/>
    </row>
    <row r="175" ht="16.5" hidden="1" spans="2:12">
      <c r="B175" s="739"/>
      <c r="C175" s="765"/>
      <c r="D175" s="781" t="s">
        <v>104</v>
      </c>
      <c r="E175" s="743" t="s">
        <v>49</v>
      </c>
      <c r="F175" s="742"/>
      <c r="G175" s="743"/>
      <c r="H175" s="787"/>
      <c r="I175" s="29">
        <f t="shared" si="3"/>
        <v>0.35</v>
      </c>
      <c r="J175" s="764" t="s">
        <v>127</v>
      </c>
      <c r="K175" s="132"/>
      <c r="L175" s="132"/>
    </row>
    <row r="176" ht="16.5" hidden="1" spans="2:12">
      <c r="B176" s="739"/>
      <c r="C176" s="765"/>
      <c r="D176" s="781" t="s">
        <v>105</v>
      </c>
      <c r="E176" s="743" t="s">
        <v>49</v>
      </c>
      <c r="F176" s="742"/>
      <c r="G176" s="743"/>
      <c r="H176" s="787"/>
      <c r="I176" s="29">
        <f t="shared" ref="I176:I185" si="4">$I$144</f>
        <v>0.35</v>
      </c>
      <c r="J176" s="764" t="s">
        <v>127</v>
      </c>
      <c r="K176" s="132"/>
      <c r="L176" s="132"/>
    </row>
    <row r="177" ht="16.5" hidden="1" spans="2:12">
      <c r="B177" s="739"/>
      <c r="C177" s="765"/>
      <c r="D177" s="781" t="s">
        <v>106</v>
      </c>
      <c r="E177" s="743" t="s">
        <v>49</v>
      </c>
      <c r="F177" s="742"/>
      <c r="G177" s="743"/>
      <c r="H177" s="787"/>
      <c r="I177" s="29">
        <f t="shared" si="4"/>
        <v>0.35</v>
      </c>
      <c r="J177" s="764" t="s">
        <v>127</v>
      </c>
      <c r="K177" s="132"/>
      <c r="L177" s="132"/>
    </row>
    <row r="178" ht="16.5" hidden="1" spans="2:12">
      <c r="B178" s="739"/>
      <c r="C178" s="765"/>
      <c r="D178" s="781" t="s">
        <v>107</v>
      </c>
      <c r="E178" s="743" t="s">
        <v>49</v>
      </c>
      <c r="F178" s="742"/>
      <c r="G178" s="743"/>
      <c r="H178" s="787"/>
      <c r="I178" s="29">
        <f t="shared" si="4"/>
        <v>0.35</v>
      </c>
      <c r="J178" s="764" t="s">
        <v>127</v>
      </c>
      <c r="K178" s="132"/>
      <c r="L178" s="132"/>
    </row>
    <row r="179" ht="16.5" hidden="1" spans="2:12">
      <c r="B179" s="739"/>
      <c r="C179" s="765"/>
      <c r="D179" s="781" t="s">
        <v>108</v>
      </c>
      <c r="E179" s="743" t="s">
        <v>49</v>
      </c>
      <c r="F179" s="742"/>
      <c r="G179" s="743"/>
      <c r="H179" s="787"/>
      <c r="I179" s="29">
        <f t="shared" si="4"/>
        <v>0.35</v>
      </c>
      <c r="J179" s="764" t="s">
        <v>127</v>
      </c>
      <c r="K179" s="132"/>
      <c r="L179" s="132"/>
    </row>
    <row r="180" ht="16.5" hidden="1" spans="2:12">
      <c r="B180" s="739"/>
      <c r="C180" s="765"/>
      <c r="D180" s="781" t="s">
        <v>109</v>
      </c>
      <c r="E180" s="743" t="s">
        <v>49</v>
      </c>
      <c r="F180" s="742"/>
      <c r="G180" s="743"/>
      <c r="H180" s="787"/>
      <c r="I180" s="29">
        <f t="shared" si="4"/>
        <v>0.35</v>
      </c>
      <c r="J180" s="764" t="s">
        <v>127</v>
      </c>
      <c r="K180" s="132"/>
      <c r="L180" s="132"/>
    </row>
    <row r="181" ht="16.5" hidden="1" spans="2:12">
      <c r="B181" s="739"/>
      <c r="C181" s="765"/>
      <c r="D181" s="781" t="s">
        <v>110</v>
      </c>
      <c r="E181" s="743" t="s">
        <v>49</v>
      </c>
      <c r="F181" s="742"/>
      <c r="G181" s="743"/>
      <c r="H181" s="787"/>
      <c r="I181" s="29">
        <f t="shared" si="4"/>
        <v>0.35</v>
      </c>
      <c r="J181" s="764" t="s">
        <v>127</v>
      </c>
      <c r="K181" s="132"/>
      <c r="L181" s="132"/>
    </row>
    <row r="182" ht="16.5" hidden="1" spans="2:12">
      <c r="B182" s="739"/>
      <c r="C182" s="765"/>
      <c r="D182" s="781" t="s">
        <v>111</v>
      </c>
      <c r="E182" s="743" t="s">
        <v>49</v>
      </c>
      <c r="F182" s="742"/>
      <c r="G182" s="743"/>
      <c r="H182" s="787"/>
      <c r="I182" s="29">
        <f t="shared" si="4"/>
        <v>0.35</v>
      </c>
      <c r="J182" s="764" t="s">
        <v>127</v>
      </c>
      <c r="K182" s="132"/>
      <c r="L182" s="132"/>
    </row>
    <row r="183" ht="16.5" hidden="1" spans="2:12">
      <c r="B183" s="739"/>
      <c r="C183" s="765"/>
      <c r="D183" s="781" t="s">
        <v>112</v>
      </c>
      <c r="E183" s="743" t="s">
        <v>49</v>
      </c>
      <c r="F183" s="742"/>
      <c r="G183" s="743"/>
      <c r="H183" s="787"/>
      <c r="I183" s="29">
        <f t="shared" si="4"/>
        <v>0.35</v>
      </c>
      <c r="J183" s="764" t="s">
        <v>127</v>
      </c>
      <c r="K183" s="132"/>
      <c r="L183" s="132"/>
    </row>
    <row r="184" ht="16.5" hidden="1" spans="2:12">
      <c r="B184" s="739"/>
      <c r="C184" s="765"/>
      <c r="D184" s="781" t="s">
        <v>113</v>
      </c>
      <c r="E184" s="743" t="s">
        <v>49</v>
      </c>
      <c r="F184" s="742"/>
      <c r="G184" s="743"/>
      <c r="H184" s="787"/>
      <c r="I184" s="29">
        <f t="shared" si="4"/>
        <v>0.35</v>
      </c>
      <c r="J184" s="764" t="s">
        <v>127</v>
      </c>
      <c r="K184" s="132"/>
      <c r="L184" s="132"/>
    </row>
    <row r="185" ht="16.5" hidden="1" spans="2:12">
      <c r="B185" s="739"/>
      <c r="C185" s="765"/>
      <c r="D185" s="781" t="s">
        <v>114</v>
      </c>
      <c r="E185" s="743" t="s">
        <v>49</v>
      </c>
      <c r="F185" s="742"/>
      <c r="G185" s="743"/>
      <c r="H185" s="787"/>
      <c r="I185" s="29">
        <f t="shared" si="4"/>
        <v>0.35</v>
      </c>
      <c r="J185" s="764" t="s">
        <v>127</v>
      </c>
      <c r="K185" s="132"/>
      <c r="L185" s="132"/>
    </row>
    <row r="186" ht="16.5" hidden="1" spans="2:12">
      <c r="B186" s="739"/>
      <c r="C186" s="765"/>
      <c r="D186" s="781" t="s">
        <v>115</v>
      </c>
      <c r="E186" s="743" t="s">
        <v>49</v>
      </c>
      <c r="F186" s="742"/>
      <c r="G186" s="743"/>
      <c r="H186" s="787"/>
      <c r="I186" s="29">
        <f t="shared" ref="I186:I192" si="5">$I$144</f>
        <v>0.35</v>
      </c>
      <c r="J186" s="764" t="s">
        <v>127</v>
      </c>
      <c r="K186" s="132"/>
      <c r="L186" s="132"/>
    </row>
    <row r="187" ht="16.5" hidden="1" spans="2:12">
      <c r="B187" s="739"/>
      <c r="C187" s="765"/>
      <c r="D187" s="781" t="s">
        <v>116</v>
      </c>
      <c r="E187" s="743" t="s">
        <v>49</v>
      </c>
      <c r="F187" s="742"/>
      <c r="G187" s="743"/>
      <c r="H187" s="787"/>
      <c r="I187" s="29">
        <f t="shared" si="5"/>
        <v>0.35</v>
      </c>
      <c r="J187" s="764" t="s">
        <v>127</v>
      </c>
      <c r="K187" s="132"/>
      <c r="L187" s="132"/>
    </row>
    <row r="188" ht="16.5" hidden="1" spans="2:12">
      <c r="B188" s="739"/>
      <c r="C188" s="765"/>
      <c r="D188" s="781" t="s">
        <v>117</v>
      </c>
      <c r="E188" s="743" t="s">
        <v>49</v>
      </c>
      <c r="F188" s="742"/>
      <c r="G188" s="743"/>
      <c r="H188" s="787"/>
      <c r="I188" s="29">
        <f t="shared" si="5"/>
        <v>0.35</v>
      </c>
      <c r="J188" s="764" t="s">
        <v>127</v>
      </c>
      <c r="K188" s="132"/>
      <c r="L188" s="132"/>
    </row>
    <row r="189" ht="16.5" hidden="1" spans="2:12">
      <c r="B189" s="739"/>
      <c r="C189" s="765"/>
      <c r="D189" s="781" t="s">
        <v>118</v>
      </c>
      <c r="E189" s="743" t="s">
        <v>49</v>
      </c>
      <c r="F189" s="742"/>
      <c r="G189" s="743"/>
      <c r="H189" s="787"/>
      <c r="I189" s="29">
        <f t="shared" si="5"/>
        <v>0.35</v>
      </c>
      <c r="J189" s="764" t="s">
        <v>127</v>
      </c>
      <c r="K189" s="132"/>
      <c r="L189" s="132"/>
    </row>
    <row r="190" ht="16.5" hidden="1" spans="2:12">
      <c r="B190" s="739"/>
      <c r="C190" s="765"/>
      <c r="D190" s="781" t="s">
        <v>119</v>
      </c>
      <c r="E190" s="743" t="s">
        <v>49</v>
      </c>
      <c r="F190" s="742"/>
      <c r="G190" s="743"/>
      <c r="H190" s="787"/>
      <c r="I190" s="29">
        <f t="shared" si="5"/>
        <v>0.35</v>
      </c>
      <c r="J190" s="764" t="s">
        <v>127</v>
      </c>
      <c r="K190" s="132"/>
      <c r="L190" s="132"/>
    </row>
    <row r="191" ht="16.5" hidden="1" spans="2:12">
      <c r="B191" s="739"/>
      <c r="C191" s="765"/>
      <c r="D191" s="781" t="s">
        <v>120</v>
      </c>
      <c r="E191" s="743" t="s">
        <v>49</v>
      </c>
      <c r="F191" s="742"/>
      <c r="G191" s="743"/>
      <c r="H191" s="787"/>
      <c r="I191" s="29">
        <f t="shared" si="5"/>
        <v>0.35</v>
      </c>
      <c r="J191" s="764" t="s">
        <v>127</v>
      </c>
      <c r="K191" s="132"/>
      <c r="L191" s="132"/>
    </row>
    <row r="192" ht="16.5" hidden="1" spans="2:12">
      <c r="B192" s="739"/>
      <c r="C192" s="765"/>
      <c r="D192" s="781" t="s">
        <v>121</v>
      </c>
      <c r="E192" s="743" t="s">
        <v>49</v>
      </c>
      <c r="F192" s="742"/>
      <c r="G192" s="743"/>
      <c r="H192" s="787"/>
      <c r="I192" s="29">
        <f t="shared" si="5"/>
        <v>0.35</v>
      </c>
      <c r="J192" s="764" t="s">
        <v>127</v>
      </c>
      <c r="K192" s="132"/>
      <c r="L192" s="132"/>
    </row>
    <row r="193" s="105" customFormat="1" spans="2:12">
      <c r="B193" s="789" t="s">
        <v>128</v>
      </c>
      <c r="C193" s="740">
        <v>1</v>
      </c>
      <c r="D193" s="95" t="s">
        <v>129</v>
      </c>
      <c r="E193" s="741" t="s">
        <v>24</v>
      </c>
      <c r="F193" s="742"/>
      <c r="G193" s="743"/>
      <c r="H193" s="744"/>
      <c r="I193" s="790">
        <f>SUM(I194:I200)</f>
        <v>638349.96</v>
      </c>
      <c r="J193" s="367" t="s">
        <v>130</v>
      </c>
      <c r="K193" s="133"/>
      <c r="L193" s="133"/>
    </row>
    <row r="194" s="105" customFormat="1" ht="33" spans="2:12">
      <c r="B194" s="739"/>
      <c r="C194" s="773">
        <v>1.1</v>
      </c>
      <c r="D194" s="75" t="s">
        <v>131</v>
      </c>
      <c r="E194" s="743" t="s">
        <v>132</v>
      </c>
      <c r="F194" s="742"/>
      <c r="G194" s="791">
        <v>0.09</v>
      </c>
      <c r="H194" s="744" t="s">
        <v>133</v>
      </c>
      <c r="I194" s="790">
        <f>投资概算明细!D5</f>
        <v>62992.58</v>
      </c>
      <c r="J194" s="367" t="s">
        <v>130</v>
      </c>
      <c r="K194" s="133"/>
      <c r="L194" s="133"/>
    </row>
    <row r="195" s="105" customFormat="1" ht="33" spans="2:12">
      <c r="B195" s="739"/>
      <c r="C195" s="773">
        <v>1.2</v>
      </c>
      <c r="D195" s="75" t="s">
        <v>134</v>
      </c>
      <c r="E195" s="743" t="s">
        <v>132</v>
      </c>
      <c r="F195" s="742"/>
      <c r="G195" s="791">
        <v>0.09</v>
      </c>
      <c r="H195" s="744" t="s">
        <v>133</v>
      </c>
      <c r="I195" s="790">
        <f>投资概算明细!D6</f>
        <v>331236.41</v>
      </c>
      <c r="J195" s="367" t="s">
        <v>130</v>
      </c>
      <c r="K195" s="133"/>
      <c r="L195" s="133"/>
    </row>
    <row r="196" s="105" customFormat="1" ht="33" spans="2:12">
      <c r="B196" s="739"/>
      <c r="C196" s="773">
        <v>1.3</v>
      </c>
      <c r="D196" s="75" t="s">
        <v>135</v>
      </c>
      <c r="E196" s="743" t="s">
        <v>132</v>
      </c>
      <c r="F196" s="742"/>
      <c r="G196" s="791">
        <v>0.09</v>
      </c>
      <c r="H196" s="744" t="s">
        <v>133</v>
      </c>
      <c r="I196" s="790">
        <f>投资概算明细!D7</f>
        <v>17893.9</v>
      </c>
      <c r="J196" s="367" t="s">
        <v>130</v>
      </c>
      <c r="K196" s="133"/>
      <c r="L196" s="133"/>
    </row>
    <row r="197" s="105" customFormat="1" ht="33" spans="2:12">
      <c r="B197" s="739"/>
      <c r="C197" s="773">
        <v>1.4</v>
      </c>
      <c r="D197" s="75" t="s">
        <v>136</v>
      </c>
      <c r="E197" s="743" t="s">
        <v>132</v>
      </c>
      <c r="F197" s="742"/>
      <c r="G197" s="791">
        <v>0.09</v>
      </c>
      <c r="H197" s="744" t="s">
        <v>133</v>
      </c>
      <c r="I197" s="790">
        <f>投资概算明细!D8</f>
        <v>68286.2</v>
      </c>
      <c r="J197" s="367" t="s">
        <v>130</v>
      </c>
      <c r="K197" s="133"/>
      <c r="L197" s="133"/>
    </row>
    <row r="198" s="105" customFormat="1" ht="33" spans="2:12">
      <c r="B198" s="739"/>
      <c r="C198" s="773">
        <v>1.5</v>
      </c>
      <c r="D198" s="75" t="s">
        <v>137</v>
      </c>
      <c r="E198" s="743" t="s">
        <v>132</v>
      </c>
      <c r="F198" s="742"/>
      <c r="G198" s="791">
        <v>0.09</v>
      </c>
      <c r="H198" s="744" t="s">
        <v>133</v>
      </c>
      <c r="I198" s="790">
        <f>投资概算明细!D9</f>
        <v>157940.87</v>
      </c>
      <c r="J198" s="367" t="s">
        <v>130</v>
      </c>
      <c r="K198" s="133"/>
      <c r="L198" s="133"/>
    </row>
    <row r="199" s="105" customFormat="1" ht="33" spans="2:12">
      <c r="B199" s="739"/>
      <c r="C199" s="773">
        <v>1.6</v>
      </c>
      <c r="D199" s="75" t="s">
        <v>138</v>
      </c>
      <c r="E199" s="743" t="s">
        <v>132</v>
      </c>
      <c r="F199" s="742"/>
      <c r="G199" s="791">
        <v>0.13</v>
      </c>
      <c r="H199" s="744" t="s">
        <v>133</v>
      </c>
      <c r="I199" s="790">
        <f>投资概算明细!D10</f>
        <v>0</v>
      </c>
      <c r="J199" s="367" t="s">
        <v>130</v>
      </c>
      <c r="K199" s="133"/>
      <c r="L199" s="133"/>
    </row>
    <row r="200" s="105" customFormat="1" ht="33" spans="2:12">
      <c r="B200" s="739"/>
      <c r="C200" s="773">
        <v>1.7</v>
      </c>
      <c r="D200" s="75" t="s">
        <v>139</v>
      </c>
      <c r="E200" s="743" t="s">
        <v>132</v>
      </c>
      <c r="F200" s="742"/>
      <c r="G200" s="791">
        <v>0.13</v>
      </c>
      <c r="H200" s="744" t="s">
        <v>133</v>
      </c>
      <c r="I200" s="790">
        <f>投资概算明细!D11</f>
        <v>0</v>
      </c>
      <c r="J200" s="367" t="s">
        <v>130</v>
      </c>
      <c r="K200" s="133"/>
      <c r="L200" s="133"/>
    </row>
    <row r="201" s="105" customFormat="1" ht="33" spans="2:12">
      <c r="B201" s="739"/>
      <c r="C201" s="740">
        <v>2</v>
      </c>
      <c r="D201" s="95" t="s">
        <v>140</v>
      </c>
      <c r="E201" s="743" t="s">
        <v>132</v>
      </c>
      <c r="F201" s="742"/>
      <c r="G201" s="791">
        <v>0</v>
      </c>
      <c r="H201" s="744" t="s">
        <v>133</v>
      </c>
      <c r="I201" s="790">
        <f>投资概算明细!D12</f>
        <v>5205.27</v>
      </c>
      <c r="J201" s="367" t="s">
        <v>130</v>
      </c>
      <c r="K201" s="133"/>
      <c r="L201" s="133"/>
    </row>
    <row r="202" s="105" customFormat="1" ht="33" spans="2:12">
      <c r="B202" s="739"/>
      <c r="C202" s="740">
        <v>3</v>
      </c>
      <c r="D202" s="95" t="s">
        <v>141</v>
      </c>
      <c r="E202" s="741" t="s">
        <v>24</v>
      </c>
      <c r="F202" s="742"/>
      <c r="G202" s="743"/>
      <c r="H202" s="744" t="s">
        <v>133</v>
      </c>
      <c r="I202" s="790">
        <f>SUM(I203:I206)</f>
        <v>122855.89</v>
      </c>
      <c r="J202" s="367" t="s">
        <v>130</v>
      </c>
      <c r="K202" s="133"/>
      <c r="L202" s="133"/>
    </row>
    <row r="203" ht="33" spans="2:12">
      <c r="B203" s="739"/>
      <c r="C203" s="765">
        <v>3.1</v>
      </c>
      <c r="D203" s="144" t="s">
        <v>142</v>
      </c>
      <c r="E203" s="743" t="s">
        <v>132</v>
      </c>
      <c r="F203" s="742"/>
      <c r="G203" s="791">
        <v>0.06</v>
      </c>
      <c r="H203" s="762" t="s">
        <v>133</v>
      </c>
      <c r="I203" s="790">
        <f>投资概算明细!D14</f>
        <v>54324.05</v>
      </c>
      <c r="J203" s="367" t="s">
        <v>130</v>
      </c>
      <c r="K203" s="133"/>
      <c r="L203" s="132"/>
    </row>
    <row r="204" ht="33" spans="2:12">
      <c r="B204" s="739"/>
      <c r="C204" s="765">
        <v>3.2</v>
      </c>
      <c r="D204" s="144" t="s">
        <v>143</v>
      </c>
      <c r="E204" s="743" t="s">
        <v>132</v>
      </c>
      <c r="F204" s="742"/>
      <c r="G204" s="791">
        <v>0</v>
      </c>
      <c r="H204" s="762" t="s">
        <v>133</v>
      </c>
      <c r="I204" s="790">
        <f>投资概算明细!D15</f>
        <v>8001.3</v>
      </c>
      <c r="J204" s="367" t="s">
        <v>130</v>
      </c>
      <c r="K204" s="133"/>
      <c r="L204" s="132"/>
    </row>
    <row r="205" ht="33" spans="2:12">
      <c r="B205" s="739"/>
      <c r="C205" s="765">
        <v>3.3</v>
      </c>
      <c r="D205" s="144" t="s">
        <v>144</v>
      </c>
      <c r="E205" s="743" t="s">
        <v>132</v>
      </c>
      <c r="F205" s="742"/>
      <c r="G205" s="791">
        <v>0.06</v>
      </c>
      <c r="H205" s="762" t="s">
        <v>133</v>
      </c>
      <c r="I205" s="790">
        <f>投资概算明细!D16</f>
        <v>56990.05</v>
      </c>
      <c r="J205" s="367" t="s">
        <v>130</v>
      </c>
      <c r="K205" s="133"/>
      <c r="L205" s="132"/>
    </row>
    <row r="206" ht="33" spans="2:12">
      <c r="B206" s="739"/>
      <c r="C206" s="765">
        <v>3.4</v>
      </c>
      <c r="D206" s="75" t="s">
        <v>145</v>
      </c>
      <c r="E206" s="743" t="s">
        <v>132</v>
      </c>
      <c r="F206" s="742"/>
      <c r="G206" s="791">
        <v>0</v>
      </c>
      <c r="H206" s="762" t="s">
        <v>133</v>
      </c>
      <c r="I206" s="790">
        <f>投资概算明细!D17</f>
        <v>3540.49</v>
      </c>
      <c r="J206" s="367" t="s">
        <v>130</v>
      </c>
      <c r="K206" s="133"/>
      <c r="L206" s="132"/>
    </row>
    <row r="207" s="105" customFormat="1" ht="33" spans="2:12">
      <c r="B207" s="739"/>
      <c r="C207" s="740">
        <v>4</v>
      </c>
      <c r="D207" s="95" t="s">
        <v>146</v>
      </c>
      <c r="E207" s="743" t="s">
        <v>132</v>
      </c>
      <c r="F207" s="742"/>
      <c r="G207" s="791">
        <v>0.09</v>
      </c>
      <c r="H207" s="744" t="s">
        <v>133</v>
      </c>
      <c r="I207" s="790">
        <f>投资概算明细!D18</f>
        <v>38197.3</v>
      </c>
      <c r="J207" s="367" t="s">
        <v>130</v>
      </c>
      <c r="K207" s="133"/>
      <c r="L207" s="133"/>
    </row>
    <row r="208" s="105" customFormat="1" ht="33" spans="2:12">
      <c r="B208" s="739"/>
      <c r="C208" s="740">
        <v>5</v>
      </c>
      <c r="D208" s="95" t="s">
        <v>147</v>
      </c>
      <c r="E208" s="743" t="s">
        <v>132</v>
      </c>
      <c r="F208" s="742"/>
      <c r="G208" s="791">
        <v>0</v>
      </c>
      <c r="H208" s="744" t="s">
        <v>133</v>
      </c>
      <c r="I208" s="790">
        <f>投资概算明细!D19</f>
        <v>0</v>
      </c>
      <c r="J208" s="367" t="s">
        <v>130</v>
      </c>
      <c r="K208" s="133"/>
      <c r="L208" s="133"/>
    </row>
    <row r="209" ht="33" spans="2:12">
      <c r="B209" s="739"/>
      <c r="C209" s="740">
        <v>6</v>
      </c>
      <c r="D209" s="95" t="s">
        <v>148</v>
      </c>
      <c r="E209" s="743" t="s">
        <v>132</v>
      </c>
      <c r="F209" s="742"/>
      <c r="G209" s="791">
        <v>0.13</v>
      </c>
      <c r="H209" s="744" t="s">
        <v>133</v>
      </c>
      <c r="I209" s="790">
        <f>投资概算明细!D20</f>
        <v>6000</v>
      </c>
      <c r="J209" s="367" t="s">
        <v>130</v>
      </c>
      <c r="K209" s="133"/>
      <c r="L209" s="132"/>
    </row>
    <row r="210" spans="2:12">
      <c r="B210" s="739"/>
      <c r="C210" s="661">
        <v>7.1</v>
      </c>
      <c r="D210" s="95" t="s">
        <v>149</v>
      </c>
      <c r="E210" s="741" t="s">
        <v>24</v>
      </c>
      <c r="F210" s="742"/>
      <c r="G210" s="741"/>
      <c r="H210" s="744" t="s">
        <v>150</v>
      </c>
      <c r="I210" s="790">
        <f>I193+I201+I202+I207+I208+I209</f>
        <v>810608.42</v>
      </c>
      <c r="J210" s="367" t="s">
        <v>130</v>
      </c>
      <c r="K210" s="762"/>
      <c r="L210" s="132"/>
    </row>
    <row r="211" ht="33" spans="2:12">
      <c r="B211" s="739"/>
      <c r="C211" s="661">
        <v>7.2</v>
      </c>
      <c r="D211" s="95" t="s">
        <v>151</v>
      </c>
      <c r="E211" s="741" t="s">
        <v>24</v>
      </c>
      <c r="F211" s="742"/>
      <c r="G211" s="741"/>
      <c r="H211" s="744" t="s">
        <v>152</v>
      </c>
      <c r="I211" s="790">
        <f>I210-I222</f>
        <v>800608.42</v>
      </c>
      <c r="J211" s="367" t="s">
        <v>130</v>
      </c>
      <c r="K211" s="762"/>
      <c r="L211" s="132"/>
    </row>
    <row r="212" spans="2:12">
      <c r="B212" s="739"/>
      <c r="C212" s="661">
        <v>8</v>
      </c>
      <c r="D212" s="95" t="s">
        <v>153</v>
      </c>
      <c r="E212" s="743" t="s">
        <v>132</v>
      </c>
      <c r="F212" s="742"/>
      <c r="G212" s="791">
        <v>0.09</v>
      </c>
      <c r="H212" s="744"/>
      <c r="I212" s="790">
        <f>投资概算明细!D22</f>
        <v>59365.53</v>
      </c>
      <c r="J212" s="367" t="s">
        <v>130</v>
      </c>
      <c r="K212" s="762"/>
      <c r="L212" s="132"/>
    </row>
    <row r="213" spans="2:12">
      <c r="B213" s="739"/>
      <c r="C213" s="661">
        <v>9.1</v>
      </c>
      <c r="D213" s="95" t="s">
        <v>154</v>
      </c>
      <c r="E213" s="741" t="s">
        <v>24</v>
      </c>
      <c r="F213" s="742"/>
      <c r="G213" s="741"/>
      <c r="H213" s="744"/>
      <c r="I213" s="790">
        <f>I210+I212</f>
        <v>869973.95</v>
      </c>
      <c r="J213" s="367" t="s">
        <v>130</v>
      </c>
      <c r="K213" s="762"/>
      <c r="L213" s="132"/>
    </row>
    <row r="214" ht="22.5" spans="2:12">
      <c r="B214" s="739"/>
      <c r="C214" s="661">
        <v>9.2</v>
      </c>
      <c r="D214" s="95" t="s">
        <v>155</v>
      </c>
      <c r="E214" s="741" t="s">
        <v>24</v>
      </c>
      <c r="F214" s="742"/>
      <c r="G214" s="741"/>
      <c r="H214" s="744"/>
      <c r="I214" s="792">
        <f>I211+I212</f>
        <v>859973.95</v>
      </c>
      <c r="J214" s="367" t="s">
        <v>130</v>
      </c>
      <c r="K214" s="762"/>
      <c r="L214" s="132"/>
    </row>
    <row r="215" s="105" customFormat="1" ht="33" spans="2:12">
      <c r="B215" s="767"/>
      <c r="C215" s="740">
        <v>10</v>
      </c>
      <c r="D215" s="95" t="s">
        <v>156</v>
      </c>
      <c r="E215" s="741" t="s">
        <v>24</v>
      </c>
      <c r="F215" s="742"/>
      <c r="G215" s="741"/>
      <c r="H215" s="744" t="s">
        <v>157</v>
      </c>
      <c r="I215" s="790">
        <f ca="1">'表1-资金筹措及还本付息表'!D9</f>
        <v>106971.734224656</v>
      </c>
      <c r="J215" s="367" t="s">
        <v>130</v>
      </c>
      <c r="K215" s="744"/>
      <c r="L215" s="133"/>
    </row>
    <row r="216" ht="33" spans="2:12">
      <c r="B216" s="739"/>
      <c r="C216" s="661">
        <v>11.1</v>
      </c>
      <c r="D216" s="95" t="s">
        <v>158</v>
      </c>
      <c r="E216" s="741" t="s">
        <v>24</v>
      </c>
      <c r="F216" s="742"/>
      <c r="G216" s="741"/>
      <c r="H216" s="744" t="s">
        <v>159</v>
      </c>
      <c r="I216" s="790">
        <f ca="1">I213+I215</f>
        <v>976945.684224656</v>
      </c>
      <c r="J216" s="367" t="s">
        <v>130</v>
      </c>
      <c r="K216" s="762"/>
      <c r="L216" s="132"/>
    </row>
    <row r="217" ht="33" spans="2:12">
      <c r="B217" s="739"/>
      <c r="C217" s="661">
        <v>11.2</v>
      </c>
      <c r="D217" s="95" t="s">
        <v>160</v>
      </c>
      <c r="E217" s="741" t="s">
        <v>24</v>
      </c>
      <c r="F217" s="742"/>
      <c r="G217" s="741"/>
      <c r="H217" s="744" t="s">
        <v>161</v>
      </c>
      <c r="I217" s="792">
        <f ca="1">I214+I215</f>
        <v>966945.684224656</v>
      </c>
      <c r="J217" s="367" t="s">
        <v>130</v>
      </c>
      <c r="K217" s="762"/>
      <c r="L217" s="132"/>
    </row>
    <row r="218" spans="2:12">
      <c r="B218" s="739"/>
      <c r="C218" s="661">
        <v>12</v>
      </c>
      <c r="D218" s="95" t="s">
        <v>162</v>
      </c>
      <c r="E218" s="743" t="s">
        <v>49</v>
      </c>
      <c r="F218" s="742"/>
      <c r="G218" s="741"/>
      <c r="H218" s="133" t="s">
        <v>163</v>
      </c>
      <c r="I218" s="790">
        <v>700</v>
      </c>
      <c r="J218" s="367" t="s">
        <v>130</v>
      </c>
      <c r="K218" s="762"/>
      <c r="L218" s="132"/>
    </row>
    <row r="219" spans="2:12">
      <c r="B219" s="739"/>
      <c r="C219" s="661"/>
      <c r="D219" s="54" t="s">
        <v>164</v>
      </c>
      <c r="E219" s="743"/>
      <c r="F219" s="742"/>
      <c r="G219" s="743"/>
      <c r="H219" s="133"/>
      <c r="I219" s="790"/>
      <c r="J219" s="367"/>
      <c r="K219" s="762"/>
      <c r="L219" s="132"/>
    </row>
    <row r="220" ht="24" customHeight="1" spans="2:12">
      <c r="B220" s="739"/>
      <c r="C220" s="661"/>
      <c r="D220" s="54" t="s">
        <v>165</v>
      </c>
      <c r="E220" s="743" t="s">
        <v>59</v>
      </c>
      <c r="F220" s="742"/>
      <c r="G220" s="743"/>
      <c r="H220" s="133"/>
      <c r="I220" s="591" t="s">
        <v>166</v>
      </c>
      <c r="J220" s="367"/>
      <c r="K220" s="762"/>
      <c r="L220" s="132"/>
    </row>
    <row r="221" ht="33" spans="2:12">
      <c r="B221" s="739"/>
      <c r="C221" s="661">
        <v>13</v>
      </c>
      <c r="D221" s="95" t="s">
        <v>167</v>
      </c>
      <c r="E221" s="741" t="s">
        <v>24</v>
      </c>
      <c r="F221" s="742"/>
      <c r="G221" s="741"/>
      <c r="H221" s="744"/>
      <c r="I221" s="792">
        <f>投资概算明细!D46</f>
        <v>67754.50497608</v>
      </c>
      <c r="J221" s="367" t="s">
        <v>130</v>
      </c>
      <c r="K221" s="762" t="s">
        <v>168</v>
      </c>
      <c r="L221" s="132"/>
    </row>
    <row r="222" spans="2:12">
      <c r="B222" s="769"/>
      <c r="C222" s="661">
        <v>14</v>
      </c>
      <c r="D222" s="95" t="s">
        <v>169</v>
      </c>
      <c r="E222" s="743" t="s">
        <v>49</v>
      </c>
      <c r="F222" s="742"/>
      <c r="G222" s="743"/>
      <c r="H222" s="744"/>
      <c r="I222" s="790">
        <v>10000</v>
      </c>
      <c r="J222" s="367" t="s">
        <v>130</v>
      </c>
      <c r="K222" s="762"/>
      <c r="L222" s="132"/>
    </row>
    <row r="223" s="192" customFormat="1" spans="2:12">
      <c r="B223" s="793" t="s">
        <v>170</v>
      </c>
      <c r="C223" s="740">
        <v>1</v>
      </c>
      <c r="D223" s="95" t="s">
        <v>171</v>
      </c>
      <c r="E223" s="743"/>
      <c r="F223" s="742"/>
      <c r="G223" s="743"/>
      <c r="H223" s="744"/>
      <c r="I223" s="790"/>
      <c r="J223" s="367"/>
      <c r="K223" s="744"/>
      <c r="L223" s="133"/>
    </row>
    <row r="224" s="192" customFormat="1" ht="28" customHeight="1" spans="2:12">
      <c r="B224" s="793"/>
      <c r="C224" s="773">
        <v>1.1</v>
      </c>
      <c r="D224" s="95" t="s">
        <v>172</v>
      </c>
      <c r="E224" s="743" t="s">
        <v>59</v>
      </c>
      <c r="F224" s="742"/>
      <c r="G224" s="743"/>
      <c r="H224" s="744"/>
      <c r="I224" s="591" t="s">
        <v>173</v>
      </c>
      <c r="J224" s="367"/>
      <c r="K224" s="744"/>
      <c r="L224" s="133"/>
    </row>
    <row r="225" s="192" customFormat="1" ht="22.5" spans="2:12">
      <c r="B225" s="793"/>
      <c r="C225" s="773" t="s">
        <v>174</v>
      </c>
      <c r="D225" s="95" t="s">
        <v>175</v>
      </c>
      <c r="E225" s="743" t="s">
        <v>49</v>
      </c>
      <c r="F225" s="742"/>
      <c r="G225" s="743"/>
      <c r="H225" s="744"/>
      <c r="I225" s="792">
        <f>SUM(I226:I235)</f>
        <v>199000</v>
      </c>
      <c r="J225" s="367" t="s">
        <v>130</v>
      </c>
      <c r="K225" s="744"/>
      <c r="L225" s="133"/>
    </row>
    <row r="226" s="192" customFormat="1" spans="2:12">
      <c r="B226" s="793"/>
      <c r="C226" s="740"/>
      <c r="D226" s="746" t="str">
        <f>D14</f>
        <v>2023年3月（自定义时间点1）</v>
      </c>
      <c r="E226" s="743" t="s">
        <v>49</v>
      </c>
      <c r="F226" s="742"/>
      <c r="G226" s="743"/>
      <c r="H226" s="744"/>
      <c r="I226" s="790">
        <v>6000</v>
      </c>
      <c r="J226" s="367" t="s">
        <v>130</v>
      </c>
      <c r="K226" s="744"/>
      <c r="L226" s="133"/>
    </row>
    <row r="227" s="192" customFormat="1" spans="2:12">
      <c r="B227" s="793"/>
      <c r="C227" s="740"/>
      <c r="D227" s="794">
        <f t="shared" ref="D227:D235" si="6">D15</f>
        <v>45261</v>
      </c>
      <c r="E227" s="743" t="s">
        <v>49</v>
      </c>
      <c r="F227" s="742"/>
      <c r="G227" s="743"/>
      <c r="H227" s="744"/>
      <c r="I227" s="790">
        <v>15000</v>
      </c>
      <c r="J227" s="367" t="s">
        <v>130</v>
      </c>
      <c r="K227" s="744"/>
      <c r="L227" s="133"/>
    </row>
    <row r="228" s="192" customFormat="1" spans="2:12">
      <c r="B228" s="793"/>
      <c r="C228" s="740"/>
      <c r="D228" s="794">
        <f t="shared" si="6"/>
        <v>45627</v>
      </c>
      <c r="E228" s="743" t="s">
        <v>49</v>
      </c>
      <c r="F228" s="742"/>
      <c r="G228" s="743"/>
      <c r="H228" s="744"/>
      <c r="I228" s="790">
        <v>20000</v>
      </c>
      <c r="J228" s="367" t="s">
        <v>130</v>
      </c>
      <c r="K228" s="744"/>
      <c r="L228" s="133"/>
    </row>
    <row r="229" s="192" customFormat="1" spans="2:12">
      <c r="B229" s="793"/>
      <c r="C229" s="740"/>
      <c r="D229" s="794">
        <f t="shared" si="6"/>
        <v>45992</v>
      </c>
      <c r="E229" s="743" t="s">
        <v>49</v>
      </c>
      <c r="F229" s="742"/>
      <c r="G229" s="743"/>
      <c r="H229" s="744"/>
      <c r="I229" s="790">
        <v>25000</v>
      </c>
      <c r="J229" s="367" t="s">
        <v>130</v>
      </c>
      <c r="K229" s="744"/>
      <c r="L229" s="133"/>
    </row>
    <row r="230" s="192" customFormat="1" spans="2:12">
      <c r="B230" s="793"/>
      <c r="C230" s="740"/>
      <c r="D230" s="794">
        <f t="shared" si="6"/>
        <v>46357</v>
      </c>
      <c r="E230" s="743" t="s">
        <v>49</v>
      </c>
      <c r="F230" s="742"/>
      <c r="G230" s="743"/>
      <c r="H230" s="744"/>
      <c r="I230" s="790">
        <v>28000</v>
      </c>
      <c r="J230" s="367" t="s">
        <v>130</v>
      </c>
      <c r="K230" s="744"/>
      <c r="L230" s="133"/>
    </row>
    <row r="231" s="192" customFormat="1" spans="2:12">
      <c r="B231" s="793"/>
      <c r="C231" s="740"/>
      <c r="D231" s="794">
        <f t="shared" si="6"/>
        <v>46722</v>
      </c>
      <c r="E231" s="743" t="s">
        <v>49</v>
      </c>
      <c r="F231" s="742"/>
      <c r="G231" s="743"/>
      <c r="H231" s="744"/>
      <c r="I231" s="790">
        <v>35000</v>
      </c>
      <c r="J231" s="367" t="s">
        <v>130</v>
      </c>
      <c r="K231" s="744"/>
      <c r="L231" s="133"/>
    </row>
    <row r="232" s="192" customFormat="1" spans="2:12">
      <c r="B232" s="793"/>
      <c r="C232" s="740"/>
      <c r="D232" s="794">
        <f t="shared" si="6"/>
        <v>47088</v>
      </c>
      <c r="E232" s="743" t="s">
        <v>49</v>
      </c>
      <c r="F232" s="742"/>
      <c r="G232" s="743"/>
      <c r="H232" s="744"/>
      <c r="I232" s="790">
        <v>33000</v>
      </c>
      <c r="J232" s="367" t="s">
        <v>130</v>
      </c>
      <c r="K232" s="744"/>
      <c r="L232" s="133"/>
    </row>
    <row r="233" s="192" customFormat="1" spans="2:12">
      <c r="B233" s="793"/>
      <c r="C233" s="740"/>
      <c r="D233" s="746" t="str">
        <f t="shared" si="6"/>
        <v>2029年8月（自定义时间点1）</v>
      </c>
      <c r="E233" s="743" t="s">
        <v>49</v>
      </c>
      <c r="F233" s="742"/>
      <c r="G233" s="743"/>
      <c r="H233" s="744"/>
      <c r="I233" s="790">
        <v>15000</v>
      </c>
      <c r="J233" s="367" t="s">
        <v>130</v>
      </c>
      <c r="K233" s="744"/>
      <c r="L233" s="133"/>
    </row>
    <row r="234" s="192" customFormat="1" spans="2:12">
      <c r="B234" s="793"/>
      <c r="C234" s="740"/>
      <c r="D234" s="794">
        <f t="shared" si="6"/>
        <v>47453</v>
      </c>
      <c r="E234" s="743" t="s">
        <v>49</v>
      </c>
      <c r="F234" s="742"/>
      <c r="G234" s="743"/>
      <c r="H234" s="744"/>
      <c r="I234" s="790">
        <v>10000</v>
      </c>
      <c r="J234" s="367" t="s">
        <v>130</v>
      </c>
      <c r="K234" s="744"/>
      <c r="L234" s="133"/>
    </row>
    <row r="235" s="192" customFormat="1" spans="2:12">
      <c r="B235" s="793"/>
      <c r="C235" s="740"/>
      <c r="D235" s="794">
        <f t="shared" si="6"/>
        <v>47665</v>
      </c>
      <c r="E235" s="743" t="s">
        <v>49</v>
      </c>
      <c r="F235" s="742"/>
      <c r="G235" s="743"/>
      <c r="H235" s="744"/>
      <c r="I235" s="790">
        <v>12000</v>
      </c>
      <c r="J235" s="367" t="s">
        <v>130</v>
      </c>
      <c r="K235" s="744"/>
      <c r="L235" s="133"/>
    </row>
    <row r="236" s="192" customFormat="1" spans="2:12">
      <c r="B236" s="793"/>
      <c r="C236" s="773" t="s">
        <v>176</v>
      </c>
      <c r="D236" s="95" t="s">
        <v>177</v>
      </c>
      <c r="E236" s="743"/>
      <c r="F236" s="742"/>
      <c r="G236" s="743"/>
      <c r="H236" s="744"/>
      <c r="I236" s="790"/>
      <c r="J236" s="367"/>
      <c r="K236" s="744"/>
      <c r="L236" s="133"/>
    </row>
    <row r="237" s="105" customFormat="1" spans="2:12">
      <c r="B237" s="793"/>
      <c r="C237" s="773"/>
      <c r="D237" s="746" t="s">
        <v>178</v>
      </c>
      <c r="E237" s="743" t="s">
        <v>49</v>
      </c>
      <c r="F237" s="742"/>
      <c r="G237" s="743"/>
      <c r="H237" s="744"/>
      <c r="I237" s="772">
        <v>0.25</v>
      </c>
      <c r="J237" s="367" t="s">
        <v>31</v>
      </c>
      <c r="K237" s="744" t="s">
        <v>179</v>
      </c>
      <c r="L237" s="133"/>
    </row>
    <row r="238" s="105" customFormat="1" spans="2:12">
      <c r="B238" s="793"/>
      <c r="C238" s="740"/>
      <c r="D238" s="86" t="s">
        <v>172</v>
      </c>
      <c r="E238" s="741" t="s">
        <v>24</v>
      </c>
      <c r="F238" s="742"/>
      <c r="G238" s="743"/>
      <c r="H238" s="744" t="s">
        <v>180</v>
      </c>
      <c r="I238" s="790">
        <f ca="1">'表1-资金筹措及还本付息表'!D37</f>
        <v>243667.247063362</v>
      </c>
      <c r="J238" s="367" t="s">
        <v>130</v>
      </c>
      <c r="K238" s="744"/>
      <c r="L238" s="133"/>
    </row>
    <row r="239" s="105" customFormat="1" spans="2:12">
      <c r="B239" s="793"/>
      <c r="C239" s="367">
        <v>1.2</v>
      </c>
      <c r="D239" s="95" t="s">
        <v>181</v>
      </c>
      <c r="E239" s="743" t="s">
        <v>49</v>
      </c>
      <c r="F239" s="742"/>
      <c r="G239" s="743"/>
      <c r="H239" s="744"/>
      <c r="I239" s="772">
        <v>0.3</v>
      </c>
      <c r="J239" s="367" t="s">
        <v>31</v>
      </c>
      <c r="K239" s="744"/>
      <c r="L239" s="133"/>
    </row>
    <row r="240" s="105" customFormat="1" spans="2:12">
      <c r="B240" s="793"/>
      <c r="C240" s="367">
        <v>1.3</v>
      </c>
      <c r="D240" s="795" t="s">
        <v>182</v>
      </c>
      <c r="E240" s="743" t="s">
        <v>49</v>
      </c>
      <c r="F240" s="742"/>
      <c r="G240" s="743"/>
      <c r="H240" s="744"/>
      <c r="I240" s="766">
        <v>10000</v>
      </c>
      <c r="J240" s="743" t="s">
        <v>130</v>
      </c>
      <c r="K240" s="744"/>
      <c r="L240" s="133"/>
    </row>
    <row r="241" s="105" customFormat="1" spans="2:12">
      <c r="B241" s="793"/>
      <c r="C241" s="367">
        <v>1.4</v>
      </c>
      <c r="D241" s="795" t="s">
        <v>183</v>
      </c>
      <c r="E241" s="743" t="s">
        <v>49</v>
      </c>
      <c r="F241" s="742"/>
      <c r="G241" s="743"/>
      <c r="H241" s="744"/>
      <c r="I241" s="772">
        <v>0.7</v>
      </c>
      <c r="J241" s="743" t="s">
        <v>31</v>
      </c>
      <c r="K241" s="744" t="s">
        <v>184</v>
      </c>
      <c r="L241" s="133"/>
    </row>
    <row r="242" s="105" customFormat="1" spans="2:12">
      <c r="B242" s="793"/>
      <c r="C242" s="367">
        <v>1.5</v>
      </c>
      <c r="D242" s="795" t="s">
        <v>185</v>
      </c>
      <c r="E242" s="743" t="s">
        <v>49</v>
      </c>
      <c r="F242" s="742"/>
      <c r="G242" s="743"/>
      <c r="H242" s="744"/>
      <c r="I242" s="772">
        <v>0.6</v>
      </c>
      <c r="J242" s="743" t="s">
        <v>31</v>
      </c>
      <c r="K242" s="744" t="s">
        <v>186</v>
      </c>
      <c r="L242" s="133"/>
    </row>
    <row r="243" s="105" customFormat="1" spans="2:12">
      <c r="B243" s="793"/>
      <c r="C243" s="367">
        <v>1.6</v>
      </c>
      <c r="D243" s="795" t="s">
        <v>187</v>
      </c>
      <c r="E243" s="741"/>
      <c r="F243" s="742"/>
      <c r="G243" s="741"/>
      <c r="H243" s="788"/>
      <c r="I243" s="766"/>
      <c r="J243" s="743"/>
      <c r="K243" s="744"/>
      <c r="L243" s="133"/>
    </row>
    <row r="244" spans="2:12">
      <c r="B244" s="793"/>
      <c r="C244" s="764"/>
      <c r="D244" s="796" t="s">
        <v>188</v>
      </c>
      <c r="E244" s="757" t="s">
        <v>24</v>
      </c>
      <c r="F244" s="751"/>
      <c r="G244" s="757"/>
      <c r="H244" s="797"/>
      <c r="I244" s="798">
        <f>I240*50%</f>
        <v>5000</v>
      </c>
      <c r="J244" s="750" t="s">
        <v>130</v>
      </c>
      <c r="K244" s="752" t="s">
        <v>189</v>
      </c>
      <c r="L244" s="132"/>
    </row>
    <row r="245" s="105" customFormat="1" spans="2:12">
      <c r="B245" s="793"/>
      <c r="C245" s="367"/>
      <c r="D245" s="54" t="s">
        <v>190</v>
      </c>
      <c r="E245" s="743" t="s">
        <v>191</v>
      </c>
      <c r="F245" s="742"/>
      <c r="G245" s="743"/>
      <c r="H245" s="788"/>
      <c r="I245" s="772">
        <v>0.1</v>
      </c>
      <c r="J245" s="743" t="s">
        <v>31</v>
      </c>
      <c r="K245" s="744" t="s">
        <v>192</v>
      </c>
      <c r="L245" s="133"/>
    </row>
    <row r="246" s="105" customFormat="1" spans="2:12">
      <c r="B246" s="793"/>
      <c r="C246" s="367"/>
      <c r="D246" s="54" t="s">
        <v>193</v>
      </c>
      <c r="E246" s="743" t="s">
        <v>194</v>
      </c>
      <c r="F246" s="742"/>
      <c r="G246" s="743"/>
      <c r="H246" s="788"/>
      <c r="I246" s="772">
        <v>0.05</v>
      </c>
      <c r="J246" s="743" t="s">
        <v>31</v>
      </c>
      <c r="K246" s="744"/>
      <c r="L246" s="133"/>
    </row>
    <row r="247" s="105" customFormat="1" spans="2:12">
      <c r="B247" s="793"/>
      <c r="C247" s="799">
        <v>2</v>
      </c>
      <c r="D247" s="95" t="s">
        <v>195</v>
      </c>
      <c r="E247" s="743"/>
      <c r="F247" s="800"/>
      <c r="G247" s="801"/>
      <c r="H247" s="788"/>
      <c r="I247" s="772"/>
      <c r="J247" s="743"/>
      <c r="K247" s="744"/>
      <c r="L247" s="133"/>
    </row>
    <row r="248" s="105" customFormat="1" spans="2:12">
      <c r="B248" s="793"/>
      <c r="C248" s="367">
        <v>2.1</v>
      </c>
      <c r="D248" s="95" t="s">
        <v>196</v>
      </c>
      <c r="E248" s="743"/>
      <c r="F248" s="742"/>
      <c r="G248" s="743"/>
      <c r="H248" s="744"/>
      <c r="I248" s="766"/>
      <c r="J248" s="367"/>
      <c r="K248" s="744" t="s">
        <v>197</v>
      </c>
      <c r="L248" s="133"/>
    </row>
    <row r="249" s="105" customFormat="1" spans="2:12">
      <c r="B249" s="793"/>
      <c r="C249" s="367"/>
      <c r="D249" s="95"/>
      <c r="E249" s="743" t="s">
        <v>49</v>
      </c>
      <c r="F249" s="742"/>
      <c r="G249" s="743"/>
      <c r="H249" s="744"/>
      <c r="I249" s="766">
        <v>91</v>
      </c>
      <c r="J249" s="367" t="s">
        <v>25</v>
      </c>
      <c r="K249" s="744" t="s">
        <v>198</v>
      </c>
      <c r="L249" s="133"/>
    </row>
    <row r="250" s="105" customFormat="1" spans="2:12">
      <c r="B250" s="793"/>
      <c r="C250" s="367"/>
      <c r="D250" s="95"/>
      <c r="E250" s="743" t="s">
        <v>24</v>
      </c>
      <c r="F250" s="742"/>
      <c r="G250" s="743"/>
      <c r="H250" s="744"/>
      <c r="I250" s="747">
        <f>EDATE(I5,I249)-1</f>
        <v>47726</v>
      </c>
      <c r="J250" s="367" t="s">
        <v>199</v>
      </c>
      <c r="K250" s="744"/>
      <c r="L250" s="133"/>
    </row>
    <row r="251" s="105" customFormat="1" ht="27" customHeight="1" spans="2:12">
      <c r="B251" s="793"/>
      <c r="C251" s="367">
        <v>2.2</v>
      </c>
      <c r="D251" s="95" t="s">
        <v>200</v>
      </c>
      <c r="E251" s="743" t="s">
        <v>49</v>
      </c>
      <c r="F251" s="742"/>
      <c r="G251" s="743"/>
      <c r="H251" s="744"/>
      <c r="I251" s="802">
        <v>0.043</v>
      </c>
      <c r="J251" s="367" t="s">
        <v>31</v>
      </c>
      <c r="K251" s="744" t="s">
        <v>201</v>
      </c>
      <c r="L251" s="133"/>
    </row>
    <row r="252" s="105" customFormat="1" spans="2:12">
      <c r="B252" s="793"/>
      <c r="C252" s="367">
        <v>2.3</v>
      </c>
      <c r="D252" s="95" t="s">
        <v>202</v>
      </c>
      <c r="E252" s="743" t="s">
        <v>49</v>
      </c>
      <c r="F252" s="742"/>
      <c r="G252" s="743"/>
      <c r="H252" s="744"/>
      <c r="I252" s="802">
        <v>0.043</v>
      </c>
      <c r="J252" s="367" t="s">
        <v>31</v>
      </c>
      <c r="K252" s="744" t="s">
        <v>203</v>
      </c>
      <c r="L252" s="133"/>
    </row>
    <row r="253" s="105" customFormat="1" spans="2:12">
      <c r="B253" s="793"/>
      <c r="C253" s="367">
        <v>2.4</v>
      </c>
      <c r="D253" s="95" t="s">
        <v>204</v>
      </c>
      <c r="E253" s="743" t="s">
        <v>49</v>
      </c>
      <c r="F253" s="742"/>
      <c r="G253" s="743"/>
      <c r="H253" s="744"/>
      <c r="I253" s="802">
        <v>0.0365</v>
      </c>
      <c r="J253" s="367" t="s">
        <v>31</v>
      </c>
      <c r="K253" s="744" t="s">
        <v>203</v>
      </c>
      <c r="L253" s="133"/>
    </row>
    <row r="254" s="105" customFormat="1" ht="27" customHeight="1" spans="2:12">
      <c r="B254" s="793"/>
      <c r="C254" s="391">
        <v>2.5</v>
      </c>
      <c r="D254" s="803" t="s">
        <v>205</v>
      </c>
      <c r="E254" s="743" t="s">
        <v>59</v>
      </c>
      <c r="F254" s="742"/>
      <c r="G254" s="743"/>
      <c r="H254" s="744" t="s">
        <v>206</v>
      </c>
      <c r="I254" s="591" t="s">
        <v>207</v>
      </c>
      <c r="J254" s="367"/>
      <c r="K254" s="744"/>
      <c r="L254" s="133"/>
    </row>
    <row r="255" s="105" customFormat="1" ht="27" customHeight="1" spans="2:12">
      <c r="B255" s="793"/>
      <c r="C255" s="398"/>
      <c r="D255" s="218"/>
      <c r="E255" s="743" t="s">
        <v>59</v>
      </c>
      <c r="F255" s="742"/>
      <c r="G255" s="743"/>
      <c r="H255" s="744" t="s">
        <v>208</v>
      </c>
      <c r="I255" s="591" t="s">
        <v>209</v>
      </c>
      <c r="J255" s="367"/>
      <c r="K255" s="744"/>
      <c r="L255" s="133"/>
    </row>
    <row r="256" s="105" customFormat="1" spans="2:12">
      <c r="B256" s="793"/>
      <c r="C256" s="367">
        <v>2.6</v>
      </c>
      <c r="D256" s="95" t="s">
        <v>210</v>
      </c>
      <c r="E256" s="743" t="s">
        <v>49</v>
      </c>
      <c r="F256" s="742"/>
      <c r="G256" s="743"/>
      <c r="H256" s="744"/>
      <c r="I256" s="766">
        <v>15</v>
      </c>
      <c r="J256" s="367" t="s">
        <v>15</v>
      </c>
      <c r="K256" s="744" t="s">
        <v>211</v>
      </c>
      <c r="L256" s="133"/>
    </row>
    <row r="257" s="105" customFormat="1" spans="2:12">
      <c r="B257" s="793"/>
      <c r="C257" s="367">
        <v>2.7</v>
      </c>
      <c r="D257" s="795" t="s">
        <v>212</v>
      </c>
      <c r="E257" s="743"/>
      <c r="F257" s="800"/>
      <c r="G257" s="801"/>
      <c r="H257" s="788"/>
      <c r="I257" s="772"/>
      <c r="J257" s="743"/>
      <c r="K257" s="744"/>
      <c r="L257" s="133"/>
    </row>
    <row r="258" s="105" customFormat="1" spans="2:12">
      <c r="B258" s="793"/>
      <c r="C258" s="367"/>
      <c r="D258" s="54" t="s">
        <v>213</v>
      </c>
      <c r="E258" s="743" t="s">
        <v>49</v>
      </c>
      <c r="F258" s="800"/>
      <c r="G258" s="801"/>
      <c r="H258" s="788"/>
      <c r="I258" s="766"/>
      <c r="J258" s="775" t="s">
        <v>130</v>
      </c>
      <c r="K258" s="744"/>
      <c r="L258" s="133"/>
    </row>
    <row r="259" s="105" customFormat="1" ht="16.5" hidden="1" spans="2:12">
      <c r="B259" s="793"/>
      <c r="C259" s="367"/>
      <c r="D259" s="781" t="s">
        <v>74</v>
      </c>
      <c r="E259" s="775" t="s">
        <v>214</v>
      </c>
      <c r="F259" s="804"/>
      <c r="G259" s="805"/>
      <c r="H259" s="806"/>
      <c r="I259" s="50">
        <v>0</v>
      </c>
      <c r="J259" s="775" t="s">
        <v>130</v>
      </c>
      <c r="K259" s="744"/>
      <c r="L259" s="133"/>
    </row>
    <row r="260" s="105" customFormat="1" ht="16.5" hidden="1" spans="2:12">
      <c r="B260" s="793"/>
      <c r="C260" s="367"/>
      <c r="D260" s="781" t="s">
        <v>75</v>
      </c>
      <c r="E260" s="775" t="s">
        <v>214</v>
      </c>
      <c r="F260" s="804"/>
      <c r="G260" s="805"/>
      <c r="H260" s="806"/>
      <c r="I260" s="50">
        <v>0</v>
      </c>
      <c r="J260" s="775" t="s">
        <v>130</v>
      </c>
      <c r="K260" s="744"/>
      <c r="L260" s="133"/>
    </row>
    <row r="261" s="105" customFormat="1" ht="16.5" hidden="1" spans="2:12">
      <c r="B261" s="793"/>
      <c r="C261" s="367"/>
      <c r="D261" s="781" t="s">
        <v>76</v>
      </c>
      <c r="E261" s="775" t="s">
        <v>214</v>
      </c>
      <c r="F261" s="804"/>
      <c r="G261" s="805"/>
      <c r="H261" s="806"/>
      <c r="I261" s="50">
        <v>0</v>
      </c>
      <c r="J261" s="775" t="s">
        <v>130</v>
      </c>
      <c r="K261" s="744"/>
      <c r="L261" s="133"/>
    </row>
    <row r="262" s="105" customFormat="1" ht="16.5" hidden="1" spans="2:12">
      <c r="B262" s="793"/>
      <c r="C262" s="367"/>
      <c r="D262" s="781" t="s">
        <v>77</v>
      </c>
      <c r="E262" s="775" t="s">
        <v>214</v>
      </c>
      <c r="F262" s="804"/>
      <c r="G262" s="805"/>
      <c r="H262" s="806"/>
      <c r="I262" s="50">
        <v>0</v>
      </c>
      <c r="J262" s="775" t="s">
        <v>130</v>
      </c>
      <c r="K262" s="744"/>
      <c r="L262" s="133"/>
    </row>
    <row r="263" s="105" customFormat="1" ht="16.5" hidden="1" spans="2:12">
      <c r="B263" s="793"/>
      <c r="C263" s="367"/>
      <c r="D263" s="781" t="s">
        <v>78</v>
      </c>
      <c r="E263" s="775" t="s">
        <v>214</v>
      </c>
      <c r="F263" s="804"/>
      <c r="G263" s="805"/>
      <c r="H263" s="806"/>
      <c r="I263" s="50">
        <v>0</v>
      </c>
      <c r="J263" s="775" t="s">
        <v>130</v>
      </c>
      <c r="K263" s="744"/>
      <c r="L263" s="133"/>
    </row>
    <row r="264" s="105" customFormat="1" ht="16.5" hidden="1" spans="2:12">
      <c r="B264" s="793"/>
      <c r="C264" s="367"/>
      <c r="D264" s="781" t="s">
        <v>79</v>
      </c>
      <c r="E264" s="775" t="s">
        <v>214</v>
      </c>
      <c r="F264" s="804"/>
      <c r="G264" s="805"/>
      <c r="H264" s="806"/>
      <c r="I264" s="50">
        <v>0</v>
      </c>
      <c r="J264" s="775" t="s">
        <v>130</v>
      </c>
      <c r="K264" s="744"/>
      <c r="L264" s="133"/>
    </row>
    <row r="265" s="105" customFormat="1" ht="16.5" hidden="1" spans="2:12">
      <c r="B265" s="793"/>
      <c r="C265" s="367"/>
      <c r="D265" s="781" t="s">
        <v>80</v>
      </c>
      <c r="E265" s="775" t="s">
        <v>214</v>
      </c>
      <c r="F265" s="804"/>
      <c r="G265" s="805"/>
      <c r="H265" s="806"/>
      <c r="I265" s="50">
        <v>0</v>
      </c>
      <c r="J265" s="775" t="s">
        <v>130</v>
      </c>
      <c r="K265" s="744"/>
      <c r="L265" s="133"/>
    </row>
    <row r="266" s="105" customFormat="1" ht="16.5" hidden="1" spans="2:12">
      <c r="B266" s="793"/>
      <c r="C266" s="367"/>
      <c r="D266" s="781" t="s">
        <v>81</v>
      </c>
      <c r="E266" s="775" t="s">
        <v>214</v>
      </c>
      <c r="F266" s="804"/>
      <c r="G266" s="805"/>
      <c r="H266" s="806"/>
      <c r="I266" s="50">
        <v>0</v>
      </c>
      <c r="J266" s="775" t="s">
        <v>130</v>
      </c>
      <c r="K266" s="744"/>
      <c r="L266" s="133"/>
    </row>
    <row r="267" s="105" customFormat="1" ht="16.5" hidden="1" spans="2:12">
      <c r="B267" s="793"/>
      <c r="C267" s="367"/>
      <c r="D267" s="781" t="s">
        <v>82</v>
      </c>
      <c r="E267" s="775" t="s">
        <v>214</v>
      </c>
      <c r="F267" s="804"/>
      <c r="G267" s="805"/>
      <c r="H267" s="806"/>
      <c r="I267" s="50">
        <v>0</v>
      </c>
      <c r="J267" s="775" t="s">
        <v>130</v>
      </c>
      <c r="K267" s="744"/>
      <c r="L267" s="133"/>
    </row>
    <row r="268" s="105" customFormat="1" ht="16.5" hidden="1" spans="2:12">
      <c r="B268" s="793"/>
      <c r="C268" s="367"/>
      <c r="D268" s="781" t="s">
        <v>83</v>
      </c>
      <c r="E268" s="775" t="s">
        <v>214</v>
      </c>
      <c r="F268" s="804"/>
      <c r="G268" s="805"/>
      <c r="H268" s="806"/>
      <c r="I268" s="50">
        <v>0</v>
      </c>
      <c r="J268" s="775" t="s">
        <v>130</v>
      </c>
      <c r="K268" s="744"/>
      <c r="L268" s="133"/>
    </row>
    <row r="269" s="105" customFormat="1" ht="16.5" hidden="1" spans="2:12">
      <c r="B269" s="793"/>
      <c r="C269" s="367"/>
      <c r="D269" s="781" t="s">
        <v>84</v>
      </c>
      <c r="E269" s="775" t="s">
        <v>214</v>
      </c>
      <c r="F269" s="804"/>
      <c r="G269" s="805"/>
      <c r="H269" s="806"/>
      <c r="I269" s="50">
        <v>0</v>
      </c>
      <c r="J269" s="775" t="s">
        <v>130</v>
      </c>
      <c r="K269" s="744"/>
      <c r="L269" s="133"/>
    </row>
    <row r="270" s="105" customFormat="1" ht="16.5" hidden="1" spans="2:12">
      <c r="B270" s="793"/>
      <c r="C270" s="367"/>
      <c r="D270" s="781" t="s">
        <v>85</v>
      </c>
      <c r="E270" s="775" t="s">
        <v>214</v>
      </c>
      <c r="F270" s="804"/>
      <c r="G270" s="805"/>
      <c r="H270" s="806"/>
      <c r="I270" s="50">
        <v>0</v>
      </c>
      <c r="J270" s="775" t="s">
        <v>130</v>
      </c>
      <c r="K270" s="744"/>
      <c r="L270" s="133"/>
    </row>
    <row r="271" s="105" customFormat="1" ht="16.5" hidden="1" spans="2:12">
      <c r="B271" s="793"/>
      <c r="C271" s="367"/>
      <c r="D271" s="781" t="s">
        <v>86</v>
      </c>
      <c r="E271" s="775" t="s">
        <v>214</v>
      </c>
      <c r="F271" s="804"/>
      <c r="G271" s="805"/>
      <c r="H271" s="806"/>
      <c r="I271" s="50">
        <v>0</v>
      </c>
      <c r="J271" s="775" t="s">
        <v>130</v>
      </c>
      <c r="K271" s="744"/>
      <c r="L271" s="133"/>
    </row>
    <row r="272" s="105" customFormat="1" ht="16.5" hidden="1" spans="2:12">
      <c r="B272" s="793"/>
      <c r="C272" s="367"/>
      <c r="D272" s="781" t="s">
        <v>87</v>
      </c>
      <c r="E272" s="775" t="s">
        <v>214</v>
      </c>
      <c r="F272" s="804"/>
      <c r="G272" s="805"/>
      <c r="H272" s="806"/>
      <c r="I272" s="50">
        <v>0</v>
      </c>
      <c r="J272" s="775" t="s">
        <v>130</v>
      </c>
      <c r="K272" s="744"/>
      <c r="L272" s="133"/>
    </row>
    <row r="273" s="105" customFormat="1" ht="16.5" hidden="1" spans="2:12">
      <c r="B273" s="793"/>
      <c r="C273" s="367"/>
      <c r="D273" s="781" t="s">
        <v>88</v>
      </c>
      <c r="E273" s="775" t="s">
        <v>214</v>
      </c>
      <c r="F273" s="804"/>
      <c r="G273" s="805"/>
      <c r="H273" s="806"/>
      <c r="I273" s="50">
        <v>0</v>
      </c>
      <c r="J273" s="775" t="s">
        <v>130</v>
      </c>
      <c r="K273" s="744"/>
      <c r="L273" s="133"/>
    </row>
    <row r="274" s="105" customFormat="1" ht="16.5" hidden="1" spans="2:12">
      <c r="B274" s="793"/>
      <c r="C274" s="367"/>
      <c r="D274" s="781" t="s">
        <v>89</v>
      </c>
      <c r="E274" s="775" t="s">
        <v>214</v>
      </c>
      <c r="F274" s="804"/>
      <c r="G274" s="805"/>
      <c r="H274" s="806"/>
      <c r="I274" s="50">
        <v>0</v>
      </c>
      <c r="J274" s="775" t="s">
        <v>130</v>
      </c>
      <c r="K274" s="744"/>
      <c r="L274" s="133"/>
    </row>
    <row r="275" s="105" customFormat="1" ht="16.5" hidden="1" spans="2:12">
      <c r="B275" s="793"/>
      <c r="C275" s="367"/>
      <c r="D275" s="781" t="s">
        <v>90</v>
      </c>
      <c r="E275" s="775" t="s">
        <v>214</v>
      </c>
      <c r="F275" s="804"/>
      <c r="G275" s="805"/>
      <c r="H275" s="806"/>
      <c r="I275" s="50">
        <v>0</v>
      </c>
      <c r="J275" s="775" t="s">
        <v>130</v>
      </c>
      <c r="K275" s="744"/>
      <c r="L275" s="133"/>
    </row>
    <row r="276" s="105" customFormat="1" ht="16.5" hidden="1" spans="2:12">
      <c r="B276" s="793"/>
      <c r="C276" s="367"/>
      <c r="D276" s="781" t="s">
        <v>91</v>
      </c>
      <c r="E276" s="775" t="s">
        <v>214</v>
      </c>
      <c r="F276" s="804"/>
      <c r="G276" s="805"/>
      <c r="H276" s="806"/>
      <c r="I276" s="50">
        <v>0</v>
      </c>
      <c r="J276" s="775" t="s">
        <v>130</v>
      </c>
      <c r="K276" s="744"/>
      <c r="L276" s="133"/>
    </row>
    <row r="277" s="105" customFormat="1" ht="16.5" hidden="1" spans="2:12">
      <c r="B277" s="793"/>
      <c r="C277" s="367"/>
      <c r="D277" s="781" t="s">
        <v>92</v>
      </c>
      <c r="E277" s="775" t="s">
        <v>214</v>
      </c>
      <c r="F277" s="804"/>
      <c r="G277" s="805"/>
      <c r="H277" s="806"/>
      <c r="I277" s="50">
        <v>0</v>
      </c>
      <c r="J277" s="775" t="s">
        <v>130</v>
      </c>
      <c r="K277" s="744"/>
      <c r="L277" s="133"/>
    </row>
    <row r="278" s="105" customFormat="1" ht="16.5" hidden="1" spans="2:12">
      <c r="B278" s="793"/>
      <c r="C278" s="367"/>
      <c r="D278" s="781" t="s">
        <v>93</v>
      </c>
      <c r="E278" s="775" t="s">
        <v>214</v>
      </c>
      <c r="F278" s="804"/>
      <c r="G278" s="805"/>
      <c r="H278" s="806"/>
      <c r="I278" s="50">
        <v>0</v>
      </c>
      <c r="J278" s="775" t="s">
        <v>130</v>
      </c>
      <c r="K278" s="744"/>
      <c r="L278" s="133"/>
    </row>
    <row r="279" s="105" customFormat="1" ht="16.5" hidden="1" spans="2:12">
      <c r="B279" s="793"/>
      <c r="C279" s="367"/>
      <c r="D279" s="781" t="s">
        <v>94</v>
      </c>
      <c r="E279" s="775" t="s">
        <v>214</v>
      </c>
      <c r="F279" s="804"/>
      <c r="G279" s="805"/>
      <c r="H279" s="806"/>
      <c r="I279" s="50">
        <v>0</v>
      </c>
      <c r="J279" s="775" t="s">
        <v>130</v>
      </c>
      <c r="K279" s="744"/>
      <c r="L279" s="133"/>
    </row>
    <row r="280" s="105" customFormat="1" ht="16.5" hidden="1" spans="2:12">
      <c r="B280" s="793"/>
      <c r="C280" s="367"/>
      <c r="D280" s="781" t="s">
        <v>95</v>
      </c>
      <c r="E280" s="775" t="s">
        <v>214</v>
      </c>
      <c r="F280" s="804"/>
      <c r="G280" s="805"/>
      <c r="H280" s="806"/>
      <c r="I280" s="50">
        <v>0</v>
      </c>
      <c r="J280" s="775" t="s">
        <v>130</v>
      </c>
      <c r="K280" s="744"/>
      <c r="L280" s="133"/>
    </row>
    <row r="281" s="105" customFormat="1" ht="16.5" hidden="1" spans="2:12">
      <c r="B281" s="793"/>
      <c r="C281" s="367"/>
      <c r="D281" s="781" t="s">
        <v>96</v>
      </c>
      <c r="E281" s="775" t="s">
        <v>214</v>
      </c>
      <c r="F281" s="804"/>
      <c r="G281" s="805"/>
      <c r="H281" s="806"/>
      <c r="I281" s="50">
        <v>0</v>
      </c>
      <c r="J281" s="775" t="s">
        <v>130</v>
      </c>
      <c r="K281" s="744"/>
      <c r="L281" s="133"/>
    </row>
    <row r="282" s="105" customFormat="1" ht="16.5" hidden="1" spans="2:12">
      <c r="B282" s="793"/>
      <c r="C282" s="367"/>
      <c r="D282" s="781" t="s">
        <v>97</v>
      </c>
      <c r="E282" s="775" t="s">
        <v>214</v>
      </c>
      <c r="F282" s="804"/>
      <c r="G282" s="805"/>
      <c r="H282" s="806"/>
      <c r="I282" s="50">
        <v>0</v>
      </c>
      <c r="J282" s="775" t="s">
        <v>130</v>
      </c>
      <c r="K282" s="744"/>
      <c r="L282" s="133"/>
    </row>
    <row r="283" s="105" customFormat="1" ht="16.5" hidden="1" spans="2:12">
      <c r="B283" s="793"/>
      <c r="C283" s="367"/>
      <c r="D283" s="781" t="s">
        <v>98</v>
      </c>
      <c r="E283" s="775" t="s">
        <v>214</v>
      </c>
      <c r="F283" s="804"/>
      <c r="G283" s="805"/>
      <c r="H283" s="806"/>
      <c r="I283" s="50">
        <v>0</v>
      </c>
      <c r="J283" s="775" t="s">
        <v>130</v>
      </c>
      <c r="K283" s="744"/>
      <c r="L283" s="133"/>
    </row>
    <row r="284" s="105" customFormat="1" ht="16.5" hidden="1" spans="2:12">
      <c r="B284" s="793"/>
      <c r="C284" s="367"/>
      <c r="D284" s="781" t="s">
        <v>99</v>
      </c>
      <c r="E284" s="775" t="s">
        <v>214</v>
      </c>
      <c r="F284" s="804"/>
      <c r="G284" s="805"/>
      <c r="H284" s="806"/>
      <c r="I284" s="50">
        <v>0</v>
      </c>
      <c r="J284" s="775" t="s">
        <v>130</v>
      </c>
      <c r="K284" s="744"/>
      <c r="L284" s="133"/>
    </row>
    <row r="285" s="105" customFormat="1" ht="16.5" hidden="1" spans="2:12">
      <c r="B285" s="793"/>
      <c r="C285" s="367"/>
      <c r="D285" s="781" t="s">
        <v>100</v>
      </c>
      <c r="E285" s="775" t="s">
        <v>214</v>
      </c>
      <c r="F285" s="804"/>
      <c r="G285" s="805"/>
      <c r="H285" s="806"/>
      <c r="I285" s="50">
        <v>0</v>
      </c>
      <c r="J285" s="775" t="s">
        <v>130</v>
      </c>
      <c r="K285" s="744"/>
      <c r="L285" s="133"/>
    </row>
    <row r="286" s="105" customFormat="1" ht="16.5" hidden="1" spans="2:12">
      <c r="B286" s="793"/>
      <c r="C286" s="367"/>
      <c r="D286" s="781" t="s">
        <v>101</v>
      </c>
      <c r="E286" s="775" t="s">
        <v>214</v>
      </c>
      <c r="F286" s="804"/>
      <c r="G286" s="805"/>
      <c r="H286" s="806"/>
      <c r="I286" s="50">
        <v>0</v>
      </c>
      <c r="J286" s="775" t="s">
        <v>130</v>
      </c>
      <c r="K286" s="744"/>
      <c r="L286" s="133"/>
    </row>
    <row r="287" s="105" customFormat="1" ht="16.5" hidden="1" spans="2:12">
      <c r="B287" s="793"/>
      <c r="C287" s="367"/>
      <c r="D287" s="781" t="s">
        <v>102</v>
      </c>
      <c r="E287" s="775" t="s">
        <v>214</v>
      </c>
      <c r="F287" s="804"/>
      <c r="G287" s="805"/>
      <c r="H287" s="806"/>
      <c r="I287" s="50">
        <v>0</v>
      </c>
      <c r="J287" s="775" t="s">
        <v>130</v>
      </c>
      <c r="K287" s="744"/>
      <c r="L287" s="133"/>
    </row>
    <row r="288" s="105" customFormat="1" ht="16.5" hidden="1" spans="2:12">
      <c r="B288" s="793"/>
      <c r="C288" s="367"/>
      <c r="D288" s="781" t="s">
        <v>103</v>
      </c>
      <c r="E288" s="775" t="s">
        <v>214</v>
      </c>
      <c r="F288" s="804"/>
      <c r="G288" s="805"/>
      <c r="H288" s="806"/>
      <c r="I288" s="50">
        <v>0</v>
      </c>
      <c r="J288" s="775" t="s">
        <v>130</v>
      </c>
      <c r="K288" s="744"/>
      <c r="L288" s="133"/>
    </row>
    <row r="289" s="105" customFormat="1" ht="16.5" hidden="1" spans="2:12">
      <c r="B289" s="793"/>
      <c r="C289" s="367"/>
      <c r="D289" s="781" t="s">
        <v>104</v>
      </c>
      <c r="E289" s="775" t="s">
        <v>214</v>
      </c>
      <c r="F289" s="804"/>
      <c r="G289" s="805"/>
      <c r="H289" s="806"/>
      <c r="I289" s="50">
        <v>0</v>
      </c>
      <c r="J289" s="775" t="s">
        <v>130</v>
      </c>
      <c r="K289" s="744"/>
      <c r="L289" s="133"/>
    </row>
    <row r="290" s="105" customFormat="1" ht="16.5" hidden="1" spans="2:12">
      <c r="B290" s="793"/>
      <c r="C290" s="367"/>
      <c r="D290" s="781" t="s">
        <v>105</v>
      </c>
      <c r="E290" s="775" t="s">
        <v>214</v>
      </c>
      <c r="F290" s="804"/>
      <c r="G290" s="805"/>
      <c r="H290" s="806"/>
      <c r="I290" s="50">
        <v>0</v>
      </c>
      <c r="J290" s="775" t="s">
        <v>130</v>
      </c>
      <c r="K290" s="744"/>
      <c r="L290" s="133"/>
    </row>
    <row r="291" s="105" customFormat="1" ht="16.5" hidden="1" spans="2:12">
      <c r="B291" s="793"/>
      <c r="C291" s="367"/>
      <c r="D291" s="781" t="s">
        <v>106</v>
      </c>
      <c r="E291" s="775" t="s">
        <v>214</v>
      </c>
      <c r="F291" s="804"/>
      <c r="G291" s="805"/>
      <c r="H291" s="806"/>
      <c r="I291" s="50">
        <v>0</v>
      </c>
      <c r="J291" s="775" t="s">
        <v>130</v>
      </c>
      <c r="K291" s="744"/>
      <c r="L291" s="133"/>
    </row>
    <row r="292" s="105" customFormat="1" ht="16.5" hidden="1" spans="2:12">
      <c r="B292" s="793"/>
      <c r="C292" s="367"/>
      <c r="D292" s="781" t="s">
        <v>107</v>
      </c>
      <c r="E292" s="775" t="s">
        <v>214</v>
      </c>
      <c r="F292" s="804"/>
      <c r="G292" s="805"/>
      <c r="H292" s="806"/>
      <c r="I292" s="50">
        <v>0</v>
      </c>
      <c r="J292" s="775" t="s">
        <v>130</v>
      </c>
      <c r="K292" s="744"/>
      <c r="L292" s="133"/>
    </row>
    <row r="293" s="105" customFormat="1" ht="16.5" hidden="1" spans="2:12">
      <c r="B293" s="793"/>
      <c r="C293" s="367"/>
      <c r="D293" s="781" t="s">
        <v>108</v>
      </c>
      <c r="E293" s="775" t="s">
        <v>214</v>
      </c>
      <c r="F293" s="804"/>
      <c r="G293" s="805"/>
      <c r="H293" s="806"/>
      <c r="I293" s="50">
        <v>0</v>
      </c>
      <c r="J293" s="775" t="s">
        <v>130</v>
      </c>
      <c r="K293" s="744"/>
      <c r="L293" s="133"/>
    </row>
    <row r="294" s="105" customFormat="1" ht="16.5" hidden="1" spans="2:12">
      <c r="B294" s="793"/>
      <c r="C294" s="367"/>
      <c r="D294" s="781" t="s">
        <v>109</v>
      </c>
      <c r="E294" s="775" t="s">
        <v>214</v>
      </c>
      <c r="F294" s="804"/>
      <c r="G294" s="805"/>
      <c r="H294" s="806"/>
      <c r="I294" s="50">
        <v>0</v>
      </c>
      <c r="J294" s="775" t="s">
        <v>130</v>
      </c>
      <c r="K294" s="744"/>
      <c r="L294" s="133"/>
    </row>
    <row r="295" s="105" customFormat="1" ht="16.5" hidden="1" spans="2:12">
      <c r="B295" s="793"/>
      <c r="C295" s="367"/>
      <c r="D295" s="781" t="s">
        <v>110</v>
      </c>
      <c r="E295" s="775" t="s">
        <v>214</v>
      </c>
      <c r="F295" s="804"/>
      <c r="G295" s="805"/>
      <c r="H295" s="806"/>
      <c r="I295" s="50">
        <v>0</v>
      </c>
      <c r="J295" s="775" t="s">
        <v>130</v>
      </c>
      <c r="K295" s="744"/>
      <c r="L295" s="133"/>
    </row>
    <row r="296" s="105" customFormat="1" ht="16.5" hidden="1" spans="2:12">
      <c r="B296" s="793"/>
      <c r="C296" s="367"/>
      <c r="D296" s="781" t="s">
        <v>111</v>
      </c>
      <c r="E296" s="775" t="s">
        <v>214</v>
      </c>
      <c r="F296" s="804"/>
      <c r="G296" s="805"/>
      <c r="H296" s="806"/>
      <c r="I296" s="50">
        <v>0</v>
      </c>
      <c r="J296" s="775" t="s">
        <v>130</v>
      </c>
      <c r="K296" s="744"/>
      <c r="L296" s="133"/>
    </row>
    <row r="297" s="105" customFormat="1" ht="16.5" hidden="1" spans="2:12">
      <c r="B297" s="793"/>
      <c r="C297" s="367"/>
      <c r="D297" s="781" t="s">
        <v>112</v>
      </c>
      <c r="E297" s="775" t="s">
        <v>214</v>
      </c>
      <c r="F297" s="804"/>
      <c r="G297" s="805"/>
      <c r="H297" s="806"/>
      <c r="I297" s="50">
        <v>0</v>
      </c>
      <c r="J297" s="775" t="s">
        <v>130</v>
      </c>
      <c r="K297" s="744"/>
      <c r="L297" s="133"/>
    </row>
    <row r="298" s="105" customFormat="1" ht="16.5" hidden="1" spans="2:12">
      <c r="B298" s="793"/>
      <c r="C298" s="367"/>
      <c r="D298" s="781" t="s">
        <v>113</v>
      </c>
      <c r="E298" s="775" t="s">
        <v>214</v>
      </c>
      <c r="F298" s="804"/>
      <c r="G298" s="805"/>
      <c r="H298" s="806"/>
      <c r="I298" s="50">
        <v>0</v>
      </c>
      <c r="J298" s="775" t="s">
        <v>130</v>
      </c>
      <c r="K298" s="744"/>
      <c r="L298" s="133"/>
    </row>
    <row r="299" s="105" customFormat="1" ht="16.5" hidden="1" spans="2:12">
      <c r="B299" s="793"/>
      <c r="C299" s="367"/>
      <c r="D299" s="781" t="s">
        <v>114</v>
      </c>
      <c r="E299" s="775" t="s">
        <v>214</v>
      </c>
      <c r="F299" s="804"/>
      <c r="G299" s="805"/>
      <c r="H299" s="806"/>
      <c r="I299" s="50">
        <v>0</v>
      </c>
      <c r="J299" s="775" t="s">
        <v>130</v>
      </c>
      <c r="K299" s="744"/>
      <c r="L299" s="133"/>
    </row>
    <row r="300" s="105" customFormat="1" ht="16.5" hidden="1" spans="2:12">
      <c r="B300" s="793"/>
      <c r="C300" s="367"/>
      <c r="D300" s="781" t="s">
        <v>115</v>
      </c>
      <c r="E300" s="775" t="s">
        <v>214</v>
      </c>
      <c r="F300" s="804"/>
      <c r="G300" s="805"/>
      <c r="H300" s="806"/>
      <c r="I300" s="50">
        <v>0</v>
      </c>
      <c r="J300" s="775" t="s">
        <v>130</v>
      </c>
      <c r="K300" s="744"/>
      <c r="L300" s="133"/>
    </row>
    <row r="301" s="105" customFormat="1" ht="16.5" hidden="1" spans="2:12">
      <c r="B301" s="793"/>
      <c r="C301" s="367"/>
      <c r="D301" s="781" t="s">
        <v>116</v>
      </c>
      <c r="E301" s="775" t="s">
        <v>214</v>
      </c>
      <c r="F301" s="804"/>
      <c r="G301" s="805"/>
      <c r="H301" s="806"/>
      <c r="I301" s="50">
        <v>0</v>
      </c>
      <c r="J301" s="775" t="s">
        <v>130</v>
      </c>
      <c r="K301" s="744"/>
      <c r="L301" s="133"/>
    </row>
    <row r="302" s="105" customFormat="1" ht="16.5" hidden="1" spans="2:12">
      <c r="B302" s="793"/>
      <c r="C302" s="367"/>
      <c r="D302" s="781" t="s">
        <v>117</v>
      </c>
      <c r="E302" s="775" t="s">
        <v>214</v>
      </c>
      <c r="F302" s="804"/>
      <c r="G302" s="805"/>
      <c r="H302" s="806"/>
      <c r="I302" s="50">
        <v>0</v>
      </c>
      <c r="J302" s="775" t="s">
        <v>130</v>
      </c>
      <c r="K302" s="744"/>
      <c r="L302" s="133"/>
    </row>
    <row r="303" s="105" customFormat="1" ht="16.5" hidden="1" spans="2:12">
      <c r="B303" s="793"/>
      <c r="C303" s="367"/>
      <c r="D303" s="781" t="s">
        <v>118</v>
      </c>
      <c r="E303" s="775" t="s">
        <v>214</v>
      </c>
      <c r="F303" s="804"/>
      <c r="G303" s="805"/>
      <c r="H303" s="806"/>
      <c r="I303" s="50">
        <v>0</v>
      </c>
      <c r="J303" s="775" t="s">
        <v>130</v>
      </c>
      <c r="K303" s="744"/>
      <c r="L303" s="133"/>
    </row>
    <row r="304" s="105" customFormat="1" ht="16.5" hidden="1" spans="2:12">
      <c r="B304" s="793"/>
      <c r="C304" s="367"/>
      <c r="D304" s="781" t="s">
        <v>119</v>
      </c>
      <c r="E304" s="775" t="s">
        <v>214</v>
      </c>
      <c r="F304" s="804"/>
      <c r="G304" s="805"/>
      <c r="H304" s="806"/>
      <c r="I304" s="50">
        <v>0</v>
      </c>
      <c r="J304" s="775" t="s">
        <v>130</v>
      </c>
      <c r="K304" s="744"/>
      <c r="L304" s="133"/>
    </row>
    <row r="305" s="105" customFormat="1" ht="16.5" hidden="1" spans="2:12">
      <c r="B305" s="793"/>
      <c r="C305" s="367"/>
      <c r="D305" s="781" t="s">
        <v>120</v>
      </c>
      <c r="E305" s="775" t="s">
        <v>214</v>
      </c>
      <c r="F305" s="804"/>
      <c r="G305" s="805"/>
      <c r="H305" s="806"/>
      <c r="I305" s="50">
        <v>0</v>
      </c>
      <c r="J305" s="775" t="s">
        <v>130</v>
      </c>
      <c r="K305" s="744"/>
      <c r="L305" s="133"/>
    </row>
    <row r="306" s="105" customFormat="1" ht="16.5" hidden="1" spans="2:12">
      <c r="B306" s="793"/>
      <c r="C306" s="367"/>
      <c r="D306" s="781" t="s">
        <v>121</v>
      </c>
      <c r="E306" s="775" t="s">
        <v>214</v>
      </c>
      <c r="F306" s="804"/>
      <c r="G306" s="805"/>
      <c r="H306" s="806"/>
      <c r="I306" s="50">
        <v>0</v>
      </c>
      <c r="J306" s="775" t="s">
        <v>130</v>
      </c>
      <c r="K306" s="744"/>
      <c r="L306" s="133"/>
    </row>
    <row r="307" s="105" customFormat="1" hidden="1" spans="2:12">
      <c r="B307" s="793"/>
      <c r="C307" s="367"/>
      <c r="D307" s="54" t="s">
        <v>215</v>
      </c>
      <c r="E307" s="743" t="s">
        <v>49</v>
      </c>
      <c r="F307" s="800"/>
      <c r="G307" s="801"/>
      <c r="H307" s="788"/>
      <c r="I307" s="766"/>
      <c r="J307" s="775" t="s">
        <v>130</v>
      </c>
      <c r="K307" s="744"/>
      <c r="L307" s="133"/>
    </row>
    <row r="308" s="105" customFormat="1" ht="16.5" hidden="1" spans="2:12">
      <c r="B308" s="793"/>
      <c r="C308" s="367"/>
      <c r="D308" s="807" t="s">
        <v>30</v>
      </c>
      <c r="E308" s="775" t="s">
        <v>214</v>
      </c>
      <c r="F308" s="800"/>
      <c r="G308" s="801"/>
      <c r="H308" s="788"/>
      <c r="I308" s="50">
        <v>0</v>
      </c>
      <c r="J308" s="775" t="s">
        <v>130</v>
      </c>
      <c r="K308" s="744"/>
      <c r="L308" s="133"/>
    </row>
    <row r="309" s="105" customFormat="1" ht="16.5" hidden="1" spans="2:12">
      <c r="B309" s="793"/>
      <c r="C309" s="367"/>
      <c r="D309" s="781" t="s">
        <v>74</v>
      </c>
      <c r="E309" s="775" t="s">
        <v>214</v>
      </c>
      <c r="F309" s="804"/>
      <c r="G309" s="805"/>
      <c r="H309" s="806"/>
      <c r="I309" s="50">
        <v>0</v>
      </c>
      <c r="J309" s="775" t="s">
        <v>130</v>
      </c>
      <c r="K309" s="744"/>
      <c r="L309" s="133"/>
    </row>
    <row r="310" s="105" customFormat="1" ht="16.5" hidden="1" spans="2:12">
      <c r="B310" s="793"/>
      <c r="C310" s="367"/>
      <c r="D310" s="781" t="s">
        <v>75</v>
      </c>
      <c r="E310" s="775" t="s">
        <v>214</v>
      </c>
      <c r="F310" s="804"/>
      <c r="G310" s="805"/>
      <c r="H310" s="806"/>
      <c r="I310" s="50">
        <v>0</v>
      </c>
      <c r="J310" s="775" t="s">
        <v>130</v>
      </c>
      <c r="K310" s="744"/>
      <c r="L310" s="133"/>
    </row>
    <row r="311" s="105" customFormat="1" ht="16.5" hidden="1" spans="2:12">
      <c r="B311" s="793"/>
      <c r="C311" s="367"/>
      <c r="D311" s="781" t="s">
        <v>76</v>
      </c>
      <c r="E311" s="775" t="s">
        <v>214</v>
      </c>
      <c r="F311" s="804"/>
      <c r="G311" s="805"/>
      <c r="H311" s="806"/>
      <c r="I311" s="50">
        <v>0</v>
      </c>
      <c r="J311" s="775" t="s">
        <v>130</v>
      </c>
      <c r="K311" s="744"/>
      <c r="L311" s="133"/>
    </row>
    <row r="312" s="105" customFormat="1" ht="16.5" hidden="1" spans="2:12">
      <c r="B312" s="793"/>
      <c r="C312" s="367"/>
      <c r="D312" s="781" t="s">
        <v>77</v>
      </c>
      <c r="E312" s="775" t="s">
        <v>214</v>
      </c>
      <c r="F312" s="804"/>
      <c r="G312" s="805"/>
      <c r="H312" s="806"/>
      <c r="I312" s="50">
        <v>0</v>
      </c>
      <c r="J312" s="775" t="s">
        <v>130</v>
      </c>
      <c r="K312" s="744"/>
      <c r="L312" s="133"/>
    </row>
    <row r="313" s="105" customFormat="1" ht="16.5" hidden="1" spans="2:12">
      <c r="B313" s="793"/>
      <c r="C313" s="367"/>
      <c r="D313" s="781" t="s">
        <v>78</v>
      </c>
      <c r="E313" s="775" t="s">
        <v>214</v>
      </c>
      <c r="F313" s="804"/>
      <c r="G313" s="805"/>
      <c r="H313" s="806"/>
      <c r="I313" s="50">
        <v>0</v>
      </c>
      <c r="J313" s="775" t="s">
        <v>130</v>
      </c>
      <c r="K313" s="744"/>
      <c r="L313" s="133"/>
    </row>
    <row r="314" s="105" customFormat="1" ht="16.5" hidden="1" spans="2:12">
      <c r="B314" s="793"/>
      <c r="C314" s="367"/>
      <c r="D314" s="781" t="s">
        <v>79</v>
      </c>
      <c r="E314" s="775" t="s">
        <v>214</v>
      </c>
      <c r="F314" s="804"/>
      <c r="G314" s="805"/>
      <c r="H314" s="806"/>
      <c r="I314" s="50">
        <v>0</v>
      </c>
      <c r="J314" s="775" t="s">
        <v>130</v>
      </c>
      <c r="K314" s="744"/>
      <c r="L314" s="133"/>
    </row>
    <row r="315" s="105" customFormat="1" ht="16.5" hidden="1" spans="2:12">
      <c r="B315" s="793"/>
      <c r="C315" s="367"/>
      <c r="D315" s="807" t="s">
        <v>216</v>
      </c>
      <c r="E315" s="775" t="s">
        <v>214</v>
      </c>
      <c r="F315" s="804"/>
      <c r="G315" s="805"/>
      <c r="H315" s="806"/>
      <c r="I315" s="50">
        <v>0</v>
      </c>
      <c r="J315" s="775" t="s">
        <v>130</v>
      </c>
      <c r="K315" s="744"/>
      <c r="L315" s="133"/>
    </row>
    <row r="316" s="105" customFormat="1" ht="16.5" hidden="1" spans="2:12">
      <c r="B316" s="793"/>
      <c r="C316" s="367"/>
      <c r="D316" s="781" t="s">
        <v>80</v>
      </c>
      <c r="E316" s="775" t="s">
        <v>214</v>
      </c>
      <c r="F316" s="804"/>
      <c r="G316" s="805"/>
      <c r="H316" s="806"/>
      <c r="I316" s="50">
        <v>0</v>
      </c>
      <c r="J316" s="775" t="s">
        <v>130</v>
      </c>
      <c r="K316" s="744"/>
      <c r="L316" s="133"/>
    </row>
    <row r="317" s="105" customFormat="1" ht="16.5" hidden="1" spans="2:12">
      <c r="B317" s="793"/>
      <c r="C317" s="367"/>
      <c r="D317" s="781" t="s">
        <v>81</v>
      </c>
      <c r="E317" s="775" t="s">
        <v>214</v>
      </c>
      <c r="F317" s="804"/>
      <c r="G317" s="805"/>
      <c r="H317" s="806"/>
      <c r="I317" s="50">
        <v>0</v>
      </c>
      <c r="J317" s="775" t="s">
        <v>130</v>
      </c>
      <c r="K317" s="744"/>
      <c r="L317" s="133"/>
    </row>
    <row r="318" s="105" customFormat="1" ht="16.5" hidden="1" spans="2:12">
      <c r="B318" s="793"/>
      <c r="C318" s="367"/>
      <c r="D318" s="781" t="s">
        <v>82</v>
      </c>
      <c r="E318" s="775" t="s">
        <v>214</v>
      </c>
      <c r="F318" s="804"/>
      <c r="G318" s="805"/>
      <c r="H318" s="806"/>
      <c r="I318" s="50">
        <v>0</v>
      </c>
      <c r="J318" s="775" t="s">
        <v>130</v>
      </c>
      <c r="K318" s="744"/>
      <c r="L318" s="133"/>
    </row>
    <row r="319" s="105" customFormat="1" ht="16.5" hidden="1" spans="2:12">
      <c r="B319" s="793"/>
      <c r="C319" s="367"/>
      <c r="D319" s="781" t="s">
        <v>83</v>
      </c>
      <c r="E319" s="775" t="s">
        <v>214</v>
      </c>
      <c r="F319" s="804"/>
      <c r="G319" s="805"/>
      <c r="H319" s="806"/>
      <c r="I319" s="50">
        <v>0</v>
      </c>
      <c r="J319" s="775" t="s">
        <v>130</v>
      </c>
      <c r="K319" s="744"/>
      <c r="L319" s="133"/>
    </row>
    <row r="320" s="105" customFormat="1" ht="16.5" hidden="1" spans="2:12">
      <c r="B320" s="793"/>
      <c r="C320" s="367"/>
      <c r="D320" s="781" t="s">
        <v>84</v>
      </c>
      <c r="E320" s="775" t="s">
        <v>214</v>
      </c>
      <c r="F320" s="804"/>
      <c r="G320" s="805"/>
      <c r="H320" s="806"/>
      <c r="I320" s="50">
        <v>0</v>
      </c>
      <c r="J320" s="775" t="s">
        <v>130</v>
      </c>
      <c r="K320" s="744"/>
      <c r="L320" s="133"/>
    </row>
    <row r="321" s="105" customFormat="1" ht="16.5" hidden="1" spans="2:12">
      <c r="B321" s="793"/>
      <c r="C321" s="367"/>
      <c r="D321" s="781" t="s">
        <v>85</v>
      </c>
      <c r="E321" s="775" t="s">
        <v>214</v>
      </c>
      <c r="F321" s="804"/>
      <c r="G321" s="805"/>
      <c r="H321" s="806"/>
      <c r="I321" s="50">
        <v>0</v>
      </c>
      <c r="J321" s="775" t="s">
        <v>130</v>
      </c>
      <c r="K321" s="744"/>
      <c r="L321" s="133"/>
    </row>
    <row r="322" s="105" customFormat="1" ht="16.5" hidden="1" spans="2:12">
      <c r="B322" s="793"/>
      <c r="C322" s="367"/>
      <c r="D322" s="781" t="s">
        <v>86</v>
      </c>
      <c r="E322" s="775" t="s">
        <v>214</v>
      </c>
      <c r="F322" s="804"/>
      <c r="G322" s="805"/>
      <c r="H322" s="806"/>
      <c r="I322" s="50">
        <v>0</v>
      </c>
      <c r="J322" s="775" t="s">
        <v>130</v>
      </c>
      <c r="K322" s="744"/>
      <c r="L322" s="133"/>
    </row>
    <row r="323" s="105" customFormat="1" ht="16.5" hidden="1" spans="2:12">
      <c r="B323" s="793"/>
      <c r="C323" s="367"/>
      <c r="D323" s="781" t="s">
        <v>87</v>
      </c>
      <c r="E323" s="775" t="s">
        <v>214</v>
      </c>
      <c r="F323" s="804"/>
      <c r="G323" s="805"/>
      <c r="H323" s="806"/>
      <c r="I323" s="50">
        <v>0</v>
      </c>
      <c r="J323" s="775" t="s">
        <v>130</v>
      </c>
      <c r="K323" s="744"/>
      <c r="L323" s="133"/>
    </row>
    <row r="324" s="105" customFormat="1" ht="16.5" hidden="1" spans="2:12">
      <c r="B324" s="793"/>
      <c r="C324" s="367"/>
      <c r="D324" s="781" t="s">
        <v>88</v>
      </c>
      <c r="E324" s="775" t="s">
        <v>214</v>
      </c>
      <c r="F324" s="804"/>
      <c r="G324" s="805"/>
      <c r="H324" s="806"/>
      <c r="I324" s="50">
        <v>0</v>
      </c>
      <c r="J324" s="775" t="s">
        <v>130</v>
      </c>
      <c r="K324" s="744"/>
      <c r="L324" s="133"/>
    </row>
    <row r="325" s="105" customFormat="1" ht="16.5" hidden="1" spans="2:12">
      <c r="B325" s="793"/>
      <c r="C325" s="367"/>
      <c r="D325" s="781" t="s">
        <v>89</v>
      </c>
      <c r="E325" s="775" t="s">
        <v>214</v>
      </c>
      <c r="F325" s="804"/>
      <c r="G325" s="805"/>
      <c r="H325" s="806"/>
      <c r="I325" s="50">
        <v>0</v>
      </c>
      <c r="J325" s="775" t="s">
        <v>130</v>
      </c>
      <c r="K325" s="744"/>
      <c r="L325" s="133"/>
    </row>
    <row r="326" s="105" customFormat="1" ht="16.5" hidden="1" spans="2:12">
      <c r="B326" s="793"/>
      <c r="C326" s="367"/>
      <c r="D326" s="781" t="s">
        <v>90</v>
      </c>
      <c r="E326" s="775" t="s">
        <v>214</v>
      </c>
      <c r="F326" s="804"/>
      <c r="G326" s="805"/>
      <c r="H326" s="806"/>
      <c r="I326" s="50">
        <v>0</v>
      </c>
      <c r="J326" s="775" t="s">
        <v>130</v>
      </c>
      <c r="K326" s="744"/>
      <c r="L326" s="133"/>
    </row>
    <row r="327" s="105" customFormat="1" ht="16.5" hidden="1" spans="2:12">
      <c r="B327" s="793"/>
      <c r="C327" s="367"/>
      <c r="D327" s="781" t="s">
        <v>91</v>
      </c>
      <c r="E327" s="775" t="s">
        <v>214</v>
      </c>
      <c r="F327" s="804"/>
      <c r="G327" s="805"/>
      <c r="H327" s="806"/>
      <c r="I327" s="50">
        <v>0</v>
      </c>
      <c r="J327" s="775" t="s">
        <v>130</v>
      </c>
      <c r="K327" s="744"/>
      <c r="L327" s="133"/>
    </row>
    <row r="328" s="105" customFormat="1" ht="16.5" hidden="1" spans="2:12">
      <c r="B328" s="793"/>
      <c r="C328" s="367"/>
      <c r="D328" s="781" t="s">
        <v>92</v>
      </c>
      <c r="E328" s="775" t="s">
        <v>214</v>
      </c>
      <c r="F328" s="804"/>
      <c r="G328" s="805"/>
      <c r="H328" s="806"/>
      <c r="I328" s="50">
        <v>0</v>
      </c>
      <c r="J328" s="775" t="s">
        <v>130</v>
      </c>
      <c r="K328" s="744"/>
      <c r="L328" s="133"/>
    </row>
    <row r="329" s="105" customFormat="1" ht="16.5" hidden="1" spans="2:12">
      <c r="B329" s="793"/>
      <c r="C329" s="367"/>
      <c r="D329" s="781" t="s">
        <v>93</v>
      </c>
      <c r="E329" s="775" t="s">
        <v>214</v>
      </c>
      <c r="F329" s="804"/>
      <c r="G329" s="805"/>
      <c r="H329" s="806"/>
      <c r="I329" s="50">
        <v>0</v>
      </c>
      <c r="J329" s="775" t="s">
        <v>130</v>
      </c>
      <c r="K329" s="744"/>
      <c r="L329" s="133"/>
    </row>
    <row r="330" s="105" customFormat="1" ht="16.5" hidden="1" spans="2:12">
      <c r="B330" s="793"/>
      <c r="C330" s="367"/>
      <c r="D330" s="781" t="s">
        <v>94</v>
      </c>
      <c r="E330" s="775" t="s">
        <v>214</v>
      </c>
      <c r="F330" s="804"/>
      <c r="G330" s="805"/>
      <c r="H330" s="806"/>
      <c r="I330" s="50">
        <v>0</v>
      </c>
      <c r="J330" s="775" t="s">
        <v>130</v>
      </c>
      <c r="K330" s="744"/>
      <c r="L330" s="133"/>
    </row>
    <row r="331" s="105" customFormat="1" ht="16.5" hidden="1" spans="2:12">
      <c r="B331" s="793"/>
      <c r="C331" s="367"/>
      <c r="D331" s="781" t="s">
        <v>95</v>
      </c>
      <c r="E331" s="775" t="s">
        <v>214</v>
      </c>
      <c r="F331" s="804"/>
      <c r="G331" s="805"/>
      <c r="H331" s="806"/>
      <c r="I331" s="50">
        <v>0</v>
      </c>
      <c r="J331" s="775" t="s">
        <v>130</v>
      </c>
      <c r="K331" s="744"/>
      <c r="L331" s="133"/>
    </row>
    <row r="332" s="105" customFormat="1" ht="16.5" hidden="1" spans="2:12">
      <c r="B332" s="793"/>
      <c r="C332" s="367"/>
      <c r="D332" s="781" t="s">
        <v>96</v>
      </c>
      <c r="E332" s="775" t="s">
        <v>214</v>
      </c>
      <c r="F332" s="804"/>
      <c r="G332" s="805"/>
      <c r="H332" s="806"/>
      <c r="I332" s="50">
        <v>0</v>
      </c>
      <c r="J332" s="775" t="s">
        <v>130</v>
      </c>
      <c r="K332" s="744"/>
      <c r="L332" s="133"/>
    </row>
    <row r="333" s="105" customFormat="1" ht="16.5" hidden="1" spans="2:12">
      <c r="B333" s="793"/>
      <c r="C333" s="367"/>
      <c r="D333" s="781" t="s">
        <v>97</v>
      </c>
      <c r="E333" s="775" t="s">
        <v>214</v>
      </c>
      <c r="F333" s="804"/>
      <c r="G333" s="805"/>
      <c r="H333" s="806"/>
      <c r="I333" s="50">
        <v>0</v>
      </c>
      <c r="J333" s="775" t="s">
        <v>130</v>
      </c>
      <c r="K333" s="744"/>
      <c r="L333" s="133"/>
    </row>
    <row r="334" s="105" customFormat="1" ht="16.5" hidden="1" spans="2:12">
      <c r="B334" s="793"/>
      <c r="C334" s="367"/>
      <c r="D334" s="781" t="s">
        <v>98</v>
      </c>
      <c r="E334" s="775" t="s">
        <v>214</v>
      </c>
      <c r="F334" s="804"/>
      <c r="G334" s="805"/>
      <c r="H334" s="806"/>
      <c r="I334" s="50">
        <v>0</v>
      </c>
      <c r="J334" s="775" t="s">
        <v>130</v>
      </c>
      <c r="K334" s="744"/>
      <c r="L334" s="133"/>
    </row>
    <row r="335" s="105" customFormat="1" ht="16.5" hidden="1" spans="2:12">
      <c r="B335" s="793"/>
      <c r="C335" s="367"/>
      <c r="D335" s="781" t="s">
        <v>99</v>
      </c>
      <c r="E335" s="775" t="s">
        <v>214</v>
      </c>
      <c r="F335" s="804"/>
      <c r="G335" s="805"/>
      <c r="H335" s="806"/>
      <c r="I335" s="50">
        <v>0</v>
      </c>
      <c r="J335" s="775" t="s">
        <v>130</v>
      </c>
      <c r="K335" s="744"/>
      <c r="L335" s="133"/>
    </row>
    <row r="336" s="105" customFormat="1" ht="16.5" hidden="1" spans="2:12">
      <c r="B336" s="793"/>
      <c r="C336" s="367"/>
      <c r="D336" s="781" t="s">
        <v>100</v>
      </c>
      <c r="E336" s="775" t="s">
        <v>214</v>
      </c>
      <c r="F336" s="804"/>
      <c r="G336" s="805"/>
      <c r="H336" s="806"/>
      <c r="I336" s="50">
        <v>0</v>
      </c>
      <c r="J336" s="775" t="s">
        <v>130</v>
      </c>
      <c r="K336" s="744"/>
      <c r="L336" s="133"/>
    </row>
    <row r="337" s="105" customFormat="1" ht="16.5" hidden="1" spans="2:12">
      <c r="B337" s="793"/>
      <c r="C337" s="367"/>
      <c r="D337" s="781" t="s">
        <v>101</v>
      </c>
      <c r="E337" s="775" t="s">
        <v>214</v>
      </c>
      <c r="F337" s="804"/>
      <c r="G337" s="805"/>
      <c r="H337" s="806"/>
      <c r="I337" s="50">
        <v>0</v>
      </c>
      <c r="J337" s="775" t="s">
        <v>130</v>
      </c>
      <c r="K337" s="744"/>
      <c r="L337" s="133"/>
    </row>
    <row r="338" s="105" customFormat="1" ht="16.5" hidden="1" spans="2:12">
      <c r="B338" s="793"/>
      <c r="C338" s="367"/>
      <c r="D338" s="781" t="s">
        <v>102</v>
      </c>
      <c r="E338" s="775" t="s">
        <v>214</v>
      </c>
      <c r="F338" s="804"/>
      <c r="G338" s="805"/>
      <c r="H338" s="806"/>
      <c r="I338" s="50">
        <v>0</v>
      </c>
      <c r="J338" s="775" t="s">
        <v>130</v>
      </c>
      <c r="K338" s="744"/>
      <c r="L338" s="133"/>
    </row>
    <row r="339" s="105" customFormat="1" ht="16.5" hidden="1" spans="2:12">
      <c r="B339" s="793"/>
      <c r="C339" s="367"/>
      <c r="D339" s="781" t="s">
        <v>103</v>
      </c>
      <c r="E339" s="775" t="s">
        <v>214</v>
      </c>
      <c r="F339" s="804"/>
      <c r="G339" s="805"/>
      <c r="H339" s="806"/>
      <c r="I339" s="50">
        <v>0</v>
      </c>
      <c r="J339" s="775" t="s">
        <v>130</v>
      </c>
      <c r="K339" s="744"/>
      <c r="L339" s="133"/>
    </row>
    <row r="340" s="105" customFormat="1" ht="16.5" hidden="1" spans="2:12">
      <c r="B340" s="793"/>
      <c r="C340" s="367"/>
      <c r="D340" s="781" t="s">
        <v>104</v>
      </c>
      <c r="E340" s="775" t="s">
        <v>214</v>
      </c>
      <c r="F340" s="804"/>
      <c r="G340" s="805"/>
      <c r="H340" s="806"/>
      <c r="I340" s="50">
        <v>0</v>
      </c>
      <c r="J340" s="775" t="s">
        <v>130</v>
      </c>
      <c r="K340" s="744"/>
      <c r="L340" s="133"/>
    </row>
    <row r="341" s="105" customFormat="1" ht="16.5" hidden="1" spans="2:12">
      <c r="B341" s="793"/>
      <c r="C341" s="367"/>
      <c r="D341" s="781" t="s">
        <v>105</v>
      </c>
      <c r="E341" s="775" t="s">
        <v>214</v>
      </c>
      <c r="F341" s="804"/>
      <c r="G341" s="805"/>
      <c r="H341" s="806"/>
      <c r="I341" s="50">
        <v>0</v>
      </c>
      <c r="J341" s="775" t="s">
        <v>130</v>
      </c>
      <c r="K341" s="744"/>
      <c r="L341" s="133"/>
    </row>
    <row r="342" s="105" customFormat="1" ht="16.5" hidden="1" spans="2:12">
      <c r="B342" s="793"/>
      <c r="C342" s="367"/>
      <c r="D342" s="781" t="s">
        <v>106</v>
      </c>
      <c r="E342" s="775" t="s">
        <v>214</v>
      </c>
      <c r="F342" s="804"/>
      <c r="G342" s="805"/>
      <c r="H342" s="806"/>
      <c r="I342" s="50">
        <v>0</v>
      </c>
      <c r="J342" s="775" t="s">
        <v>130</v>
      </c>
      <c r="K342" s="744"/>
      <c r="L342" s="133"/>
    </row>
    <row r="343" s="105" customFormat="1" ht="16.5" hidden="1" spans="2:12">
      <c r="B343" s="793"/>
      <c r="C343" s="367"/>
      <c r="D343" s="781" t="s">
        <v>107</v>
      </c>
      <c r="E343" s="775" t="s">
        <v>214</v>
      </c>
      <c r="F343" s="804"/>
      <c r="G343" s="805"/>
      <c r="H343" s="806"/>
      <c r="I343" s="50">
        <v>0</v>
      </c>
      <c r="J343" s="775" t="s">
        <v>130</v>
      </c>
      <c r="K343" s="744"/>
      <c r="L343" s="133"/>
    </row>
    <row r="344" s="105" customFormat="1" ht="16.5" hidden="1" spans="2:12">
      <c r="B344" s="793"/>
      <c r="C344" s="367"/>
      <c r="D344" s="781" t="s">
        <v>108</v>
      </c>
      <c r="E344" s="775" t="s">
        <v>214</v>
      </c>
      <c r="F344" s="804"/>
      <c r="G344" s="805"/>
      <c r="H344" s="806"/>
      <c r="I344" s="50">
        <v>0</v>
      </c>
      <c r="J344" s="775" t="s">
        <v>130</v>
      </c>
      <c r="K344" s="744"/>
      <c r="L344" s="133"/>
    </row>
    <row r="345" s="105" customFormat="1" ht="16.5" hidden="1" spans="2:12">
      <c r="B345" s="793"/>
      <c r="C345" s="367"/>
      <c r="D345" s="781" t="s">
        <v>109</v>
      </c>
      <c r="E345" s="775" t="s">
        <v>214</v>
      </c>
      <c r="F345" s="804"/>
      <c r="G345" s="805"/>
      <c r="H345" s="806"/>
      <c r="I345" s="50">
        <v>0</v>
      </c>
      <c r="J345" s="775" t="s">
        <v>130</v>
      </c>
      <c r="K345" s="744"/>
      <c r="L345" s="133"/>
    </row>
    <row r="346" s="105" customFormat="1" ht="16.5" hidden="1" spans="2:12">
      <c r="B346" s="793"/>
      <c r="C346" s="367"/>
      <c r="D346" s="781" t="s">
        <v>110</v>
      </c>
      <c r="E346" s="775" t="s">
        <v>214</v>
      </c>
      <c r="F346" s="804"/>
      <c r="G346" s="805"/>
      <c r="H346" s="806"/>
      <c r="I346" s="50">
        <v>0</v>
      </c>
      <c r="J346" s="775" t="s">
        <v>130</v>
      </c>
      <c r="K346" s="744"/>
      <c r="L346" s="133"/>
    </row>
    <row r="347" s="105" customFormat="1" ht="16.5" hidden="1" spans="2:12">
      <c r="B347" s="793"/>
      <c r="C347" s="367"/>
      <c r="D347" s="781" t="s">
        <v>111</v>
      </c>
      <c r="E347" s="775" t="s">
        <v>214</v>
      </c>
      <c r="F347" s="804"/>
      <c r="G347" s="805"/>
      <c r="H347" s="806"/>
      <c r="I347" s="50">
        <v>0</v>
      </c>
      <c r="J347" s="775" t="s">
        <v>130</v>
      </c>
      <c r="K347" s="744"/>
      <c r="L347" s="133"/>
    </row>
    <row r="348" s="105" customFormat="1" ht="16.5" hidden="1" spans="2:12">
      <c r="B348" s="793"/>
      <c r="C348" s="367"/>
      <c r="D348" s="781" t="s">
        <v>112</v>
      </c>
      <c r="E348" s="775" t="s">
        <v>214</v>
      </c>
      <c r="F348" s="804"/>
      <c r="G348" s="805"/>
      <c r="H348" s="806"/>
      <c r="I348" s="50">
        <v>0</v>
      </c>
      <c r="J348" s="775" t="s">
        <v>130</v>
      </c>
      <c r="K348" s="744"/>
      <c r="L348" s="133"/>
    </row>
    <row r="349" s="105" customFormat="1" ht="16.5" hidden="1" spans="2:12">
      <c r="B349" s="793"/>
      <c r="C349" s="367"/>
      <c r="D349" s="781" t="s">
        <v>113</v>
      </c>
      <c r="E349" s="775" t="s">
        <v>214</v>
      </c>
      <c r="F349" s="804"/>
      <c r="G349" s="805"/>
      <c r="H349" s="806"/>
      <c r="I349" s="50">
        <v>0</v>
      </c>
      <c r="J349" s="775" t="s">
        <v>130</v>
      </c>
      <c r="K349" s="744"/>
      <c r="L349" s="133"/>
    </row>
    <row r="350" s="105" customFormat="1" ht="16.5" hidden="1" spans="2:12">
      <c r="B350" s="793"/>
      <c r="C350" s="367"/>
      <c r="D350" s="781" t="s">
        <v>114</v>
      </c>
      <c r="E350" s="775" t="s">
        <v>214</v>
      </c>
      <c r="F350" s="804"/>
      <c r="G350" s="805"/>
      <c r="H350" s="806"/>
      <c r="I350" s="50">
        <v>0</v>
      </c>
      <c r="J350" s="775" t="s">
        <v>130</v>
      </c>
      <c r="K350" s="744"/>
      <c r="L350" s="133"/>
    </row>
    <row r="351" s="105" customFormat="1" ht="16.5" hidden="1" spans="2:12">
      <c r="B351" s="793"/>
      <c r="C351" s="367"/>
      <c r="D351" s="781" t="s">
        <v>115</v>
      </c>
      <c r="E351" s="775" t="s">
        <v>214</v>
      </c>
      <c r="F351" s="804"/>
      <c r="G351" s="805"/>
      <c r="H351" s="806"/>
      <c r="I351" s="50">
        <v>0</v>
      </c>
      <c r="J351" s="775" t="s">
        <v>130</v>
      </c>
      <c r="K351" s="744"/>
      <c r="L351" s="133"/>
    </row>
    <row r="352" s="105" customFormat="1" ht="16.5" hidden="1" spans="2:12">
      <c r="B352" s="793"/>
      <c r="C352" s="367"/>
      <c r="D352" s="781" t="s">
        <v>116</v>
      </c>
      <c r="E352" s="775" t="s">
        <v>214</v>
      </c>
      <c r="F352" s="804"/>
      <c r="G352" s="805"/>
      <c r="H352" s="806"/>
      <c r="I352" s="50">
        <v>0</v>
      </c>
      <c r="J352" s="775" t="s">
        <v>130</v>
      </c>
      <c r="K352" s="744"/>
      <c r="L352" s="133"/>
    </row>
    <row r="353" s="105" customFormat="1" ht="16.5" hidden="1" spans="2:12">
      <c r="B353" s="793"/>
      <c r="C353" s="367"/>
      <c r="D353" s="781" t="s">
        <v>117</v>
      </c>
      <c r="E353" s="775" t="s">
        <v>214</v>
      </c>
      <c r="F353" s="804"/>
      <c r="G353" s="805"/>
      <c r="H353" s="806"/>
      <c r="I353" s="50">
        <v>0</v>
      </c>
      <c r="J353" s="775" t="s">
        <v>130</v>
      </c>
      <c r="K353" s="744"/>
      <c r="L353" s="133"/>
    </row>
    <row r="354" s="105" customFormat="1" ht="16.5" hidden="1" spans="2:12">
      <c r="B354" s="793"/>
      <c r="C354" s="367"/>
      <c r="D354" s="781" t="s">
        <v>118</v>
      </c>
      <c r="E354" s="775" t="s">
        <v>214</v>
      </c>
      <c r="F354" s="804"/>
      <c r="G354" s="805"/>
      <c r="H354" s="806"/>
      <c r="I354" s="50">
        <v>0</v>
      </c>
      <c r="J354" s="775" t="s">
        <v>130</v>
      </c>
      <c r="K354" s="744"/>
      <c r="L354" s="133"/>
    </row>
    <row r="355" s="105" customFormat="1" ht="16.5" hidden="1" spans="2:12">
      <c r="B355" s="793"/>
      <c r="C355" s="367"/>
      <c r="D355" s="781" t="s">
        <v>119</v>
      </c>
      <c r="E355" s="775" t="s">
        <v>214</v>
      </c>
      <c r="F355" s="804"/>
      <c r="G355" s="805"/>
      <c r="H355" s="806"/>
      <c r="I355" s="50">
        <v>0</v>
      </c>
      <c r="J355" s="775" t="s">
        <v>130</v>
      </c>
      <c r="K355" s="744"/>
      <c r="L355" s="133"/>
    </row>
    <row r="356" s="105" customFormat="1" ht="16.5" hidden="1" spans="2:12">
      <c r="B356" s="793"/>
      <c r="C356" s="367"/>
      <c r="D356" s="781" t="s">
        <v>120</v>
      </c>
      <c r="E356" s="775" t="s">
        <v>214</v>
      </c>
      <c r="F356" s="804"/>
      <c r="G356" s="805"/>
      <c r="H356" s="806"/>
      <c r="I356" s="50">
        <v>0</v>
      </c>
      <c r="J356" s="775" t="s">
        <v>130</v>
      </c>
      <c r="K356" s="744"/>
      <c r="L356" s="133"/>
    </row>
    <row r="357" s="105" customFormat="1" ht="16.5" hidden="1" spans="2:12">
      <c r="B357" s="793"/>
      <c r="C357" s="367"/>
      <c r="D357" s="781" t="s">
        <v>121</v>
      </c>
      <c r="E357" s="775" t="s">
        <v>214</v>
      </c>
      <c r="F357" s="804"/>
      <c r="G357" s="805"/>
      <c r="H357" s="806"/>
      <c r="I357" s="50">
        <v>0</v>
      </c>
      <c r="J357" s="775" t="s">
        <v>130</v>
      </c>
      <c r="K357" s="744"/>
      <c r="L357" s="133"/>
    </row>
    <row r="358" ht="37.95" hidden="1" customHeight="1" spans="2:12">
      <c r="B358" s="793"/>
      <c r="C358" s="764">
        <v>2.8</v>
      </c>
      <c r="D358" s="795" t="s">
        <v>217</v>
      </c>
      <c r="E358" s="775" t="s">
        <v>59</v>
      </c>
      <c r="F358" s="804"/>
      <c r="G358" s="805"/>
      <c r="H358" s="806"/>
      <c r="I358" s="591" t="s">
        <v>218</v>
      </c>
      <c r="J358" s="808"/>
      <c r="K358" s="762"/>
      <c r="L358" s="132"/>
    </row>
    <row r="359" ht="37.95" customHeight="1" spans="2:12">
      <c r="B359" s="793"/>
      <c r="C359" s="764">
        <v>2.9</v>
      </c>
      <c r="D359" s="795" t="s">
        <v>219</v>
      </c>
      <c r="E359" s="775"/>
      <c r="F359" s="804"/>
      <c r="G359" s="805"/>
      <c r="H359" s="806"/>
      <c r="I359" s="768"/>
      <c r="J359" s="808"/>
      <c r="K359" s="762"/>
      <c r="L359" s="132"/>
    </row>
    <row r="360" spans="2:12">
      <c r="B360" s="793"/>
      <c r="C360" s="809"/>
      <c r="D360" s="810" t="s">
        <v>220</v>
      </c>
      <c r="E360" s="775"/>
      <c r="F360" s="804"/>
      <c r="G360" s="805"/>
      <c r="H360" s="806"/>
      <c r="I360" s="768"/>
      <c r="J360" s="808"/>
      <c r="K360" s="762"/>
      <c r="L360" s="132"/>
    </row>
    <row r="361" spans="2:12">
      <c r="B361" s="793"/>
      <c r="C361" s="809"/>
      <c r="D361" s="49" t="s">
        <v>221</v>
      </c>
      <c r="E361" s="775"/>
      <c r="F361" s="804"/>
      <c r="G361" s="805"/>
      <c r="H361" s="806" t="s">
        <v>222</v>
      </c>
      <c r="I361" s="811">
        <f>'表3-成本费用表'!N73-'表3-成本费用表'!N83</f>
        <v>67233.0402879184</v>
      </c>
      <c r="J361" s="808" t="s">
        <v>130</v>
      </c>
      <c r="K361" s="762"/>
      <c r="L361" s="132"/>
    </row>
    <row r="362" spans="2:12">
      <c r="B362" s="793"/>
      <c r="C362" s="809"/>
      <c r="D362" s="49" t="s">
        <v>223</v>
      </c>
      <c r="E362" s="775" t="s">
        <v>49</v>
      </c>
      <c r="F362" s="804"/>
      <c r="G362" s="805"/>
      <c r="H362" s="806" t="s">
        <v>224</v>
      </c>
      <c r="I362" s="768">
        <v>30</v>
      </c>
      <c r="J362" s="808" t="s">
        <v>225</v>
      </c>
      <c r="K362" s="762"/>
      <c r="L362" s="132"/>
    </row>
    <row r="363" spans="2:12">
      <c r="B363" s="793"/>
      <c r="C363" s="809"/>
      <c r="D363" s="810" t="s">
        <v>226</v>
      </c>
      <c r="E363" s="775"/>
      <c r="F363" s="804"/>
      <c r="G363" s="805"/>
      <c r="H363" s="806"/>
      <c r="I363" s="811"/>
      <c r="J363" s="808"/>
      <c r="K363" s="762"/>
      <c r="L363" s="132"/>
    </row>
    <row r="364" ht="33" spans="2:12">
      <c r="B364" s="793"/>
      <c r="C364" s="809"/>
      <c r="D364" s="49" t="s">
        <v>221</v>
      </c>
      <c r="E364" s="775"/>
      <c r="F364" s="804"/>
      <c r="G364" s="805"/>
      <c r="H364" s="806" t="s">
        <v>227</v>
      </c>
      <c r="I364" s="811">
        <v>60000</v>
      </c>
      <c r="J364" s="808" t="s">
        <v>130</v>
      </c>
      <c r="K364" s="762"/>
      <c r="L364" s="132"/>
    </row>
    <row r="365" spans="2:12">
      <c r="B365" s="793"/>
      <c r="C365" s="809"/>
      <c r="D365" s="49" t="s">
        <v>228</v>
      </c>
      <c r="E365" s="775" t="s">
        <v>49</v>
      </c>
      <c r="F365" s="804"/>
      <c r="G365" s="805"/>
      <c r="H365" s="806" t="s">
        <v>224</v>
      </c>
      <c r="I365" s="768">
        <v>30</v>
      </c>
      <c r="J365" s="808" t="s">
        <v>225</v>
      </c>
      <c r="K365" s="762"/>
      <c r="L365" s="132"/>
    </row>
    <row r="366" spans="2:12">
      <c r="B366" s="793"/>
      <c r="C366" s="809"/>
      <c r="D366" s="810" t="s">
        <v>229</v>
      </c>
      <c r="E366" s="775"/>
      <c r="F366" s="804"/>
      <c r="G366" s="805"/>
      <c r="H366" s="806"/>
      <c r="I366" s="768"/>
      <c r="J366" s="808"/>
      <c r="K366" s="762"/>
      <c r="L366" s="132"/>
    </row>
    <row r="367" spans="2:12">
      <c r="B367" s="793"/>
      <c r="C367" s="809"/>
      <c r="D367" s="49" t="s">
        <v>221</v>
      </c>
      <c r="E367" s="775"/>
      <c r="F367" s="804"/>
      <c r="G367" s="805"/>
      <c r="H367" s="806"/>
      <c r="I367" s="811">
        <v>0</v>
      </c>
      <c r="J367" s="808" t="s">
        <v>130</v>
      </c>
      <c r="K367" s="762"/>
      <c r="L367" s="132"/>
    </row>
    <row r="368" spans="2:12">
      <c r="B368" s="793"/>
      <c r="C368" s="809"/>
      <c r="D368" s="49" t="s">
        <v>230</v>
      </c>
      <c r="E368" s="775"/>
      <c r="F368" s="804"/>
      <c r="G368" s="805"/>
      <c r="H368" s="806" t="s">
        <v>224</v>
      </c>
      <c r="I368" s="768">
        <v>30</v>
      </c>
      <c r="J368" s="808" t="s">
        <v>225</v>
      </c>
      <c r="K368" s="762"/>
      <c r="L368" s="132"/>
    </row>
    <row r="369" spans="2:12">
      <c r="B369" s="793"/>
      <c r="C369" s="809"/>
      <c r="D369" s="810" t="s">
        <v>231</v>
      </c>
      <c r="E369" s="775"/>
      <c r="F369" s="804"/>
      <c r="G369" s="805"/>
      <c r="H369" s="806"/>
      <c r="I369" s="768"/>
      <c r="J369" s="808"/>
      <c r="K369" s="762"/>
      <c r="L369" s="132"/>
    </row>
    <row r="370" ht="33" spans="2:12">
      <c r="B370" s="793"/>
      <c r="C370" s="809"/>
      <c r="D370" s="49" t="s">
        <v>221</v>
      </c>
      <c r="E370" s="775"/>
      <c r="F370" s="804"/>
      <c r="G370" s="805"/>
      <c r="H370" s="806" t="s">
        <v>232</v>
      </c>
      <c r="I370" s="811">
        <v>50000</v>
      </c>
      <c r="J370" s="808" t="s">
        <v>130</v>
      </c>
      <c r="K370" s="762"/>
      <c r="L370" s="132"/>
    </row>
    <row r="371" spans="2:12">
      <c r="B371" s="793"/>
      <c r="C371" s="809"/>
      <c r="D371" s="49" t="s">
        <v>233</v>
      </c>
      <c r="E371" s="775" t="s">
        <v>49</v>
      </c>
      <c r="F371" s="804"/>
      <c r="G371" s="805"/>
      <c r="H371" s="806" t="s">
        <v>224</v>
      </c>
      <c r="I371" s="768">
        <v>30</v>
      </c>
      <c r="J371" s="808" t="s">
        <v>225</v>
      </c>
      <c r="K371" s="762"/>
      <c r="L371" s="132"/>
    </row>
    <row r="372" spans="2:12">
      <c r="B372" s="793"/>
      <c r="C372" s="809"/>
      <c r="D372" s="810" t="s">
        <v>234</v>
      </c>
      <c r="E372" s="775"/>
      <c r="F372" s="804"/>
      <c r="G372" s="805"/>
      <c r="H372" s="806"/>
      <c r="I372" s="768"/>
      <c r="J372" s="808"/>
      <c r="K372" s="762"/>
      <c r="L372" s="132"/>
    </row>
    <row r="373" spans="2:12">
      <c r="B373" s="793"/>
      <c r="C373" s="809"/>
      <c r="D373" s="49" t="s">
        <v>221</v>
      </c>
      <c r="E373" s="775"/>
      <c r="F373" s="804"/>
      <c r="G373" s="805"/>
      <c r="H373" s="806"/>
      <c r="I373" s="811">
        <v>0</v>
      </c>
      <c r="J373" s="808" t="s">
        <v>130</v>
      </c>
      <c r="K373" s="762"/>
      <c r="L373" s="132"/>
    </row>
    <row r="374" spans="2:12">
      <c r="B374" s="793"/>
      <c r="C374" s="809"/>
      <c r="D374" s="49" t="s">
        <v>235</v>
      </c>
      <c r="E374" s="775"/>
      <c r="F374" s="804"/>
      <c r="G374" s="805"/>
      <c r="H374" s="806"/>
      <c r="I374" s="768">
        <v>30</v>
      </c>
      <c r="J374" s="808" t="s">
        <v>225</v>
      </c>
      <c r="K374" s="762"/>
      <c r="L374" s="132"/>
    </row>
    <row r="375" spans="2:12">
      <c r="B375" s="793"/>
      <c r="C375" s="812" t="s">
        <v>236</v>
      </c>
      <c r="D375" s="813" t="s">
        <v>237</v>
      </c>
      <c r="E375" s="814"/>
      <c r="F375" s="815"/>
      <c r="G375" s="816"/>
      <c r="H375" s="817"/>
      <c r="I375" s="818"/>
      <c r="J375" s="814"/>
      <c r="K375" s="762"/>
      <c r="L375" s="132"/>
    </row>
    <row r="376" spans="2:12">
      <c r="B376" s="793"/>
      <c r="C376" s="819"/>
      <c r="D376" s="204" t="s">
        <v>238</v>
      </c>
      <c r="E376" s="814"/>
      <c r="F376" s="815"/>
      <c r="G376" s="816"/>
      <c r="H376" s="817"/>
      <c r="I376" s="818">
        <v>10</v>
      </c>
      <c r="J376" s="814" t="s">
        <v>15</v>
      </c>
      <c r="K376" s="762"/>
      <c r="L376" s="132"/>
    </row>
    <row r="377" spans="2:12">
      <c r="B377" s="793"/>
      <c r="C377" s="819"/>
      <c r="D377" s="204" t="s">
        <v>239</v>
      </c>
      <c r="E377" s="814"/>
      <c r="F377" s="815"/>
      <c r="G377" s="816"/>
      <c r="H377" s="817"/>
      <c r="I377" s="820">
        <v>0.5</v>
      </c>
      <c r="J377" s="814" t="s">
        <v>31</v>
      </c>
      <c r="K377" s="762"/>
      <c r="L377" s="132"/>
    </row>
    <row r="378" spans="2:12">
      <c r="B378" s="793"/>
      <c r="C378" s="809"/>
      <c r="D378" s="49"/>
      <c r="E378" s="775"/>
      <c r="F378" s="804"/>
      <c r="G378" s="805"/>
      <c r="H378" s="806"/>
      <c r="I378" s="768"/>
      <c r="J378" s="808"/>
      <c r="K378" s="762"/>
      <c r="L378" s="132"/>
    </row>
    <row r="379" ht="70.05" customHeight="1" spans="2:12">
      <c r="B379" s="789" t="s">
        <v>240</v>
      </c>
      <c r="C379" s="661">
        <v>1</v>
      </c>
      <c r="D379" s="95" t="s">
        <v>241</v>
      </c>
      <c r="E379" s="741" t="s">
        <v>242</v>
      </c>
      <c r="F379" s="800" t="s">
        <v>243</v>
      </c>
      <c r="G379" s="821" t="s">
        <v>244</v>
      </c>
      <c r="H379" s="762"/>
      <c r="I379" s="768"/>
      <c r="J379" s="38"/>
      <c r="K379" s="787" t="s">
        <v>245</v>
      </c>
      <c r="L379" s="132"/>
    </row>
    <row r="380" spans="2:12">
      <c r="B380" s="739"/>
      <c r="C380" s="765">
        <v>1.1</v>
      </c>
      <c r="D380" s="54" t="s">
        <v>246</v>
      </c>
      <c r="E380" s="741" t="s">
        <v>247</v>
      </c>
      <c r="F380" s="742" t="s">
        <v>248</v>
      </c>
      <c r="G380" s="743"/>
      <c r="H380" s="762"/>
      <c r="I380" s="770">
        <f>I33</f>
        <v>1400</v>
      </c>
      <c r="J380" s="38"/>
      <c r="K380" s="787"/>
      <c r="L380" s="132"/>
    </row>
    <row r="381" spans="2:12">
      <c r="B381" s="739"/>
      <c r="C381" s="765">
        <v>1.2</v>
      </c>
      <c r="D381" s="54" t="s">
        <v>249</v>
      </c>
      <c r="E381" s="743"/>
      <c r="F381" s="742"/>
      <c r="G381" s="743"/>
      <c r="H381" s="762"/>
      <c r="I381" s="768"/>
      <c r="J381" s="38"/>
      <c r="K381" s="787"/>
      <c r="L381" s="132"/>
    </row>
    <row r="382" spans="2:12">
      <c r="B382" s="739"/>
      <c r="C382" s="765"/>
      <c r="D382" s="86" t="s">
        <v>250</v>
      </c>
      <c r="E382" s="743" t="s">
        <v>49</v>
      </c>
      <c r="F382" s="742" t="s">
        <v>251</v>
      </c>
      <c r="G382" s="743"/>
      <c r="H382" s="762"/>
      <c r="I382" s="768">
        <v>0.2</v>
      </c>
      <c r="J382" s="38" t="s">
        <v>252</v>
      </c>
      <c r="K382" s="787"/>
      <c r="L382" s="132"/>
    </row>
    <row r="383" spans="2:12">
      <c r="B383" s="739"/>
      <c r="C383" s="765">
        <v>1.3</v>
      </c>
      <c r="D383" s="54" t="s">
        <v>253</v>
      </c>
      <c r="E383" s="743" t="s">
        <v>59</v>
      </c>
      <c r="F383" s="742"/>
      <c r="G383" s="743"/>
      <c r="H383" s="762" t="s">
        <v>254</v>
      </c>
      <c r="I383" s="822">
        <v>0.13</v>
      </c>
      <c r="J383" s="38" t="s">
        <v>31</v>
      </c>
      <c r="K383" s="787"/>
      <c r="L383" s="132"/>
    </row>
    <row r="384" ht="79.05" customHeight="1" spans="2:12">
      <c r="B384" s="739"/>
      <c r="C384" s="661">
        <v>2</v>
      </c>
      <c r="D384" s="795" t="s">
        <v>255</v>
      </c>
      <c r="E384" s="741" t="s">
        <v>242</v>
      </c>
      <c r="F384" s="800" t="s">
        <v>256</v>
      </c>
      <c r="G384" s="821" t="s">
        <v>244</v>
      </c>
      <c r="H384" s="762"/>
      <c r="I384" s="768"/>
      <c r="J384" s="38"/>
      <c r="K384" s="762" t="s">
        <v>257</v>
      </c>
      <c r="L384" s="132"/>
    </row>
    <row r="385" ht="31.05" customHeight="1" spans="2:12">
      <c r="B385" s="739"/>
      <c r="C385" s="765">
        <v>2.1</v>
      </c>
      <c r="D385" s="54" t="s">
        <v>258</v>
      </c>
      <c r="E385" s="743" t="s">
        <v>59</v>
      </c>
      <c r="F385" s="800"/>
      <c r="G385" s="823"/>
      <c r="H385" s="824" t="s">
        <v>259</v>
      </c>
      <c r="I385" s="825">
        <f>I213</f>
        <v>869973.95</v>
      </c>
      <c r="J385" s="38" t="s">
        <v>130</v>
      </c>
      <c r="K385" s="762"/>
      <c r="L385" s="132"/>
    </row>
    <row r="386" s="660" customFormat="1" ht="16.5" hidden="1" spans="2:12">
      <c r="B386" s="739"/>
      <c r="C386" s="780"/>
      <c r="D386" s="781" t="s">
        <v>74</v>
      </c>
      <c r="E386" s="783"/>
      <c r="F386" s="800" t="s">
        <v>260</v>
      </c>
      <c r="G386" s="826"/>
      <c r="H386" s="827"/>
      <c r="I386" s="828">
        <f>($I$385-参数输入表!$I$221-参数输入表!$I$636)*I47</f>
        <v>0</v>
      </c>
      <c r="J386" s="38" t="s">
        <v>130</v>
      </c>
      <c r="K386" s="827"/>
      <c r="L386" s="786"/>
    </row>
    <row r="387" s="660" customFormat="1" ht="16.5" hidden="1" spans="2:12">
      <c r="B387" s="739"/>
      <c r="C387" s="780"/>
      <c r="D387" s="781" t="s">
        <v>75</v>
      </c>
      <c r="E387" s="783"/>
      <c r="F387" s="800" t="s">
        <v>260</v>
      </c>
      <c r="G387" s="826"/>
      <c r="H387" s="827"/>
      <c r="I387" s="828">
        <f>($I$385-参数输入表!$I$221-参数输入表!$I$636)*I48</f>
        <v>0</v>
      </c>
      <c r="J387" s="38" t="s">
        <v>130</v>
      </c>
      <c r="K387" s="827"/>
      <c r="L387" s="786"/>
    </row>
    <row r="388" s="660" customFormat="1" ht="16.5" hidden="1" spans="2:12">
      <c r="B388" s="739"/>
      <c r="C388" s="780"/>
      <c r="D388" s="781" t="s">
        <v>76</v>
      </c>
      <c r="E388" s="783"/>
      <c r="F388" s="800" t="s">
        <v>260</v>
      </c>
      <c r="G388" s="826"/>
      <c r="H388" s="827"/>
      <c r="I388" s="828">
        <f>($I$385-参数输入表!$I$221-参数输入表!$I$636)*I49</f>
        <v>0</v>
      </c>
      <c r="J388" s="38" t="s">
        <v>130</v>
      </c>
      <c r="K388" s="827"/>
      <c r="L388" s="786"/>
    </row>
    <row r="389" s="660" customFormat="1" ht="16.5" hidden="1" spans="2:12">
      <c r="B389" s="739"/>
      <c r="C389" s="780"/>
      <c r="D389" s="781" t="s">
        <v>77</v>
      </c>
      <c r="E389" s="783"/>
      <c r="F389" s="800" t="s">
        <v>260</v>
      </c>
      <c r="G389" s="826"/>
      <c r="H389" s="827"/>
      <c r="I389" s="828">
        <f>($I$385-参数输入表!$I$221-参数输入表!$I$636)*I50</f>
        <v>0</v>
      </c>
      <c r="J389" s="38" t="s">
        <v>130</v>
      </c>
      <c r="K389" s="827"/>
      <c r="L389" s="786"/>
    </row>
    <row r="390" s="660" customFormat="1" ht="16.5" hidden="1" spans="2:12">
      <c r="B390" s="739"/>
      <c r="C390" s="780"/>
      <c r="D390" s="781" t="s">
        <v>78</v>
      </c>
      <c r="E390" s="783"/>
      <c r="F390" s="800" t="s">
        <v>260</v>
      </c>
      <c r="G390" s="826"/>
      <c r="H390" s="827"/>
      <c r="I390" s="828">
        <f>($I$385-参数输入表!$I$221-参数输入表!$I$636)*I51</f>
        <v>0</v>
      </c>
      <c r="J390" s="38" t="s">
        <v>130</v>
      </c>
      <c r="K390" s="827"/>
      <c r="L390" s="786"/>
    </row>
    <row r="391" s="660" customFormat="1" ht="16.5" hidden="1" spans="2:12">
      <c r="B391" s="739"/>
      <c r="C391" s="780"/>
      <c r="D391" s="781" t="s">
        <v>79</v>
      </c>
      <c r="E391" s="783"/>
      <c r="F391" s="800" t="s">
        <v>260</v>
      </c>
      <c r="G391" s="826"/>
      <c r="H391" s="827"/>
      <c r="I391" s="828">
        <f>($I$385-参数输入表!$I$221-参数输入表!$I$636)*I52</f>
        <v>0</v>
      </c>
      <c r="J391" s="38" t="s">
        <v>130</v>
      </c>
      <c r="K391" s="827"/>
      <c r="L391" s="786"/>
    </row>
    <row r="392" s="660" customFormat="1" ht="16.5" hidden="1" spans="2:12">
      <c r="B392" s="739"/>
      <c r="C392" s="780"/>
      <c r="D392" s="781" t="s">
        <v>80</v>
      </c>
      <c r="E392" s="783"/>
      <c r="F392" s="800" t="s">
        <v>260</v>
      </c>
      <c r="G392" s="826"/>
      <c r="H392" s="827"/>
      <c r="I392" s="828">
        <f>($I$385-参数输入表!$I$221-参数输入表!$I$636)*I53</f>
        <v>0</v>
      </c>
      <c r="J392" s="38" t="s">
        <v>130</v>
      </c>
      <c r="K392" s="827"/>
      <c r="L392" s="786"/>
    </row>
    <row r="393" s="660" customFormat="1" ht="16.5" hidden="1" spans="2:12">
      <c r="B393" s="739"/>
      <c r="C393" s="780"/>
      <c r="D393" s="781" t="s">
        <v>81</v>
      </c>
      <c r="E393" s="783"/>
      <c r="F393" s="800" t="s">
        <v>260</v>
      </c>
      <c r="G393" s="826"/>
      <c r="H393" s="827"/>
      <c r="I393" s="828">
        <f>($I$385-参数输入表!$I$221-参数输入表!$I$636)*I54</f>
        <v>300924.768759967</v>
      </c>
      <c r="J393" s="38" t="s">
        <v>130</v>
      </c>
      <c r="K393" s="827"/>
      <c r="L393" s="786"/>
    </row>
    <row r="394" s="660" customFormat="1" ht="16.5" hidden="1" spans="2:12">
      <c r="B394" s="739"/>
      <c r="C394" s="780"/>
      <c r="D394" s="781" t="s">
        <v>82</v>
      </c>
      <c r="E394" s="783"/>
      <c r="F394" s="800" t="s">
        <v>260</v>
      </c>
      <c r="G394" s="826"/>
      <c r="H394" s="827"/>
      <c r="I394" s="828">
        <f>($I$385-参数输入表!$I$221-参数输入表!$I$636)*I55</f>
        <v>722219.44502392</v>
      </c>
      <c r="J394" s="38" t="s">
        <v>130</v>
      </c>
      <c r="K394" s="827"/>
      <c r="L394" s="786"/>
    </row>
    <row r="395" s="660" customFormat="1" ht="16.5" hidden="1" spans="2:12">
      <c r="B395" s="739"/>
      <c r="C395" s="780"/>
      <c r="D395" s="781" t="s">
        <v>83</v>
      </c>
      <c r="E395" s="783"/>
      <c r="F395" s="800" t="s">
        <v>260</v>
      </c>
      <c r="G395" s="826"/>
      <c r="H395" s="827"/>
      <c r="I395" s="828">
        <f>($I$385-参数输入表!$I$221-参数输入表!$I$636)*I56</f>
        <v>722219.44502392</v>
      </c>
      <c r="J395" s="38" t="s">
        <v>130</v>
      </c>
      <c r="K395" s="827"/>
      <c r="L395" s="786"/>
    </row>
    <row r="396" s="660" customFormat="1" ht="16.5" hidden="1" spans="2:12">
      <c r="B396" s="739"/>
      <c r="C396" s="780"/>
      <c r="D396" s="781" t="s">
        <v>84</v>
      </c>
      <c r="E396" s="783"/>
      <c r="F396" s="800" t="s">
        <v>260</v>
      </c>
      <c r="G396" s="826"/>
      <c r="H396" s="827"/>
      <c r="I396" s="828">
        <f>($I$385-参数输入表!$I$221-参数输入表!$I$636)*I57</f>
        <v>722219.44502392</v>
      </c>
      <c r="J396" s="38" t="s">
        <v>130</v>
      </c>
      <c r="K396" s="827"/>
      <c r="L396" s="786"/>
    </row>
    <row r="397" s="660" customFormat="1" ht="16.5" hidden="1" spans="2:12">
      <c r="B397" s="739"/>
      <c r="C397" s="780"/>
      <c r="D397" s="781" t="s">
        <v>85</v>
      </c>
      <c r="E397" s="783"/>
      <c r="F397" s="800" t="s">
        <v>260</v>
      </c>
      <c r="G397" s="826"/>
      <c r="H397" s="827"/>
      <c r="I397" s="828">
        <f>($I$385-参数输入表!$I$221-参数输入表!$I$636)*I58</f>
        <v>722219.44502392</v>
      </c>
      <c r="J397" s="38" t="s">
        <v>130</v>
      </c>
      <c r="K397" s="827"/>
      <c r="L397" s="786"/>
    </row>
    <row r="398" s="660" customFormat="1" ht="16.5" hidden="1" spans="2:12">
      <c r="B398" s="739"/>
      <c r="C398" s="780"/>
      <c r="D398" s="781" t="s">
        <v>86</v>
      </c>
      <c r="E398" s="783"/>
      <c r="F398" s="800" t="s">
        <v>260</v>
      </c>
      <c r="G398" s="826"/>
      <c r="H398" s="827"/>
      <c r="I398" s="828">
        <f>($I$385-参数输入表!$I$221-参数输入表!$I$636)*I59</f>
        <v>722219.44502392</v>
      </c>
      <c r="J398" s="38" t="s">
        <v>130</v>
      </c>
      <c r="K398" s="827"/>
      <c r="L398" s="786"/>
    </row>
    <row r="399" s="660" customFormat="1" ht="16.5" hidden="1" spans="2:12">
      <c r="B399" s="739"/>
      <c r="C399" s="780"/>
      <c r="D399" s="781" t="s">
        <v>87</v>
      </c>
      <c r="E399" s="783"/>
      <c r="F399" s="800" t="s">
        <v>260</v>
      </c>
      <c r="G399" s="826"/>
      <c r="H399" s="827"/>
      <c r="I399" s="828">
        <f>($I$385-参数输入表!$I$221-参数输入表!$I$636)*I60</f>
        <v>722219.44502392</v>
      </c>
      <c r="J399" s="38" t="s">
        <v>130</v>
      </c>
      <c r="K399" s="827"/>
      <c r="L399" s="786"/>
    </row>
    <row r="400" s="660" customFormat="1" ht="16.5" hidden="1" spans="2:12">
      <c r="B400" s="739"/>
      <c r="C400" s="780"/>
      <c r="D400" s="781" t="s">
        <v>88</v>
      </c>
      <c r="E400" s="783"/>
      <c r="F400" s="800" t="s">
        <v>260</v>
      </c>
      <c r="G400" s="826"/>
      <c r="H400" s="827"/>
      <c r="I400" s="828">
        <f>($I$385-参数输入表!$I$221-参数输入表!$I$636)*I61</f>
        <v>722219.44502392</v>
      </c>
      <c r="J400" s="38" t="s">
        <v>130</v>
      </c>
      <c r="K400" s="827"/>
      <c r="L400" s="786"/>
    </row>
    <row r="401" s="660" customFormat="1" ht="16.5" hidden="1" spans="2:12">
      <c r="B401" s="739"/>
      <c r="C401" s="780"/>
      <c r="D401" s="781" t="s">
        <v>89</v>
      </c>
      <c r="E401" s="783"/>
      <c r="F401" s="800" t="s">
        <v>260</v>
      </c>
      <c r="G401" s="826"/>
      <c r="H401" s="827"/>
      <c r="I401" s="828">
        <f>($I$385-参数输入表!$I$221-参数输入表!$I$636)*I62</f>
        <v>722219.44502392</v>
      </c>
      <c r="J401" s="38" t="s">
        <v>130</v>
      </c>
      <c r="K401" s="827"/>
      <c r="L401" s="786"/>
    </row>
    <row r="402" s="660" customFormat="1" ht="16.5" hidden="1" spans="2:12">
      <c r="B402" s="739"/>
      <c r="C402" s="780"/>
      <c r="D402" s="781" t="s">
        <v>90</v>
      </c>
      <c r="E402" s="783"/>
      <c r="F402" s="800" t="s">
        <v>260</v>
      </c>
      <c r="G402" s="826"/>
      <c r="H402" s="827"/>
      <c r="I402" s="828">
        <f>($I$385-参数输入表!$I$221-参数输入表!$I$636)*I63</f>
        <v>722219.44502392</v>
      </c>
      <c r="J402" s="38" t="s">
        <v>130</v>
      </c>
      <c r="K402" s="827"/>
      <c r="L402" s="786"/>
    </row>
    <row r="403" s="660" customFormat="1" ht="16.5" hidden="1" spans="2:12">
      <c r="B403" s="739"/>
      <c r="C403" s="780"/>
      <c r="D403" s="781" t="s">
        <v>91</v>
      </c>
      <c r="E403" s="783"/>
      <c r="F403" s="800" t="s">
        <v>260</v>
      </c>
      <c r="G403" s="826"/>
      <c r="H403" s="827"/>
      <c r="I403" s="828">
        <f>($I$385-参数输入表!$I$221-参数输入表!$I$636)*I64</f>
        <v>722219.44502392</v>
      </c>
      <c r="J403" s="38" t="s">
        <v>130</v>
      </c>
      <c r="K403" s="827"/>
      <c r="L403" s="786"/>
    </row>
    <row r="404" s="660" customFormat="1" ht="16.5" hidden="1" spans="2:12">
      <c r="B404" s="739"/>
      <c r="C404" s="780"/>
      <c r="D404" s="781" t="s">
        <v>92</v>
      </c>
      <c r="E404" s="783"/>
      <c r="F404" s="800" t="s">
        <v>260</v>
      </c>
      <c r="G404" s="826"/>
      <c r="H404" s="827"/>
      <c r="I404" s="828">
        <f>($I$385-参数输入表!$I$221-参数输入表!$I$636)*I65</f>
        <v>722219.44502392</v>
      </c>
      <c r="J404" s="38" t="s">
        <v>130</v>
      </c>
      <c r="K404" s="827"/>
      <c r="L404" s="786"/>
    </row>
    <row r="405" s="660" customFormat="1" ht="16.5" hidden="1" spans="2:12">
      <c r="B405" s="739"/>
      <c r="C405" s="780"/>
      <c r="D405" s="781" t="s">
        <v>93</v>
      </c>
      <c r="E405" s="783"/>
      <c r="F405" s="800" t="s">
        <v>260</v>
      </c>
      <c r="G405" s="826"/>
      <c r="H405" s="827"/>
      <c r="I405" s="828">
        <f>($I$385-参数输入表!$I$221-参数输入表!$I$636)*I66</f>
        <v>722219.44502392</v>
      </c>
      <c r="J405" s="38" t="s">
        <v>130</v>
      </c>
      <c r="K405" s="827"/>
      <c r="L405" s="786"/>
    </row>
    <row r="406" s="660" customFormat="1" ht="16.5" hidden="1" spans="2:12">
      <c r="B406" s="739"/>
      <c r="C406" s="780"/>
      <c r="D406" s="781" t="s">
        <v>94</v>
      </c>
      <c r="E406" s="783"/>
      <c r="F406" s="800" t="s">
        <v>260</v>
      </c>
      <c r="G406" s="826"/>
      <c r="H406" s="827"/>
      <c r="I406" s="828">
        <f>($I$385-参数输入表!$I$221-参数输入表!$I$636)*I67</f>
        <v>722219.44502392</v>
      </c>
      <c r="J406" s="38" t="s">
        <v>130</v>
      </c>
      <c r="K406" s="827"/>
      <c r="L406" s="786"/>
    </row>
    <row r="407" s="660" customFormat="1" ht="16.5" hidden="1" spans="2:12">
      <c r="B407" s="739"/>
      <c r="C407" s="780"/>
      <c r="D407" s="781" t="s">
        <v>95</v>
      </c>
      <c r="E407" s="783"/>
      <c r="F407" s="800" t="s">
        <v>260</v>
      </c>
      <c r="G407" s="826"/>
      <c r="H407" s="827"/>
      <c r="I407" s="828">
        <f>($I$385-参数输入表!$I$221-参数输入表!$I$636)*I68</f>
        <v>722219.44502392</v>
      </c>
      <c r="J407" s="38" t="s">
        <v>130</v>
      </c>
      <c r="K407" s="827"/>
      <c r="L407" s="786"/>
    </row>
    <row r="408" s="660" customFormat="1" ht="16.5" hidden="1" spans="2:12">
      <c r="B408" s="739"/>
      <c r="C408" s="780"/>
      <c r="D408" s="781" t="s">
        <v>96</v>
      </c>
      <c r="E408" s="783"/>
      <c r="F408" s="800" t="s">
        <v>260</v>
      </c>
      <c r="G408" s="826"/>
      <c r="H408" s="827"/>
      <c r="I408" s="828">
        <f>($I$385-参数输入表!$I$221-参数输入表!$I$636)*I69</f>
        <v>722219.44502392</v>
      </c>
      <c r="J408" s="38" t="s">
        <v>130</v>
      </c>
      <c r="K408" s="827"/>
      <c r="L408" s="786"/>
    </row>
    <row r="409" s="660" customFormat="1" ht="16.5" hidden="1" spans="2:12">
      <c r="B409" s="739"/>
      <c r="C409" s="780"/>
      <c r="D409" s="781" t="s">
        <v>97</v>
      </c>
      <c r="E409" s="783"/>
      <c r="F409" s="800" t="s">
        <v>260</v>
      </c>
      <c r="G409" s="826"/>
      <c r="H409" s="827"/>
      <c r="I409" s="828">
        <f>($I$385-参数输入表!$I$221-参数输入表!$I$636)*I70</f>
        <v>722219.44502392</v>
      </c>
      <c r="J409" s="38" t="s">
        <v>130</v>
      </c>
      <c r="K409" s="827"/>
      <c r="L409" s="786"/>
    </row>
    <row r="410" s="660" customFormat="1" ht="16.5" hidden="1" spans="2:12">
      <c r="B410" s="739"/>
      <c r="C410" s="780"/>
      <c r="D410" s="781" t="s">
        <v>98</v>
      </c>
      <c r="E410" s="783"/>
      <c r="F410" s="800" t="s">
        <v>260</v>
      </c>
      <c r="G410" s="826"/>
      <c r="H410" s="827"/>
      <c r="I410" s="828">
        <f>($I$385-参数输入表!$I$221-参数输入表!$I$636)*I71</f>
        <v>722219.44502392</v>
      </c>
      <c r="J410" s="38" t="s">
        <v>130</v>
      </c>
      <c r="K410" s="827"/>
      <c r="L410" s="786"/>
    </row>
    <row r="411" s="660" customFormat="1" ht="16.5" hidden="1" spans="2:12">
      <c r="B411" s="739"/>
      <c r="C411" s="780"/>
      <c r="D411" s="781" t="s">
        <v>99</v>
      </c>
      <c r="E411" s="783"/>
      <c r="F411" s="800" t="s">
        <v>260</v>
      </c>
      <c r="G411" s="826"/>
      <c r="H411" s="827"/>
      <c r="I411" s="828">
        <f>($I$385-参数输入表!$I$221-参数输入表!$I$636)*I72</f>
        <v>722219.44502392</v>
      </c>
      <c r="J411" s="38" t="s">
        <v>130</v>
      </c>
      <c r="K411" s="827"/>
      <c r="L411" s="786"/>
    </row>
    <row r="412" s="660" customFormat="1" ht="16.5" hidden="1" spans="2:12">
      <c r="B412" s="739"/>
      <c r="C412" s="780"/>
      <c r="D412" s="781" t="s">
        <v>100</v>
      </c>
      <c r="E412" s="783"/>
      <c r="F412" s="800" t="s">
        <v>260</v>
      </c>
      <c r="G412" s="826"/>
      <c r="H412" s="827"/>
      <c r="I412" s="828">
        <f>($I$385-参数输入表!$I$221-参数输入表!$I$636)*I73</f>
        <v>722219.44502392</v>
      </c>
      <c r="J412" s="38" t="s">
        <v>130</v>
      </c>
      <c r="K412" s="827"/>
      <c r="L412" s="786"/>
    </row>
    <row r="413" s="660" customFormat="1" ht="16.5" hidden="1" spans="2:12">
      <c r="B413" s="739"/>
      <c r="C413" s="780"/>
      <c r="D413" s="781" t="s">
        <v>101</v>
      </c>
      <c r="E413" s="783"/>
      <c r="F413" s="800" t="s">
        <v>260</v>
      </c>
      <c r="G413" s="826"/>
      <c r="H413" s="827"/>
      <c r="I413" s="828">
        <f>($I$385-参数输入表!$I$221-参数输入表!$I$636)*I74</f>
        <v>722219.44502392</v>
      </c>
      <c r="J413" s="38" t="s">
        <v>130</v>
      </c>
      <c r="K413" s="827"/>
      <c r="L413" s="786"/>
    </row>
    <row r="414" s="660" customFormat="1" ht="16.5" hidden="1" spans="2:12">
      <c r="B414" s="739"/>
      <c r="C414" s="780"/>
      <c r="D414" s="781" t="s">
        <v>102</v>
      </c>
      <c r="E414" s="783"/>
      <c r="F414" s="800" t="s">
        <v>260</v>
      </c>
      <c r="G414" s="826"/>
      <c r="H414" s="827"/>
      <c r="I414" s="828">
        <f>($I$385-参数输入表!$I$221-参数输入表!$I$636)*I75</f>
        <v>722219.44502392</v>
      </c>
      <c r="J414" s="38" t="s">
        <v>130</v>
      </c>
      <c r="K414" s="827"/>
      <c r="L414" s="786"/>
    </row>
    <row r="415" s="660" customFormat="1" ht="16.5" hidden="1" spans="2:12">
      <c r="B415" s="739"/>
      <c r="C415" s="780"/>
      <c r="D415" s="781" t="s">
        <v>103</v>
      </c>
      <c r="E415" s="783"/>
      <c r="F415" s="800" t="s">
        <v>260</v>
      </c>
      <c r="G415" s="826"/>
      <c r="H415" s="827"/>
      <c r="I415" s="828">
        <f>($I$385-参数输入表!$I$221-参数输入表!$I$636)*I76</f>
        <v>722219.44502392</v>
      </c>
      <c r="J415" s="38" t="s">
        <v>130</v>
      </c>
      <c r="K415" s="827"/>
      <c r="L415" s="786"/>
    </row>
    <row r="416" s="660" customFormat="1" ht="16.5" hidden="1" spans="2:12">
      <c r="B416" s="739"/>
      <c r="C416" s="780"/>
      <c r="D416" s="781" t="s">
        <v>104</v>
      </c>
      <c r="E416" s="783"/>
      <c r="F416" s="800" t="s">
        <v>260</v>
      </c>
      <c r="G416" s="826"/>
      <c r="H416" s="827"/>
      <c r="I416" s="828">
        <f>($I$385-参数输入表!$I$221-参数输入表!$I$636)*I77</f>
        <v>722219.44502392</v>
      </c>
      <c r="J416" s="38" t="s">
        <v>130</v>
      </c>
      <c r="K416" s="827"/>
      <c r="L416" s="786"/>
    </row>
    <row r="417" s="660" customFormat="1" ht="16.5" hidden="1" spans="2:12">
      <c r="B417" s="739"/>
      <c r="C417" s="780"/>
      <c r="D417" s="781" t="s">
        <v>105</v>
      </c>
      <c r="E417" s="783"/>
      <c r="F417" s="800" t="s">
        <v>260</v>
      </c>
      <c r="G417" s="826"/>
      <c r="H417" s="827"/>
      <c r="I417" s="828">
        <f>($I$385-参数输入表!$I$221-参数输入表!$I$636)*I78</f>
        <v>722219.44502392</v>
      </c>
      <c r="J417" s="38" t="s">
        <v>130</v>
      </c>
      <c r="K417" s="827"/>
      <c r="L417" s="786"/>
    </row>
    <row r="418" s="660" customFormat="1" ht="16.5" hidden="1" spans="2:12">
      <c r="B418" s="739"/>
      <c r="C418" s="780"/>
      <c r="D418" s="781" t="s">
        <v>106</v>
      </c>
      <c r="E418" s="783"/>
      <c r="F418" s="800" t="s">
        <v>260</v>
      </c>
      <c r="G418" s="826"/>
      <c r="H418" s="827"/>
      <c r="I418" s="828">
        <f>($I$385-参数输入表!$I$221-参数输入表!$I$636)*I79</f>
        <v>722219.44502392</v>
      </c>
      <c r="J418" s="38" t="s">
        <v>130</v>
      </c>
      <c r="K418" s="827"/>
      <c r="L418" s="786"/>
    </row>
    <row r="419" s="660" customFormat="1" ht="16.5" hidden="1" spans="2:12">
      <c r="B419" s="739"/>
      <c r="C419" s="780"/>
      <c r="D419" s="781" t="s">
        <v>107</v>
      </c>
      <c r="E419" s="783"/>
      <c r="F419" s="800" t="s">
        <v>260</v>
      </c>
      <c r="G419" s="826"/>
      <c r="H419" s="827"/>
      <c r="I419" s="828">
        <f>($I$385-参数输入表!$I$221-参数输入表!$I$636)*I80</f>
        <v>722219.44502392</v>
      </c>
      <c r="J419" s="38" t="s">
        <v>130</v>
      </c>
      <c r="K419" s="827"/>
      <c r="L419" s="786"/>
    </row>
    <row r="420" s="660" customFormat="1" ht="16.5" hidden="1" spans="2:12">
      <c r="B420" s="739"/>
      <c r="C420" s="780"/>
      <c r="D420" s="781" t="s">
        <v>108</v>
      </c>
      <c r="E420" s="783"/>
      <c r="F420" s="800" t="s">
        <v>260</v>
      </c>
      <c r="G420" s="826"/>
      <c r="H420" s="827"/>
      <c r="I420" s="828">
        <f>($I$385-参数输入表!$I$221-参数输入表!$I$636)*I81</f>
        <v>722219.44502392</v>
      </c>
      <c r="J420" s="38" t="s">
        <v>130</v>
      </c>
      <c r="K420" s="827"/>
      <c r="L420" s="786"/>
    </row>
    <row r="421" s="660" customFormat="1" ht="16.5" hidden="1" spans="2:12">
      <c r="B421" s="739"/>
      <c r="C421" s="780"/>
      <c r="D421" s="781" t="s">
        <v>109</v>
      </c>
      <c r="E421" s="783"/>
      <c r="F421" s="800" t="s">
        <v>260</v>
      </c>
      <c r="G421" s="826"/>
      <c r="H421" s="827"/>
      <c r="I421" s="828">
        <f>($I$385-参数输入表!$I$221-参数输入表!$I$636)*I82</f>
        <v>722219.44502392</v>
      </c>
      <c r="J421" s="38" t="s">
        <v>130</v>
      </c>
      <c r="K421" s="827"/>
      <c r="L421" s="786"/>
    </row>
    <row r="422" s="660" customFormat="1" ht="16.5" hidden="1" spans="2:12">
      <c r="B422" s="739"/>
      <c r="C422" s="780"/>
      <c r="D422" s="781" t="s">
        <v>110</v>
      </c>
      <c r="E422" s="783"/>
      <c r="F422" s="800" t="s">
        <v>260</v>
      </c>
      <c r="G422" s="826"/>
      <c r="H422" s="827"/>
      <c r="I422" s="828">
        <f>($I$385-参数输入表!$I$221-参数输入表!$I$636)*I83</f>
        <v>722219.44502392</v>
      </c>
      <c r="J422" s="38" t="s">
        <v>130</v>
      </c>
      <c r="K422" s="827"/>
      <c r="L422" s="786"/>
    </row>
    <row r="423" s="660" customFormat="1" ht="16.5" hidden="1" spans="2:12">
      <c r="B423" s="739"/>
      <c r="C423" s="780"/>
      <c r="D423" s="781" t="s">
        <v>111</v>
      </c>
      <c r="E423" s="783"/>
      <c r="F423" s="800" t="s">
        <v>260</v>
      </c>
      <c r="G423" s="826"/>
      <c r="H423" s="827"/>
      <c r="I423" s="828">
        <f>($I$385-参数输入表!$I$221-参数输入表!$I$636)*I84</f>
        <v>722219.44502392</v>
      </c>
      <c r="J423" s="38" t="s">
        <v>130</v>
      </c>
      <c r="K423" s="827"/>
      <c r="L423" s="786"/>
    </row>
    <row r="424" s="660" customFormat="1" ht="16.5" hidden="1" spans="2:12">
      <c r="B424" s="739"/>
      <c r="C424" s="780"/>
      <c r="D424" s="781" t="s">
        <v>112</v>
      </c>
      <c r="E424" s="783"/>
      <c r="F424" s="800" t="s">
        <v>260</v>
      </c>
      <c r="G424" s="826"/>
      <c r="H424" s="827"/>
      <c r="I424" s="828">
        <f>($I$385-参数输入表!$I$221-参数输入表!$I$636)*I85</f>
        <v>722219.44502392</v>
      </c>
      <c r="J424" s="38" t="s">
        <v>130</v>
      </c>
      <c r="K424" s="827"/>
      <c r="L424" s="786"/>
    </row>
    <row r="425" s="660" customFormat="1" ht="16.5" hidden="1" spans="2:12">
      <c r="B425" s="739"/>
      <c r="C425" s="780"/>
      <c r="D425" s="781" t="s">
        <v>113</v>
      </c>
      <c r="E425" s="783"/>
      <c r="F425" s="800" t="s">
        <v>260</v>
      </c>
      <c r="G425" s="826"/>
      <c r="H425" s="827"/>
      <c r="I425" s="828">
        <f>($I$385-参数输入表!$I$221-参数输入表!$I$636)*I86</f>
        <v>722219.44502392</v>
      </c>
      <c r="J425" s="38" t="s">
        <v>130</v>
      </c>
      <c r="K425" s="827"/>
      <c r="L425" s="786"/>
    </row>
    <row r="426" s="660" customFormat="1" ht="16.5" hidden="1" spans="2:12">
      <c r="B426" s="739"/>
      <c r="C426" s="780"/>
      <c r="D426" s="781" t="s">
        <v>114</v>
      </c>
      <c r="E426" s="783"/>
      <c r="F426" s="800" t="s">
        <v>260</v>
      </c>
      <c r="G426" s="826"/>
      <c r="H426" s="827"/>
      <c r="I426" s="828">
        <f>($I$385-参数输入表!$I$221-参数输入表!$I$636)*I87</f>
        <v>722219.44502392</v>
      </c>
      <c r="J426" s="38" t="s">
        <v>130</v>
      </c>
      <c r="K426" s="827"/>
      <c r="L426" s="786"/>
    </row>
    <row r="427" s="660" customFormat="1" ht="16.5" hidden="1" spans="2:12">
      <c r="B427" s="739"/>
      <c r="C427" s="780"/>
      <c r="D427" s="781" t="s">
        <v>115</v>
      </c>
      <c r="E427" s="783"/>
      <c r="F427" s="800" t="s">
        <v>260</v>
      </c>
      <c r="G427" s="826"/>
      <c r="H427" s="827"/>
      <c r="I427" s="828">
        <f>($I$385-参数输入表!$I$221-参数输入表!$I$636)*I88</f>
        <v>722219.44502392</v>
      </c>
      <c r="J427" s="38" t="s">
        <v>130</v>
      </c>
      <c r="K427" s="827"/>
      <c r="L427" s="786"/>
    </row>
    <row r="428" s="660" customFormat="1" ht="16.5" hidden="1" spans="2:12">
      <c r="B428" s="739"/>
      <c r="C428" s="780"/>
      <c r="D428" s="781" t="s">
        <v>116</v>
      </c>
      <c r="E428" s="783"/>
      <c r="F428" s="800" t="s">
        <v>260</v>
      </c>
      <c r="G428" s="826"/>
      <c r="H428" s="827"/>
      <c r="I428" s="828">
        <f>($I$385-参数输入表!$I$221-参数输入表!$I$636)*I89</f>
        <v>722219.44502392</v>
      </c>
      <c r="J428" s="38" t="s">
        <v>130</v>
      </c>
      <c r="K428" s="827"/>
      <c r="L428" s="786"/>
    </row>
    <row r="429" s="660" customFormat="1" ht="16.5" hidden="1" spans="2:12">
      <c r="B429" s="739"/>
      <c r="C429" s="780"/>
      <c r="D429" s="781" t="s">
        <v>117</v>
      </c>
      <c r="E429" s="783"/>
      <c r="F429" s="800" t="s">
        <v>260</v>
      </c>
      <c r="G429" s="826"/>
      <c r="H429" s="827"/>
      <c r="I429" s="828">
        <f>($I$385-参数输入表!$I$221-参数输入表!$I$636)*I90</f>
        <v>722219.44502392</v>
      </c>
      <c r="J429" s="38" t="s">
        <v>130</v>
      </c>
      <c r="K429" s="827"/>
      <c r="L429" s="786"/>
    </row>
    <row r="430" s="660" customFormat="1" ht="16.5" hidden="1" spans="2:12">
      <c r="B430" s="739"/>
      <c r="C430" s="780"/>
      <c r="D430" s="781" t="s">
        <v>118</v>
      </c>
      <c r="E430" s="783"/>
      <c r="F430" s="800" t="s">
        <v>260</v>
      </c>
      <c r="G430" s="826"/>
      <c r="H430" s="827"/>
      <c r="I430" s="828">
        <f>($I$385-参数输入表!$I$221-参数输入表!$I$636)*I91</f>
        <v>722219.44502392</v>
      </c>
      <c r="J430" s="38" t="s">
        <v>130</v>
      </c>
      <c r="K430" s="827"/>
      <c r="L430" s="786"/>
    </row>
    <row r="431" s="660" customFormat="1" ht="16.5" hidden="1" spans="2:12">
      <c r="B431" s="739"/>
      <c r="C431" s="780"/>
      <c r="D431" s="781" t="s">
        <v>119</v>
      </c>
      <c r="E431" s="783"/>
      <c r="F431" s="800" t="s">
        <v>260</v>
      </c>
      <c r="G431" s="826"/>
      <c r="H431" s="827"/>
      <c r="I431" s="828">
        <f>($I$385-参数输入表!$I$221-参数输入表!$I$636)*I92</f>
        <v>722219.44502392</v>
      </c>
      <c r="J431" s="38" t="s">
        <v>130</v>
      </c>
      <c r="K431" s="827"/>
      <c r="L431" s="786"/>
    </row>
    <row r="432" s="660" customFormat="1" ht="16.5" hidden="1" spans="2:12">
      <c r="B432" s="739"/>
      <c r="C432" s="780"/>
      <c r="D432" s="781" t="s">
        <v>120</v>
      </c>
      <c r="E432" s="783"/>
      <c r="F432" s="800" t="s">
        <v>260</v>
      </c>
      <c r="G432" s="826"/>
      <c r="H432" s="827"/>
      <c r="I432" s="828">
        <f>($I$385-参数输入表!$I$221-参数输入表!$I$636)*I93</f>
        <v>722219.44502392</v>
      </c>
      <c r="J432" s="38" t="s">
        <v>130</v>
      </c>
      <c r="K432" s="827"/>
      <c r="L432" s="786"/>
    </row>
    <row r="433" s="660" customFormat="1" ht="16.5" hidden="1" spans="2:12">
      <c r="B433" s="739"/>
      <c r="C433" s="780"/>
      <c r="D433" s="781" t="s">
        <v>121</v>
      </c>
      <c r="E433" s="783"/>
      <c r="F433" s="800" t="s">
        <v>260</v>
      </c>
      <c r="G433" s="826"/>
      <c r="H433" s="827"/>
      <c r="I433" s="828">
        <f>($I$385-参数输入表!$I$221-参数输入表!$I$636)*I94</f>
        <v>421294.676263953</v>
      </c>
      <c r="J433" s="38" t="s">
        <v>130</v>
      </c>
      <c r="K433" s="827"/>
      <c r="L433" s="786"/>
    </row>
    <row r="434" spans="2:12">
      <c r="B434" s="739"/>
      <c r="C434" s="765">
        <v>2.2</v>
      </c>
      <c r="D434" s="54" t="s">
        <v>261</v>
      </c>
      <c r="E434" s="743" t="s">
        <v>262</v>
      </c>
      <c r="F434" s="742"/>
      <c r="G434" s="743"/>
      <c r="H434" s="762"/>
      <c r="I434" s="768"/>
      <c r="J434" s="38"/>
      <c r="K434" s="762"/>
      <c r="L434" s="132"/>
    </row>
    <row r="435" spans="2:12">
      <c r="B435" s="739"/>
      <c r="C435" s="765"/>
      <c r="D435" s="86" t="s">
        <v>250</v>
      </c>
      <c r="E435" s="743" t="s">
        <v>49</v>
      </c>
      <c r="F435" s="742" t="s">
        <v>263</v>
      </c>
      <c r="G435" s="743"/>
      <c r="H435" s="762"/>
      <c r="I435" s="763">
        <v>0.015</v>
      </c>
      <c r="J435" s="38" t="s">
        <v>31</v>
      </c>
      <c r="K435" s="762"/>
      <c r="L435" s="132"/>
    </row>
    <row r="436" spans="2:12">
      <c r="B436" s="739"/>
      <c r="C436" s="765">
        <v>2.3</v>
      </c>
      <c r="D436" s="54" t="s">
        <v>253</v>
      </c>
      <c r="E436" s="743" t="s">
        <v>59</v>
      </c>
      <c r="F436" s="742"/>
      <c r="G436" s="743"/>
      <c r="H436" s="762" t="s">
        <v>254</v>
      </c>
      <c r="I436" s="822">
        <v>0.09</v>
      </c>
      <c r="J436" s="38" t="s">
        <v>31</v>
      </c>
      <c r="K436" s="762"/>
      <c r="L436" s="132"/>
    </row>
    <row r="437" ht="52.8" customHeight="1" spans="2:12">
      <c r="B437" s="739"/>
      <c r="C437" s="661">
        <v>3</v>
      </c>
      <c r="D437" s="795" t="s">
        <v>264</v>
      </c>
      <c r="E437" s="741" t="s">
        <v>242</v>
      </c>
      <c r="F437" s="800" t="s">
        <v>256</v>
      </c>
      <c r="G437" s="821" t="s">
        <v>265</v>
      </c>
      <c r="H437" s="762"/>
      <c r="I437" s="768"/>
      <c r="J437" s="38"/>
      <c r="K437" s="762" t="s">
        <v>266</v>
      </c>
      <c r="L437" s="132"/>
    </row>
    <row r="438" ht="33.6" customHeight="1" spans="2:12">
      <c r="B438" s="739"/>
      <c r="C438" s="765">
        <v>3.1</v>
      </c>
      <c r="D438" s="54" t="s">
        <v>258</v>
      </c>
      <c r="E438" s="743" t="s">
        <v>59</v>
      </c>
      <c r="F438" s="800"/>
      <c r="G438" s="801"/>
      <c r="H438" s="824" t="s">
        <v>267</v>
      </c>
      <c r="I438" s="825">
        <f>I213</f>
        <v>869973.95</v>
      </c>
      <c r="J438" s="38" t="s">
        <v>130</v>
      </c>
      <c r="K438" s="829"/>
      <c r="L438" s="132"/>
    </row>
    <row r="439" s="660" customFormat="1" ht="16.5" hidden="1" spans="2:12">
      <c r="B439" s="739"/>
      <c r="C439" s="780"/>
      <c r="D439" s="781" t="s">
        <v>74</v>
      </c>
      <c r="E439" s="783"/>
      <c r="F439" s="800" t="s">
        <v>260</v>
      </c>
      <c r="G439" s="830"/>
      <c r="H439" s="831"/>
      <c r="I439" s="828">
        <f>($I$438-参数输入表!$I$221-参数输入表!$I$636)*I47</f>
        <v>0</v>
      </c>
      <c r="J439" s="38" t="s">
        <v>130</v>
      </c>
      <c r="K439" s="831"/>
      <c r="L439" s="786"/>
    </row>
    <row r="440" s="660" customFormat="1" ht="16.5" hidden="1" spans="2:12">
      <c r="B440" s="739"/>
      <c r="C440" s="780"/>
      <c r="D440" s="781" t="s">
        <v>75</v>
      </c>
      <c r="E440" s="783"/>
      <c r="F440" s="800" t="s">
        <v>260</v>
      </c>
      <c r="G440" s="830"/>
      <c r="H440" s="831"/>
      <c r="I440" s="828">
        <f>($I$438-参数输入表!$I$221-参数输入表!$I$636)*I48</f>
        <v>0</v>
      </c>
      <c r="J440" s="38" t="s">
        <v>130</v>
      </c>
      <c r="K440" s="831"/>
      <c r="L440" s="786"/>
    </row>
    <row r="441" s="660" customFormat="1" ht="16.5" hidden="1" spans="2:12">
      <c r="B441" s="739"/>
      <c r="C441" s="780"/>
      <c r="D441" s="781" t="s">
        <v>76</v>
      </c>
      <c r="E441" s="783"/>
      <c r="F441" s="800" t="s">
        <v>260</v>
      </c>
      <c r="G441" s="830"/>
      <c r="H441" s="831"/>
      <c r="I441" s="828">
        <f>($I$438-参数输入表!$I$221-参数输入表!$I$636)*I49</f>
        <v>0</v>
      </c>
      <c r="J441" s="38" t="s">
        <v>130</v>
      </c>
      <c r="K441" s="831"/>
      <c r="L441" s="786"/>
    </row>
    <row r="442" s="660" customFormat="1" ht="16.5" hidden="1" spans="2:12">
      <c r="B442" s="739"/>
      <c r="C442" s="780"/>
      <c r="D442" s="781" t="s">
        <v>77</v>
      </c>
      <c r="E442" s="783"/>
      <c r="F442" s="800" t="s">
        <v>260</v>
      </c>
      <c r="G442" s="830"/>
      <c r="H442" s="831"/>
      <c r="I442" s="828">
        <f>($I$438-参数输入表!$I$221-参数输入表!$I$636)*I50</f>
        <v>0</v>
      </c>
      <c r="J442" s="38" t="s">
        <v>130</v>
      </c>
      <c r="K442" s="831"/>
      <c r="L442" s="786"/>
    </row>
    <row r="443" s="660" customFormat="1" ht="16.5" hidden="1" spans="2:12">
      <c r="B443" s="739"/>
      <c r="C443" s="780"/>
      <c r="D443" s="781" t="s">
        <v>78</v>
      </c>
      <c r="E443" s="783"/>
      <c r="F443" s="800" t="s">
        <v>260</v>
      </c>
      <c r="G443" s="830"/>
      <c r="H443" s="831"/>
      <c r="I443" s="828">
        <f>($I$438-参数输入表!$I$221-参数输入表!$I$636)*I51</f>
        <v>0</v>
      </c>
      <c r="J443" s="38" t="s">
        <v>130</v>
      </c>
      <c r="K443" s="831"/>
      <c r="L443" s="786"/>
    </row>
    <row r="444" s="660" customFormat="1" ht="16.5" hidden="1" spans="2:12">
      <c r="B444" s="739"/>
      <c r="C444" s="780"/>
      <c r="D444" s="781" t="s">
        <v>79</v>
      </c>
      <c r="E444" s="783"/>
      <c r="F444" s="800" t="s">
        <v>260</v>
      </c>
      <c r="G444" s="830"/>
      <c r="H444" s="831"/>
      <c r="I444" s="828">
        <f>($I$438-参数输入表!$I$221-参数输入表!$I$636)*I52</f>
        <v>0</v>
      </c>
      <c r="J444" s="38" t="s">
        <v>130</v>
      </c>
      <c r="K444" s="831"/>
      <c r="L444" s="786"/>
    </row>
    <row r="445" s="660" customFormat="1" ht="16.5" hidden="1" spans="2:12">
      <c r="B445" s="739"/>
      <c r="C445" s="780"/>
      <c r="D445" s="781" t="s">
        <v>80</v>
      </c>
      <c r="E445" s="783"/>
      <c r="F445" s="800" t="s">
        <v>260</v>
      </c>
      <c r="G445" s="830"/>
      <c r="H445" s="831"/>
      <c r="I445" s="828">
        <f>($I$438-参数输入表!$I$221-参数输入表!$I$636)*I53</f>
        <v>0</v>
      </c>
      <c r="J445" s="38" t="s">
        <v>130</v>
      </c>
      <c r="K445" s="831"/>
      <c r="L445" s="786"/>
    </row>
    <row r="446" s="660" customFormat="1" ht="16.5" hidden="1" spans="2:12">
      <c r="B446" s="739"/>
      <c r="C446" s="780"/>
      <c r="D446" s="781" t="s">
        <v>81</v>
      </c>
      <c r="E446" s="783"/>
      <c r="F446" s="800" t="s">
        <v>260</v>
      </c>
      <c r="G446" s="830"/>
      <c r="H446" s="831"/>
      <c r="I446" s="828">
        <f>($I$438-参数输入表!$I$221-参数输入表!$I$636)*I54</f>
        <v>300924.768759967</v>
      </c>
      <c r="J446" s="38" t="s">
        <v>130</v>
      </c>
      <c r="K446" s="831"/>
      <c r="L446" s="786"/>
    </row>
    <row r="447" s="660" customFormat="1" ht="16.5" hidden="1" spans="2:12">
      <c r="B447" s="739"/>
      <c r="C447" s="780"/>
      <c r="D447" s="781" t="s">
        <v>82</v>
      </c>
      <c r="E447" s="783"/>
      <c r="F447" s="800" t="s">
        <v>260</v>
      </c>
      <c r="G447" s="830"/>
      <c r="H447" s="831"/>
      <c r="I447" s="828">
        <f>($I$438-参数输入表!$I$221-参数输入表!$I$636)*I55</f>
        <v>722219.44502392</v>
      </c>
      <c r="J447" s="38" t="s">
        <v>130</v>
      </c>
      <c r="K447" s="831"/>
      <c r="L447" s="786"/>
    </row>
    <row r="448" s="660" customFormat="1" ht="16.5" hidden="1" spans="2:12">
      <c r="B448" s="739"/>
      <c r="C448" s="780"/>
      <c r="D448" s="781" t="s">
        <v>83</v>
      </c>
      <c r="E448" s="783"/>
      <c r="F448" s="800" t="s">
        <v>260</v>
      </c>
      <c r="G448" s="830"/>
      <c r="H448" s="831"/>
      <c r="I448" s="828">
        <f>($I$438-参数输入表!$I$221-参数输入表!$I$636)*I56</f>
        <v>722219.44502392</v>
      </c>
      <c r="J448" s="38" t="s">
        <v>130</v>
      </c>
      <c r="K448" s="831"/>
      <c r="L448" s="786"/>
    </row>
    <row r="449" s="660" customFormat="1" ht="16.5" hidden="1" spans="2:12">
      <c r="B449" s="739"/>
      <c r="C449" s="780"/>
      <c r="D449" s="781" t="s">
        <v>84</v>
      </c>
      <c r="E449" s="783"/>
      <c r="F449" s="800" t="s">
        <v>260</v>
      </c>
      <c r="G449" s="830"/>
      <c r="H449" s="831"/>
      <c r="I449" s="828">
        <f>($I$438-参数输入表!$I$221-参数输入表!$I$636)*I57</f>
        <v>722219.44502392</v>
      </c>
      <c r="J449" s="38" t="s">
        <v>130</v>
      </c>
      <c r="K449" s="831"/>
      <c r="L449" s="786"/>
    </row>
    <row r="450" s="660" customFormat="1" ht="16.5" hidden="1" spans="2:12">
      <c r="B450" s="739"/>
      <c r="C450" s="780"/>
      <c r="D450" s="781" t="s">
        <v>85</v>
      </c>
      <c r="E450" s="783"/>
      <c r="F450" s="800" t="s">
        <v>260</v>
      </c>
      <c r="G450" s="830"/>
      <c r="H450" s="831"/>
      <c r="I450" s="828">
        <f>($I$438-参数输入表!$I$221-参数输入表!$I$636)*I58</f>
        <v>722219.44502392</v>
      </c>
      <c r="J450" s="38" t="s">
        <v>130</v>
      </c>
      <c r="K450" s="831"/>
      <c r="L450" s="786"/>
    </row>
    <row r="451" s="660" customFormat="1" ht="16.5" hidden="1" spans="2:12">
      <c r="B451" s="739"/>
      <c r="C451" s="780"/>
      <c r="D451" s="781" t="s">
        <v>86</v>
      </c>
      <c r="E451" s="783"/>
      <c r="F451" s="800" t="s">
        <v>260</v>
      </c>
      <c r="G451" s="830"/>
      <c r="H451" s="831"/>
      <c r="I451" s="828">
        <f>($I$438-参数输入表!$I$221-参数输入表!$I$636)*I59</f>
        <v>722219.44502392</v>
      </c>
      <c r="J451" s="38" t="s">
        <v>130</v>
      </c>
      <c r="K451" s="831"/>
      <c r="L451" s="786"/>
    </row>
    <row r="452" s="660" customFormat="1" ht="16.5" hidden="1" spans="2:12">
      <c r="B452" s="739"/>
      <c r="C452" s="780"/>
      <c r="D452" s="781" t="s">
        <v>87</v>
      </c>
      <c r="E452" s="783"/>
      <c r="F452" s="800" t="s">
        <v>260</v>
      </c>
      <c r="G452" s="830"/>
      <c r="H452" s="831"/>
      <c r="I452" s="828">
        <f>($I$438-参数输入表!$I$221-参数输入表!$I$636)*I60</f>
        <v>722219.44502392</v>
      </c>
      <c r="J452" s="38" t="s">
        <v>130</v>
      </c>
      <c r="K452" s="831"/>
      <c r="L452" s="786"/>
    </row>
    <row r="453" s="660" customFormat="1" ht="16.5" hidden="1" spans="2:12">
      <c r="B453" s="739"/>
      <c r="C453" s="780"/>
      <c r="D453" s="781" t="s">
        <v>88</v>
      </c>
      <c r="E453" s="783"/>
      <c r="F453" s="800" t="s">
        <v>260</v>
      </c>
      <c r="G453" s="830"/>
      <c r="H453" s="831"/>
      <c r="I453" s="828">
        <f>($I$438-参数输入表!$I$221-参数输入表!$I$636)*I61</f>
        <v>722219.44502392</v>
      </c>
      <c r="J453" s="38" t="s">
        <v>130</v>
      </c>
      <c r="K453" s="831"/>
      <c r="L453" s="786"/>
    </row>
    <row r="454" s="660" customFormat="1" ht="16.5" hidden="1" spans="2:12">
      <c r="B454" s="739"/>
      <c r="C454" s="780"/>
      <c r="D454" s="781" t="s">
        <v>89</v>
      </c>
      <c r="E454" s="783"/>
      <c r="F454" s="800" t="s">
        <v>260</v>
      </c>
      <c r="G454" s="830"/>
      <c r="H454" s="831"/>
      <c r="I454" s="828">
        <f>($I$438-参数输入表!$I$221-参数输入表!$I$636)*I62</f>
        <v>722219.44502392</v>
      </c>
      <c r="J454" s="38" t="s">
        <v>130</v>
      </c>
      <c r="K454" s="831"/>
      <c r="L454" s="786"/>
    </row>
    <row r="455" s="660" customFormat="1" ht="16.5" hidden="1" spans="2:12">
      <c r="B455" s="739"/>
      <c r="C455" s="780"/>
      <c r="D455" s="781" t="s">
        <v>90</v>
      </c>
      <c r="E455" s="783"/>
      <c r="F455" s="800" t="s">
        <v>260</v>
      </c>
      <c r="G455" s="830"/>
      <c r="H455" s="831"/>
      <c r="I455" s="828">
        <f>($I$438-参数输入表!$I$221-参数输入表!$I$636)*I63</f>
        <v>722219.44502392</v>
      </c>
      <c r="J455" s="38" t="s">
        <v>130</v>
      </c>
      <c r="K455" s="831"/>
      <c r="L455" s="786"/>
    </row>
    <row r="456" s="660" customFormat="1" ht="16.5" hidden="1" spans="2:12">
      <c r="B456" s="739"/>
      <c r="C456" s="780"/>
      <c r="D456" s="781" t="s">
        <v>91</v>
      </c>
      <c r="E456" s="783"/>
      <c r="F456" s="800" t="s">
        <v>260</v>
      </c>
      <c r="G456" s="830"/>
      <c r="H456" s="831"/>
      <c r="I456" s="828">
        <f>($I$438-参数输入表!$I$221-参数输入表!$I$636)*I64</f>
        <v>722219.44502392</v>
      </c>
      <c r="J456" s="38" t="s">
        <v>130</v>
      </c>
      <c r="K456" s="831"/>
      <c r="L456" s="786"/>
    </row>
    <row r="457" s="660" customFormat="1" ht="16.5" hidden="1" spans="2:12">
      <c r="B457" s="739"/>
      <c r="C457" s="780"/>
      <c r="D457" s="781" t="s">
        <v>92</v>
      </c>
      <c r="E457" s="783"/>
      <c r="F457" s="800" t="s">
        <v>260</v>
      </c>
      <c r="G457" s="830"/>
      <c r="H457" s="831"/>
      <c r="I457" s="828">
        <f>($I$438-参数输入表!$I$221-参数输入表!$I$636)*I65</f>
        <v>722219.44502392</v>
      </c>
      <c r="J457" s="38" t="s">
        <v>130</v>
      </c>
      <c r="K457" s="831"/>
      <c r="L457" s="786"/>
    </row>
    <row r="458" s="660" customFormat="1" ht="16.5" hidden="1" spans="2:12">
      <c r="B458" s="739"/>
      <c r="C458" s="780"/>
      <c r="D458" s="781" t="s">
        <v>93</v>
      </c>
      <c r="E458" s="783"/>
      <c r="F458" s="800" t="s">
        <v>260</v>
      </c>
      <c r="G458" s="830"/>
      <c r="H458" s="831"/>
      <c r="I458" s="828">
        <f>($I$438-参数输入表!$I$221-参数输入表!$I$636)*I66</f>
        <v>722219.44502392</v>
      </c>
      <c r="J458" s="38" t="s">
        <v>130</v>
      </c>
      <c r="K458" s="831"/>
      <c r="L458" s="786"/>
    </row>
    <row r="459" s="660" customFormat="1" ht="16.5" hidden="1" spans="2:12">
      <c r="B459" s="739"/>
      <c r="C459" s="780"/>
      <c r="D459" s="781" t="s">
        <v>94</v>
      </c>
      <c r="E459" s="783"/>
      <c r="F459" s="800" t="s">
        <v>260</v>
      </c>
      <c r="G459" s="830"/>
      <c r="H459" s="831"/>
      <c r="I459" s="828">
        <f>($I$438-参数输入表!$I$221-参数输入表!$I$636)*I67</f>
        <v>722219.44502392</v>
      </c>
      <c r="J459" s="38" t="s">
        <v>130</v>
      </c>
      <c r="K459" s="831"/>
      <c r="L459" s="786"/>
    </row>
    <row r="460" s="660" customFormat="1" ht="16.5" hidden="1" spans="2:12">
      <c r="B460" s="739"/>
      <c r="C460" s="780"/>
      <c r="D460" s="781" t="s">
        <v>95</v>
      </c>
      <c r="E460" s="783"/>
      <c r="F460" s="800" t="s">
        <v>260</v>
      </c>
      <c r="G460" s="830"/>
      <c r="H460" s="831"/>
      <c r="I460" s="828">
        <f>($I$438-参数输入表!$I$221-参数输入表!$I$636)*I68</f>
        <v>722219.44502392</v>
      </c>
      <c r="J460" s="38" t="s">
        <v>130</v>
      </c>
      <c r="K460" s="831"/>
      <c r="L460" s="786"/>
    </row>
    <row r="461" s="660" customFormat="1" ht="16.5" hidden="1" spans="2:12">
      <c r="B461" s="739"/>
      <c r="C461" s="780"/>
      <c r="D461" s="781" t="s">
        <v>96</v>
      </c>
      <c r="E461" s="783"/>
      <c r="F461" s="800" t="s">
        <v>260</v>
      </c>
      <c r="G461" s="830"/>
      <c r="H461" s="831"/>
      <c r="I461" s="828">
        <f>($I$438-参数输入表!$I$221-参数输入表!$I$636)*I69</f>
        <v>722219.44502392</v>
      </c>
      <c r="J461" s="38" t="s">
        <v>130</v>
      </c>
      <c r="K461" s="831"/>
      <c r="L461" s="786"/>
    </row>
    <row r="462" s="660" customFormat="1" ht="16.5" hidden="1" spans="2:12">
      <c r="B462" s="739"/>
      <c r="C462" s="780"/>
      <c r="D462" s="781" t="s">
        <v>97</v>
      </c>
      <c r="E462" s="783"/>
      <c r="F462" s="800" t="s">
        <v>260</v>
      </c>
      <c r="G462" s="830"/>
      <c r="H462" s="831"/>
      <c r="I462" s="828">
        <f>($I$438-参数输入表!$I$221-参数输入表!$I$636)*I70</f>
        <v>722219.44502392</v>
      </c>
      <c r="J462" s="38" t="s">
        <v>130</v>
      </c>
      <c r="K462" s="831"/>
      <c r="L462" s="786"/>
    </row>
    <row r="463" s="660" customFormat="1" ht="16.5" hidden="1" spans="2:12">
      <c r="B463" s="739"/>
      <c r="C463" s="780"/>
      <c r="D463" s="781" t="s">
        <v>98</v>
      </c>
      <c r="E463" s="783"/>
      <c r="F463" s="800" t="s">
        <v>260</v>
      </c>
      <c r="G463" s="830"/>
      <c r="H463" s="831"/>
      <c r="I463" s="828">
        <f>($I$438-参数输入表!$I$221-参数输入表!$I$636)*I71</f>
        <v>722219.44502392</v>
      </c>
      <c r="J463" s="38" t="s">
        <v>130</v>
      </c>
      <c r="K463" s="831"/>
      <c r="L463" s="786"/>
    </row>
    <row r="464" s="660" customFormat="1" ht="16.5" hidden="1" spans="2:12">
      <c r="B464" s="739"/>
      <c r="C464" s="780"/>
      <c r="D464" s="781" t="s">
        <v>99</v>
      </c>
      <c r="E464" s="783"/>
      <c r="F464" s="800" t="s">
        <v>260</v>
      </c>
      <c r="G464" s="830"/>
      <c r="H464" s="831"/>
      <c r="I464" s="828">
        <f>($I$438-参数输入表!$I$221-参数输入表!$I$636)*I72</f>
        <v>722219.44502392</v>
      </c>
      <c r="J464" s="38" t="s">
        <v>130</v>
      </c>
      <c r="K464" s="831"/>
      <c r="L464" s="786"/>
    </row>
    <row r="465" s="660" customFormat="1" ht="16.5" hidden="1" spans="2:12">
      <c r="B465" s="739"/>
      <c r="C465" s="780"/>
      <c r="D465" s="781" t="s">
        <v>100</v>
      </c>
      <c r="E465" s="783"/>
      <c r="F465" s="800" t="s">
        <v>260</v>
      </c>
      <c r="G465" s="830"/>
      <c r="H465" s="831"/>
      <c r="I465" s="828">
        <f>($I$438-参数输入表!$I$221-参数输入表!$I$636)*I73</f>
        <v>722219.44502392</v>
      </c>
      <c r="J465" s="38" t="s">
        <v>130</v>
      </c>
      <c r="K465" s="831"/>
      <c r="L465" s="786"/>
    </row>
    <row r="466" s="660" customFormat="1" ht="16.5" hidden="1" spans="2:12">
      <c r="B466" s="739"/>
      <c r="C466" s="780"/>
      <c r="D466" s="781" t="s">
        <v>101</v>
      </c>
      <c r="E466" s="783"/>
      <c r="F466" s="800" t="s">
        <v>260</v>
      </c>
      <c r="G466" s="830"/>
      <c r="H466" s="831"/>
      <c r="I466" s="828">
        <f>($I$438-参数输入表!$I$221-参数输入表!$I$636)*I74</f>
        <v>722219.44502392</v>
      </c>
      <c r="J466" s="38" t="s">
        <v>130</v>
      </c>
      <c r="K466" s="831"/>
      <c r="L466" s="786"/>
    </row>
    <row r="467" s="660" customFormat="1" ht="16.5" hidden="1" spans="2:12">
      <c r="B467" s="739"/>
      <c r="C467" s="780"/>
      <c r="D467" s="781" t="s">
        <v>102</v>
      </c>
      <c r="E467" s="783"/>
      <c r="F467" s="800" t="s">
        <v>260</v>
      </c>
      <c r="G467" s="830"/>
      <c r="H467" s="831"/>
      <c r="I467" s="828">
        <f>($I$438-参数输入表!$I$221-参数输入表!$I$636)*I75</f>
        <v>722219.44502392</v>
      </c>
      <c r="J467" s="38" t="s">
        <v>130</v>
      </c>
      <c r="K467" s="831"/>
      <c r="L467" s="786"/>
    </row>
    <row r="468" s="660" customFormat="1" ht="16.5" hidden="1" spans="2:12">
      <c r="B468" s="739"/>
      <c r="C468" s="780"/>
      <c r="D468" s="781" t="s">
        <v>103</v>
      </c>
      <c r="E468" s="783"/>
      <c r="F468" s="800" t="s">
        <v>260</v>
      </c>
      <c r="G468" s="830"/>
      <c r="H468" s="831"/>
      <c r="I468" s="828">
        <f>($I$438-参数输入表!$I$221-参数输入表!$I$636)*I76</f>
        <v>722219.44502392</v>
      </c>
      <c r="J468" s="38" t="s">
        <v>130</v>
      </c>
      <c r="K468" s="831"/>
      <c r="L468" s="786"/>
    </row>
    <row r="469" s="660" customFormat="1" ht="16.5" hidden="1" spans="2:12">
      <c r="B469" s="739"/>
      <c r="C469" s="780"/>
      <c r="D469" s="781" t="s">
        <v>104</v>
      </c>
      <c r="E469" s="783"/>
      <c r="F469" s="800" t="s">
        <v>260</v>
      </c>
      <c r="G469" s="830"/>
      <c r="H469" s="831"/>
      <c r="I469" s="828">
        <f>($I$438-参数输入表!$I$221-参数输入表!$I$636)*I77</f>
        <v>722219.44502392</v>
      </c>
      <c r="J469" s="38" t="s">
        <v>130</v>
      </c>
      <c r="K469" s="831"/>
      <c r="L469" s="786"/>
    </row>
    <row r="470" s="660" customFormat="1" ht="16.5" hidden="1" spans="2:12">
      <c r="B470" s="739"/>
      <c r="C470" s="780"/>
      <c r="D470" s="781" t="s">
        <v>105</v>
      </c>
      <c r="E470" s="783"/>
      <c r="F470" s="800" t="s">
        <v>260</v>
      </c>
      <c r="G470" s="830"/>
      <c r="H470" s="831"/>
      <c r="I470" s="828">
        <f>($I$438-参数输入表!$I$221-参数输入表!$I$636)*I78</f>
        <v>722219.44502392</v>
      </c>
      <c r="J470" s="38" t="s">
        <v>130</v>
      </c>
      <c r="K470" s="831"/>
      <c r="L470" s="786"/>
    </row>
    <row r="471" s="660" customFormat="1" ht="16.5" hidden="1" spans="2:12">
      <c r="B471" s="739"/>
      <c r="C471" s="780"/>
      <c r="D471" s="781" t="s">
        <v>106</v>
      </c>
      <c r="E471" s="783"/>
      <c r="F471" s="800" t="s">
        <v>260</v>
      </c>
      <c r="G471" s="830"/>
      <c r="H471" s="831"/>
      <c r="I471" s="828">
        <f>($I$438-参数输入表!$I$221-参数输入表!$I$636)*I79</f>
        <v>722219.44502392</v>
      </c>
      <c r="J471" s="38" t="s">
        <v>130</v>
      </c>
      <c r="K471" s="831"/>
      <c r="L471" s="786"/>
    </row>
    <row r="472" s="660" customFormat="1" ht="16.5" hidden="1" spans="2:12">
      <c r="B472" s="739"/>
      <c r="C472" s="780"/>
      <c r="D472" s="781" t="s">
        <v>107</v>
      </c>
      <c r="E472" s="783"/>
      <c r="F472" s="800" t="s">
        <v>260</v>
      </c>
      <c r="G472" s="830"/>
      <c r="H472" s="831"/>
      <c r="I472" s="828">
        <f>($I$438-参数输入表!$I$221-参数输入表!$I$636)*I80</f>
        <v>722219.44502392</v>
      </c>
      <c r="J472" s="38" t="s">
        <v>130</v>
      </c>
      <c r="K472" s="831"/>
      <c r="L472" s="786"/>
    </row>
    <row r="473" s="660" customFormat="1" ht="16.5" hidden="1" spans="2:12">
      <c r="B473" s="739"/>
      <c r="C473" s="780"/>
      <c r="D473" s="781" t="s">
        <v>108</v>
      </c>
      <c r="E473" s="783"/>
      <c r="F473" s="800" t="s">
        <v>260</v>
      </c>
      <c r="G473" s="830"/>
      <c r="H473" s="831"/>
      <c r="I473" s="828">
        <f>($I$438-参数输入表!$I$221-参数输入表!$I$636)*I81</f>
        <v>722219.44502392</v>
      </c>
      <c r="J473" s="38" t="s">
        <v>130</v>
      </c>
      <c r="K473" s="831"/>
      <c r="L473" s="786"/>
    </row>
    <row r="474" s="660" customFormat="1" ht="16.5" hidden="1" spans="2:12">
      <c r="B474" s="739"/>
      <c r="C474" s="780"/>
      <c r="D474" s="781" t="s">
        <v>109</v>
      </c>
      <c r="E474" s="783"/>
      <c r="F474" s="800" t="s">
        <v>260</v>
      </c>
      <c r="G474" s="830"/>
      <c r="H474" s="831"/>
      <c r="I474" s="828">
        <f>($I$438-参数输入表!$I$221-参数输入表!$I$636)*I82</f>
        <v>722219.44502392</v>
      </c>
      <c r="J474" s="38" t="s">
        <v>130</v>
      </c>
      <c r="K474" s="831"/>
      <c r="L474" s="786"/>
    </row>
    <row r="475" s="660" customFormat="1" ht="16.5" hidden="1" spans="2:12">
      <c r="B475" s="739"/>
      <c r="C475" s="780"/>
      <c r="D475" s="781" t="s">
        <v>110</v>
      </c>
      <c r="E475" s="783"/>
      <c r="F475" s="800" t="s">
        <v>260</v>
      </c>
      <c r="G475" s="830"/>
      <c r="H475" s="831"/>
      <c r="I475" s="828">
        <f>($I$438-参数输入表!$I$221-参数输入表!$I$636)*I83</f>
        <v>722219.44502392</v>
      </c>
      <c r="J475" s="38" t="s">
        <v>130</v>
      </c>
      <c r="K475" s="831"/>
      <c r="L475" s="786"/>
    </row>
    <row r="476" s="660" customFormat="1" ht="16.5" hidden="1" spans="2:12">
      <c r="B476" s="739"/>
      <c r="C476" s="780"/>
      <c r="D476" s="781" t="s">
        <v>111</v>
      </c>
      <c r="E476" s="783"/>
      <c r="F476" s="800" t="s">
        <v>260</v>
      </c>
      <c r="G476" s="830"/>
      <c r="H476" s="831"/>
      <c r="I476" s="828">
        <f>($I$438-参数输入表!$I$221-参数输入表!$I$636)*I84</f>
        <v>722219.44502392</v>
      </c>
      <c r="J476" s="38" t="s">
        <v>130</v>
      </c>
      <c r="K476" s="831"/>
      <c r="L476" s="786"/>
    </row>
    <row r="477" s="660" customFormat="1" ht="16.5" hidden="1" spans="2:12">
      <c r="B477" s="739"/>
      <c r="C477" s="780"/>
      <c r="D477" s="781" t="s">
        <v>112</v>
      </c>
      <c r="E477" s="783"/>
      <c r="F477" s="800" t="s">
        <v>260</v>
      </c>
      <c r="G477" s="830"/>
      <c r="H477" s="831"/>
      <c r="I477" s="828">
        <f>($I$438-参数输入表!$I$221-参数输入表!$I$636)*I85</f>
        <v>722219.44502392</v>
      </c>
      <c r="J477" s="38" t="s">
        <v>130</v>
      </c>
      <c r="K477" s="831"/>
      <c r="L477" s="786"/>
    </row>
    <row r="478" s="660" customFormat="1" ht="16.5" hidden="1" spans="2:12">
      <c r="B478" s="739"/>
      <c r="C478" s="780"/>
      <c r="D478" s="781" t="s">
        <v>113</v>
      </c>
      <c r="E478" s="783"/>
      <c r="F478" s="800" t="s">
        <v>260</v>
      </c>
      <c r="G478" s="830"/>
      <c r="H478" s="831"/>
      <c r="I478" s="828">
        <f>($I$438-参数输入表!$I$221-参数输入表!$I$636)*I86</f>
        <v>722219.44502392</v>
      </c>
      <c r="J478" s="38" t="s">
        <v>130</v>
      </c>
      <c r="K478" s="831"/>
      <c r="L478" s="786"/>
    </row>
    <row r="479" s="660" customFormat="1" ht="16.5" hidden="1" spans="2:12">
      <c r="B479" s="739"/>
      <c r="C479" s="780"/>
      <c r="D479" s="781" t="s">
        <v>114</v>
      </c>
      <c r="E479" s="783"/>
      <c r="F479" s="800" t="s">
        <v>260</v>
      </c>
      <c r="G479" s="830"/>
      <c r="H479" s="831"/>
      <c r="I479" s="828">
        <f>($I$438-参数输入表!$I$221-参数输入表!$I$636)*I87</f>
        <v>722219.44502392</v>
      </c>
      <c r="J479" s="38" t="s">
        <v>130</v>
      </c>
      <c r="K479" s="831"/>
      <c r="L479" s="786"/>
    </row>
    <row r="480" s="660" customFormat="1" ht="16.5" hidden="1" spans="2:12">
      <c r="B480" s="739"/>
      <c r="C480" s="780"/>
      <c r="D480" s="781" t="s">
        <v>115</v>
      </c>
      <c r="E480" s="783"/>
      <c r="F480" s="800" t="s">
        <v>260</v>
      </c>
      <c r="G480" s="830"/>
      <c r="H480" s="831"/>
      <c r="I480" s="828">
        <f>($I$438-参数输入表!$I$221-参数输入表!$I$636)*I88</f>
        <v>722219.44502392</v>
      </c>
      <c r="J480" s="38" t="s">
        <v>130</v>
      </c>
      <c r="K480" s="831"/>
      <c r="L480" s="786"/>
    </row>
    <row r="481" s="660" customFormat="1" ht="16.5" hidden="1" spans="2:12">
      <c r="B481" s="739"/>
      <c r="C481" s="780"/>
      <c r="D481" s="781" t="s">
        <v>116</v>
      </c>
      <c r="E481" s="783"/>
      <c r="F481" s="800" t="s">
        <v>260</v>
      </c>
      <c r="G481" s="830"/>
      <c r="H481" s="831"/>
      <c r="I481" s="828">
        <f>($I$438-参数输入表!$I$221-参数输入表!$I$636)*I89</f>
        <v>722219.44502392</v>
      </c>
      <c r="J481" s="38" t="s">
        <v>130</v>
      </c>
      <c r="K481" s="831"/>
      <c r="L481" s="786"/>
    </row>
    <row r="482" s="660" customFormat="1" ht="16.5" hidden="1" spans="2:12">
      <c r="B482" s="739"/>
      <c r="C482" s="780"/>
      <c r="D482" s="781" t="s">
        <v>117</v>
      </c>
      <c r="E482" s="783"/>
      <c r="F482" s="800" t="s">
        <v>260</v>
      </c>
      <c r="G482" s="830"/>
      <c r="H482" s="831"/>
      <c r="I482" s="828">
        <f>($I$438-参数输入表!$I$221-参数输入表!$I$636)*I90</f>
        <v>722219.44502392</v>
      </c>
      <c r="J482" s="38" t="s">
        <v>130</v>
      </c>
      <c r="K482" s="831"/>
      <c r="L482" s="786"/>
    </row>
    <row r="483" s="660" customFormat="1" ht="16.5" hidden="1" spans="2:12">
      <c r="B483" s="739"/>
      <c r="C483" s="780"/>
      <c r="D483" s="781" t="s">
        <v>118</v>
      </c>
      <c r="E483" s="783"/>
      <c r="F483" s="800" t="s">
        <v>260</v>
      </c>
      <c r="G483" s="830"/>
      <c r="H483" s="831"/>
      <c r="I483" s="828">
        <f>($I$438-参数输入表!$I$221-参数输入表!$I$636)*I91</f>
        <v>722219.44502392</v>
      </c>
      <c r="J483" s="38" t="s">
        <v>130</v>
      </c>
      <c r="K483" s="831"/>
      <c r="L483" s="786"/>
    </row>
    <row r="484" s="660" customFormat="1" ht="16.5" hidden="1" spans="2:12">
      <c r="B484" s="739"/>
      <c r="C484" s="780"/>
      <c r="D484" s="781" t="s">
        <v>119</v>
      </c>
      <c r="E484" s="783"/>
      <c r="F484" s="800" t="s">
        <v>260</v>
      </c>
      <c r="G484" s="830"/>
      <c r="H484" s="831"/>
      <c r="I484" s="828">
        <f>($I$438-参数输入表!$I$221-参数输入表!$I$636)*I92</f>
        <v>722219.44502392</v>
      </c>
      <c r="J484" s="38" t="s">
        <v>130</v>
      </c>
      <c r="K484" s="831"/>
      <c r="L484" s="786"/>
    </row>
    <row r="485" s="660" customFormat="1" ht="16.5" hidden="1" spans="2:12">
      <c r="B485" s="739"/>
      <c r="C485" s="780"/>
      <c r="D485" s="781" t="s">
        <v>120</v>
      </c>
      <c r="E485" s="783"/>
      <c r="F485" s="800" t="s">
        <v>260</v>
      </c>
      <c r="G485" s="830"/>
      <c r="H485" s="831"/>
      <c r="I485" s="828">
        <f>($I$438-参数输入表!$I$221-参数输入表!$I$636)*I93</f>
        <v>722219.44502392</v>
      </c>
      <c r="J485" s="38" t="s">
        <v>130</v>
      </c>
      <c r="K485" s="831"/>
      <c r="L485" s="786"/>
    </row>
    <row r="486" s="660" customFormat="1" ht="16.5" hidden="1" spans="2:12">
      <c r="B486" s="739"/>
      <c r="C486" s="780"/>
      <c r="D486" s="781" t="s">
        <v>121</v>
      </c>
      <c r="E486" s="783"/>
      <c r="F486" s="800" t="s">
        <v>260</v>
      </c>
      <c r="G486" s="830"/>
      <c r="H486" s="831"/>
      <c r="I486" s="828">
        <f>($I$438-参数输入表!$I$221-参数输入表!$I$636)*I94</f>
        <v>421294.676263953</v>
      </c>
      <c r="J486" s="38" t="s">
        <v>130</v>
      </c>
      <c r="K486" s="831"/>
      <c r="L486" s="786"/>
    </row>
    <row r="487" spans="2:12">
      <c r="B487" s="739"/>
      <c r="C487" s="765">
        <v>3.2</v>
      </c>
      <c r="D487" s="54" t="s">
        <v>268</v>
      </c>
      <c r="E487" s="743" t="s">
        <v>262</v>
      </c>
      <c r="F487" s="800"/>
      <c r="G487" s="801"/>
      <c r="H487" s="829"/>
      <c r="I487" s="768"/>
      <c r="J487" s="38"/>
      <c r="K487" s="829"/>
      <c r="L487" s="132"/>
    </row>
    <row r="488" spans="2:12">
      <c r="B488" s="739"/>
      <c r="C488" s="832"/>
      <c r="D488" s="86" t="s">
        <v>250</v>
      </c>
      <c r="E488" s="743" t="s">
        <v>49</v>
      </c>
      <c r="F488" s="742" t="s">
        <v>263</v>
      </c>
      <c r="G488" s="801"/>
      <c r="H488" s="829"/>
      <c r="I488" s="833">
        <v>0.0025</v>
      </c>
      <c r="J488" s="38" t="s">
        <v>31</v>
      </c>
      <c r="K488" s="829"/>
      <c r="L488" s="132"/>
    </row>
    <row r="489" spans="2:12">
      <c r="B489" s="739"/>
      <c r="C489" s="832">
        <v>3.2</v>
      </c>
      <c r="D489" s="54" t="s">
        <v>253</v>
      </c>
      <c r="E489" s="743" t="s">
        <v>59</v>
      </c>
      <c r="F489" s="742"/>
      <c r="G489" s="743"/>
      <c r="H489" s="762" t="s">
        <v>254</v>
      </c>
      <c r="I489" s="822">
        <v>0</v>
      </c>
      <c r="J489" s="38" t="s">
        <v>31</v>
      </c>
      <c r="K489" s="829"/>
      <c r="L489" s="132"/>
    </row>
    <row r="490" ht="49.2" customHeight="1" spans="2:12">
      <c r="B490" s="739"/>
      <c r="C490" s="834">
        <v>4</v>
      </c>
      <c r="D490" s="795" t="s">
        <v>269</v>
      </c>
      <c r="E490" s="741" t="s">
        <v>242</v>
      </c>
      <c r="F490" s="800" t="s">
        <v>243</v>
      </c>
      <c r="G490" s="821" t="s">
        <v>244</v>
      </c>
      <c r="H490" s="829"/>
      <c r="I490" s="833"/>
      <c r="J490" s="38"/>
      <c r="K490" s="835" t="s">
        <v>270</v>
      </c>
      <c r="L490" s="132"/>
    </row>
    <row r="491" spans="2:12">
      <c r="B491" s="739"/>
      <c r="C491" s="765">
        <v>4.1</v>
      </c>
      <c r="D491" s="258" t="s">
        <v>271</v>
      </c>
      <c r="E491" s="743"/>
      <c r="F491" s="742" t="s">
        <v>248</v>
      </c>
      <c r="G491" s="743"/>
      <c r="H491" s="762"/>
      <c r="I491" s="768"/>
      <c r="J491" s="38"/>
      <c r="K491" s="836"/>
      <c r="L491" s="132"/>
    </row>
    <row r="492" spans="2:12">
      <c r="B492" s="739"/>
      <c r="C492" s="765"/>
      <c r="D492" s="49" t="s">
        <v>272</v>
      </c>
      <c r="E492" s="743" t="s">
        <v>49</v>
      </c>
      <c r="F492" s="742" t="s">
        <v>248</v>
      </c>
      <c r="G492" s="743"/>
      <c r="H492" s="762"/>
      <c r="I492" s="768">
        <v>142</v>
      </c>
      <c r="J492" s="38" t="s">
        <v>273</v>
      </c>
      <c r="K492" s="836"/>
      <c r="L492" s="132"/>
    </row>
    <row r="493" spans="2:12">
      <c r="B493" s="739"/>
      <c r="C493" s="765"/>
      <c r="D493" s="49" t="s">
        <v>274</v>
      </c>
      <c r="E493" s="743" t="s">
        <v>49</v>
      </c>
      <c r="F493" s="742" t="s">
        <v>248</v>
      </c>
      <c r="G493" s="743"/>
      <c r="H493" s="762"/>
      <c r="I493" s="768">
        <v>0</v>
      </c>
      <c r="J493" s="38" t="s">
        <v>273</v>
      </c>
      <c r="K493" s="836"/>
      <c r="L493" s="132"/>
    </row>
    <row r="494" spans="2:12">
      <c r="B494" s="739"/>
      <c r="C494" s="765">
        <v>4.2</v>
      </c>
      <c r="D494" s="258" t="s">
        <v>275</v>
      </c>
      <c r="E494" s="743"/>
      <c r="F494" s="742" t="s">
        <v>251</v>
      </c>
      <c r="G494" s="743"/>
      <c r="H494" s="762"/>
      <c r="I494" s="768"/>
      <c r="J494" s="38" t="s">
        <v>276</v>
      </c>
      <c r="K494" s="836"/>
      <c r="L494" s="132"/>
    </row>
    <row r="495" spans="2:12">
      <c r="B495" s="739"/>
      <c r="C495" s="765"/>
      <c r="D495" s="49" t="s">
        <v>277</v>
      </c>
      <c r="E495" s="743" t="s">
        <v>49</v>
      </c>
      <c r="F495" s="742" t="s">
        <v>251</v>
      </c>
      <c r="G495" s="743"/>
      <c r="H495" s="762"/>
      <c r="I495" s="768">
        <v>12</v>
      </c>
      <c r="J495" s="38" t="s">
        <v>276</v>
      </c>
      <c r="K495" s="836"/>
      <c r="L495" s="132"/>
    </row>
    <row r="496" spans="2:12">
      <c r="B496" s="739"/>
      <c r="C496" s="765"/>
      <c r="D496" s="49" t="s">
        <v>278</v>
      </c>
      <c r="E496" s="743" t="s">
        <v>49</v>
      </c>
      <c r="F496" s="742" t="s">
        <v>251</v>
      </c>
      <c r="G496" s="743"/>
      <c r="H496" s="762"/>
      <c r="I496" s="768">
        <v>6</v>
      </c>
      <c r="J496" s="38" t="s">
        <v>276</v>
      </c>
      <c r="K496" s="836"/>
      <c r="L496" s="132"/>
    </row>
    <row r="497" spans="2:12">
      <c r="B497" s="739"/>
      <c r="C497" s="765">
        <v>4.3</v>
      </c>
      <c r="D497" s="258" t="s">
        <v>279</v>
      </c>
      <c r="E497" s="743" t="s">
        <v>49</v>
      </c>
      <c r="F497" s="742" t="s">
        <v>251</v>
      </c>
      <c r="G497" s="743"/>
      <c r="H497" s="762"/>
      <c r="I497" s="822">
        <v>0.63</v>
      </c>
      <c r="J497" s="38" t="s">
        <v>31</v>
      </c>
      <c r="K497" s="836"/>
      <c r="L497" s="132"/>
    </row>
    <row r="498" spans="2:12">
      <c r="B498" s="739"/>
      <c r="C498" s="765">
        <v>4.4</v>
      </c>
      <c r="D498" s="258" t="s">
        <v>280</v>
      </c>
      <c r="E498" s="743" t="s">
        <v>281</v>
      </c>
      <c r="F498" s="742" t="s">
        <v>251</v>
      </c>
      <c r="G498" s="837"/>
      <c r="H498" s="838"/>
      <c r="I498" s="822">
        <v>0</v>
      </c>
      <c r="J498" s="38" t="s">
        <v>31</v>
      </c>
      <c r="K498" s="836"/>
      <c r="L498" s="132"/>
    </row>
    <row r="499" spans="2:12">
      <c r="B499" s="739"/>
      <c r="C499" s="765">
        <v>4.5</v>
      </c>
      <c r="D499" s="54" t="s">
        <v>253</v>
      </c>
      <c r="E499" s="743" t="s">
        <v>59</v>
      </c>
      <c r="F499" s="742"/>
      <c r="G499" s="743"/>
      <c r="H499" s="762" t="s">
        <v>254</v>
      </c>
      <c r="I499" s="822">
        <v>0</v>
      </c>
      <c r="J499" s="38" t="s">
        <v>31</v>
      </c>
      <c r="K499" s="839"/>
      <c r="L499" s="132"/>
    </row>
    <row r="500" s="105" customFormat="1" ht="57" customHeight="1" spans="2:12">
      <c r="B500" s="739"/>
      <c r="C500" s="661">
        <v>5</v>
      </c>
      <c r="D500" s="95" t="s">
        <v>282</v>
      </c>
      <c r="E500" s="741" t="s">
        <v>242</v>
      </c>
      <c r="F500" s="800" t="s">
        <v>243</v>
      </c>
      <c r="G500" s="821" t="s">
        <v>244</v>
      </c>
      <c r="H500" s="762" t="s">
        <v>283</v>
      </c>
      <c r="I500" s="768"/>
      <c r="J500" s="764"/>
      <c r="K500" s="762"/>
      <c r="L500" s="133"/>
    </row>
    <row r="501" ht="28.95" customHeight="1" spans="2:12">
      <c r="B501" s="739"/>
      <c r="C501" s="765">
        <v>5.1</v>
      </c>
      <c r="D501" s="54" t="s">
        <v>284</v>
      </c>
      <c r="E501" s="743" t="s">
        <v>49</v>
      </c>
      <c r="F501" s="742"/>
      <c r="G501" s="743"/>
      <c r="H501" s="787" t="s">
        <v>285</v>
      </c>
      <c r="I501" s="822">
        <v>0.75</v>
      </c>
      <c r="J501" s="764" t="s">
        <v>31</v>
      </c>
      <c r="K501" s="132"/>
      <c r="L501" s="132"/>
    </row>
    <row r="502" spans="2:12">
      <c r="B502" s="739"/>
      <c r="C502" s="765">
        <v>5.2</v>
      </c>
      <c r="D502" s="54" t="s">
        <v>286</v>
      </c>
      <c r="E502" s="741" t="s">
        <v>24</v>
      </c>
      <c r="F502" s="778" t="s">
        <v>248</v>
      </c>
      <c r="G502" s="741"/>
      <c r="H502" s="787"/>
      <c r="I502" s="768"/>
      <c r="J502" s="256" t="s">
        <v>124</v>
      </c>
      <c r="K502" s="132"/>
      <c r="L502" s="132"/>
    </row>
    <row r="503" ht="22.05" hidden="1" customHeight="1" spans="2:12">
      <c r="B503" s="739"/>
      <c r="C503" s="765"/>
      <c r="D503" s="781" t="s">
        <v>74</v>
      </c>
      <c r="E503" s="741" t="s">
        <v>24</v>
      </c>
      <c r="F503" s="778" t="s">
        <v>248</v>
      </c>
      <c r="G503" s="743"/>
      <c r="H503" s="787"/>
      <c r="I503" s="785">
        <f>I96/$I$501</f>
        <v>0</v>
      </c>
      <c r="J503" s="256" t="s">
        <v>124</v>
      </c>
      <c r="K503" s="132"/>
      <c r="L503" s="132"/>
    </row>
    <row r="504" ht="22.05" hidden="1" customHeight="1" spans="2:12">
      <c r="B504" s="739"/>
      <c r="C504" s="765"/>
      <c r="D504" s="781" t="s">
        <v>75</v>
      </c>
      <c r="E504" s="741" t="s">
        <v>24</v>
      </c>
      <c r="F504" s="778" t="s">
        <v>248</v>
      </c>
      <c r="G504" s="743"/>
      <c r="H504" s="787"/>
      <c r="I504" s="785">
        <f t="shared" ref="I504:I550" si="7">I97/$I$501</f>
        <v>0</v>
      </c>
      <c r="J504" s="256" t="s">
        <v>124</v>
      </c>
      <c r="K504" s="132"/>
      <c r="L504" s="132"/>
    </row>
    <row r="505" ht="22.05" hidden="1" customHeight="1" spans="2:12">
      <c r="B505" s="739"/>
      <c r="C505" s="765"/>
      <c r="D505" s="781" t="s">
        <v>76</v>
      </c>
      <c r="E505" s="741" t="s">
        <v>24</v>
      </c>
      <c r="F505" s="778" t="s">
        <v>248</v>
      </c>
      <c r="G505" s="743"/>
      <c r="H505" s="787"/>
      <c r="I505" s="785">
        <f t="shared" si="7"/>
        <v>0</v>
      </c>
      <c r="J505" s="256" t="s">
        <v>124</v>
      </c>
      <c r="K505" s="132"/>
      <c r="L505" s="132"/>
    </row>
    <row r="506" ht="22.05" hidden="1" customHeight="1" spans="2:12">
      <c r="B506" s="739"/>
      <c r="C506" s="765"/>
      <c r="D506" s="781" t="s">
        <v>77</v>
      </c>
      <c r="E506" s="741" t="s">
        <v>24</v>
      </c>
      <c r="F506" s="778" t="s">
        <v>248</v>
      </c>
      <c r="G506" s="743"/>
      <c r="H506" s="787"/>
      <c r="I506" s="785">
        <f t="shared" si="7"/>
        <v>0</v>
      </c>
      <c r="J506" s="256" t="s">
        <v>124</v>
      </c>
      <c r="K506" s="132"/>
      <c r="L506" s="132"/>
    </row>
    <row r="507" ht="22.05" hidden="1" customHeight="1" spans="2:12">
      <c r="B507" s="739"/>
      <c r="C507" s="765"/>
      <c r="D507" s="781" t="s">
        <v>78</v>
      </c>
      <c r="E507" s="741" t="s">
        <v>24</v>
      </c>
      <c r="F507" s="778" t="s">
        <v>248</v>
      </c>
      <c r="G507" s="743"/>
      <c r="H507" s="787"/>
      <c r="I507" s="785">
        <f t="shared" si="7"/>
        <v>0</v>
      </c>
      <c r="J507" s="256" t="s">
        <v>124</v>
      </c>
      <c r="K507" s="132"/>
      <c r="L507" s="132"/>
    </row>
    <row r="508" ht="22.05" hidden="1" customHeight="1" spans="2:12">
      <c r="B508" s="739"/>
      <c r="C508" s="765"/>
      <c r="D508" s="781" t="s">
        <v>79</v>
      </c>
      <c r="E508" s="741" t="s">
        <v>24</v>
      </c>
      <c r="F508" s="778" t="s">
        <v>248</v>
      </c>
      <c r="G508" s="743"/>
      <c r="H508" s="787"/>
      <c r="I508" s="785">
        <f t="shared" si="7"/>
        <v>0</v>
      </c>
      <c r="J508" s="256" t="s">
        <v>124</v>
      </c>
      <c r="K508" s="132"/>
      <c r="L508" s="132"/>
    </row>
    <row r="509" ht="22.05" hidden="1" customHeight="1" spans="2:12">
      <c r="B509" s="739"/>
      <c r="C509" s="765"/>
      <c r="D509" s="781" t="s">
        <v>80</v>
      </c>
      <c r="E509" s="741" t="s">
        <v>24</v>
      </c>
      <c r="F509" s="778" t="s">
        <v>248</v>
      </c>
      <c r="G509" s="743"/>
      <c r="H509" s="787"/>
      <c r="I509" s="785">
        <f t="shared" si="7"/>
        <v>0</v>
      </c>
      <c r="J509" s="256" t="s">
        <v>124</v>
      </c>
      <c r="K509" s="132"/>
      <c r="L509" s="132"/>
    </row>
    <row r="510" ht="22.05" hidden="1" customHeight="1" spans="2:12">
      <c r="B510" s="739"/>
      <c r="C510" s="765"/>
      <c r="D510" s="781" t="s">
        <v>81</v>
      </c>
      <c r="E510" s="741" t="s">
        <v>24</v>
      </c>
      <c r="F510" s="778" t="s">
        <v>248</v>
      </c>
      <c r="G510" s="743"/>
      <c r="H510" s="787"/>
      <c r="I510" s="785">
        <f t="shared" si="7"/>
        <v>909444.444444441</v>
      </c>
      <c r="J510" s="256" t="s">
        <v>124</v>
      </c>
      <c r="K510" s="132"/>
      <c r="L510" s="132"/>
    </row>
    <row r="511" ht="22.05" hidden="1" customHeight="1" spans="2:12">
      <c r="B511" s="739"/>
      <c r="C511" s="765"/>
      <c r="D511" s="781" t="s">
        <v>82</v>
      </c>
      <c r="E511" s="741" t="s">
        <v>24</v>
      </c>
      <c r="F511" s="778" t="s">
        <v>248</v>
      </c>
      <c r="G511" s="743"/>
      <c r="H511" s="787"/>
      <c r="I511" s="785">
        <f t="shared" si="7"/>
        <v>2182666.66666666</v>
      </c>
      <c r="J511" s="256" t="s">
        <v>124</v>
      </c>
      <c r="K511" s="132"/>
      <c r="L511" s="132"/>
    </row>
    <row r="512" ht="22.05" hidden="1" customHeight="1" spans="2:12">
      <c r="B512" s="739"/>
      <c r="C512" s="765"/>
      <c r="D512" s="781" t="s">
        <v>83</v>
      </c>
      <c r="E512" s="741" t="s">
        <v>24</v>
      </c>
      <c r="F512" s="778" t="s">
        <v>248</v>
      </c>
      <c r="G512" s="743"/>
      <c r="H512" s="787"/>
      <c r="I512" s="785">
        <f t="shared" si="7"/>
        <v>2182666.66666666</v>
      </c>
      <c r="J512" s="256" t="s">
        <v>124</v>
      </c>
      <c r="K512" s="132"/>
      <c r="L512" s="132"/>
    </row>
    <row r="513" ht="22.05" hidden="1" customHeight="1" spans="2:12">
      <c r="B513" s="739"/>
      <c r="C513" s="765"/>
      <c r="D513" s="781" t="s">
        <v>84</v>
      </c>
      <c r="E513" s="741" t="s">
        <v>24</v>
      </c>
      <c r="F513" s="778" t="s">
        <v>248</v>
      </c>
      <c r="G513" s="743"/>
      <c r="H513" s="787"/>
      <c r="I513" s="785">
        <f t="shared" si="7"/>
        <v>2182666.66666666</v>
      </c>
      <c r="J513" s="256" t="s">
        <v>124</v>
      </c>
      <c r="K513" s="132"/>
      <c r="L513" s="132"/>
    </row>
    <row r="514" ht="22.05" hidden="1" customHeight="1" spans="2:12">
      <c r="B514" s="739"/>
      <c r="C514" s="765"/>
      <c r="D514" s="781" t="s">
        <v>85</v>
      </c>
      <c r="E514" s="741" t="s">
        <v>24</v>
      </c>
      <c r="F514" s="778" t="s">
        <v>248</v>
      </c>
      <c r="G514" s="743"/>
      <c r="H514" s="787"/>
      <c r="I514" s="785">
        <f t="shared" si="7"/>
        <v>2182666.66666666</v>
      </c>
      <c r="J514" s="256" t="s">
        <v>124</v>
      </c>
      <c r="K514" s="132"/>
      <c r="L514" s="132"/>
    </row>
    <row r="515" ht="22.05" hidden="1" customHeight="1" spans="2:12">
      <c r="B515" s="739"/>
      <c r="C515" s="765"/>
      <c r="D515" s="781" t="s">
        <v>86</v>
      </c>
      <c r="E515" s="741" t="s">
        <v>24</v>
      </c>
      <c r="F515" s="778" t="s">
        <v>248</v>
      </c>
      <c r="G515" s="743"/>
      <c r="H515" s="787"/>
      <c r="I515" s="785">
        <f t="shared" si="7"/>
        <v>2182666.66666666</v>
      </c>
      <c r="J515" s="256" t="s">
        <v>124</v>
      </c>
      <c r="K515" s="132"/>
      <c r="L515" s="132"/>
    </row>
    <row r="516" ht="22.05" hidden="1" customHeight="1" spans="2:12">
      <c r="B516" s="739"/>
      <c r="C516" s="765"/>
      <c r="D516" s="781" t="s">
        <v>87</v>
      </c>
      <c r="E516" s="741" t="s">
        <v>24</v>
      </c>
      <c r="F516" s="778" t="s">
        <v>248</v>
      </c>
      <c r="G516" s="743"/>
      <c r="H516" s="787"/>
      <c r="I516" s="785">
        <f t="shared" si="7"/>
        <v>2182666.66666666</v>
      </c>
      <c r="J516" s="256" t="s">
        <v>124</v>
      </c>
      <c r="K516" s="132"/>
      <c r="L516" s="132"/>
    </row>
    <row r="517" ht="22.05" hidden="1" customHeight="1" spans="2:12">
      <c r="B517" s="739"/>
      <c r="C517" s="765"/>
      <c r="D517" s="781" t="s">
        <v>88</v>
      </c>
      <c r="E517" s="741" t="s">
        <v>24</v>
      </c>
      <c r="F517" s="778" t="s">
        <v>248</v>
      </c>
      <c r="G517" s="743"/>
      <c r="H517" s="787"/>
      <c r="I517" s="785">
        <f t="shared" si="7"/>
        <v>2182666.66666666</v>
      </c>
      <c r="J517" s="256" t="s">
        <v>124</v>
      </c>
      <c r="K517" s="132"/>
      <c r="L517" s="132"/>
    </row>
    <row r="518" ht="22.05" hidden="1" customHeight="1" spans="2:12">
      <c r="B518" s="739"/>
      <c r="C518" s="765"/>
      <c r="D518" s="781" t="s">
        <v>89</v>
      </c>
      <c r="E518" s="741" t="s">
        <v>24</v>
      </c>
      <c r="F518" s="778" t="s">
        <v>248</v>
      </c>
      <c r="G518" s="743"/>
      <c r="H518" s="787"/>
      <c r="I518" s="785">
        <f t="shared" si="7"/>
        <v>2182666.66666666</v>
      </c>
      <c r="J518" s="256" t="s">
        <v>124</v>
      </c>
      <c r="K518" s="132"/>
      <c r="L518" s="132"/>
    </row>
    <row r="519" ht="22.05" hidden="1" customHeight="1" spans="2:12">
      <c r="B519" s="739"/>
      <c r="C519" s="765"/>
      <c r="D519" s="781" t="s">
        <v>90</v>
      </c>
      <c r="E519" s="741" t="s">
        <v>24</v>
      </c>
      <c r="F519" s="778" t="s">
        <v>248</v>
      </c>
      <c r="G519" s="743"/>
      <c r="H519" s="787"/>
      <c r="I519" s="785">
        <f t="shared" si="7"/>
        <v>2182666.66666666</v>
      </c>
      <c r="J519" s="256" t="s">
        <v>124</v>
      </c>
      <c r="K519" s="132"/>
      <c r="L519" s="132"/>
    </row>
    <row r="520" ht="22.05" hidden="1" customHeight="1" spans="2:12">
      <c r="B520" s="739"/>
      <c r="C520" s="765"/>
      <c r="D520" s="781" t="s">
        <v>91</v>
      </c>
      <c r="E520" s="741" t="s">
        <v>24</v>
      </c>
      <c r="F520" s="778" t="s">
        <v>248</v>
      </c>
      <c r="G520" s="743"/>
      <c r="H520" s="787"/>
      <c r="I520" s="785">
        <f t="shared" si="7"/>
        <v>2182666.66666666</v>
      </c>
      <c r="J520" s="256" t="s">
        <v>124</v>
      </c>
      <c r="K520" s="132"/>
      <c r="L520" s="132"/>
    </row>
    <row r="521" ht="22.05" hidden="1" customHeight="1" spans="2:12">
      <c r="B521" s="739"/>
      <c r="C521" s="765"/>
      <c r="D521" s="781" t="s">
        <v>92</v>
      </c>
      <c r="E521" s="741" t="s">
        <v>24</v>
      </c>
      <c r="F521" s="778" t="s">
        <v>248</v>
      </c>
      <c r="G521" s="743"/>
      <c r="H521" s="787"/>
      <c r="I521" s="785">
        <f t="shared" si="7"/>
        <v>2182666.66666666</v>
      </c>
      <c r="J521" s="256" t="s">
        <v>124</v>
      </c>
      <c r="K521" s="132"/>
      <c r="L521" s="132"/>
    </row>
    <row r="522" ht="22.05" hidden="1" customHeight="1" spans="2:12">
      <c r="B522" s="739"/>
      <c r="C522" s="765"/>
      <c r="D522" s="781" t="s">
        <v>93</v>
      </c>
      <c r="E522" s="741" t="s">
        <v>24</v>
      </c>
      <c r="F522" s="778" t="s">
        <v>248</v>
      </c>
      <c r="G522" s="743"/>
      <c r="H522" s="787"/>
      <c r="I522" s="785">
        <f t="shared" si="7"/>
        <v>2182666.66666666</v>
      </c>
      <c r="J522" s="256" t="s">
        <v>124</v>
      </c>
      <c r="K522" s="132"/>
      <c r="L522" s="132"/>
    </row>
    <row r="523" ht="22.05" hidden="1" customHeight="1" spans="2:12">
      <c r="B523" s="739"/>
      <c r="C523" s="765"/>
      <c r="D523" s="781" t="s">
        <v>94</v>
      </c>
      <c r="E523" s="741" t="s">
        <v>24</v>
      </c>
      <c r="F523" s="778" t="s">
        <v>248</v>
      </c>
      <c r="G523" s="743"/>
      <c r="H523" s="787"/>
      <c r="I523" s="785">
        <f t="shared" si="7"/>
        <v>2182666.66666666</v>
      </c>
      <c r="J523" s="256" t="s">
        <v>124</v>
      </c>
      <c r="K523" s="132"/>
      <c r="L523" s="132"/>
    </row>
    <row r="524" ht="22.05" hidden="1" customHeight="1" spans="2:12">
      <c r="B524" s="739"/>
      <c r="C524" s="765"/>
      <c r="D524" s="781" t="s">
        <v>95</v>
      </c>
      <c r="E524" s="741" t="s">
        <v>24</v>
      </c>
      <c r="F524" s="778" t="s">
        <v>248</v>
      </c>
      <c r="G524" s="743"/>
      <c r="H524" s="787"/>
      <c r="I524" s="785">
        <f t="shared" si="7"/>
        <v>2182666.66666666</v>
      </c>
      <c r="J524" s="256" t="s">
        <v>124</v>
      </c>
      <c r="K524" s="132"/>
      <c r="L524" s="132"/>
    </row>
    <row r="525" ht="22.05" hidden="1" customHeight="1" spans="2:12">
      <c r="B525" s="739"/>
      <c r="C525" s="765"/>
      <c r="D525" s="781" t="s">
        <v>96</v>
      </c>
      <c r="E525" s="741" t="s">
        <v>24</v>
      </c>
      <c r="F525" s="778" t="s">
        <v>248</v>
      </c>
      <c r="G525" s="743"/>
      <c r="H525" s="787"/>
      <c r="I525" s="785">
        <f t="shared" si="7"/>
        <v>2182666.66666666</v>
      </c>
      <c r="J525" s="256" t="s">
        <v>124</v>
      </c>
      <c r="K525" s="132"/>
      <c r="L525" s="132"/>
    </row>
    <row r="526" ht="22.05" hidden="1" customHeight="1" spans="2:12">
      <c r="B526" s="739"/>
      <c r="C526" s="765"/>
      <c r="D526" s="781" t="s">
        <v>97</v>
      </c>
      <c r="E526" s="741" t="s">
        <v>24</v>
      </c>
      <c r="F526" s="778" t="s">
        <v>248</v>
      </c>
      <c r="G526" s="743"/>
      <c r="H526" s="787"/>
      <c r="I526" s="785">
        <f t="shared" si="7"/>
        <v>2182666.66666666</v>
      </c>
      <c r="J526" s="256" t="s">
        <v>124</v>
      </c>
      <c r="K526" s="132"/>
      <c r="L526" s="132"/>
    </row>
    <row r="527" ht="22.05" hidden="1" customHeight="1" spans="2:12">
      <c r="B527" s="739"/>
      <c r="C527" s="765"/>
      <c r="D527" s="781" t="s">
        <v>98</v>
      </c>
      <c r="E527" s="741" t="s">
        <v>24</v>
      </c>
      <c r="F527" s="778" t="s">
        <v>248</v>
      </c>
      <c r="G527" s="743"/>
      <c r="H527" s="787"/>
      <c r="I527" s="785">
        <f t="shared" si="7"/>
        <v>2182666.66666666</v>
      </c>
      <c r="J527" s="256" t="s">
        <v>124</v>
      </c>
      <c r="K527" s="132"/>
      <c r="L527" s="132"/>
    </row>
    <row r="528" ht="22.05" hidden="1" customHeight="1" spans="2:12">
      <c r="B528" s="739"/>
      <c r="C528" s="765"/>
      <c r="D528" s="781" t="s">
        <v>99</v>
      </c>
      <c r="E528" s="741" t="s">
        <v>24</v>
      </c>
      <c r="F528" s="778" t="s">
        <v>248</v>
      </c>
      <c r="G528" s="743"/>
      <c r="H528" s="787"/>
      <c r="I528" s="785">
        <f t="shared" si="7"/>
        <v>2182666.66666666</v>
      </c>
      <c r="J528" s="256" t="s">
        <v>124</v>
      </c>
      <c r="K528" s="132"/>
      <c r="L528" s="132"/>
    </row>
    <row r="529" ht="22.05" hidden="1" customHeight="1" spans="2:12">
      <c r="B529" s="739"/>
      <c r="C529" s="765"/>
      <c r="D529" s="781" t="s">
        <v>100</v>
      </c>
      <c r="E529" s="741" t="s">
        <v>24</v>
      </c>
      <c r="F529" s="778" t="s">
        <v>248</v>
      </c>
      <c r="G529" s="743"/>
      <c r="H529" s="787"/>
      <c r="I529" s="785">
        <f t="shared" si="7"/>
        <v>2182666.66666666</v>
      </c>
      <c r="J529" s="256" t="s">
        <v>124</v>
      </c>
      <c r="K529" s="132"/>
      <c r="L529" s="132"/>
    </row>
    <row r="530" ht="22.05" hidden="1" customHeight="1" spans="2:12">
      <c r="B530" s="739"/>
      <c r="C530" s="765"/>
      <c r="D530" s="781" t="s">
        <v>101</v>
      </c>
      <c r="E530" s="741" t="s">
        <v>24</v>
      </c>
      <c r="F530" s="778" t="s">
        <v>248</v>
      </c>
      <c r="G530" s="743"/>
      <c r="H530" s="787"/>
      <c r="I530" s="785">
        <f t="shared" si="7"/>
        <v>2182666.66666666</v>
      </c>
      <c r="J530" s="256" t="s">
        <v>124</v>
      </c>
      <c r="K530" s="132"/>
      <c r="L530" s="132"/>
    </row>
    <row r="531" ht="22.05" hidden="1" customHeight="1" spans="2:12">
      <c r="B531" s="739"/>
      <c r="C531" s="765"/>
      <c r="D531" s="781" t="s">
        <v>102</v>
      </c>
      <c r="E531" s="741" t="s">
        <v>24</v>
      </c>
      <c r="F531" s="778" t="s">
        <v>248</v>
      </c>
      <c r="G531" s="743"/>
      <c r="H531" s="787"/>
      <c r="I531" s="785">
        <f t="shared" si="7"/>
        <v>2182666.66666666</v>
      </c>
      <c r="J531" s="256" t="s">
        <v>124</v>
      </c>
      <c r="K531" s="132"/>
      <c r="L531" s="132"/>
    </row>
    <row r="532" ht="22.05" hidden="1" customHeight="1" spans="2:12">
      <c r="B532" s="739"/>
      <c r="C532" s="765"/>
      <c r="D532" s="781" t="s">
        <v>103</v>
      </c>
      <c r="E532" s="741" t="s">
        <v>24</v>
      </c>
      <c r="F532" s="778" t="s">
        <v>248</v>
      </c>
      <c r="G532" s="743"/>
      <c r="H532" s="787"/>
      <c r="I532" s="785">
        <f t="shared" si="7"/>
        <v>2182666.66666666</v>
      </c>
      <c r="J532" s="256" t="s">
        <v>124</v>
      </c>
      <c r="K532" s="132"/>
      <c r="L532" s="132"/>
    </row>
    <row r="533" ht="22.05" hidden="1" customHeight="1" spans="2:12">
      <c r="B533" s="739"/>
      <c r="C533" s="765"/>
      <c r="D533" s="781" t="s">
        <v>104</v>
      </c>
      <c r="E533" s="741" t="s">
        <v>24</v>
      </c>
      <c r="F533" s="778" t="s">
        <v>248</v>
      </c>
      <c r="G533" s="743"/>
      <c r="H533" s="787"/>
      <c r="I533" s="785">
        <f t="shared" si="7"/>
        <v>2182666.66666666</v>
      </c>
      <c r="J533" s="256" t="s">
        <v>124</v>
      </c>
      <c r="K533" s="132"/>
      <c r="L533" s="132"/>
    </row>
    <row r="534" ht="22.05" hidden="1" customHeight="1" spans="2:12">
      <c r="B534" s="739"/>
      <c r="C534" s="765"/>
      <c r="D534" s="781" t="s">
        <v>105</v>
      </c>
      <c r="E534" s="741" t="s">
        <v>24</v>
      </c>
      <c r="F534" s="778" t="s">
        <v>248</v>
      </c>
      <c r="G534" s="743"/>
      <c r="H534" s="787"/>
      <c r="I534" s="785">
        <f t="shared" si="7"/>
        <v>2182666.66666666</v>
      </c>
      <c r="J534" s="256" t="s">
        <v>124</v>
      </c>
      <c r="K534" s="132"/>
      <c r="L534" s="132"/>
    </row>
    <row r="535" ht="22.05" hidden="1" customHeight="1" spans="2:12">
      <c r="B535" s="739"/>
      <c r="C535" s="765"/>
      <c r="D535" s="781" t="s">
        <v>106</v>
      </c>
      <c r="E535" s="741" t="s">
        <v>24</v>
      </c>
      <c r="F535" s="778" t="s">
        <v>248</v>
      </c>
      <c r="G535" s="743"/>
      <c r="H535" s="787"/>
      <c r="I535" s="785">
        <f t="shared" si="7"/>
        <v>2182666.66666666</v>
      </c>
      <c r="J535" s="256" t="s">
        <v>124</v>
      </c>
      <c r="K535" s="132"/>
      <c r="L535" s="132"/>
    </row>
    <row r="536" ht="22.05" hidden="1" customHeight="1" spans="2:12">
      <c r="B536" s="739"/>
      <c r="C536" s="765"/>
      <c r="D536" s="781" t="s">
        <v>107</v>
      </c>
      <c r="E536" s="741" t="s">
        <v>24</v>
      </c>
      <c r="F536" s="778" t="s">
        <v>248</v>
      </c>
      <c r="G536" s="743"/>
      <c r="H536" s="787"/>
      <c r="I536" s="785">
        <f t="shared" si="7"/>
        <v>2182666.66666666</v>
      </c>
      <c r="J536" s="256" t="s">
        <v>124</v>
      </c>
      <c r="K536" s="132"/>
      <c r="L536" s="132"/>
    </row>
    <row r="537" ht="22.05" hidden="1" customHeight="1" spans="2:12">
      <c r="B537" s="739"/>
      <c r="C537" s="765"/>
      <c r="D537" s="781" t="s">
        <v>108</v>
      </c>
      <c r="E537" s="741" t="s">
        <v>24</v>
      </c>
      <c r="F537" s="778" t="s">
        <v>248</v>
      </c>
      <c r="G537" s="743"/>
      <c r="H537" s="787"/>
      <c r="I537" s="785">
        <f t="shared" si="7"/>
        <v>2182666.66666666</v>
      </c>
      <c r="J537" s="256" t="s">
        <v>124</v>
      </c>
      <c r="K537" s="132"/>
      <c r="L537" s="132"/>
    </row>
    <row r="538" ht="22.05" hidden="1" customHeight="1" spans="2:12">
      <c r="B538" s="739"/>
      <c r="C538" s="765"/>
      <c r="D538" s="781" t="s">
        <v>109</v>
      </c>
      <c r="E538" s="741" t="s">
        <v>24</v>
      </c>
      <c r="F538" s="778" t="s">
        <v>248</v>
      </c>
      <c r="G538" s="743"/>
      <c r="H538" s="787"/>
      <c r="I538" s="785">
        <f t="shared" si="7"/>
        <v>2182666.66666666</v>
      </c>
      <c r="J538" s="256" t="s">
        <v>124</v>
      </c>
      <c r="K538" s="132"/>
      <c r="L538" s="132"/>
    </row>
    <row r="539" ht="22.05" hidden="1" customHeight="1" spans="2:12">
      <c r="B539" s="739"/>
      <c r="C539" s="765"/>
      <c r="D539" s="781" t="s">
        <v>110</v>
      </c>
      <c r="E539" s="741" t="s">
        <v>24</v>
      </c>
      <c r="F539" s="778" t="s">
        <v>248</v>
      </c>
      <c r="G539" s="743"/>
      <c r="H539" s="787"/>
      <c r="I539" s="785">
        <f t="shared" si="7"/>
        <v>2182666.66666666</v>
      </c>
      <c r="J539" s="256" t="s">
        <v>124</v>
      </c>
      <c r="K539" s="132"/>
      <c r="L539" s="132"/>
    </row>
    <row r="540" ht="22.05" hidden="1" customHeight="1" spans="2:12">
      <c r="B540" s="739"/>
      <c r="C540" s="765"/>
      <c r="D540" s="781" t="s">
        <v>111</v>
      </c>
      <c r="E540" s="741" t="s">
        <v>24</v>
      </c>
      <c r="F540" s="778" t="s">
        <v>248</v>
      </c>
      <c r="G540" s="743"/>
      <c r="H540" s="787"/>
      <c r="I540" s="785">
        <f t="shared" si="7"/>
        <v>2182666.66666666</v>
      </c>
      <c r="J540" s="256" t="s">
        <v>124</v>
      </c>
      <c r="K540" s="132"/>
      <c r="L540" s="132"/>
    </row>
    <row r="541" ht="22.05" hidden="1" customHeight="1" spans="2:12">
      <c r="B541" s="739"/>
      <c r="C541" s="765"/>
      <c r="D541" s="781" t="s">
        <v>112</v>
      </c>
      <c r="E541" s="741" t="s">
        <v>24</v>
      </c>
      <c r="F541" s="778" t="s">
        <v>248</v>
      </c>
      <c r="G541" s="743"/>
      <c r="H541" s="787"/>
      <c r="I541" s="785">
        <f t="shared" si="7"/>
        <v>2182666.66666666</v>
      </c>
      <c r="J541" s="256" t="s">
        <v>124</v>
      </c>
      <c r="K541" s="132"/>
      <c r="L541" s="132"/>
    </row>
    <row r="542" ht="22.05" hidden="1" customHeight="1" spans="2:12">
      <c r="B542" s="739"/>
      <c r="C542" s="765"/>
      <c r="D542" s="781" t="s">
        <v>113</v>
      </c>
      <c r="E542" s="741" t="s">
        <v>24</v>
      </c>
      <c r="F542" s="778" t="s">
        <v>248</v>
      </c>
      <c r="G542" s="743"/>
      <c r="H542" s="787"/>
      <c r="I542" s="785">
        <f t="shared" si="7"/>
        <v>2182666.66666666</v>
      </c>
      <c r="J542" s="256" t="s">
        <v>124</v>
      </c>
      <c r="K542" s="132"/>
      <c r="L542" s="132"/>
    </row>
    <row r="543" ht="22.05" hidden="1" customHeight="1" spans="2:12">
      <c r="B543" s="739"/>
      <c r="C543" s="765"/>
      <c r="D543" s="781" t="s">
        <v>114</v>
      </c>
      <c r="E543" s="741" t="s">
        <v>24</v>
      </c>
      <c r="F543" s="778" t="s">
        <v>248</v>
      </c>
      <c r="G543" s="743"/>
      <c r="H543" s="787"/>
      <c r="I543" s="785">
        <f t="shared" si="7"/>
        <v>2182666.66666666</v>
      </c>
      <c r="J543" s="256" t="s">
        <v>124</v>
      </c>
      <c r="K543" s="132"/>
      <c r="L543" s="132"/>
    </row>
    <row r="544" ht="22.05" hidden="1" customHeight="1" spans="2:12">
      <c r="B544" s="739"/>
      <c r="C544" s="765"/>
      <c r="D544" s="781" t="s">
        <v>115</v>
      </c>
      <c r="E544" s="741" t="s">
        <v>24</v>
      </c>
      <c r="F544" s="778" t="s">
        <v>248</v>
      </c>
      <c r="G544" s="743"/>
      <c r="H544" s="787"/>
      <c r="I544" s="785">
        <f t="shared" si="7"/>
        <v>2182666.66666666</v>
      </c>
      <c r="J544" s="256" t="s">
        <v>124</v>
      </c>
      <c r="K544" s="132"/>
      <c r="L544" s="132"/>
    </row>
    <row r="545" ht="22.05" hidden="1" customHeight="1" spans="2:12">
      <c r="B545" s="739"/>
      <c r="C545" s="765"/>
      <c r="D545" s="781" t="s">
        <v>116</v>
      </c>
      <c r="E545" s="741" t="s">
        <v>24</v>
      </c>
      <c r="F545" s="778" t="s">
        <v>248</v>
      </c>
      <c r="G545" s="743"/>
      <c r="H545" s="787"/>
      <c r="I545" s="785">
        <f t="shared" si="7"/>
        <v>2182666.66666666</v>
      </c>
      <c r="J545" s="256" t="s">
        <v>124</v>
      </c>
      <c r="K545" s="132"/>
      <c r="L545" s="132"/>
    </row>
    <row r="546" ht="22.05" hidden="1" customHeight="1" spans="2:12">
      <c r="B546" s="739"/>
      <c r="C546" s="765"/>
      <c r="D546" s="781" t="s">
        <v>117</v>
      </c>
      <c r="E546" s="741" t="s">
        <v>24</v>
      </c>
      <c r="F546" s="778" t="s">
        <v>248</v>
      </c>
      <c r="G546" s="743"/>
      <c r="H546" s="787"/>
      <c r="I546" s="785">
        <f t="shared" si="7"/>
        <v>2182666.66666666</v>
      </c>
      <c r="J546" s="256" t="s">
        <v>124</v>
      </c>
      <c r="K546" s="132"/>
      <c r="L546" s="132"/>
    </row>
    <row r="547" ht="22.05" hidden="1" customHeight="1" spans="2:12">
      <c r="B547" s="739"/>
      <c r="C547" s="765"/>
      <c r="D547" s="781" t="s">
        <v>118</v>
      </c>
      <c r="E547" s="741" t="s">
        <v>24</v>
      </c>
      <c r="F547" s="778" t="s">
        <v>248</v>
      </c>
      <c r="G547" s="743"/>
      <c r="H547" s="787"/>
      <c r="I547" s="785">
        <f t="shared" si="7"/>
        <v>2182666.66666666</v>
      </c>
      <c r="J547" s="256" t="s">
        <v>124</v>
      </c>
      <c r="K547" s="132"/>
      <c r="L547" s="132"/>
    </row>
    <row r="548" ht="22.05" hidden="1" customHeight="1" spans="2:12">
      <c r="B548" s="739"/>
      <c r="C548" s="765"/>
      <c r="D548" s="781" t="s">
        <v>119</v>
      </c>
      <c r="E548" s="741" t="s">
        <v>24</v>
      </c>
      <c r="F548" s="778" t="s">
        <v>248</v>
      </c>
      <c r="G548" s="743"/>
      <c r="H548" s="787"/>
      <c r="I548" s="785">
        <f t="shared" si="7"/>
        <v>2182666.66666666</v>
      </c>
      <c r="J548" s="256" t="s">
        <v>124</v>
      </c>
      <c r="K548" s="132"/>
      <c r="L548" s="132"/>
    </row>
    <row r="549" ht="22.05" hidden="1" customHeight="1" spans="2:12">
      <c r="B549" s="739"/>
      <c r="C549" s="765"/>
      <c r="D549" s="781" t="s">
        <v>120</v>
      </c>
      <c r="E549" s="741" t="s">
        <v>24</v>
      </c>
      <c r="F549" s="778" t="s">
        <v>248</v>
      </c>
      <c r="G549" s="743"/>
      <c r="H549" s="787"/>
      <c r="I549" s="785">
        <f t="shared" si="7"/>
        <v>2182666.66666666</v>
      </c>
      <c r="J549" s="256" t="s">
        <v>124</v>
      </c>
      <c r="K549" s="132"/>
      <c r="L549" s="132"/>
    </row>
    <row r="550" ht="16.5" hidden="1" spans="2:12">
      <c r="B550" s="739"/>
      <c r="C550" s="765"/>
      <c r="D550" s="781" t="s">
        <v>121</v>
      </c>
      <c r="E550" s="741" t="s">
        <v>24</v>
      </c>
      <c r="F550" s="778" t="s">
        <v>248</v>
      </c>
      <c r="G550" s="743"/>
      <c r="H550" s="787"/>
      <c r="I550" s="785">
        <f t="shared" si="7"/>
        <v>1273222.22222222</v>
      </c>
      <c r="J550" s="256" t="s">
        <v>124</v>
      </c>
      <c r="K550" s="132"/>
      <c r="L550" s="132"/>
    </row>
    <row r="551" spans="2:12">
      <c r="B551" s="739"/>
      <c r="C551" s="765">
        <v>5.3</v>
      </c>
      <c r="D551" s="54" t="s">
        <v>287</v>
      </c>
      <c r="E551" s="743" t="s">
        <v>49</v>
      </c>
      <c r="F551" s="742" t="s">
        <v>251</v>
      </c>
      <c r="G551" s="743"/>
      <c r="H551" s="787"/>
      <c r="I551" s="768">
        <v>0.23085</v>
      </c>
      <c r="J551" s="764" t="s">
        <v>127</v>
      </c>
      <c r="K551" s="132"/>
      <c r="L551" s="132"/>
    </row>
    <row r="552" ht="16.5" hidden="1" spans="2:12">
      <c r="B552" s="739"/>
      <c r="C552" s="765"/>
      <c r="D552" s="781" t="s">
        <v>74</v>
      </c>
      <c r="E552" s="743" t="s">
        <v>49</v>
      </c>
      <c r="F552" s="742" t="s">
        <v>251</v>
      </c>
      <c r="G552" s="743"/>
      <c r="H552" s="787"/>
      <c r="I552" s="29">
        <v>0.23085</v>
      </c>
      <c r="J552" s="764" t="s">
        <v>127</v>
      </c>
      <c r="K552" s="132"/>
      <c r="L552" s="132"/>
    </row>
    <row r="553" ht="16.5" hidden="1" spans="2:12">
      <c r="B553" s="739"/>
      <c r="C553" s="765"/>
      <c r="D553" s="781" t="s">
        <v>75</v>
      </c>
      <c r="E553" s="743" t="s">
        <v>49</v>
      </c>
      <c r="F553" s="742" t="s">
        <v>251</v>
      </c>
      <c r="G553" s="743"/>
      <c r="H553" s="787"/>
      <c r="I553" s="29">
        <v>0.23085</v>
      </c>
      <c r="J553" s="764" t="s">
        <v>127</v>
      </c>
      <c r="K553" s="132"/>
      <c r="L553" s="132"/>
    </row>
    <row r="554" ht="16.5" hidden="1" spans="2:12">
      <c r="B554" s="739"/>
      <c r="C554" s="765"/>
      <c r="D554" s="781" t="s">
        <v>76</v>
      </c>
      <c r="E554" s="743" t="s">
        <v>49</v>
      </c>
      <c r="F554" s="742" t="s">
        <v>251</v>
      </c>
      <c r="G554" s="743"/>
      <c r="H554" s="787"/>
      <c r="I554" s="29">
        <v>0.23085</v>
      </c>
      <c r="J554" s="764" t="s">
        <v>127</v>
      </c>
      <c r="K554" s="132"/>
      <c r="L554" s="132"/>
    </row>
    <row r="555" ht="16.5" hidden="1" spans="2:12">
      <c r="B555" s="739"/>
      <c r="C555" s="765"/>
      <c r="D555" s="781" t="s">
        <v>77</v>
      </c>
      <c r="E555" s="743" t="s">
        <v>49</v>
      </c>
      <c r="F555" s="742" t="s">
        <v>251</v>
      </c>
      <c r="G555" s="743"/>
      <c r="H555" s="787"/>
      <c r="I555" s="29">
        <v>0.23085</v>
      </c>
      <c r="J555" s="764" t="s">
        <v>127</v>
      </c>
      <c r="K555" s="132"/>
      <c r="L555" s="132"/>
    </row>
    <row r="556" ht="16.5" hidden="1" spans="2:12">
      <c r="B556" s="739"/>
      <c r="C556" s="765"/>
      <c r="D556" s="781" t="s">
        <v>78</v>
      </c>
      <c r="E556" s="743" t="s">
        <v>49</v>
      </c>
      <c r="F556" s="742" t="s">
        <v>251</v>
      </c>
      <c r="G556" s="743"/>
      <c r="H556" s="787"/>
      <c r="I556" s="29">
        <v>0.23085</v>
      </c>
      <c r="J556" s="764" t="s">
        <v>127</v>
      </c>
      <c r="K556" s="132"/>
      <c r="L556" s="132"/>
    </row>
    <row r="557" ht="16.5" hidden="1" spans="2:12">
      <c r="B557" s="739"/>
      <c r="C557" s="765"/>
      <c r="D557" s="781" t="s">
        <v>79</v>
      </c>
      <c r="E557" s="743" t="s">
        <v>49</v>
      </c>
      <c r="F557" s="742" t="s">
        <v>251</v>
      </c>
      <c r="G557" s="743"/>
      <c r="H557" s="787"/>
      <c r="I557" s="29">
        <v>0.23085</v>
      </c>
      <c r="J557" s="764" t="s">
        <v>127</v>
      </c>
      <c r="K557" s="132"/>
      <c r="L557" s="132"/>
    </row>
    <row r="558" ht="16.5" hidden="1" spans="2:12">
      <c r="B558" s="739"/>
      <c r="C558" s="765"/>
      <c r="D558" s="781" t="s">
        <v>80</v>
      </c>
      <c r="E558" s="743" t="s">
        <v>49</v>
      </c>
      <c r="F558" s="742" t="s">
        <v>251</v>
      </c>
      <c r="G558" s="743"/>
      <c r="H558" s="787"/>
      <c r="I558" s="29">
        <v>0.23085</v>
      </c>
      <c r="J558" s="764" t="s">
        <v>127</v>
      </c>
      <c r="K558" s="132"/>
      <c r="L558" s="132"/>
    </row>
    <row r="559" ht="16.5" hidden="1" spans="2:12">
      <c r="B559" s="739"/>
      <c r="C559" s="765"/>
      <c r="D559" s="781" t="s">
        <v>81</v>
      </c>
      <c r="E559" s="743" t="s">
        <v>49</v>
      </c>
      <c r="F559" s="742" t="s">
        <v>251</v>
      </c>
      <c r="G559" s="743"/>
      <c r="H559" s="787"/>
      <c r="I559" s="29">
        <v>0.23085</v>
      </c>
      <c r="J559" s="764" t="s">
        <v>127</v>
      </c>
      <c r="K559" s="132"/>
      <c r="L559" s="132"/>
    </row>
    <row r="560" ht="16.5" hidden="1" spans="2:12">
      <c r="B560" s="739"/>
      <c r="C560" s="765"/>
      <c r="D560" s="781" t="s">
        <v>82</v>
      </c>
      <c r="E560" s="743" t="s">
        <v>49</v>
      </c>
      <c r="F560" s="742" t="s">
        <v>251</v>
      </c>
      <c r="G560" s="743"/>
      <c r="H560" s="787"/>
      <c r="I560" s="29">
        <v>0.23085</v>
      </c>
      <c r="J560" s="764" t="s">
        <v>127</v>
      </c>
      <c r="K560" s="132"/>
      <c r="L560" s="132"/>
    </row>
    <row r="561" ht="16.5" hidden="1" spans="2:12">
      <c r="B561" s="739"/>
      <c r="C561" s="765"/>
      <c r="D561" s="781" t="s">
        <v>83</v>
      </c>
      <c r="E561" s="743" t="s">
        <v>49</v>
      </c>
      <c r="F561" s="742" t="s">
        <v>251</v>
      </c>
      <c r="G561" s="743"/>
      <c r="H561" s="787"/>
      <c r="I561" s="29">
        <v>0.23085</v>
      </c>
      <c r="J561" s="764" t="s">
        <v>127</v>
      </c>
      <c r="K561" s="132"/>
      <c r="L561" s="132"/>
    </row>
    <row r="562" ht="16.5" hidden="1" spans="2:12">
      <c r="B562" s="739"/>
      <c r="C562" s="765"/>
      <c r="D562" s="781" t="s">
        <v>84</v>
      </c>
      <c r="E562" s="743" t="s">
        <v>49</v>
      </c>
      <c r="F562" s="742" t="s">
        <v>251</v>
      </c>
      <c r="G562" s="743"/>
      <c r="H562" s="787"/>
      <c r="I562" s="29">
        <v>0.23085</v>
      </c>
      <c r="J562" s="764" t="s">
        <v>127</v>
      </c>
      <c r="K562" s="132"/>
      <c r="L562" s="132"/>
    </row>
    <row r="563" ht="16.5" hidden="1" spans="2:12">
      <c r="B563" s="739"/>
      <c r="C563" s="765"/>
      <c r="D563" s="781" t="s">
        <v>85</v>
      </c>
      <c r="E563" s="743" t="s">
        <v>49</v>
      </c>
      <c r="F563" s="742" t="s">
        <v>251</v>
      </c>
      <c r="G563" s="743"/>
      <c r="H563" s="787"/>
      <c r="I563" s="29">
        <v>0.23085</v>
      </c>
      <c r="J563" s="764" t="s">
        <v>127</v>
      </c>
      <c r="K563" s="132"/>
      <c r="L563" s="132"/>
    </row>
    <row r="564" ht="16.5" hidden="1" spans="2:12">
      <c r="B564" s="739"/>
      <c r="C564" s="765"/>
      <c r="D564" s="781" t="s">
        <v>86</v>
      </c>
      <c r="E564" s="743" t="s">
        <v>49</v>
      </c>
      <c r="F564" s="742" t="s">
        <v>251</v>
      </c>
      <c r="G564" s="743"/>
      <c r="H564" s="787"/>
      <c r="I564" s="29">
        <v>0.23085</v>
      </c>
      <c r="J564" s="764" t="s">
        <v>127</v>
      </c>
      <c r="K564" s="132"/>
      <c r="L564" s="132"/>
    </row>
    <row r="565" ht="16.5" hidden="1" spans="2:12">
      <c r="B565" s="739"/>
      <c r="C565" s="765"/>
      <c r="D565" s="781" t="s">
        <v>87</v>
      </c>
      <c r="E565" s="743" t="s">
        <v>49</v>
      </c>
      <c r="F565" s="742" t="s">
        <v>251</v>
      </c>
      <c r="G565" s="743"/>
      <c r="H565" s="787"/>
      <c r="I565" s="29">
        <v>0.23085</v>
      </c>
      <c r="J565" s="764" t="s">
        <v>127</v>
      </c>
      <c r="K565" s="132"/>
      <c r="L565" s="132"/>
    </row>
    <row r="566" ht="16.5" hidden="1" spans="2:12">
      <c r="B566" s="739"/>
      <c r="C566" s="765"/>
      <c r="D566" s="781" t="s">
        <v>88</v>
      </c>
      <c r="E566" s="743" t="s">
        <v>49</v>
      </c>
      <c r="F566" s="742" t="s">
        <v>251</v>
      </c>
      <c r="G566" s="743"/>
      <c r="H566" s="787"/>
      <c r="I566" s="29">
        <v>0.23085</v>
      </c>
      <c r="J566" s="764" t="s">
        <v>127</v>
      </c>
      <c r="K566" s="132"/>
      <c r="L566" s="132"/>
    </row>
    <row r="567" ht="16.5" hidden="1" spans="2:12">
      <c r="B567" s="739"/>
      <c r="C567" s="765"/>
      <c r="D567" s="781" t="s">
        <v>89</v>
      </c>
      <c r="E567" s="743" t="s">
        <v>49</v>
      </c>
      <c r="F567" s="742" t="s">
        <v>251</v>
      </c>
      <c r="G567" s="743"/>
      <c r="H567" s="787"/>
      <c r="I567" s="29">
        <v>0.23085</v>
      </c>
      <c r="J567" s="764" t="s">
        <v>127</v>
      </c>
      <c r="K567" s="132"/>
      <c r="L567" s="132"/>
    </row>
    <row r="568" ht="16.5" hidden="1" spans="2:12">
      <c r="B568" s="739"/>
      <c r="C568" s="765"/>
      <c r="D568" s="781" t="s">
        <v>90</v>
      </c>
      <c r="E568" s="743" t="s">
        <v>49</v>
      </c>
      <c r="F568" s="742" t="s">
        <v>251</v>
      </c>
      <c r="G568" s="743"/>
      <c r="H568" s="787"/>
      <c r="I568" s="29">
        <v>0.23085</v>
      </c>
      <c r="J568" s="764" t="s">
        <v>127</v>
      </c>
      <c r="K568" s="132"/>
      <c r="L568" s="132"/>
    </row>
    <row r="569" ht="16.5" hidden="1" spans="2:12">
      <c r="B569" s="739"/>
      <c r="C569" s="765"/>
      <c r="D569" s="781" t="s">
        <v>91</v>
      </c>
      <c r="E569" s="743" t="s">
        <v>49</v>
      </c>
      <c r="F569" s="742" t="s">
        <v>251</v>
      </c>
      <c r="G569" s="743"/>
      <c r="H569" s="787"/>
      <c r="I569" s="29">
        <v>0.23085</v>
      </c>
      <c r="J569" s="764" t="s">
        <v>127</v>
      </c>
      <c r="K569" s="132"/>
      <c r="L569" s="132"/>
    </row>
    <row r="570" ht="16.5" hidden="1" spans="2:12">
      <c r="B570" s="739"/>
      <c r="C570" s="765"/>
      <c r="D570" s="781" t="s">
        <v>92</v>
      </c>
      <c r="E570" s="743" t="s">
        <v>49</v>
      </c>
      <c r="F570" s="742" t="s">
        <v>251</v>
      </c>
      <c r="G570" s="743"/>
      <c r="H570" s="787"/>
      <c r="I570" s="29">
        <v>0.23085</v>
      </c>
      <c r="J570" s="764" t="s">
        <v>127</v>
      </c>
      <c r="K570" s="132"/>
      <c r="L570" s="132"/>
    </row>
    <row r="571" ht="16.5" hidden="1" spans="2:12">
      <c r="B571" s="739"/>
      <c r="C571" s="765"/>
      <c r="D571" s="781" t="s">
        <v>93</v>
      </c>
      <c r="E571" s="743" t="s">
        <v>49</v>
      </c>
      <c r="F571" s="742" t="s">
        <v>251</v>
      </c>
      <c r="G571" s="743"/>
      <c r="H571" s="787"/>
      <c r="I571" s="29">
        <v>0.23085</v>
      </c>
      <c r="J571" s="764" t="s">
        <v>127</v>
      </c>
      <c r="K571" s="132"/>
      <c r="L571" s="132"/>
    </row>
    <row r="572" ht="16.5" hidden="1" spans="2:12">
      <c r="B572" s="739"/>
      <c r="C572" s="765"/>
      <c r="D572" s="781" t="s">
        <v>94</v>
      </c>
      <c r="E572" s="743" t="s">
        <v>49</v>
      </c>
      <c r="F572" s="742" t="s">
        <v>251</v>
      </c>
      <c r="G572" s="743"/>
      <c r="H572" s="787"/>
      <c r="I572" s="29">
        <v>0.23085</v>
      </c>
      <c r="J572" s="764" t="s">
        <v>127</v>
      </c>
      <c r="K572" s="132"/>
      <c r="L572" s="132"/>
    </row>
    <row r="573" ht="16.5" hidden="1" spans="2:12">
      <c r="B573" s="739"/>
      <c r="C573" s="765"/>
      <c r="D573" s="781" t="s">
        <v>95</v>
      </c>
      <c r="E573" s="743" t="s">
        <v>49</v>
      </c>
      <c r="F573" s="742" t="s">
        <v>251</v>
      </c>
      <c r="G573" s="743"/>
      <c r="H573" s="787"/>
      <c r="I573" s="29">
        <v>0.23085</v>
      </c>
      <c r="J573" s="764" t="s">
        <v>127</v>
      </c>
      <c r="K573" s="132"/>
      <c r="L573" s="132"/>
    </row>
    <row r="574" ht="16.5" hidden="1" spans="2:12">
      <c r="B574" s="739"/>
      <c r="C574" s="765"/>
      <c r="D574" s="781" t="s">
        <v>96</v>
      </c>
      <c r="E574" s="743" t="s">
        <v>49</v>
      </c>
      <c r="F574" s="742" t="s">
        <v>251</v>
      </c>
      <c r="G574" s="743"/>
      <c r="H574" s="787"/>
      <c r="I574" s="29">
        <v>0.23085</v>
      </c>
      <c r="J574" s="764" t="s">
        <v>127</v>
      </c>
      <c r="K574" s="132"/>
      <c r="L574" s="132"/>
    </row>
    <row r="575" ht="16.5" hidden="1" spans="2:12">
      <c r="B575" s="739"/>
      <c r="C575" s="765"/>
      <c r="D575" s="781" t="s">
        <v>97</v>
      </c>
      <c r="E575" s="743" t="s">
        <v>49</v>
      </c>
      <c r="F575" s="742" t="s">
        <v>251</v>
      </c>
      <c r="G575" s="743"/>
      <c r="H575" s="787"/>
      <c r="I575" s="29">
        <v>0.23085</v>
      </c>
      <c r="J575" s="764" t="s">
        <v>127</v>
      </c>
      <c r="K575" s="132"/>
      <c r="L575" s="132"/>
    </row>
    <row r="576" ht="16.5" hidden="1" spans="2:12">
      <c r="B576" s="739"/>
      <c r="C576" s="765"/>
      <c r="D576" s="781" t="s">
        <v>98</v>
      </c>
      <c r="E576" s="743" t="s">
        <v>49</v>
      </c>
      <c r="F576" s="742" t="s">
        <v>251</v>
      </c>
      <c r="G576" s="743"/>
      <c r="H576" s="787"/>
      <c r="I576" s="29">
        <v>0.23085</v>
      </c>
      <c r="J576" s="764" t="s">
        <v>127</v>
      </c>
      <c r="K576" s="132"/>
      <c r="L576" s="132"/>
    </row>
    <row r="577" ht="16.5" hidden="1" spans="2:12">
      <c r="B577" s="739"/>
      <c r="C577" s="765"/>
      <c r="D577" s="781" t="s">
        <v>99</v>
      </c>
      <c r="E577" s="743" t="s">
        <v>49</v>
      </c>
      <c r="F577" s="742" t="s">
        <v>251</v>
      </c>
      <c r="G577" s="743"/>
      <c r="H577" s="787"/>
      <c r="I577" s="29">
        <v>0.23085</v>
      </c>
      <c r="J577" s="764" t="s">
        <v>127</v>
      </c>
      <c r="K577" s="132"/>
      <c r="L577" s="132"/>
    </row>
    <row r="578" ht="16.5" hidden="1" spans="2:12">
      <c r="B578" s="739"/>
      <c r="C578" s="765"/>
      <c r="D578" s="781" t="s">
        <v>100</v>
      </c>
      <c r="E578" s="743" t="s">
        <v>49</v>
      </c>
      <c r="F578" s="742" t="s">
        <v>251</v>
      </c>
      <c r="G578" s="743"/>
      <c r="H578" s="787"/>
      <c r="I578" s="29">
        <v>0.23085</v>
      </c>
      <c r="J578" s="764" t="s">
        <v>127</v>
      </c>
      <c r="K578" s="132"/>
      <c r="L578" s="132"/>
    </row>
    <row r="579" ht="16.5" hidden="1" spans="2:12">
      <c r="B579" s="739"/>
      <c r="C579" s="765"/>
      <c r="D579" s="781" t="s">
        <v>101</v>
      </c>
      <c r="E579" s="743" t="s">
        <v>49</v>
      </c>
      <c r="F579" s="742" t="s">
        <v>251</v>
      </c>
      <c r="G579" s="743"/>
      <c r="H579" s="787"/>
      <c r="I579" s="29">
        <v>0.23085</v>
      </c>
      <c r="J579" s="764" t="s">
        <v>127</v>
      </c>
      <c r="K579" s="132"/>
      <c r="L579" s="132"/>
    </row>
    <row r="580" ht="16.5" hidden="1" spans="2:12">
      <c r="B580" s="739"/>
      <c r="C580" s="765"/>
      <c r="D580" s="781" t="s">
        <v>102</v>
      </c>
      <c r="E580" s="743" t="s">
        <v>49</v>
      </c>
      <c r="F580" s="742" t="s">
        <v>251</v>
      </c>
      <c r="G580" s="743"/>
      <c r="H580" s="787"/>
      <c r="I580" s="29">
        <v>0.23085</v>
      </c>
      <c r="J580" s="764" t="s">
        <v>127</v>
      </c>
      <c r="K580" s="132"/>
      <c r="L580" s="132"/>
    </row>
    <row r="581" ht="16.5" hidden="1" spans="2:12">
      <c r="B581" s="739"/>
      <c r="C581" s="765"/>
      <c r="D581" s="781" t="s">
        <v>103</v>
      </c>
      <c r="E581" s="743" t="s">
        <v>49</v>
      </c>
      <c r="F581" s="742" t="s">
        <v>251</v>
      </c>
      <c r="G581" s="743"/>
      <c r="H581" s="787"/>
      <c r="I581" s="29">
        <v>0.23085</v>
      </c>
      <c r="J581" s="764" t="s">
        <v>127</v>
      </c>
      <c r="K581" s="132"/>
      <c r="L581" s="132"/>
    </row>
    <row r="582" ht="16.5" hidden="1" spans="2:12">
      <c r="B582" s="739"/>
      <c r="C582" s="765"/>
      <c r="D582" s="781" t="s">
        <v>104</v>
      </c>
      <c r="E582" s="743" t="s">
        <v>49</v>
      </c>
      <c r="F582" s="742" t="s">
        <v>251</v>
      </c>
      <c r="G582" s="743"/>
      <c r="H582" s="787"/>
      <c r="I582" s="29">
        <v>0.23085</v>
      </c>
      <c r="J582" s="764" t="s">
        <v>127</v>
      </c>
      <c r="K582" s="132"/>
      <c r="L582" s="132"/>
    </row>
    <row r="583" ht="16.5" hidden="1" spans="2:12">
      <c r="B583" s="739"/>
      <c r="C583" s="765"/>
      <c r="D583" s="781" t="s">
        <v>105</v>
      </c>
      <c r="E583" s="743" t="s">
        <v>49</v>
      </c>
      <c r="F583" s="742" t="s">
        <v>251</v>
      </c>
      <c r="G583" s="743"/>
      <c r="H583" s="787"/>
      <c r="I583" s="29">
        <v>0.23085</v>
      </c>
      <c r="J583" s="764" t="s">
        <v>127</v>
      </c>
      <c r="K583" s="132"/>
      <c r="L583" s="132"/>
    </row>
    <row r="584" ht="16.5" hidden="1" spans="2:12">
      <c r="B584" s="739"/>
      <c r="C584" s="765"/>
      <c r="D584" s="781" t="s">
        <v>106</v>
      </c>
      <c r="E584" s="743" t="s">
        <v>49</v>
      </c>
      <c r="F584" s="742" t="s">
        <v>251</v>
      </c>
      <c r="G584" s="743"/>
      <c r="H584" s="787"/>
      <c r="I584" s="29">
        <v>0.23085</v>
      </c>
      <c r="J584" s="764" t="s">
        <v>127</v>
      </c>
      <c r="K584" s="132"/>
      <c r="L584" s="132"/>
    </row>
    <row r="585" ht="16.5" hidden="1" spans="2:12">
      <c r="B585" s="739"/>
      <c r="C585" s="765"/>
      <c r="D585" s="781" t="s">
        <v>107</v>
      </c>
      <c r="E585" s="743" t="s">
        <v>49</v>
      </c>
      <c r="F585" s="742" t="s">
        <v>251</v>
      </c>
      <c r="G585" s="743"/>
      <c r="H585" s="787"/>
      <c r="I585" s="29">
        <v>0.23085</v>
      </c>
      <c r="J585" s="764" t="s">
        <v>127</v>
      </c>
      <c r="K585" s="132"/>
      <c r="L585" s="132"/>
    </row>
    <row r="586" ht="16.5" hidden="1" spans="2:12">
      <c r="B586" s="739"/>
      <c r="C586" s="765"/>
      <c r="D586" s="781" t="s">
        <v>108</v>
      </c>
      <c r="E586" s="743" t="s">
        <v>49</v>
      </c>
      <c r="F586" s="742" t="s">
        <v>251</v>
      </c>
      <c r="G586" s="743"/>
      <c r="H586" s="787"/>
      <c r="I586" s="29">
        <v>0.23085</v>
      </c>
      <c r="J586" s="764" t="s">
        <v>127</v>
      </c>
      <c r="K586" s="132"/>
      <c r="L586" s="132"/>
    </row>
    <row r="587" ht="16.5" hidden="1" spans="2:12">
      <c r="B587" s="739"/>
      <c r="C587" s="765"/>
      <c r="D587" s="781" t="s">
        <v>109</v>
      </c>
      <c r="E587" s="743" t="s">
        <v>49</v>
      </c>
      <c r="F587" s="742" t="s">
        <v>251</v>
      </c>
      <c r="G587" s="743"/>
      <c r="H587" s="787"/>
      <c r="I587" s="29">
        <v>0.23085</v>
      </c>
      <c r="J587" s="764" t="s">
        <v>127</v>
      </c>
      <c r="K587" s="132"/>
      <c r="L587" s="132"/>
    </row>
    <row r="588" ht="16.5" hidden="1" spans="2:12">
      <c r="B588" s="739"/>
      <c r="C588" s="765"/>
      <c r="D588" s="781" t="s">
        <v>110</v>
      </c>
      <c r="E588" s="743" t="s">
        <v>49</v>
      </c>
      <c r="F588" s="742" t="s">
        <v>251</v>
      </c>
      <c r="G588" s="743"/>
      <c r="H588" s="787"/>
      <c r="I588" s="29">
        <v>0.23085</v>
      </c>
      <c r="J588" s="764" t="s">
        <v>127</v>
      </c>
      <c r="K588" s="132"/>
      <c r="L588" s="132"/>
    </row>
    <row r="589" ht="16.5" hidden="1" spans="2:12">
      <c r="B589" s="739"/>
      <c r="C589" s="765"/>
      <c r="D589" s="781" t="s">
        <v>111</v>
      </c>
      <c r="E589" s="743" t="s">
        <v>49</v>
      </c>
      <c r="F589" s="742" t="s">
        <v>251</v>
      </c>
      <c r="G589" s="743"/>
      <c r="H589" s="787"/>
      <c r="I589" s="29">
        <v>0.23085</v>
      </c>
      <c r="J589" s="764" t="s">
        <v>127</v>
      </c>
      <c r="K589" s="132"/>
      <c r="L589" s="132"/>
    </row>
    <row r="590" ht="16.5" hidden="1" spans="2:12">
      <c r="B590" s="739"/>
      <c r="C590" s="765"/>
      <c r="D590" s="781" t="s">
        <v>112</v>
      </c>
      <c r="E590" s="743" t="s">
        <v>49</v>
      </c>
      <c r="F590" s="742" t="s">
        <v>251</v>
      </c>
      <c r="G590" s="743"/>
      <c r="H590" s="787"/>
      <c r="I590" s="29">
        <v>0.23085</v>
      </c>
      <c r="J590" s="764" t="s">
        <v>127</v>
      </c>
      <c r="K590" s="132"/>
      <c r="L590" s="132"/>
    </row>
    <row r="591" ht="16.5" hidden="1" spans="2:12">
      <c r="B591" s="739"/>
      <c r="C591" s="765"/>
      <c r="D591" s="781" t="s">
        <v>113</v>
      </c>
      <c r="E591" s="743" t="s">
        <v>49</v>
      </c>
      <c r="F591" s="742" t="s">
        <v>251</v>
      </c>
      <c r="G591" s="743"/>
      <c r="H591" s="787"/>
      <c r="I591" s="29">
        <v>0.23085</v>
      </c>
      <c r="J591" s="764" t="s">
        <v>127</v>
      </c>
      <c r="K591" s="132"/>
      <c r="L591" s="132"/>
    </row>
    <row r="592" ht="16.5" hidden="1" spans="2:12">
      <c r="B592" s="739"/>
      <c r="C592" s="765"/>
      <c r="D592" s="781" t="s">
        <v>114</v>
      </c>
      <c r="E592" s="743" t="s">
        <v>49</v>
      </c>
      <c r="F592" s="742" t="s">
        <v>251</v>
      </c>
      <c r="G592" s="743"/>
      <c r="H592" s="787"/>
      <c r="I592" s="29">
        <v>0.23085</v>
      </c>
      <c r="J592" s="764" t="s">
        <v>127</v>
      </c>
      <c r="K592" s="132"/>
      <c r="L592" s="132"/>
    </row>
    <row r="593" ht="16.5" hidden="1" spans="2:12">
      <c r="B593" s="739"/>
      <c r="C593" s="765"/>
      <c r="D593" s="781" t="s">
        <v>115</v>
      </c>
      <c r="E593" s="743" t="s">
        <v>49</v>
      </c>
      <c r="F593" s="742" t="s">
        <v>251</v>
      </c>
      <c r="G593" s="743"/>
      <c r="H593" s="787"/>
      <c r="I593" s="29">
        <v>0.23085</v>
      </c>
      <c r="J593" s="764" t="s">
        <v>127</v>
      </c>
      <c r="K593" s="132"/>
      <c r="L593" s="132"/>
    </row>
    <row r="594" ht="16.5" hidden="1" spans="2:12">
      <c r="B594" s="739"/>
      <c r="C594" s="765"/>
      <c r="D594" s="781" t="s">
        <v>116</v>
      </c>
      <c r="E594" s="743" t="s">
        <v>49</v>
      </c>
      <c r="F594" s="742" t="s">
        <v>251</v>
      </c>
      <c r="G594" s="743"/>
      <c r="H594" s="787"/>
      <c r="I594" s="29">
        <v>0.23085</v>
      </c>
      <c r="J594" s="764" t="s">
        <v>127</v>
      </c>
      <c r="K594" s="132"/>
      <c r="L594" s="132"/>
    </row>
    <row r="595" ht="16.5" hidden="1" spans="2:12">
      <c r="B595" s="739"/>
      <c r="C595" s="765"/>
      <c r="D595" s="781" t="s">
        <v>117</v>
      </c>
      <c r="E595" s="743" t="s">
        <v>49</v>
      </c>
      <c r="F595" s="742" t="s">
        <v>251</v>
      </c>
      <c r="G595" s="743"/>
      <c r="H595" s="787"/>
      <c r="I595" s="29">
        <v>0.23085</v>
      </c>
      <c r="J595" s="764" t="s">
        <v>127</v>
      </c>
      <c r="K595" s="132"/>
      <c r="L595" s="132"/>
    </row>
    <row r="596" ht="16.5" hidden="1" spans="2:12">
      <c r="B596" s="739"/>
      <c r="C596" s="765"/>
      <c r="D596" s="781" t="s">
        <v>118</v>
      </c>
      <c r="E596" s="743" t="s">
        <v>49</v>
      </c>
      <c r="F596" s="742" t="s">
        <v>251</v>
      </c>
      <c r="G596" s="743"/>
      <c r="H596" s="787"/>
      <c r="I596" s="29">
        <v>0.23085</v>
      </c>
      <c r="J596" s="764" t="s">
        <v>127</v>
      </c>
      <c r="K596" s="132"/>
      <c r="L596" s="132"/>
    </row>
    <row r="597" ht="16.5" hidden="1" spans="2:12">
      <c r="B597" s="739"/>
      <c r="C597" s="765"/>
      <c r="D597" s="781" t="s">
        <v>119</v>
      </c>
      <c r="E597" s="743" t="s">
        <v>49</v>
      </c>
      <c r="F597" s="742" t="s">
        <v>251</v>
      </c>
      <c r="G597" s="743"/>
      <c r="H597" s="787"/>
      <c r="I597" s="29">
        <v>0.23085</v>
      </c>
      <c r="J597" s="764" t="s">
        <v>127</v>
      </c>
      <c r="K597" s="132"/>
      <c r="L597" s="132"/>
    </row>
    <row r="598" ht="16.5" hidden="1" spans="2:12">
      <c r="B598" s="739"/>
      <c r="C598" s="765"/>
      <c r="D598" s="781" t="s">
        <v>120</v>
      </c>
      <c r="E598" s="743" t="s">
        <v>49</v>
      </c>
      <c r="F598" s="742" t="s">
        <v>251</v>
      </c>
      <c r="G598" s="743"/>
      <c r="H598" s="787"/>
      <c r="I598" s="29">
        <v>0.23085</v>
      </c>
      <c r="J598" s="764" t="s">
        <v>127</v>
      </c>
      <c r="K598" s="132"/>
      <c r="L598" s="132"/>
    </row>
    <row r="599" ht="16.5" hidden="1" spans="2:12">
      <c r="B599" s="739"/>
      <c r="C599" s="765"/>
      <c r="D599" s="781" t="s">
        <v>121</v>
      </c>
      <c r="E599" s="743" t="s">
        <v>49</v>
      </c>
      <c r="F599" s="742" t="s">
        <v>251</v>
      </c>
      <c r="G599" s="743"/>
      <c r="H599" s="787"/>
      <c r="I599" s="29">
        <v>0.23085</v>
      </c>
      <c r="J599" s="764" t="s">
        <v>127</v>
      </c>
      <c r="K599" s="132"/>
      <c r="L599" s="132"/>
    </row>
    <row r="600" s="105" customFormat="1" ht="22.95" customHeight="1" spans="2:12">
      <c r="B600" s="739"/>
      <c r="C600" s="773">
        <v>5.4</v>
      </c>
      <c r="D600" s="54" t="s">
        <v>253</v>
      </c>
      <c r="E600" s="743" t="s">
        <v>59</v>
      </c>
      <c r="F600" s="800"/>
      <c r="G600" s="801"/>
      <c r="H600" s="762" t="s">
        <v>254</v>
      </c>
      <c r="I600" s="772">
        <v>0.13</v>
      </c>
      <c r="J600" s="743" t="s">
        <v>31</v>
      </c>
      <c r="K600" s="840"/>
      <c r="L600" s="133"/>
    </row>
    <row r="601" s="105" customFormat="1" ht="36" customHeight="1" spans="2:12">
      <c r="B601" s="739"/>
      <c r="C601" s="661">
        <v>6</v>
      </c>
      <c r="D601" s="95" t="s">
        <v>288</v>
      </c>
      <c r="E601" s="741" t="s">
        <v>242</v>
      </c>
      <c r="F601" s="800"/>
      <c r="G601" s="821" t="s">
        <v>244</v>
      </c>
      <c r="H601" s="744"/>
      <c r="I601" s="768"/>
      <c r="J601" s="764"/>
      <c r="K601" s="840"/>
      <c r="L601" s="133"/>
    </row>
    <row r="602" s="105" customFormat="1" ht="22.95" customHeight="1" spans="2:12">
      <c r="B602" s="739"/>
      <c r="C602" s="765">
        <v>6.1</v>
      </c>
      <c r="D602" s="54" t="s">
        <v>289</v>
      </c>
      <c r="E602" s="743" t="s">
        <v>49</v>
      </c>
      <c r="F602" s="800" t="s">
        <v>290</v>
      </c>
      <c r="G602" s="823"/>
      <c r="H602" s="744"/>
      <c r="I602" s="768">
        <v>291.71</v>
      </c>
      <c r="J602" s="764" t="s">
        <v>291</v>
      </c>
      <c r="K602" s="840"/>
      <c r="L602" s="133"/>
    </row>
    <row r="603" s="105" customFormat="1" ht="28.05" customHeight="1" spans="2:12">
      <c r="B603" s="739"/>
      <c r="C603" s="773">
        <v>6.2</v>
      </c>
      <c r="D603" s="54" t="s">
        <v>253</v>
      </c>
      <c r="E603" s="743" t="s">
        <v>59</v>
      </c>
      <c r="F603" s="800"/>
      <c r="G603" s="801"/>
      <c r="H603" s="762" t="s">
        <v>254</v>
      </c>
      <c r="I603" s="772">
        <v>0</v>
      </c>
      <c r="J603" s="743" t="s">
        <v>31</v>
      </c>
      <c r="K603" s="840"/>
      <c r="L603" s="133"/>
    </row>
    <row r="604" ht="37.2" customHeight="1" spans="2:12">
      <c r="B604" s="739"/>
      <c r="C604" s="661">
        <v>7</v>
      </c>
      <c r="D604" s="95" t="s">
        <v>292</v>
      </c>
      <c r="E604" s="741" t="s">
        <v>242</v>
      </c>
      <c r="F604" s="800"/>
      <c r="G604" s="821" t="s">
        <v>244</v>
      </c>
      <c r="H604" s="762"/>
      <c r="I604" s="768"/>
      <c r="J604" s="764"/>
      <c r="K604" s="762"/>
      <c r="L604" s="132"/>
    </row>
    <row r="605" ht="33" customHeight="1" spans="2:12">
      <c r="B605" s="739"/>
      <c r="C605" s="765">
        <v>7.1</v>
      </c>
      <c r="D605" s="54" t="s">
        <v>293</v>
      </c>
      <c r="E605" s="743" t="s">
        <v>49</v>
      </c>
      <c r="F605" s="800" t="s">
        <v>290</v>
      </c>
      <c r="G605" s="823"/>
      <c r="H605" s="762"/>
      <c r="I605" s="768">
        <v>11.52</v>
      </c>
      <c r="J605" s="764" t="s">
        <v>291</v>
      </c>
      <c r="K605" s="762"/>
      <c r="L605" s="132"/>
    </row>
    <row r="606" ht="27.45" customHeight="1" spans="2:12">
      <c r="B606" s="739"/>
      <c r="C606" s="765">
        <v>7.2</v>
      </c>
      <c r="D606" s="54" t="s">
        <v>253</v>
      </c>
      <c r="E606" s="743" t="s">
        <v>59</v>
      </c>
      <c r="F606" s="742"/>
      <c r="G606" s="743"/>
      <c r="H606" s="762" t="s">
        <v>254</v>
      </c>
      <c r="I606" s="822">
        <v>0.13</v>
      </c>
      <c r="J606" s="38" t="s">
        <v>31</v>
      </c>
      <c r="K606" s="762"/>
      <c r="L606" s="132"/>
    </row>
    <row r="607" s="105" customFormat="1" ht="34.8" customHeight="1" spans="2:12">
      <c r="B607" s="739"/>
      <c r="C607" s="661">
        <v>8</v>
      </c>
      <c r="D607" s="95" t="s">
        <v>294</v>
      </c>
      <c r="E607" s="741" t="s">
        <v>242</v>
      </c>
      <c r="F607" s="800"/>
      <c r="G607" s="821" t="s">
        <v>244</v>
      </c>
      <c r="H607" s="762"/>
      <c r="I607" s="768"/>
      <c r="J607" s="764"/>
      <c r="K607" s="840"/>
      <c r="L607" s="133"/>
    </row>
    <row r="608" s="105" customFormat="1" ht="22.95" customHeight="1" spans="2:12">
      <c r="B608" s="739"/>
      <c r="C608" s="765">
        <v>8.1</v>
      </c>
      <c r="D608" s="54" t="s">
        <v>295</v>
      </c>
      <c r="E608" s="743" t="s">
        <v>49</v>
      </c>
      <c r="F608" s="800" t="s">
        <v>290</v>
      </c>
      <c r="G608" s="823"/>
      <c r="H608" s="762"/>
      <c r="I608" s="768">
        <v>44.11</v>
      </c>
      <c r="J608" s="764" t="s">
        <v>291</v>
      </c>
      <c r="K608" s="840"/>
      <c r="L608" s="133"/>
    </row>
    <row r="609" s="105" customFormat="1" ht="22.95" customHeight="1" spans="2:12">
      <c r="B609" s="739"/>
      <c r="C609" s="765">
        <v>8.2</v>
      </c>
      <c r="D609" s="54" t="s">
        <v>253</v>
      </c>
      <c r="E609" s="743" t="s">
        <v>59</v>
      </c>
      <c r="F609" s="742"/>
      <c r="G609" s="743"/>
      <c r="H609" s="762" t="s">
        <v>254</v>
      </c>
      <c r="I609" s="822">
        <v>0.13</v>
      </c>
      <c r="J609" s="38" t="s">
        <v>31</v>
      </c>
      <c r="K609" s="840"/>
      <c r="L609" s="133"/>
    </row>
    <row r="610" ht="67.2" customHeight="1" spans="2:12">
      <c r="B610" s="739"/>
      <c r="C610" s="661">
        <v>9</v>
      </c>
      <c r="D610" s="95" t="s">
        <v>296</v>
      </c>
      <c r="E610" s="741" t="s">
        <v>242</v>
      </c>
      <c r="F610" s="800" t="s">
        <v>243</v>
      </c>
      <c r="G610" s="841" t="s">
        <v>297</v>
      </c>
      <c r="H610" s="762"/>
      <c r="I610" s="768"/>
      <c r="J610" s="764"/>
      <c r="K610" s="762"/>
      <c r="L610" s="132"/>
    </row>
    <row r="611" ht="22.8" customHeight="1" spans="2:12">
      <c r="B611" s="739"/>
      <c r="C611" s="765">
        <v>9.1</v>
      </c>
      <c r="D611" s="54" t="s">
        <v>298</v>
      </c>
      <c r="E611" s="741" t="s">
        <v>247</v>
      </c>
      <c r="F611" s="800" t="s">
        <v>248</v>
      </c>
      <c r="G611" s="823"/>
      <c r="H611" s="762"/>
      <c r="I611" s="770">
        <f>I33</f>
        <v>1400</v>
      </c>
      <c r="J611" s="764" t="s">
        <v>65</v>
      </c>
      <c r="K611" s="762"/>
      <c r="L611" s="132"/>
    </row>
    <row r="612" ht="22.2" customHeight="1" spans="2:12">
      <c r="B612" s="739"/>
      <c r="C612" s="765">
        <v>9.2</v>
      </c>
      <c r="D612" s="54" t="s">
        <v>299</v>
      </c>
      <c r="E612" s="743" t="s">
        <v>49</v>
      </c>
      <c r="F612" s="800" t="s">
        <v>251</v>
      </c>
      <c r="G612" s="823"/>
      <c r="H612" s="762"/>
      <c r="I612" s="768">
        <v>1.2</v>
      </c>
      <c r="J612" s="764" t="s">
        <v>300</v>
      </c>
      <c r="K612" s="762"/>
      <c r="L612" s="132"/>
    </row>
    <row r="613" spans="2:12">
      <c r="B613" s="739"/>
      <c r="C613" s="765">
        <v>9.3</v>
      </c>
      <c r="D613" s="54" t="s">
        <v>253</v>
      </c>
      <c r="E613" s="743" t="s">
        <v>59</v>
      </c>
      <c r="F613" s="742"/>
      <c r="G613" s="743"/>
      <c r="H613" s="762" t="s">
        <v>254</v>
      </c>
      <c r="I613" s="822">
        <v>0</v>
      </c>
      <c r="J613" s="38" t="s">
        <v>31</v>
      </c>
      <c r="K613" s="762"/>
      <c r="L613" s="132"/>
    </row>
    <row r="614" ht="62.55" customHeight="1" spans="2:12">
      <c r="B614" s="739"/>
      <c r="C614" s="661">
        <v>10</v>
      </c>
      <c r="D614" s="95" t="s">
        <v>301</v>
      </c>
      <c r="E614" s="743"/>
      <c r="F614" s="800"/>
      <c r="G614" s="841" t="s">
        <v>297</v>
      </c>
      <c r="H614" s="762"/>
      <c r="I614" s="822"/>
      <c r="J614" s="38"/>
      <c r="K614" s="762"/>
      <c r="L614" s="132"/>
    </row>
    <row r="615" ht="24" customHeight="1" spans="2:12">
      <c r="B615" s="739"/>
      <c r="C615" s="765">
        <v>10.1</v>
      </c>
      <c r="D615" s="54" t="s">
        <v>302</v>
      </c>
      <c r="E615" s="743"/>
      <c r="F615" s="800" t="s">
        <v>248</v>
      </c>
      <c r="G615" s="743"/>
      <c r="H615" s="762"/>
      <c r="I615" s="770">
        <f>I33</f>
        <v>1400</v>
      </c>
      <c r="J615" s="38" t="s">
        <v>65</v>
      </c>
      <c r="K615" s="762"/>
      <c r="L615" s="132"/>
    </row>
    <row r="616" spans="2:12">
      <c r="B616" s="739"/>
      <c r="C616" s="765">
        <v>10.2</v>
      </c>
      <c r="D616" s="54" t="s">
        <v>303</v>
      </c>
      <c r="E616" s="743"/>
      <c r="F616" s="800" t="s">
        <v>251</v>
      </c>
      <c r="G616" s="743"/>
      <c r="H616" s="762"/>
      <c r="I616" s="768">
        <v>1</v>
      </c>
      <c r="J616" s="38" t="s">
        <v>300</v>
      </c>
      <c r="K616" s="762"/>
      <c r="L616" s="132"/>
    </row>
    <row r="617" spans="2:12">
      <c r="B617" s="739"/>
      <c r="C617" s="765">
        <v>10.3</v>
      </c>
      <c r="D617" s="54" t="s">
        <v>253</v>
      </c>
      <c r="E617" s="743"/>
      <c r="F617" s="800"/>
      <c r="G617" s="743"/>
      <c r="H617" s="762"/>
      <c r="I617" s="822">
        <v>0.06</v>
      </c>
      <c r="J617" s="38" t="s">
        <v>31</v>
      </c>
      <c r="K617" s="762"/>
      <c r="L617" s="132"/>
    </row>
    <row r="618" ht="27.45" customHeight="1" spans="2:12">
      <c r="B618" s="739"/>
      <c r="C618" s="661">
        <v>11</v>
      </c>
      <c r="D618" s="95" t="s">
        <v>304</v>
      </c>
      <c r="E618" s="743"/>
      <c r="F618" s="800"/>
      <c r="G618" s="743" t="s">
        <v>305</v>
      </c>
      <c r="H618" s="762"/>
      <c r="I618" s="768"/>
      <c r="J618" s="764"/>
      <c r="K618" s="762"/>
      <c r="L618" s="132"/>
    </row>
    <row r="619" ht="27.45" customHeight="1" spans="2:12">
      <c r="B619" s="739"/>
      <c r="C619" s="765">
        <v>11.1</v>
      </c>
      <c r="D619" s="810" t="s">
        <v>306</v>
      </c>
      <c r="E619" s="743"/>
      <c r="F619" s="800" t="s">
        <v>256</v>
      </c>
      <c r="G619" s="743"/>
      <c r="H619" s="762"/>
      <c r="I619" s="768"/>
      <c r="J619" s="764"/>
      <c r="K619" s="762"/>
      <c r="L619" s="132"/>
    </row>
    <row r="620" ht="55" customHeight="1" spans="2:12">
      <c r="B620" s="739"/>
      <c r="C620" s="765"/>
      <c r="D620" s="49" t="s">
        <v>307</v>
      </c>
      <c r="E620" s="741" t="s">
        <v>24</v>
      </c>
      <c r="F620" s="800" t="s">
        <v>260</v>
      </c>
      <c r="G620" s="743"/>
      <c r="H620" s="762" t="s">
        <v>308</v>
      </c>
      <c r="I620" s="768"/>
      <c r="J620" s="764" t="s">
        <v>130</v>
      </c>
      <c r="K620" s="762"/>
      <c r="L620" s="132"/>
    </row>
    <row r="621" ht="24.45" customHeight="1" spans="2:12">
      <c r="B621" s="739"/>
      <c r="C621" s="842"/>
      <c r="D621" s="49" t="s">
        <v>309</v>
      </c>
      <c r="E621" s="743" t="s">
        <v>59</v>
      </c>
      <c r="F621" s="742" t="s">
        <v>310</v>
      </c>
      <c r="G621" s="743"/>
      <c r="H621" s="843" t="s">
        <v>311</v>
      </c>
      <c r="I621" s="768"/>
      <c r="J621" s="764"/>
      <c r="K621" s="132" t="s">
        <v>312</v>
      </c>
      <c r="L621" s="132"/>
    </row>
    <row r="622" spans="2:12">
      <c r="B622" s="739"/>
      <c r="C622" s="842"/>
      <c r="D622" s="49" t="s">
        <v>313</v>
      </c>
      <c r="E622" s="743" t="s">
        <v>49</v>
      </c>
      <c r="F622" s="742" t="s">
        <v>263</v>
      </c>
      <c r="G622" s="743"/>
      <c r="H622" s="843"/>
      <c r="I622" s="768">
        <v>29</v>
      </c>
      <c r="J622" s="764" t="s">
        <v>15</v>
      </c>
      <c r="K622" s="132"/>
      <c r="L622" s="132"/>
    </row>
    <row r="623" spans="2:12">
      <c r="B623" s="739"/>
      <c r="C623" s="842"/>
      <c r="D623" s="49" t="s">
        <v>314</v>
      </c>
      <c r="E623" s="743" t="s">
        <v>49</v>
      </c>
      <c r="F623" s="742" t="s">
        <v>263</v>
      </c>
      <c r="G623" s="743"/>
      <c r="H623" s="843"/>
      <c r="I623" s="822">
        <v>0.05</v>
      </c>
      <c r="J623" s="38" t="s">
        <v>31</v>
      </c>
      <c r="K623" s="132"/>
      <c r="L623" s="132"/>
    </row>
    <row r="624" s="105" customFormat="1" spans="2:12">
      <c r="B624" s="767"/>
      <c r="C624" s="844"/>
      <c r="D624" s="810" t="s">
        <v>315</v>
      </c>
      <c r="E624" s="845" t="s">
        <v>316</v>
      </c>
      <c r="F624" s="800"/>
      <c r="G624" s="743"/>
      <c r="H624" s="846" t="s">
        <v>317</v>
      </c>
      <c r="I624" s="772"/>
      <c r="J624" s="743"/>
      <c r="K624" s="133"/>
      <c r="L624" s="133"/>
    </row>
    <row r="625" s="105" customFormat="1" ht="22.5" spans="2:12">
      <c r="B625" s="767"/>
      <c r="C625" s="844"/>
      <c r="D625" s="49" t="s">
        <v>307</v>
      </c>
      <c r="E625" s="743" t="s">
        <v>49</v>
      </c>
      <c r="F625" s="800" t="s">
        <v>260</v>
      </c>
      <c r="G625" s="743"/>
      <c r="H625" s="846"/>
      <c r="I625" s="847">
        <v>7200</v>
      </c>
      <c r="J625" s="743" t="s">
        <v>130</v>
      </c>
      <c r="K625" s="133"/>
      <c r="L625" s="133"/>
    </row>
    <row r="626" s="105" customFormat="1" spans="2:12">
      <c r="B626" s="767"/>
      <c r="C626" s="844"/>
      <c r="D626" s="49" t="s">
        <v>309</v>
      </c>
      <c r="E626" s="743" t="s">
        <v>49</v>
      </c>
      <c r="F626" s="742" t="s">
        <v>310</v>
      </c>
      <c r="G626" s="743"/>
      <c r="H626" s="846" t="s">
        <v>311</v>
      </c>
      <c r="I626" s="772"/>
      <c r="J626" s="743"/>
      <c r="K626" s="133"/>
      <c r="L626" s="133"/>
    </row>
    <row r="627" s="105" customFormat="1" spans="2:12">
      <c r="B627" s="767"/>
      <c r="C627" s="844"/>
      <c r="D627" s="49" t="s">
        <v>313</v>
      </c>
      <c r="E627" s="743" t="s">
        <v>49</v>
      </c>
      <c r="F627" s="742" t="s">
        <v>263</v>
      </c>
      <c r="G627" s="743"/>
      <c r="H627" s="846"/>
      <c r="I627" s="766">
        <v>12</v>
      </c>
      <c r="J627" s="743" t="s">
        <v>15</v>
      </c>
      <c r="K627" s="133"/>
      <c r="L627" s="133"/>
    </row>
    <row r="628" s="105" customFormat="1" spans="2:12">
      <c r="B628" s="767"/>
      <c r="C628" s="844"/>
      <c r="D628" s="49" t="s">
        <v>314</v>
      </c>
      <c r="E628" s="743" t="s">
        <v>49</v>
      </c>
      <c r="F628" s="742" t="s">
        <v>263</v>
      </c>
      <c r="G628" s="743"/>
      <c r="H628" s="846"/>
      <c r="I628" s="772">
        <v>0.1</v>
      </c>
      <c r="J628" s="743" t="s">
        <v>31</v>
      </c>
      <c r="K628" s="133"/>
      <c r="L628" s="133"/>
    </row>
    <row r="629" s="105" customFormat="1" spans="2:12">
      <c r="B629" s="767"/>
      <c r="C629" s="844"/>
      <c r="D629" s="810" t="s">
        <v>318</v>
      </c>
      <c r="E629" s="845" t="s">
        <v>316</v>
      </c>
      <c r="F629" s="800"/>
      <c r="G629" s="743"/>
      <c r="H629" s="846"/>
      <c r="I629" s="772"/>
      <c r="J629" s="743"/>
      <c r="K629" s="133"/>
      <c r="L629" s="133"/>
    </row>
    <row r="630" s="105" customFormat="1" ht="22.5" spans="2:12">
      <c r="B630" s="767"/>
      <c r="C630" s="844"/>
      <c r="D630" s="49" t="s">
        <v>307</v>
      </c>
      <c r="E630" s="743" t="s">
        <v>49</v>
      </c>
      <c r="F630" s="800" t="s">
        <v>260</v>
      </c>
      <c r="G630" s="743"/>
      <c r="H630" s="846"/>
      <c r="I630" s="847">
        <v>12000</v>
      </c>
      <c r="J630" s="743" t="s">
        <v>130</v>
      </c>
      <c r="K630" s="133"/>
      <c r="L630" s="133"/>
    </row>
    <row r="631" s="105" customFormat="1" spans="2:12">
      <c r="B631" s="767"/>
      <c r="C631" s="844"/>
      <c r="D631" s="49" t="s">
        <v>309</v>
      </c>
      <c r="E631" s="743" t="s">
        <v>49</v>
      </c>
      <c r="F631" s="742" t="s">
        <v>310</v>
      </c>
      <c r="G631" s="743"/>
      <c r="H631" s="846"/>
      <c r="I631" s="772"/>
      <c r="J631" s="743"/>
      <c r="K631" s="133"/>
      <c r="L631" s="133"/>
    </row>
    <row r="632" s="105" customFormat="1" spans="2:12">
      <c r="B632" s="767"/>
      <c r="C632" s="844"/>
      <c r="D632" s="49" t="s">
        <v>313</v>
      </c>
      <c r="E632" s="743" t="s">
        <v>49</v>
      </c>
      <c r="F632" s="742" t="s">
        <v>263</v>
      </c>
      <c r="G632" s="743"/>
      <c r="H632" s="846"/>
      <c r="I632" s="766">
        <v>20</v>
      </c>
      <c r="J632" s="743" t="s">
        <v>15</v>
      </c>
      <c r="K632" s="133"/>
      <c r="L632" s="133"/>
    </row>
    <row r="633" s="105" customFormat="1" spans="2:12">
      <c r="B633" s="767"/>
      <c r="C633" s="844"/>
      <c r="D633" s="49" t="s">
        <v>314</v>
      </c>
      <c r="E633" s="743" t="s">
        <v>49</v>
      </c>
      <c r="F633" s="742" t="s">
        <v>263</v>
      </c>
      <c r="G633" s="743"/>
      <c r="H633" s="846"/>
      <c r="I633" s="772">
        <v>0.05</v>
      </c>
      <c r="J633" s="743" t="s">
        <v>31</v>
      </c>
      <c r="K633" s="133"/>
      <c r="L633" s="133"/>
    </row>
    <row r="634" s="105" customFormat="1" spans="2:12">
      <c r="B634" s="767"/>
      <c r="C634" s="844"/>
      <c r="D634" s="76" t="s">
        <v>319</v>
      </c>
      <c r="E634" s="743"/>
      <c r="F634" s="800"/>
      <c r="G634" s="743"/>
      <c r="H634" s="846"/>
      <c r="I634" s="772"/>
      <c r="J634" s="743"/>
      <c r="K634" s="133"/>
      <c r="L634" s="133"/>
    </row>
    <row r="635" spans="2:12">
      <c r="B635" s="739"/>
      <c r="C635" s="765">
        <v>11.2</v>
      </c>
      <c r="D635" s="810" t="s">
        <v>320</v>
      </c>
      <c r="E635" s="743"/>
      <c r="F635" s="800" t="s">
        <v>256</v>
      </c>
      <c r="G635" s="743"/>
      <c r="H635" s="843"/>
      <c r="I635" s="822"/>
      <c r="J635" s="38"/>
      <c r="K635" s="132"/>
      <c r="L635" s="132"/>
    </row>
    <row r="636" ht="31.95" customHeight="1" spans="2:12">
      <c r="B636" s="739"/>
      <c r="C636" s="765"/>
      <c r="D636" s="49" t="s">
        <v>321</v>
      </c>
      <c r="E636" s="743" t="s">
        <v>49</v>
      </c>
      <c r="F636" s="800" t="s">
        <v>260</v>
      </c>
      <c r="G636" s="743"/>
      <c r="H636" s="843"/>
      <c r="I636" s="768">
        <v>80000</v>
      </c>
      <c r="J636" s="38" t="s">
        <v>130</v>
      </c>
      <c r="K636" s="132"/>
      <c r="L636" s="132"/>
    </row>
    <row r="637" spans="2:12">
      <c r="B637" s="739"/>
      <c r="C637" s="765"/>
      <c r="D637" s="49" t="s">
        <v>322</v>
      </c>
      <c r="E637" s="743" t="s">
        <v>59</v>
      </c>
      <c r="F637" s="742" t="s">
        <v>310</v>
      </c>
      <c r="G637" s="743"/>
      <c r="H637" s="843" t="s">
        <v>311</v>
      </c>
      <c r="I637" s="768"/>
      <c r="J637" s="764"/>
      <c r="K637" s="132"/>
      <c r="L637" s="132"/>
    </row>
    <row r="638" spans="2:12">
      <c r="B638" s="739"/>
      <c r="C638" s="765"/>
      <c r="D638" s="49" t="s">
        <v>323</v>
      </c>
      <c r="E638" s="743" t="s">
        <v>49</v>
      </c>
      <c r="F638" s="742" t="s">
        <v>263</v>
      </c>
      <c r="G638" s="743"/>
      <c r="H638" s="843"/>
      <c r="I638" s="768">
        <v>18</v>
      </c>
      <c r="J638" s="764" t="s">
        <v>15</v>
      </c>
      <c r="K638" s="132"/>
      <c r="L638" s="132"/>
    </row>
    <row r="639" spans="2:12">
      <c r="B639" s="739"/>
      <c r="C639" s="765"/>
      <c r="D639" s="49" t="s">
        <v>324</v>
      </c>
      <c r="E639" s="743" t="s">
        <v>49</v>
      </c>
      <c r="F639" s="742" t="s">
        <v>263</v>
      </c>
      <c r="G639" s="743"/>
      <c r="H639" s="843"/>
      <c r="I639" s="822">
        <v>0.05</v>
      </c>
      <c r="J639" s="38" t="s">
        <v>31</v>
      </c>
      <c r="K639" s="843"/>
      <c r="L639" s="132"/>
    </row>
    <row r="640" ht="61.2" customHeight="1" spans="2:12">
      <c r="B640" s="739"/>
      <c r="C640" s="661">
        <v>12</v>
      </c>
      <c r="D640" s="95" t="s">
        <v>325</v>
      </c>
      <c r="E640" s="741" t="s">
        <v>242</v>
      </c>
      <c r="F640" s="800" t="s">
        <v>256</v>
      </c>
      <c r="G640" s="841" t="s">
        <v>297</v>
      </c>
      <c r="H640" s="843"/>
      <c r="I640" s="822"/>
      <c r="J640" s="38"/>
      <c r="K640" s="843" t="s">
        <v>326</v>
      </c>
      <c r="L640" s="132"/>
    </row>
    <row r="641" spans="2:12">
      <c r="B641" s="739"/>
      <c r="C641" s="765">
        <v>12.1</v>
      </c>
      <c r="D641" s="49" t="s">
        <v>327</v>
      </c>
      <c r="E641" s="775" t="s">
        <v>49</v>
      </c>
      <c r="F641" s="742"/>
      <c r="G641" s="741"/>
      <c r="H641" s="843"/>
      <c r="I641" s="768">
        <v>500</v>
      </c>
      <c r="J641" s="808" t="s">
        <v>130</v>
      </c>
      <c r="K641" s="843"/>
      <c r="L641" s="132"/>
    </row>
    <row r="642" ht="16.5" hidden="1" spans="2:12">
      <c r="B642" s="739"/>
      <c r="C642" s="765"/>
      <c r="D642" s="781" t="s">
        <v>74</v>
      </c>
      <c r="E642" s="775" t="s">
        <v>49</v>
      </c>
      <c r="F642" s="804" t="s">
        <v>260</v>
      </c>
      <c r="G642" s="848"/>
      <c r="H642" s="849"/>
      <c r="I642" s="29">
        <v>0</v>
      </c>
      <c r="J642" s="808" t="s">
        <v>130</v>
      </c>
      <c r="K642" s="843"/>
      <c r="L642" s="132"/>
    </row>
    <row r="643" ht="16.5" hidden="1" spans="2:12">
      <c r="B643" s="739"/>
      <c r="C643" s="765"/>
      <c r="D643" s="781" t="s">
        <v>75</v>
      </c>
      <c r="E643" s="775" t="s">
        <v>49</v>
      </c>
      <c r="F643" s="804" t="s">
        <v>260</v>
      </c>
      <c r="G643" s="848"/>
      <c r="H643" s="849"/>
      <c r="I643" s="29">
        <v>0</v>
      </c>
      <c r="J643" s="808" t="s">
        <v>130</v>
      </c>
      <c r="K643" s="843"/>
      <c r="L643" s="132"/>
    </row>
    <row r="644" ht="16.5" hidden="1" spans="2:12">
      <c r="B644" s="739"/>
      <c r="C644" s="765"/>
      <c r="D644" s="781" t="s">
        <v>76</v>
      </c>
      <c r="E644" s="775" t="s">
        <v>49</v>
      </c>
      <c r="F644" s="804" t="s">
        <v>260</v>
      </c>
      <c r="G644" s="848"/>
      <c r="H644" s="849"/>
      <c r="I644" s="29">
        <v>0</v>
      </c>
      <c r="J644" s="808" t="s">
        <v>130</v>
      </c>
      <c r="K644" s="843"/>
      <c r="L644" s="132"/>
    </row>
    <row r="645" ht="16.5" hidden="1" spans="2:12">
      <c r="B645" s="739"/>
      <c r="C645" s="765"/>
      <c r="D645" s="781" t="s">
        <v>77</v>
      </c>
      <c r="E645" s="775" t="s">
        <v>49</v>
      </c>
      <c r="F645" s="804" t="s">
        <v>260</v>
      </c>
      <c r="G645" s="848"/>
      <c r="H645" s="849"/>
      <c r="I645" s="29">
        <v>0</v>
      </c>
      <c r="J645" s="808" t="s">
        <v>130</v>
      </c>
      <c r="K645" s="843"/>
      <c r="L645" s="132"/>
    </row>
    <row r="646" ht="16.5" hidden="1" spans="2:12">
      <c r="B646" s="739"/>
      <c r="C646" s="765"/>
      <c r="D646" s="781" t="s">
        <v>78</v>
      </c>
      <c r="E646" s="775" t="s">
        <v>49</v>
      </c>
      <c r="F646" s="804" t="s">
        <v>260</v>
      </c>
      <c r="G646" s="848"/>
      <c r="H646" s="849"/>
      <c r="I646" s="29">
        <v>0</v>
      </c>
      <c r="J646" s="808" t="s">
        <v>130</v>
      </c>
      <c r="K646" s="843"/>
      <c r="L646" s="132"/>
    </row>
    <row r="647" ht="16.5" hidden="1" spans="2:12">
      <c r="B647" s="739"/>
      <c r="C647" s="765"/>
      <c r="D647" s="781" t="s">
        <v>79</v>
      </c>
      <c r="E647" s="775" t="s">
        <v>49</v>
      </c>
      <c r="F647" s="804" t="s">
        <v>260</v>
      </c>
      <c r="G647" s="848"/>
      <c r="H647" s="849"/>
      <c r="I647" s="29">
        <v>0</v>
      </c>
      <c r="J647" s="808" t="s">
        <v>130</v>
      </c>
      <c r="K647" s="843"/>
      <c r="L647" s="132"/>
    </row>
    <row r="648" ht="16.5" hidden="1" spans="2:12">
      <c r="B648" s="739"/>
      <c r="C648" s="765"/>
      <c r="D648" s="781" t="s">
        <v>80</v>
      </c>
      <c r="E648" s="775" t="s">
        <v>49</v>
      </c>
      <c r="F648" s="804" t="s">
        <v>260</v>
      </c>
      <c r="G648" s="848"/>
      <c r="H648" s="849"/>
      <c r="I648" s="29">
        <v>0</v>
      </c>
      <c r="J648" s="808" t="s">
        <v>130</v>
      </c>
      <c r="K648" s="843"/>
      <c r="L648" s="132"/>
    </row>
    <row r="649" ht="16.5" hidden="1" spans="2:12">
      <c r="B649" s="739"/>
      <c r="C649" s="765"/>
      <c r="D649" s="781" t="s">
        <v>81</v>
      </c>
      <c r="E649" s="775" t="s">
        <v>49</v>
      </c>
      <c r="F649" s="804" t="s">
        <v>260</v>
      </c>
      <c r="G649" s="848"/>
      <c r="H649" s="849"/>
      <c r="I649" s="29">
        <v>0</v>
      </c>
      <c r="J649" s="808" t="s">
        <v>130</v>
      </c>
      <c r="K649" s="843"/>
      <c r="L649" s="132"/>
    </row>
    <row r="650" ht="16.5" hidden="1" spans="2:12">
      <c r="B650" s="739"/>
      <c r="C650" s="765"/>
      <c r="D650" s="781" t="s">
        <v>82</v>
      </c>
      <c r="E650" s="775" t="s">
        <v>49</v>
      </c>
      <c r="F650" s="804" t="s">
        <v>260</v>
      </c>
      <c r="G650" s="775"/>
      <c r="H650" s="849"/>
      <c r="I650" s="29">
        <v>500</v>
      </c>
      <c r="J650" s="808" t="s">
        <v>130</v>
      </c>
      <c r="K650" s="843"/>
      <c r="L650" s="132"/>
    </row>
    <row r="651" ht="16.5" hidden="1" spans="2:12">
      <c r="B651" s="739"/>
      <c r="C651" s="765"/>
      <c r="D651" s="781" t="s">
        <v>83</v>
      </c>
      <c r="E651" s="775" t="s">
        <v>49</v>
      </c>
      <c r="F651" s="804" t="s">
        <v>260</v>
      </c>
      <c r="G651" s="775"/>
      <c r="H651" s="849"/>
      <c r="I651" s="29">
        <v>0</v>
      </c>
      <c r="J651" s="808" t="s">
        <v>130</v>
      </c>
      <c r="K651" s="843"/>
      <c r="L651" s="132"/>
    </row>
    <row r="652" ht="16.5" hidden="1" spans="2:12">
      <c r="B652" s="739"/>
      <c r="C652" s="765"/>
      <c r="D652" s="781" t="s">
        <v>84</v>
      </c>
      <c r="E652" s="775" t="s">
        <v>49</v>
      </c>
      <c r="F652" s="804" t="s">
        <v>260</v>
      </c>
      <c r="G652" s="775"/>
      <c r="H652" s="849"/>
      <c r="I652" s="29">
        <v>0</v>
      </c>
      <c r="J652" s="808" t="s">
        <v>130</v>
      </c>
      <c r="K652" s="843"/>
      <c r="L652" s="132"/>
    </row>
    <row r="653" ht="16.5" hidden="1" spans="2:12">
      <c r="B653" s="739"/>
      <c r="C653" s="765"/>
      <c r="D653" s="781" t="s">
        <v>85</v>
      </c>
      <c r="E653" s="775" t="s">
        <v>49</v>
      </c>
      <c r="F653" s="804" t="s">
        <v>260</v>
      </c>
      <c r="G653" s="775"/>
      <c r="H653" s="849"/>
      <c r="I653" s="29">
        <v>0</v>
      </c>
      <c r="J653" s="808" t="s">
        <v>130</v>
      </c>
      <c r="K653" s="843"/>
      <c r="L653" s="132"/>
    </row>
    <row r="654" ht="16.5" hidden="1" spans="2:12">
      <c r="B654" s="739"/>
      <c r="C654" s="765"/>
      <c r="D654" s="781" t="s">
        <v>86</v>
      </c>
      <c r="E654" s="775" t="s">
        <v>49</v>
      </c>
      <c r="F654" s="804" t="s">
        <v>260</v>
      </c>
      <c r="G654" s="775"/>
      <c r="H654" s="849"/>
      <c r="I654" s="29">
        <v>0</v>
      </c>
      <c r="J654" s="808" t="s">
        <v>130</v>
      </c>
      <c r="K654" s="843"/>
      <c r="L654" s="132"/>
    </row>
    <row r="655" ht="16.5" hidden="1" spans="2:12">
      <c r="B655" s="739"/>
      <c r="C655" s="765"/>
      <c r="D655" s="781" t="s">
        <v>87</v>
      </c>
      <c r="E655" s="775" t="s">
        <v>49</v>
      </c>
      <c r="F655" s="804" t="s">
        <v>260</v>
      </c>
      <c r="G655" s="775"/>
      <c r="H655" s="849"/>
      <c r="I655" s="29">
        <v>500</v>
      </c>
      <c r="J655" s="808" t="s">
        <v>130</v>
      </c>
      <c r="K655" s="843"/>
      <c r="L655" s="132"/>
    </row>
    <row r="656" ht="16.5" hidden="1" spans="2:12">
      <c r="B656" s="739"/>
      <c r="C656" s="765"/>
      <c r="D656" s="781" t="s">
        <v>88</v>
      </c>
      <c r="E656" s="775" t="s">
        <v>49</v>
      </c>
      <c r="F656" s="804" t="s">
        <v>260</v>
      </c>
      <c r="G656" s="775"/>
      <c r="H656" s="849"/>
      <c r="I656" s="29">
        <v>0</v>
      </c>
      <c r="J656" s="808" t="s">
        <v>130</v>
      </c>
      <c r="K656" s="843"/>
      <c r="L656" s="132"/>
    </row>
    <row r="657" ht="16.5" hidden="1" spans="2:12">
      <c r="B657" s="739"/>
      <c r="C657" s="765"/>
      <c r="D657" s="781" t="s">
        <v>89</v>
      </c>
      <c r="E657" s="775" t="s">
        <v>49</v>
      </c>
      <c r="F657" s="804" t="s">
        <v>260</v>
      </c>
      <c r="G657" s="775"/>
      <c r="H657" s="849"/>
      <c r="I657" s="29">
        <v>0</v>
      </c>
      <c r="J657" s="808" t="s">
        <v>130</v>
      </c>
      <c r="K657" s="843"/>
      <c r="L657" s="132"/>
    </row>
    <row r="658" ht="16.5" hidden="1" spans="2:12">
      <c r="B658" s="739"/>
      <c r="C658" s="765"/>
      <c r="D658" s="781" t="s">
        <v>90</v>
      </c>
      <c r="E658" s="775" t="s">
        <v>49</v>
      </c>
      <c r="F658" s="804" t="s">
        <v>260</v>
      </c>
      <c r="G658" s="775"/>
      <c r="H658" s="849"/>
      <c r="I658" s="29">
        <v>0</v>
      </c>
      <c r="J658" s="808" t="s">
        <v>130</v>
      </c>
      <c r="K658" s="843"/>
      <c r="L658" s="132"/>
    </row>
    <row r="659" ht="16.5" hidden="1" spans="2:12">
      <c r="B659" s="739"/>
      <c r="C659" s="765"/>
      <c r="D659" s="781" t="s">
        <v>91</v>
      </c>
      <c r="E659" s="775" t="s">
        <v>49</v>
      </c>
      <c r="F659" s="804" t="s">
        <v>260</v>
      </c>
      <c r="G659" s="775"/>
      <c r="H659" s="849"/>
      <c r="I659" s="29">
        <v>0</v>
      </c>
      <c r="J659" s="808" t="s">
        <v>130</v>
      </c>
      <c r="K659" s="843"/>
      <c r="L659" s="132"/>
    </row>
    <row r="660" ht="16.5" hidden="1" spans="2:12">
      <c r="B660" s="739"/>
      <c r="C660" s="765"/>
      <c r="D660" s="781" t="s">
        <v>92</v>
      </c>
      <c r="E660" s="775" t="s">
        <v>49</v>
      </c>
      <c r="F660" s="804" t="s">
        <v>260</v>
      </c>
      <c r="G660" s="775"/>
      <c r="H660" s="849"/>
      <c r="I660" s="29">
        <v>500</v>
      </c>
      <c r="J660" s="808" t="s">
        <v>130</v>
      </c>
      <c r="K660" s="843"/>
      <c r="L660" s="132"/>
    </row>
    <row r="661" ht="16.5" hidden="1" spans="2:12">
      <c r="B661" s="739"/>
      <c r="C661" s="765"/>
      <c r="D661" s="781" t="s">
        <v>93</v>
      </c>
      <c r="E661" s="775" t="s">
        <v>49</v>
      </c>
      <c r="F661" s="804" t="s">
        <v>260</v>
      </c>
      <c r="G661" s="775"/>
      <c r="H661" s="849"/>
      <c r="I661" s="29">
        <v>0</v>
      </c>
      <c r="J661" s="808" t="s">
        <v>130</v>
      </c>
      <c r="K661" s="843"/>
      <c r="L661" s="132"/>
    </row>
    <row r="662" ht="16.5" hidden="1" spans="2:12">
      <c r="B662" s="739"/>
      <c r="C662" s="765"/>
      <c r="D662" s="781" t="s">
        <v>94</v>
      </c>
      <c r="E662" s="775" t="s">
        <v>49</v>
      </c>
      <c r="F662" s="804" t="s">
        <v>260</v>
      </c>
      <c r="G662" s="775"/>
      <c r="H662" s="849"/>
      <c r="I662" s="29">
        <v>0</v>
      </c>
      <c r="J662" s="808" t="s">
        <v>130</v>
      </c>
      <c r="K662" s="843"/>
      <c r="L662" s="132"/>
    </row>
    <row r="663" ht="16.5" hidden="1" spans="2:12">
      <c r="B663" s="739"/>
      <c r="C663" s="765"/>
      <c r="D663" s="781" t="s">
        <v>95</v>
      </c>
      <c r="E663" s="775" t="s">
        <v>49</v>
      </c>
      <c r="F663" s="804" t="s">
        <v>260</v>
      </c>
      <c r="G663" s="775"/>
      <c r="H663" s="849"/>
      <c r="I663" s="29">
        <v>0</v>
      </c>
      <c r="J663" s="808" t="s">
        <v>130</v>
      </c>
      <c r="K663" s="843"/>
      <c r="L663" s="132"/>
    </row>
    <row r="664" ht="16.5" hidden="1" spans="2:12">
      <c r="B664" s="739"/>
      <c r="C664" s="765"/>
      <c r="D664" s="781" t="s">
        <v>96</v>
      </c>
      <c r="E664" s="775" t="s">
        <v>49</v>
      </c>
      <c r="F664" s="804" t="s">
        <v>260</v>
      </c>
      <c r="G664" s="775"/>
      <c r="H664" s="849"/>
      <c r="I664" s="29">
        <v>0</v>
      </c>
      <c r="J664" s="808" t="s">
        <v>130</v>
      </c>
      <c r="K664" s="843"/>
      <c r="L664" s="132"/>
    </row>
    <row r="665" ht="16.5" hidden="1" spans="2:12">
      <c r="B665" s="739"/>
      <c r="C665" s="765"/>
      <c r="D665" s="781" t="s">
        <v>97</v>
      </c>
      <c r="E665" s="775" t="s">
        <v>49</v>
      </c>
      <c r="F665" s="804" t="s">
        <v>260</v>
      </c>
      <c r="G665" s="775"/>
      <c r="H665" s="849"/>
      <c r="I665" s="29">
        <v>500</v>
      </c>
      <c r="J665" s="808" t="s">
        <v>130</v>
      </c>
      <c r="K665" s="843"/>
      <c r="L665" s="132"/>
    </row>
    <row r="666" ht="16.5" hidden="1" spans="2:12">
      <c r="B666" s="739"/>
      <c r="C666" s="765"/>
      <c r="D666" s="781" t="s">
        <v>98</v>
      </c>
      <c r="E666" s="775" t="s">
        <v>49</v>
      </c>
      <c r="F666" s="804" t="s">
        <v>260</v>
      </c>
      <c r="G666" s="775"/>
      <c r="H666" s="849"/>
      <c r="I666" s="29">
        <v>0</v>
      </c>
      <c r="J666" s="808" t="s">
        <v>130</v>
      </c>
      <c r="K666" s="843"/>
      <c r="L666" s="132"/>
    </row>
    <row r="667" ht="16.5" hidden="1" spans="2:12">
      <c r="B667" s="739"/>
      <c r="C667" s="765"/>
      <c r="D667" s="781" t="s">
        <v>99</v>
      </c>
      <c r="E667" s="775" t="s">
        <v>49</v>
      </c>
      <c r="F667" s="804" t="s">
        <v>260</v>
      </c>
      <c r="G667" s="775"/>
      <c r="H667" s="849"/>
      <c r="I667" s="29">
        <v>0</v>
      </c>
      <c r="J667" s="808" t="s">
        <v>130</v>
      </c>
      <c r="K667" s="843"/>
      <c r="L667" s="132"/>
    </row>
    <row r="668" ht="16.5" hidden="1" spans="2:12">
      <c r="B668" s="739"/>
      <c r="C668" s="765"/>
      <c r="D668" s="781" t="s">
        <v>100</v>
      </c>
      <c r="E668" s="775" t="s">
        <v>49</v>
      </c>
      <c r="F668" s="804" t="s">
        <v>260</v>
      </c>
      <c r="G668" s="775"/>
      <c r="H668" s="849"/>
      <c r="I668" s="29">
        <v>0</v>
      </c>
      <c r="J668" s="808" t="s">
        <v>130</v>
      </c>
      <c r="K668" s="843"/>
      <c r="L668" s="132"/>
    </row>
    <row r="669" ht="16.5" hidden="1" spans="2:12">
      <c r="B669" s="739"/>
      <c r="C669" s="765"/>
      <c r="D669" s="781" t="s">
        <v>101</v>
      </c>
      <c r="E669" s="775" t="s">
        <v>49</v>
      </c>
      <c r="F669" s="804" t="s">
        <v>260</v>
      </c>
      <c r="G669" s="775"/>
      <c r="H669" s="849"/>
      <c r="I669" s="29">
        <v>0</v>
      </c>
      <c r="J669" s="808" t="s">
        <v>130</v>
      </c>
      <c r="K669" s="843"/>
      <c r="L669" s="132"/>
    </row>
    <row r="670" ht="16.5" hidden="1" spans="2:12">
      <c r="B670" s="739"/>
      <c r="C670" s="765"/>
      <c r="D670" s="781" t="s">
        <v>102</v>
      </c>
      <c r="E670" s="775" t="s">
        <v>49</v>
      </c>
      <c r="F670" s="804" t="s">
        <v>260</v>
      </c>
      <c r="G670" s="775"/>
      <c r="H670" s="849"/>
      <c r="I670" s="29">
        <v>500</v>
      </c>
      <c r="J670" s="808" t="s">
        <v>130</v>
      </c>
      <c r="K670" s="843"/>
      <c r="L670" s="132"/>
    </row>
    <row r="671" ht="16.5" hidden="1" spans="2:12">
      <c r="B671" s="739"/>
      <c r="C671" s="765"/>
      <c r="D671" s="781" t="s">
        <v>103</v>
      </c>
      <c r="E671" s="775" t="s">
        <v>49</v>
      </c>
      <c r="F671" s="804" t="s">
        <v>260</v>
      </c>
      <c r="G671" s="775"/>
      <c r="H671" s="849"/>
      <c r="I671" s="29">
        <v>0</v>
      </c>
      <c r="J671" s="808" t="s">
        <v>130</v>
      </c>
      <c r="K671" s="843"/>
      <c r="L671" s="132"/>
    </row>
    <row r="672" ht="16.5" hidden="1" spans="2:12">
      <c r="B672" s="739"/>
      <c r="C672" s="765"/>
      <c r="D672" s="781" t="s">
        <v>104</v>
      </c>
      <c r="E672" s="775" t="s">
        <v>49</v>
      </c>
      <c r="F672" s="804" t="s">
        <v>260</v>
      </c>
      <c r="G672" s="775"/>
      <c r="H672" s="849"/>
      <c r="I672" s="29">
        <v>0</v>
      </c>
      <c r="J672" s="808" t="s">
        <v>130</v>
      </c>
      <c r="K672" s="843"/>
      <c r="L672" s="132"/>
    </row>
    <row r="673" ht="16.5" hidden="1" spans="2:12">
      <c r="B673" s="739"/>
      <c r="C673" s="765"/>
      <c r="D673" s="781" t="s">
        <v>105</v>
      </c>
      <c r="E673" s="775" t="s">
        <v>49</v>
      </c>
      <c r="F673" s="804" t="s">
        <v>260</v>
      </c>
      <c r="G673" s="775"/>
      <c r="H673" s="849"/>
      <c r="I673" s="29">
        <v>0</v>
      </c>
      <c r="J673" s="808" t="s">
        <v>130</v>
      </c>
      <c r="K673" s="843"/>
      <c r="L673" s="132"/>
    </row>
    <row r="674" ht="16.5" hidden="1" spans="2:12">
      <c r="B674" s="739"/>
      <c r="C674" s="765"/>
      <c r="D674" s="781" t="s">
        <v>106</v>
      </c>
      <c r="E674" s="775" t="s">
        <v>49</v>
      </c>
      <c r="F674" s="804" t="s">
        <v>260</v>
      </c>
      <c r="G674" s="775"/>
      <c r="H674" s="849"/>
      <c r="I674" s="29">
        <v>0</v>
      </c>
      <c r="J674" s="808" t="s">
        <v>130</v>
      </c>
      <c r="K674" s="843"/>
      <c r="L674" s="132"/>
    </row>
    <row r="675" ht="16.5" hidden="1" spans="2:12">
      <c r="B675" s="739"/>
      <c r="C675" s="765"/>
      <c r="D675" s="781" t="s">
        <v>107</v>
      </c>
      <c r="E675" s="775" t="s">
        <v>49</v>
      </c>
      <c r="F675" s="804" t="s">
        <v>260</v>
      </c>
      <c r="G675" s="775"/>
      <c r="H675" s="849"/>
      <c r="I675" s="29">
        <v>500</v>
      </c>
      <c r="J675" s="808" t="s">
        <v>130</v>
      </c>
      <c r="K675" s="843"/>
      <c r="L675" s="132"/>
    </row>
    <row r="676" ht="16.5" hidden="1" spans="2:12">
      <c r="B676" s="739"/>
      <c r="C676" s="765"/>
      <c r="D676" s="781" t="s">
        <v>108</v>
      </c>
      <c r="E676" s="775" t="s">
        <v>49</v>
      </c>
      <c r="F676" s="804" t="s">
        <v>260</v>
      </c>
      <c r="G676" s="775"/>
      <c r="H676" s="849"/>
      <c r="I676" s="29">
        <v>0</v>
      </c>
      <c r="J676" s="808" t="s">
        <v>130</v>
      </c>
      <c r="K676" s="843"/>
      <c r="L676" s="132"/>
    </row>
    <row r="677" ht="16.5" hidden="1" spans="2:12">
      <c r="B677" s="739"/>
      <c r="C677" s="765"/>
      <c r="D677" s="781" t="s">
        <v>109</v>
      </c>
      <c r="E677" s="775" t="s">
        <v>49</v>
      </c>
      <c r="F677" s="804" t="s">
        <v>260</v>
      </c>
      <c r="G677" s="775"/>
      <c r="H677" s="849"/>
      <c r="I677" s="29">
        <v>0</v>
      </c>
      <c r="J677" s="808" t="s">
        <v>130</v>
      </c>
      <c r="K677" s="843"/>
      <c r="L677" s="132"/>
    </row>
    <row r="678" ht="16.5" hidden="1" spans="2:12">
      <c r="B678" s="739"/>
      <c r="C678" s="765"/>
      <c r="D678" s="781" t="s">
        <v>110</v>
      </c>
      <c r="E678" s="775" t="s">
        <v>49</v>
      </c>
      <c r="F678" s="804" t="s">
        <v>260</v>
      </c>
      <c r="G678" s="775"/>
      <c r="H678" s="849"/>
      <c r="I678" s="29">
        <v>0</v>
      </c>
      <c r="J678" s="808" t="s">
        <v>130</v>
      </c>
      <c r="K678" s="843"/>
      <c r="L678" s="132"/>
    </row>
    <row r="679" ht="16.5" hidden="1" spans="2:12">
      <c r="B679" s="739"/>
      <c r="C679" s="765"/>
      <c r="D679" s="781" t="s">
        <v>111</v>
      </c>
      <c r="E679" s="775" t="s">
        <v>49</v>
      </c>
      <c r="F679" s="804" t="s">
        <v>260</v>
      </c>
      <c r="G679" s="775"/>
      <c r="H679" s="849"/>
      <c r="I679" s="29">
        <v>0</v>
      </c>
      <c r="J679" s="808" t="s">
        <v>130</v>
      </c>
      <c r="K679" s="843"/>
      <c r="L679" s="132"/>
    </row>
    <row r="680" ht="16.5" hidden="1" spans="2:12">
      <c r="B680" s="739"/>
      <c r="C680" s="765"/>
      <c r="D680" s="781" t="s">
        <v>112</v>
      </c>
      <c r="E680" s="775" t="s">
        <v>49</v>
      </c>
      <c r="F680" s="804" t="s">
        <v>260</v>
      </c>
      <c r="G680" s="775"/>
      <c r="H680" s="849"/>
      <c r="I680" s="29">
        <v>500</v>
      </c>
      <c r="J680" s="808" t="s">
        <v>130</v>
      </c>
      <c r="K680" s="843"/>
      <c r="L680" s="132"/>
    </row>
    <row r="681" ht="16.5" hidden="1" spans="2:12">
      <c r="B681" s="739"/>
      <c r="C681" s="765"/>
      <c r="D681" s="781" t="s">
        <v>113</v>
      </c>
      <c r="E681" s="775" t="s">
        <v>49</v>
      </c>
      <c r="F681" s="804" t="s">
        <v>260</v>
      </c>
      <c r="G681" s="775"/>
      <c r="H681" s="849"/>
      <c r="I681" s="29">
        <v>0</v>
      </c>
      <c r="J681" s="808" t="s">
        <v>130</v>
      </c>
      <c r="K681" s="843"/>
      <c r="L681" s="132"/>
    </row>
    <row r="682" ht="16.5" hidden="1" spans="2:12">
      <c r="B682" s="739"/>
      <c r="C682" s="765"/>
      <c r="D682" s="781" t="s">
        <v>114</v>
      </c>
      <c r="E682" s="775" t="s">
        <v>49</v>
      </c>
      <c r="F682" s="804" t="s">
        <v>260</v>
      </c>
      <c r="G682" s="775"/>
      <c r="H682" s="849"/>
      <c r="I682" s="29">
        <v>0</v>
      </c>
      <c r="J682" s="808" t="s">
        <v>130</v>
      </c>
      <c r="K682" s="843"/>
      <c r="L682" s="132"/>
    </row>
    <row r="683" ht="16.5" hidden="1" spans="2:12">
      <c r="B683" s="739"/>
      <c r="C683" s="765"/>
      <c r="D683" s="781" t="s">
        <v>115</v>
      </c>
      <c r="E683" s="775" t="s">
        <v>49</v>
      </c>
      <c r="F683" s="804" t="s">
        <v>260</v>
      </c>
      <c r="G683" s="775"/>
      <c r="H683" s="849"/>
      <c r="I683" s="29">
        <v>0</v>
      </c>
      <c r="J683" s="808" t="s">
        <v>130</v>
      </c>
      <c r="K683" s="843"/>
      <c r="L683" s="132"/>
    </row>
    <row r="684" ht="16.5" hidden="1" spans="2:12">
      <c r="B684" s="739"/>
      <c r="C684" s="765"/>
      <c r="D684" s="781" t="s">
        <v>116</v>
      </c>
      <c r="E684" s="775" t="s">
        <v>49</v>
      </c>
      <c r="F684" s="804" t="s">
        <v>260</v>
      </c>
      <c r="G684" s="775"/>
      <c r="H684" s="849"/>
      <c r="I684" s="29">
        <v>0</v>
      </c>
      <c r="J684" s="808" t="s">
        <v>130</v>
      </c>
      <c r="K684" s="843"/>
      <c r="L684" s="132"/>
    </row>
    <row r="685" ht="16.5" hidden="1" spans="2:12">
      <c r="B685" s="739"/>
      <c r="C685" s="765"/>
      <c r="D685" s="781" t="s">
        <v>117</v>
      </c>
      <c r="E685" s="775" t="s">
        <v>49</v>
      </c>
      <c r="F685" s="804" t="s">
        <v>260</v>
      </c>
      <c r="G685" s="775"/>
      <c r="H685" s="849"/>
      <c r="I685" s="29">
        <v>500</v>
      </c>
      <c r="J685" s="808" t="s">
        <v>130</v>
      </c>
      <c r="K685" s="843"/>
      <c r="L685" s="132"/>
    </row>
    <row r="686" ht="16.5" hidden="1" spans="2:12">
      <c r="B686" s="739"/>
      <c r="C686" s="765"/>
      <c r="D686" s="781" t="s">
        <v>118</v>
      </c>
      <c r="E686" s="775" t="s">
        <v>49</v>
      </c>
      <c r="F686" s="804" t="s">
        <v>260</v>
      </c>
      <c r="G686" s="775"/>
      <c r="H686" s="849"/>
      <c r="I686" s="29">
        <v>0</v>
      </c>
      <c r="J686" s="808" t="s">
        <v>130</v>
      </c>
      <c r="K686" s="843"/>
      <c r="L686" s="132"/>
    </row>
    <row r="687" ht="16.5" hidden="1" spans="2:12">
      <c r="B687" s="739"/>
      <c r="C687" s="765"/>
      <c r="D687" s="781" t="s">
        <v>119</v>
      </c>
      <c r="E687" s="775" t="s">
        <v>49</v>
      </c>
      <c r="F687" s="804" t="s">
        <v>260</v>
      </c>
      <c r="G687" s="775"/>
      <c r="H687" s="849"/>
      <c r="I687" s="29">
        <v>500</v>
      </c>
      <c r="J687" s="808" t="s">
        <v>130</v>
      </c>
      <c r="K687" s="843"/>
      <c r="L687" s="132"/>
    </row>
    <row r="688" ht="16.5" hidden="1" spans="2:12">
      <c r="B688" s="739"/>
      <c r="C688" s="765"/>
      <c r="D688" s="781" t="s">
        <v>120</v>
      </c>
      <c r="E688" s="775" t="s">
        <v>49</v>
      </c>
      <c r="F688" s="804" t="s">
        <v>260</v>
      </c>
      <c r="G688" s="775"/>
      <c r="H688" s="849"/>
      <c r="I688" s="29">
        <v>0</v>
      </c>
      <c r="J688" s="808" t="s">
        <v>130</v>
      </c>
      <c r="K688" s="843"/>
      <c r="L688" s="132"/>
    </row>
    <row r="689" ht="16.5" hidden="1" spans="2:12">
      <c r="B689" s="739"/>
      <c r="C689" s="765"/>
      <c r="D689" s="781" t="s">
        <v>121</v>
      </c>
      <c r="E689" s="775" t="s">
        <v>49</v>
      </c>
      <c r="F689" s="804" t="s">
        <v>260</v>
      </c>
      <c r="G689" s="775"/>
      <c r="H689" s="849"/>
      <c r="I689" s="29">
        <v>0</v>
      </c>
      <c r="J689" s="808" t="s">
        <v>130</v>
      </c>
      <c r="K689" s="843"/>
      <c r="L689" s="132"/>
    </row>
    <row r="690" spans="2:12">
      <c r="B690" s="739"/>
      <c r="C690" s="765">
        <v>12.2</v>
      </c>
      <c r="D690" s="49" t="s">
        <v>328</v>
      </c>
      <c r="E690" s="743" t="s">
        <v>59</v>
      </c>
      <c r="F690" s="742" t="s">
        <v>310</v>
      </c>
      <c r="G690" s="743"/>
      <c r="H690" s="843" t="s">
        <v>329</v>
      </c>
      <c r="I690" s="822"/>
      <c r="J690" s="38"/>
      <c r="K690" s="843"/>
      <c r="L690" s="132"/>
    </row>
    <row r="691" spans="2:12">
      <c r="B691" s="739"/>
      <c r="C691" s="765">
        <v>12.3</v>
      </c>
      <c r="D691" s="49" t="s">
        <v>330</v>
      </c>
      <c r="E691" s="743" t="s">
        <v>49</v>
      </c>
      <c r="F691" s="742" t="s">
        <v>263</v>
      </c>
      <c r="G691" s="743"/>
      <c r="H691" s="843"/>
      <c r="I691" s="768">
        <v>5</v>
      </c>
      <c r="J691" s="38" t="s">
        <v>15</v>
      </c>
      <c r="K691" s="843"/>
      <c r="L691" s="132"/>
    </row>
    <row r="692" spans="2:12">
      <c r="B692" s="739"/>
      <c r="C692" s="765">
        <v>12.4</v>
      </c>
      <c r="D692" s="49" t="s">
        <v>253</v>
      </c>
      <c r="E692" s="743" t="s">
        <v>59</v>
      </c>
      <c r="F692" s="742"/>
      <c r="G692" s="743"/>
      <c r="H692" s="762" t="s">
        <v>254</v>
      </c>
      <c r="I692" s="822">
        <v>0.09</v>
      </c>
      <c r="J692" s="38" t="s">
        <v>31</v>
      </c>
      <c r="K692" s="843"/>
      <c r="L692" s="132"/>
    </row>
    <row r="693" ht="49.5" spans="2:12">
      <c r="B693" s="739"/>
      <c r="C693" s="661">
        <v>13</v>
      </c>
      <c r="D693" s="95" t="s">
        <v>331</v>
      </c>
      <c r="E693" s="741" t="s">
        <v>242</v>
      </c>
      <c r="F693" s="800" t="s">
        <v>256</v>
      </c>
      <c r="G693" s="841" t="s">
        <v>297</v>
      </c>
      <c r="H693" s="843"/>
      <c r="I693" s="768"/>
      <c r="J693" s="38"/>
      <c r="K693" s="843"/>
      <c r="L693" s="132"/>
    </row>
    <row r="694" spans="2:12">
      <c r="B694" s="739"/>
      <c r="C694" s="765">
        <v>13.1</v>
      </c>
      <c r="D694" s="54" t="s">
        <v>332</v>
      </c>
      <c r="E694" s="775" t="s">
        <v>49</v>
      </c>
      <c r="F694" s="742"/>
      <c r="G694" s="743"/>
      <c r="H694" s="843"/>
      <c r="I694" s="768">
        <v>20000</v>
      </c>
      <c r="J694" s="808" t="s">
        <v>130</v>
      </c>
      <c r="K694" s="843"/>
      <c r="L694" s="132"/>
    </row>
    <row r="695" ht="16.5" hidden="1" spans="2:12">
      <c r="B695" s="739"/>
      <c r="C695" s="765"/>
      <c r="D695" s="781" t="s">
        <v>74</v>
      </c>
      <c r="E695" s="775" t="s">
        <v>49</v>
      </c>
      <c r="F695" s="804" t="s">
        <v>260</v>
      </c>
      <c r="G695" s="775"/>
      <c r="H695" s="849"/>
      <c r="I695" s="29">
        <v>0</v>
      </c>
      <c r="J695" s="808" t="s">
        <v>130</v>
      </c>
      <c r="K695" s="849"/>
      <c r="L695" s="132"/>
    </row>
    <row r="696" ht="16.5" hidden="1" spans="2:12">
      <c r="B696" s="739"/>
      <c r="C696" s="765"/>
      <c r="D696" s="781" t="s">
        <v>75</v>
      </c>
      <c r="E696" s="775" t="s">
        <v>49</v>
      </c>
      <c r="F696" s="804" t="s">
        <v>260</v>
      </c>
      <c r="G696" s="775"/>
      <c r="H696" s="849"/>
      <c r="I696" s="29">
        <v>0</v>
      </c>
      <c r="J696" s="808" t="s">
        <v>130</v>
      </c>
      <c r="K696" s="849"/>
      <c r="L696" s="132"/>
    </row>
    <row r="697" ht="16.5" hidden="1" spans="2:12">
      <c r="B697" s="739"/>
      <c r="C697" s="765"/>
      <c r="D697" s="781" t="s">
        <v>76</v>
      </c>
      <c r="E697" s="775" t="s">
        <v>49</v>
      </c>
      <c r="F697" s="804" t="s">
        <v>260</v>
      </c>
      <c r="G697" s="775"/>
      <c r="H697" s="849"/>
      <c r="I697" s="29">
        <v>0</v>
      </c>
      <c r="J697" s="808" t="s">
        <v>130</v>
      </c>
      <c r="K697" s="849"/>
      <c r="L697" s="132"/>
    </row>
    <row r="698" ht="16.5" hidden="1" spans="2:12">
      <c r="B698" s="739"/>
      <c r="C698" s="765"/>
      <c r="D698" s="781" t="s">
        <v>77</v>
      </c>
      <c r="E698" s="775" t="s">
        <v>49</v>
      </c>
      <c r="F698" s="804" t="s">
        <v>260</v>
      </c>
      <c r="G698" s="775"/>
      <c r="H698" s="849"/>
      <c r="I698" s="29">
        <v>0</v>
      </c>
      <c r="J698" s="808" t="s">
        <v>130</v>
      </c>
      <c r="K698" s="849"/>
      <c r="L698" s="132"/>
    </row>
    <row r="699" ht="16.5" hidden="1" spans="2:12">
      <c r="B699" s="739"/>
      <c r="C699" s="765"/>
      <c r="D699" s="781" t="s">
        <v>78</v>
      </c>
      <c r="E699" s="775" t="s">
        <v>49</v>
      </c>
      <c r="F699" s="804" t="s">
        <v>260</v>
      </c>
      <c r="G699" s="775"/>
      <c r="H699" s="849"/>
      <c r="I699" s="29">
        <v>0</v>
      </c>
      <c r="J699" s="808" t="s">
        <v>130</v>
      </c>
      <c r="K699" s="849"/>
      <c r="L699" s="132"/>
    </row>
    <row r="700" ht="16.5" hidden="1" spans="2:12">
      <c r="B700" s="739"/>
      <c r="C700" s="765"/>
      <c r="D700" s="781" t="s">
        <v>79</v>
      </c>
      <c r="E700" s="775" t="s">
        <v>49</v>
      </c>
      <c r="F700" s="804" t="s">
        <v>260</v>
      </c>
      <c r="G700" s="775"/>
      <c r="H700" s="849"/>
      <c r="I700" s="29">
        <v>0</v>
      </c>
      <c r="J700" s="808" t="s">
        <v>130</v>
      </c>
      <c r="K700" s="849"/>
      <c r="L700" s="132"/>
    </row>
    <row r="701" ht="16.5" hidden="1" spans="2:12">
      <c r="B701" s="739"/>
      <c r="C701" s="765"/>
      <c r="D701" s="781" t="s">
        <v>80</v>
      </c>
      <c r="E701" s="775" t="s">
        <v>49</v>
      </c>
      <c r="F701" s="804" t="s">
        <v>260</v>
      </c>
      <c r="G701" s="775"/>
      <c r="H701" s="849"/>
      <c r="I701" s="29">
        <v>0</v>
      </c>
      <c r="J701" s="808" t="s">
        <v>130</v>
      </c>
      <c r="K701" s="849"/>
      <c r="L701" s="132"/>
    </row>
    <row r="702" ht="16.5" hidden="1" spans="2:12">
      <c r="B702" s="739"/>
      <c r="C702" s="765"/>
      <c r="D702" s="781" t="s">
        <v>81</v>
      </c>
      <c r="E702" s="775" t="s">
        <v>49</v>
      </c>
      <c r="F702" s="804" t="s">
        <v>260</v>
      </c>
      <c r="G702" s="775"/>
      <c r="H702" s="849"/>
      <c r="I702" s="29">
        <v>0</v>
      </c>
      <c r="J702" s="808" t="s">
        <v>130</v>
      </c>
      <c r="K702" s="849"/>
      <c r="L702" s="132"/>
    </row>
    <row r="703" ht="16.5" hidden="1" spans="2:12">
      <c r="B703" s="739"/>
      <c r="C703" s="765"/>
      <c r="D703" s="781" t="s">
        <v>82</v>
      </c>
      <c r="E703" s="775" t="s">
        <v>49</v>
      </c>
      <c r="F703" s="804" t="s">
        <v>260</v>
      </c>
      <c r="G703" s="775"/>
      <c r="H703" s="849"/>
      <c r="I703" s="29">
        <v>0</v>
      </c>
      <c r="J703" s="808" t="s">
        <v>130</v>
      </c>
      <c r="K703" s="849"/>
      <c r="L703" s="132"/>
    </row>
    <row r="704" ht="16.5" hidden="1" spans="2:12">
      <c r="B704" s="739"/>
      <c r="C704" s="765"/>
      <c r="D704" s="781" t="s">
        <v>83</v>
      </c>
      <c r="E704" s="775" t="s">
        <v>49</v>
      </c>
      <c r="F704" s="804" t="s">
        <v>260</v>
      </c>
      <c r="G704" s="775"/>
      <c r="H704" s="849"/>
      <c r="I704" s="29">
        <v>0</v>
      </c>
      <c r="J704" s="808" t="s">
        <v>130</v>
      </c>
      <c r="K704" s="849"/>
      <c r="L704" s="132"/>
    </row>
    <row r="705" ht="16.5" hidden="1" spans="2:12">
      <c r="B705" s="739"/>
      <c r="C705" s="765"/>
      <c r="D705" s="781" t="s">
        <v>84</v>
      </c>
      <c r="E705" s="775" t="s">
        <v>49</v>
      </c>
      <c r="F705" s="804" t="s">
        <v>260</v>
      </c>
      <c r="G705" s="775"/>
      <c r="H705" s="849"/>
      <c r="I705" s="29">
        <v>0</v>
      </c>
      <c r="J705" s="808" t="s">
        <v>130</v>
      </c>
      <c r="K705" s="849"/>
      <c r="L705" s="132"/>
    </row>
    <row r="706" ht="16.5" hidden="1" spans="2:12">
      <c r="B706" s="739"/>
      <c r="C706" s="765"/>
      <c r="D706" s="781" t="s">
        <v>85</v>
      </c>
      <c r="E706" s="775" t="s">
        <v>49</v>
      </c>
      <c r="F706" s="804" t="s">
        <v>260</v>
      </c>
      <c r="G706" s="775"/>
      <c r="H706" s="849"/>
      <c r="I706" s="29">
        <v>0</v>
      </c>
      <c r="J706" s="808" t="s">
        <v>130</v>
      </c>
      <c r="K706" s="849"/>
      <c r="L706" s="132"/>
    </row>
    <row r="707" ht="16.5" hidden="1" spans="2:12">
      <c r="B707" s="739"/>
      <c r="C707" s="765"/>
      <c r="D707" s="781" t="s">
        <v>86</v>
      </c>
      <c r="E707" s="775" t="s">
        <v>49</v>
      </c>
      <c r="F707" s="804" t="s">
        <v>260</v>
      </c>
      <c r="G707" s="775"/>
      <c r="H707" s="849"/>
      <c r="I707" s="29">
        <v>0</v>
      </c>
      <c r="J707" s="808" t="s">
        <v>130</v>
      </c>
      <c r="K707" s="849"/>
      <c r="L707" s="132"/>
    </row>
    <row r="708" ht="16.5" hidden="1" spans="2:12">
      <c r="B708" s="739"/>
      <c r="C708" s="765"/>
      <c r="D708" s="781" t="s">
        <v>87</v>
      </c>
      <c r="E708" s="775" t="s">
        <v>49</v>
      </c>
      <c r="F708" s="804" t="s">
        <v>260</v>
      </c>
      <c r="G708" s="775"/>
      <c r="H708" s="849"/>
      <c r="I708" s="29">
        <v>0</v>
      </c>
      <c r="J708" s="808" t="s">
        <v>130</v>
      </c>
      <c r="K708" s="849"/>
      <c r="L708" s="132"/>
    </row>
    <row r="709" ht="16.5" hidden="1" spans="2:12">
      <c r="B709" s="739"/>
      <c r="C709" s="765"/>
      <c r="D709" s="781" t="s">
        <v>88</v>
      </c>
      <c r="E709" s="775" t="s">
        <v>49</v>
      </c>
      <c r="F709" s="804" t="s">
        <v>260</v>
      </c>
      <c r="G709" s="775"/>
      <c r="H709" s="849"/>
      <c r="I709" s="29">
        <v>0</v>
      </c>
      <c r="J709" s="808" t="s">
        <v>130</v>
      </c>
      <c r="K709" s="849"/>
      <c r="L709" s="132"/>
    </row>
    <row r="710" ht="16.5" hidden="1" spans="2:12">
      <c r="B710" s="739"/>
      <c r="C710" s="765"/>
      <c r="D710" s="781" t="s">
        <v>89</v>
      </c>
      <c r="E710" s="775" t="s">
        <v>49</v>
      </c>
      <c r="F710" s="804" t="s">
        <v>260</v>
      </c>
      <c r="G710" s="775"/>
      <c r="H710" s="849"/>
      <c r="I710" s="29">
        <v>0</v>
      </c>
      <c r="J710" s="808" t="s">
        <v>130</v>
      </c>
      <c r="K710" s="849"/>
      <c r="L710" s="132"/>
    </row>
    <row r="711" ht="16.5" hidden="1" spans="2:12">
      <c r="B711" s="739"/>
      <c r="C711" s="765"/>
      <c r="D711" s="781" t="s">
        <v>90</v>
      </c>
      <c r="E711" s="775" t="s">
        <v>49</v>
      </c>
      <c r="F711" s="804" t="s">
        <v>260</v>
      </c>
      <c r="G711" s="775"/>
      <c r="H711" s="849"/>
      <c r="I711" s="29">
        <v>0</v>
      </c>
      <c r="J711" s="808" t="s">
        <v>130</v>
      </c>
      <c r="K711" s="849"/>
      <c r="L711" s="132"/>
    </row>
    <row r="712" ht="16.5" hidden="1" spans="2:12">
      <c r="B712" s="739"/>
      <c r="C712" s="765"/>
      <c r="D712" s="781" t="s">
        <v>91</v>
      </c>
      <c r="E712" s="775" t="s">
        <v>49</v>
      </c>
      <c r="F712" s="804" t="s">
        <v>260</v>
      </c>
      <c r="G712" s="775"/>
      <c r="H712" s="849"/>
      <c r="I712" s="29">
        <v>0</v>
      </c>
      <c r="J712" s="808" t="s">
        <v>130</v>
      </c>
      <c r="K712" s="849"/>
      <c r="L712" s="132"/>
    </row>
    <row r="713" ht="16.5" hidden="1" spans="2:12">
      <c r="B713" s="739"/>
      <c r="C713" s="765"/>
      <c r="D713" s="781" t="s">
        <v>92</v>
      </c>
      <c r="E713" s="775" t="s">
        <v>49</v>
      </c>
      <c r="F713" s="804" t="s">
        <v>260</v>
      </c>
      <c r="G713" s="775"/>
      <c r="H713" s="849"/>
      <c r="I713" s="29">
        <v>0</v>
      </c>
      <c r="J713" s="808" t="s">
        <v>130</v>
      </c>
      <c r="K713" s="849"/>
      <c r="L713" s="132"/>
    </row>
    <row r="714" ht="16.5" hidden="1" spans="2:12">
      <c r="B714" s="739"/>
      <c r="C714" s="765"/>
      <c r="D714" s="781" t="s">
        <v>93</v>
      </c>
      <c r="E714" s="775" t="s">
        <v>49</v>
      </c>
      <c r="F714" s="804" t="s">
        <v>260</v>
      </c>
      <c r="G714" s="775"/>
      <c r="H714" s="849"/>
      <c r="I714" s="29">
        <v>20000</v>
      </c>
      <c r="J714" s="808" t="s">
        <v>130</v>
      </c>
      <c r="K714" s="849"/>
      <c r="L714" s="132"/>
    </row>
    <row r="715" ht="16.5" hidden="1" spans="2:12">
      <c r="B715" s="739"/>
      <c r="C715" s="765"/>
      <c r="D715" s="781" t="s">
        <v>94</v>
      </c>
      <c r="E715" s="775" t="s">
        <v>49</v>
      </c>
      <c r="F715" s="804" t="s">
        <v>260</v>
      </c>
      <c r="G715" s="775"/>
      <c r="H715" s="849"/>
      <c r="I715" s="29">
        <v>0</v>
      </c>
      <c r="J715" s="808" t="s">
        <v>130</v>
      </c>
      <c r="K715" s="849"/>
      <c r="L715" s="132"/>
    </row>
    <row r="716" ht="16.5" hidden="1" spans="2:12">
      <c r="B716" s="739"/>
      <c r="C716" s="765"/>
      <c r="D716" s="781" t="s">
        <v>95</v>
      </c>
      <c r="E716" s="775" t="s">
        <v>49</v>
      </c>
      <c r="F716" s="804" t="s">
        <v>260</v>
      </c>
      <c r="G716" s="775"/>
      <c r="H716" s="849"/>
      <c r="I716" s="29">
        <v>0</v>
      </c>
      <c r="J716" s="808" t="s">
        <v>130</v>
      </c>
      <c r="K716" s="849"/>
      <c r="L716" s="132"/>
    </row>
    <row r="717" ht="16.5" hidden="1" spans="2:12">
      <c r="B717" s="739"/>
      <c r="C717" s="765"/>
      <c r="D717" s="781" t="s">
        <v>96</v>
      </c>
      <c r="E717" s="775" t="s">
        <v>49</v>
      </c>
      <c r="F717" s="804" t="s">
        <v>260</v>
      </c>
      <c r="G717" s="775"/>
      <c r="H717" s="849"/>
      <c r="I717" s="29">
        <v>0</v>
      </c>
      <c r="J717" s="808" t="s">
        <v>130</v>
      </c>
      <c r="K717" s="849"/>
      <c r="L717" s="132"/>
    </row>
    <row r="718" ht="16.5" hidden="1" spans="2:12">
      <c r="B718" s="739"/>
      <c r="C718" s="765"/>
      <c r="D718" s="781" t="s">
        <v>97</v>
      </c>
      <c r="E718" s="775" t="s">
        <v>49</v>
      </c>
      <c r="F718" s="804" t="s">
        <v>260</v>
      </c>
      <c r="G718" s="775"/>
      <c r="H718" s="849"/>
      <c r="I718" s="29">
        <v>0</v>
      </c>
      <c r="J718" s="808" t="s">
        <v>130</v>
      </c>
      <c r="K718" s="849"/>
      <c r="L718" s="132"/>
    </row>
    <row r="719" ht="16.5" hidden="1" spans="2:12">
      <c r="B719" s="739"/>
      <c r="C719" s="765"/>
      <c r="D719" s="781" t="s">
        <v>98</v>
      </c>
      <c r="E719" s="775" t="s">
        <v>49</v>
      </c>
      <c r="F719" s="804" t="s">
        <v>260</v>
      </c>
      <c r="G719" s="775"/>
      <c r="H719" s="849"/>
      <c r="I719" s="29">
        <v>0</v>
      </c>
      <c r="J719" s="808" t="s">
        <v>130</v>
      </c>
      <c r="K719" s="849"/>
      <c r="L719" s="132"/>
    </row>
    <row r="720" ht="16.5" hidden="1" spans="2:12">
      <c r="B720" s="739"/>
      <c r="C720" s="765"/>
      <c r="D720" s="781" t="s">
        <v>99</v>
      </c>
      <c r="E720" s="775" t="s">
        <v>49</v>
      </c>
      <c r="F720" s="804" t="s">
        <v>260</v>
      </c>
      <c r="G720" s="775"/>
      <c r="H720" s="849"/>
      <c r="I720" s="29">
        <v>0</v>
      </c>
      <c r="J720" s="808" t="s">
        <v>130</v>
      </c>
      <c r="K720" s="849"/>
      <c r="L720" s="132"/>
    </row>
    <row r="721" ht="16.5" hidden="1" spans="2:12">
      <c r="B721" s="739"/>
      <c r="C721" s="765"/>
      <c r="D721" s="781" t="s">
        <v>100</v>
      </c>
      <c r="E721" s="775" t="s">
        <v>49</v>
      </c>
      <c r="F721" s="804" t="s">
        <v>260</v>
      </c>
      <c r="G721" s="775"/>
      <c r="H721" s="849"/>
      <c r="I721" s="29">
        <v>0</v>
      </c>
      <c r="J721" s="808" t="s">
        <v>130</v>
      </c>
      <c r="K721" s="849"/>
      <c r="L721" s="132"/>
    </row>
    <row r="722" ht="16.5" hidden="1" spans="2:12">
      <c r="B722" s="739"/>
      <c r="C722" s="765"/>
      <c r="D722" s="781" t="s">
        <v>101</v>
      </c>
      <c r="E722" s="775" t="s">
        <v>49</v>
      </c>
      <c r="F722" s="804" t="s">
        <v>260</v>
      </c>
      <c r="G722" s="775"/>
      <c r="H722" s="849"/>
      <c r="I722" s="29">
        <v>0</v>
      </c>
      <c r="J722" s="808" t="s">
        <v>130</v>
      </c>
      <c r="K722" s="849"/>
      <c r="L722" s="132"/>
    </row>
    <row r="723" ht="16.5" hidden="1" spans="2:12">
      <c r="B723" s="739"/>
      <c r="C723" s="765"/>
      <c r="D723" s="781" t="s">
        <v>102</v>
      </c>
      <c r="E723" s="775" t="s">
        <v>49</v>
      </c>
      <c r="F723" s="804" t="s">
        <v>260</v>
      </c>
      <c r="G723" s="775"/>
      <c r="H723" s="849"/>
      <c r="I723" s="29">
        <v>0</v>
      </c>
      <c r="J723" s="808" t="s">
        <v>130</v>
      </c>
      <c r="K723" s="849"/>
      <c r="L723" s="132"/>
    </row>
    <row r="724" ht="16.5" hidden="1" spans="2:12">
      <c r="B724" s="739"/>
      <c r="C724" s="765"/>
      <c r="D724" s="781" t="s">
        <v>103</v>
      </c>
      <c r="E724" s="775" t="s">
        <v>49</v>
      </c>
      <c r="F724" s="804" t="s">
        <v>260</v>
      </c>
      <c r="G724" s="775"/>
      <c r="H724" s="849"/>
      <c r="I724" s="29">
        <v>20000</v>
      </c>
      <c r="J724" s="808" t="s">
        <v>130</v>
      </c>
      <c r="K724" s="849"/>
      <c r="L724" s="132"/>
    </row>
    <row r="725" ht="16.5" hidden="1" spans="2:12">
      <c r="B725" s="739"/>
      <c r="C725" s="765"/>
      <c r="D725" s="781" t="s">
        <v>104</v>
      </c>
      <c r="E725" s="775" t="s">
        <v>49</v>
      </c>
      <c r="F725" s="804" t="s">
        <v>260</v>
      </c>
      <c r="G725" s="775"/>
      <c r="H725" s="849"/>
      <c r="I725" s="29">
        <v>0</v>
      </c>
      <c r="J725" s="808" t="s">
        <v>130</v>
      </c>
      <c r="K725" s="849"/>
      <c r="L725" s="132"/>
    </row>
    <row r="726" ht="16.5" hidden="1" spans="2:12">
      <c r="B726" s="739"/>
      <c r="C726" s="765"/>
      <c r="D726" s="781" t="s">
        <v>105</v>
      </c>
      <c r="E726" s="775" t="s">
        <v>49</v>
      </c>
      <c r="F726" s="804" t="s">
        <v>260</v>
      </c>
      <c r="G726" s="775"/>
      <c r="H726" s="849"/>
      <c r="I726" s="29">
        <v>0</v>
      </c>
      <c r="J726" s="808" t="s">
        <v>130</v>
      </c>
      <c r="K726" s="849"/>
      <c r="L726" s="132"/>
    </row>
    <row r="727" ht="16.5" hidden="1" spans="2:12">
      <c r="B727" s="739"/>
      <c r="C727" s="765"/>
      <c r="D727" s="781" t="s">
        <v>106</v>
      </c>
      <c r="E727" s="775" t="s">
        <v>49</v>
      </c>
      <c r="F727" s="804" t="s">
        <v>260</v>
      </c>
      <c r="G727" s="775"/>
      <c r="H727" s="849"/>
      <c r="I727" s="29">
        <v>0</v>
      </c>
      <c r="J727" s="808" t="s">
        <v>130</v>
      </c>
      <c r="K727" s="849"/>
      <c r="L727" s="132"/>
    </row>
    <row r="728" ht="16.5" hidden="1" spans="2:12">
      <c r="B728" s="739"/>
      <c r="C728" s="765"/>
      <c r="D728" s="781" t="s">
        <v>107</v>
      </c>
      <c r="E728" s="775" t="s">
        <v>49</v>
      </c>
      <c r="F728" s="804" t="s">
        <v>260</v>
      </c>
      <c r="G728" s="775"/>
      <c r="H728" s="849"/>
      <c r="I728" s="29">
        <v>0</v>
      </c>
      <c r="J728" s="808" t="s">
        <v>130</v>
      </c>
      <c r="K728" s="849"/>
      <c r="L728" s="132"/>
    </row>
    <row r="729" ht="16.5" hidden="1" spans="2:12">
      <c r="B729" s="739"/>
      <c r="C729" s="765"/>
      <c r="D729" s="781" t="s">
        <v>108</v>
      </c>
      <c r="E729" s="775" t="s">
        <v>49</v>
      </c>
      <c r="F729" s="804" t="s">
        <v>260</v>
      </c>
      <c r="G729" s="775"/>
      <c r="H729" s="849"/>
      <c r="I729" s="29">
        <v>0</v>
      </c>
      <c r="J729" s="808" t="s">
        <v>130</v>
      </c>
      <c r="K729" s="849"/>
      <c r="L729" s="132"/>
    </row>
    <row r="730" ht="16.5" hidden="1" spans="2:12">
      <c r="B730" s="739"/>
      <c r="C730" s="765"/>
      <c r="D730" s="781" t="s">
        <v>109</v>
      </c>
      <c r="E730" s="775" t="s">
        <v>49</v>
      </c>
      <c r="F730" s="804" t="s">
        <v>260</v>
      </c>
      <c r="G730" s="775"/>
      <c r="H730" s="849"/>
      <c r="I730" s="29">
        <v>0</v>
      </c>
      <c r="J730" s="808" t="s">
        <v>130</v>
      </c>
      <c r="K730" s="849"/>
      <c r="L730" s="132"/>
    </row>
    <row r="731" ht="16.5" hidden="1" spans="2:12">
      <c r="B731" s="739"/>
      <c r="C731" s="765"/>
      <c r="D731" s="781" t="s">
        <v>110</v>
      </c>
      <c r="E731" s="775" t="s">
        <v>49</v>
      </c>
      <c r="F731" s="804" t="s">
        <v>260</v>
      </c>
      <c r="G731" s="775"/>
      <c r="H731" s="849"/>
      <c r="I731" s="29">
        <v>0</v>
      </c>
      <c r="J731" s="808" t="s">
        <v>130</v>
      </c>
      <c r="K731" s="849"/>
      <c r="L731" s="132"/>
    </row>
    <row r="732" ht="16.5" hidden="1" spans="2:12">
      <c r="B732" s="739"/>
      <c r="C732" s="765"/>
      <c r="D732" s="781" t="s">
        <v>111</v>
      </c>
      <c r="E732" s="775" t="s">
        <v>49</v>
      </c>
      <c r="F732" s="804" t="s">
        <v>260</v>
      </c>
      <c r="G732" s="775"/>
      <c r="H732" s="849"/>
      <c r="I732" s="29">
        <v>0</v>
      </c>
      <c r="J732" s="808" t="s">
        <v>130</v>
      </c>
      <c r="K732" s="849"/>
      <c r="L732" s="132"/>
    </row>
    <row r="733" ht="16.5" hidden="1" spans="2:12">
      <c r="B733" s="739"/>
      <c r="C733" s="765"/>
      <c r="D733" s="781" t="s">
        <v>112</v>
      </c>
      <c r="E733" s="775" t="s">
        <v>49</v>
      </c>
      <c r="F733" s="804" t="s">
        <v>260</v>
      </c>
      <c r="G733" s="775"/>
      <c r="H733" s="849"/>
      <c r="I733" s="29">
        <v>0</v>
      </c>
      <c r="J733" s="808" t="s">
        <v>130</v>
      </c>
      <c r="K733" s="849"/>
      <c r="L733" s="132"/>
    </row>
    <row r="734" ht="16.5" hidden="1" spans="2:12">
      <c r="B734" s="739"/>
      <c r="C734" s="765"/>
      <c r="D734" s="781" t="s">
        <v>113</v>
      </c>
      <c r="E734" s="775" t="s">
        <v>49</v>
      </c>
      <c r="F734" s="804" t="s">
        <v>260</v>
      </c>
      <c r="G734" s="775"/>
      <c r="H734" s="849"/>
      <c r="I734" s="29">
        <v>20000</v>
      </c>
      <c r="J734" s="808" t="s">
        <v>130</v>
      </c>
      <c r="K734" s="849"/>
      <c r="L734" s="132"/>
    </row>
    <row r="735" ht="16.5" hidden="1" spans="2:12">
      <c r="B735" s="739"/>
      <c r="C735" s="765"/>
      <c r="D735" s="781" t="s">
        <v>114</v>
      </c>
      <c r="E735" s="775" t="s">
        <v>49</v>
      </c>
      <c r="F735" s="804" t="s">
        <v>260</v>
      </c>
      <c r="G735" s="775"/>
      <c r="H735" s="849"/>
      <c r="I735" s="29">
        <v>0</v>
      </c>
      <c r="J735" s="808" t="s">
        <v>130</v>
      </c>
      <c r="K735" s="849"/>
      <c r="L735" s="132"/>
    </row>
    <row r="736" ht="16.5" hidden="1" spans="2:12">
      <c r="B736" s="739"/>
      <c r="C736" s="765"/>
      <c r="D736" s="781" t="s">
        <v>115</v>
      </c>
      <c r="E736" s="775" t="s">
        <v>49</v>
      </c>
      <c r="F736" s="804" t="s">
        <v>260</v>
      </c>
      <c r="G736" s="775"/>
      <c r="H736" s="849"/>
      <c r="I736" s="29">
        <v>0</v>
      </c>
      <c r="J736" s="808" t="s">
        <v>130</v>
      </c>
      <c r="K736" s="849"/>
      <c r="L736" s="132"/>
    </row>
    <row r="737" ht="16.5" hidden="1" spans="2:12">
      <c r="B737" s="739"/>
      <c r="C737" s="765"/>
      <c r="D737" s="781" t="s">
        <v>116</v>
      </c>
      <c r="E737" s="775" t="s">
        <v>49</v>
      </c>
      <c r="F737" s="804" t="s">
        <v>260</v>
      </c>
      <c r="G737" s="775"/>
      <c r="H737" s="849"/>
      <c r="I737" s="29">
        <v>0</v>
      </c>
      <c r="J737" s="808" t="s">
        <v>130</v>
      </c>
      <c r="K737" s="849"/>
      <c r="L737" s="132"/>
    </row>
    <row r="738" ht="16.5" hidden="1" spans="2:12">
      <c r="B738" s="739"/>
      <c r="C738" s="765"/>
      <c r="D738" s="781" t="s">
        <v>117</v>
      </c>
      <c r="E738" s="775" t="s">
        <v>49</v>
      </c>
      <c r="F738" s="804" t="s">
        <v>260</v>
      </c>
      <c r="G738" s="775"/>
      <c r="H738" s="849"/>
      <c r="I738" s="29">
        <v>0</v>
      </c>
      <c r="J738" s="808" t="s">
        <v>130</v>
      </c>
      <c r="K738" s="849"/>
      <c r="L738" s="132"/>
    </row>
    <row r="739" ht="16.5" hidden="1" spans="2:12">
      <c r="B739" s="739"/>
      <c r="C739" s="765"/>
      <c r="D739" s="781" t="s">
        <v>118</v>
      </c>
      <c r="E739" s="775" t="s">
        <v>49</v>
      </c>
      <c r="F739" s="804" t="s">
        <v>260</v>
      </c>
      <c r="G739" s="775"/>
      <c r="H739" s="849"/>
      <c r="I739" s="29">
        <v>0</v>
      </c>
      <c r="J739" s="808" t="s">
        <v>130</v>
      </c>
      <c r="K739" s="849"/>
      <c r="L739" s="132"/>
    </row>
    <row r="740" ht="16.5" hidden="1" spans="2:12">
      <c r="B740" s="739"/>
      <c r="C740" s="765"/>
      <c r="D740" s="781" t="s">
        <v>119</v>
      </c>
      <c r="E740" s="775" t="s">
        <v>49</v>
      </c>
      <c r="F740" s="804" t="s">
        <v>260</v>
      </c>
      <c r="G740" s="775"/>
      <c r="H740" s="849"/>
      <c r="I740" s="29">
        <v>0</v>
      </c>
      <c r="J740" s="808" t="s">
        <v>130</v>
      </c>
      <c r="K740" s="849"/>
      <c r="L740" s="132"/>
    </row>
    <row r="741" ht="16.5" hidden="1" spans="2:12">
      <c r="B741" s="739"/>
      <c r="C741" s="765"/>
      <c r="D741" s="781" t="s">
        <v>120</v>
      </c>
      <c r="E741" s="775" t="s">
        <v>49</v>
      </c>
      <c r="F741" s="804" t="s">
        <v>260</v>
      </c>
      <c r="G741" s="775"/>
      <c r="H741" s="849"/>
      <c r="I741" s="29">
        <v>0</v>
      </c>
      <c r="J741" s="808" t="s">
        <v>130</v>
      </c>
      <c r="K741" s="849"/>
      <c r="L741" s="132"/>
    </row>
    <row r="742" ht="16.5" hidden="1" spans="2:12">
      <c r="B742" s="739"/>
      <c r="C742" s="765"/>
      <c r="D742" s="781" t="s">
        <v>121</v>
      </c>
      <c r="E742" s="775" t="s">
        <v>49</v>
      </c>
      <c r="F742" s="804" t="s">
        <v>260</v>
      </c>
      <c r="G742" s="775"/>
      <c r="H742" s="849"/>
      <c r="I742" s="29">
        <v>0</v>
      </c>
      <c r="J742" s="808" t="s">
        <v>130</v>
      </c>
      <c r="K742" s="849"/>
      <c r="L742" s="132"/>
    </row>
    <row r="743" spans="2:12">
      <c r="B743" s="739"/>
      <c r="C743" s="765">
        <v>13.2</v>
      </c>
      <c r="D743" s="54" t="s">
        <v>333</v>
      </c>
      <c r="E743" s="743" t="s">
        <v>59</v>
      </c>
      <c r="F743" s="742" t="s">
        <v>310</v>
      </c>
      <c r="G743" s="743"/>
      <c r="H743" s="843" t="s">
        <v>329</v>
      </c>
      <c r="I743" s="768"/>
      <c r="J743" s="38"/>
      <c r="K743" s="843"/>
      <c r="L743" s="132"/>
    </row>
    <row r="744" spans="2:12">
      <c r="B744" s="739"/>
      <c r="C744" s="765">
        <v>13.3</v>
      </c>
      <c r="D744" s="54" t="s">
        <v>334</v>
      </c>
      <c r="E744" s="743" t="s">
        <v>49</v>
      </c>
      <c r="F744" s="742" t="s">
        <v>263</v>
      </c>
      <c r="G744" s="743"/>
      <c r="H744" s="843"/>
      <c r="I744" s="768">
        <v>10</v>
      </c>
      <c r="J744" s="38" t="s">
        <v>15</v>
      </c>
      <c r="K744" s="843"/>
      <c r="L744" s="132"/>
    </row>
    <row r="745" spans="2:12">
      <c r="B745" s="739"/>
      <c r="C745" s="765">
        <v>13.4</v>
      </c>
      <c r="D745" s="54" t="s">
        <v>253</v>
      </c>
      <c r="E745" s="743" t="s">
        <v>59</v>
      </c>
      <c r="F745" s="742" t="s">
        <v>335</v>
      </c>
      <c r="G745" s="743"/>
      <c r="H745" s="762" t="s">
        <v>254</v>
      </c>
      <c r="I745" s="822">
        <v>0.09</v>
      </c>
      <c r="J745" s="38" t="s">
        <v>31</v>
      </c>
      <c r="K745" s="843"/>
      <c r="L745" s="132"/>
    </row>
    <row r="746" ht="69" customHeight="1" spans="2:12">
      <c r="B746" s="739"/>
      <c r="C746" s="765">
        <v>13.5</v>
      </c>
      <c r="D746" s="54" t="s">
        <v>336</v>
      </c>
      <c r="E746" s="741" t="s">
        <v>24</v>
      </c>
      <c r="F746" s="742"/>
      <c r="G746" s="741"/>
      <c r="H746" s="762" t="s">
        <v>337</v>
      </c>
      <c r="I746" s="811">
        <f>SUM(I695:I742)/(1+I745)*I745</f>
        <v>4954.12844036697</v>
      </c>
      <c r="J746" s="38" t="s">
        <v>130</v>
      </c>
      <c r="K746" s="843"/>
      <c r="L746" s="132"/>
    </row>
    <row r="747" ht="58.5" customHeight="1" spans="2:12">
      <c r="B747" s="739"/>
      <c r="C747" s="661">
        <v>14</v>
      </c>
      <c r="D747" s="95" t="s">
        <v>338</v>
      </c>
      <c r="E747" s="741" t="s">
        <v>242</v>
      </c>
      <c r="F747" s="800" t="s">
        <v>256</v>
      </c>
      <c r="G747" s="841" t="s">
        <v>297</v>
      </c>
      <c r="H747" s="843"/>
      <c r="I747" s="768"/>
      <c r="J747" s="38"/>
      <c r="K747" s="843"/>
      <c r="L747" s="132"/>
    </row>
    <row r="748" ht="22.5" customHeight="1" spans="2:12">
      <c r="B748" s="739"/>
      <c r="C748" s="765">
        <v>14.1</v>
      </c>
      <c r="D748" s="54" t="s">
        <v>339</v>
      </c>
      <c r="E748" s="775" t="s">
        <v>49</v>
      </c>
      <c r="F748" s="742"/>
      <c r="G748" s="850"/>
      <c r="H748" s="762"/>
      <c r="I748" s="811">
        <v>1500</v>
      </c>
      <c r="J748" s="808" t="s">
        <v>130</v>
      </c>
      <c r="K748" s="843"/>
      <c r="L748" s="132"/>
    </row>
    <row r="749" ht="16.5" hidden="1" spans="2:12">
      <c r="B749" s="739"/>
      <c r="C749" s="765"/>
      <c r="D749" s="781" t="s">
        <v>74</v>
      </c>
      <c r="E749" s="775" t="s">
        <v>49</v>
      </c>
      <c r="F749" s="804" t="s">
        <v>260</v>
      </c>
      <c r="G749" s="775"/>
      <c r="H749" s="849"/>
      <c r="I749" s="29">
        <v>0</v>
      </c>
      <c r="J749" s="808" t="s">
        <v>130</v>
      </c>
      <c r="K749" s="843"/>
      <c r="L749" s="132"/>
    </row>
    <row r="750" ht="16.5" hidden="1" spans="2:12">
      <c r="B750" s="739"/>
      <c r="C750" s="765"/>
      <c r="D750" s="781" t="s">
        <v>75</v>
      </c>
      <c r="E750" s="775" t="s">
        <v>49</v>
      </c>
      <c r="F750" s="804" t="s">
        <v>260</v>
      </c>
      <c r="G750" s="775"/>
      <c r="H750" s="849"/>
      <c r="I750" s="29">
        <v>0</v>
      </c>
      <c r="J750" s="808" t="s">
        <v>130</v>
      </c>
      <c r="K750" s="843"/>
      <c r="L750" s="132"/>
    </row>
    <row r="751" ht="16.5" hidden="1" spans="2:12">
      <c r="B751" s="739"/>
      <c r="C751" s="765"/>
      <c r="D751" s="781" t="s">
        <v>76</v>
      </c>
      <c r="E751" s="775" t="s">
        <v>49</v>
      </c>
      <c r="F751" s="804" t="s">
        <v>260</v>
      </c>
      <c r="G751" s="775"/>
      <c r="H751" s="849"/>
      <c r="I751" s="29">
        <v>0</v>
      </c>
      <c r="J751" s="808" t="s">
        <v>130</v>
      </c>
      <c r="K751" s="843"/>
      <c r="L751" s="132"/>
    </row>
    <row r="752" ht="16.5" hidden="1" spans="2:12">
      <c r="B752" s="739"/>
      <c r="C752" s="765"/>
      <c r="D752" s="781" t="s">
        <v>77</v>
      </c>
      <c r="E752" s="775" t="s">
        <v>49</v>
      </c>
      <c r="F752" s="804" t="s">
        <v>260</v>
      </c>
      <c r="G752" s="775"/>
      <c r="H752" s="849"/>
      <c r="I752" s="29">
        <v>0</v>
      </c>
      <c r="J752" s="808" t="s">
        <v>130</v>
      </c>
      <c r="K752" s="843"/>
      <c r="L752" s="132"/>
    </row>
    <row r="753" ht="16.5" hidden="1" spans="2:12">
      <c r="B753" s="739"/>
      <c r="C753" s="765"/>
      <c r="D753" s="781" t="s">
        <v>78</v>
      </c>
      <c r="E753" s="775" t="s">
        <v>49</v>
      </c>
      <c r="F753" s="804" t="s">
        <v>260</v>
      </c>
      <c r="G753" s="775"/>
      <c r="H753" s="849"/>
      <c r="I753" s="29">
        <v>0</v>
      </c>
      <c r="J753" s="808" t="s">
        <v>130</v>
      </c>
      <c r="K753" s="843"/>
      <c r="L753" s="132"/>
    </row>
    <row r="754" ht="16.5" hidden="1" spans="2:12">
      <c r="B754" s="739"/>
      <c r="C754" s="765"/>
      <c r="D754" s="781" t="s">
        <v>79</v>
      </c>
      <c r="E754" s="775" t="s">
        <v>49</v>
      </c>
      <c r="F754" s="804" t="s">
        <v>260</v>
      </c>
      <c r="G754" s="775"/>
      <c r="H754" s="849"/>
      <c r="I754" s="29">
        <v>0</v>
      </c>
      <c r="J754" s="808" t="s">
        <v>130</v>
      </c>
      <c r="K754" s="843"/>
      <c r="L754" s="132"/>
    </row>
    <row r="755" ht="16.5" hidden="1" spans="2:12">
      <c r="B755" s="739"/>
      <c r="C755" s="765"/>
      <c r="D755" s="781" t="s">
        <v>80</v>
      </c>
      <c r="E755" s="775" t="s">
        <v>49</v>
      </c>
      <c r="F755" s="804" t="s">
        <v>260</v>
      </c>
      <c r="G755" s="775"/>
      <c r="H755" s="849"/>
      <c r="I755" s="29">
        <v>0</v>
      </c>
      <c r="J755" s="808" t="s">
        <v>130</v>
      </c>
      <c r="K755" s="843"/>
      <c r="L755" s="132"/>
    </row>
    <row r="756" ht="16.5" hidden="1" spans="2:12">
      <c r="B756" s="739"/>
      <c r="C756" s="765"/>
      <c r="D756" s="781" t="s">
        <v>81</v>
      </c>
      <c r="E756" s="775" t="s">
        <v>49</v>
      </c>
      <c r="F756" s="804" t="s">
        <v>260</v>
      </c>
      <c r="G756" s="775"/>
      <c r="H756" s="849"/>
      <c r="I756" s="29">
        <v>0</v>
      </c>
      <c r="J756" s="808" t="s">
        <v>130</v>
      </c>
      <c r="K756" s="843"/>
      <c r="L756" s="132"/>
    </row>
    <row r="757" ht="16.5" hidden="1" spans="2:12">
      <c r="B757" s="739"/>
      <c r="C757" s="765"/>
      <c r="D757" s="781" t="s">
        <v>82</v>
      </c>
      <c r="E757" s="775" t="s">
        <v>49</v>
      </c>
      <c r="F757" s="804" t="s">
        <v>260</v>
      </c>
      <c r="G757" s="775"/>
      <c r="H757" s="849"/>
      <c r="I757" s="29">
        <v>0</v>
      </c>
      <c r="J757" s="808" t="s">
        <v>130</v>
      </c>
      <c r="K757" s="843"/>
      <c r="L757" s="132"/>
    </row>
    <row r="758" ht="16.5" hidden="1" spans="2:12">
      <c r="B758" s="739"/>
      <c r="C758" s="765"/>
      <c r="D758" s="781" t="s">
        <v>83</v>
      </c>
      <c r="E758" s="775" t="s">
        <v>49</v>
      </c>
      <c r="F758" s="804" t="s">
        <v>260</v>
      </c>
      <c r="G758" s="775"/>
      <c r="H758" s="849"/>
      <c r="I758" s="29">
        <v>0</v>
      </c>
      <c r="J758" s="808" t="s">
        <v>130</v>
      </c>
      <c r="K758" s="843"/>
      <c r="L758" s="132"/>
    </row>
    <row r="759" ht="16.5" hidden="1" spans="2:12">
      <c r="B759" s="739"/>
      <c r="C759" s="765"/>
      <c r="D759" s="781" t="s">
        <v>84</v>
      </c>
      <c r="E759" s="775" t="s">
        <v>49</v>
      </c>
      <c r="F759" s="804" t="s">
        <v>260</v>
      </c>
      <c r="G759" s="775"/>
      <c r="H759" s="849"/>
      <c r="I759" s="29">
        <v>0</v>
      </c>
      <c r="J759" s="808" t="s">
        <v>130</v>
      </c>
      <c r="K759" s="843"/>
      <c r="L759" s="132"/>
    </row>
    <row r="760" ht="16.5" hidden="1" spans="2:12">
      <c r="B760" s="739"/>
      <c r="C760" s="765"/>
      <c r="D760" s="781" t="s">
        <v>85</v>
      </c>
      <c r="E760" s="775" t="s">
        <v>49</v>
      </c>
      <c r="F760" s="804" t="s">
        <v>260</v>
      </c>
      <c r="G760" s="775"/>
      <c r="H760" s="849"/>
      <c r="I760" s="29">
        <v>0</v>
      </c>
      <c r="J760" s="808" t="s">
        <v>130</v>
      </c>
      <c r="K760" s="843"/>
      <c r="L760" s="132"/>
    </row>
    <row r="761" ht="16.5" hidden="1" spans="2:12">
      <c r="B761" s="739"/>
      <c r="C761" s="765"/>
      <c r="D761" s="781" t="s">
        <v>86</v>
      </c>
      <c r="E761" s="775" t="s">
        <v>49</v>
      </c>
      <c r="F761" s="804" t="s">
        <v>260</v>
      </c>
      <c r="G761" s="775"/>
      <c r="H761" s="849"/>
      <c r="I761" s="29">
        <v>0</v>
      </c>
      <c r="J761" s="808" t="s">
        <v>130</v>
      </c>
      <c r="K761" s="843"/>
      <c r="L761" s="132"/>
    </row>
    <row r="762" ht="16.5" hidden="1" spans="2:12">
      <c r="B762" s="739"/>
      <c r="C762" s="765"/>
      <c r="D762" s="781" t="s">
        <v>87</v>
      </c>
      <c r="E762" s="775" t="s">
        <v>49</v>
      </c>
      <c r="F762" s="804" t="s">
        <v>260</v>
      </c>
      <c r="G762" s="775"/>
      <c r="H762" s="849"/>
      <c r="I762" s="29">
        <v>0</v>
      </c>
      <c r="J762" s="808" t="s">
        <v>130</v>
      </c>
      <c r="K762" s="843"/>
      <c r="L762" s="132"/>
    </row>
    <row r="763" ht="16.5" hidden="1" spans="2:12">
      <c r="B763" s="739"/>
      <c r="C763" s="765"/>
      <c r="D763" s="781" t="s">
        <v>88</v>
      </c>
      <c r="E763" s="775" t="s">
        <v>49</v>
      </c>
      <c r="F763" s="804" t="s">
        <v>260</v>
      </c>
      <c r="G763" s="775"/>
      <c r="H763" s="849"/>
      <c r="I763" s="29">
        <v>0</v>
      </c>
      <c r="J763" s="808" t="s">
        <v>130</v>
      </c>
      <c r="K763" s="843"/>
      <c r="L763" s="132"/>
    </row>
    <row r="764" ht="16.5" hidden="1" spans="2:12">
      <c r="B764" s="739"/>
      <c r="C764" s="765"/>
      <c r="D764" s="781" t="s">
        <v>89</v>
      </c>
      <c r="E764" s="775" t="s">
        <v>49</v>
      </c>
      <c r="F764" s="804" t="s">
        <v>260</v>
      </c>
      <c r="G764" s="775"/>
      <c r="H764" s="849"/>
      <c r="I764" s="29">
        <v>0</v>
      </c>
      <c r="J764" s="808" t="s">
        <v>130</v>
      </c>
      <c r="K764" s="843"/>
      <c r="L764" s="132"/>
    </row>
    <row r="765" ht="16.5" hidden="1" spans="2:12">
      <c r="B765" s="739"/>
      <c r="C765" s="765"/>
      <c r="D765" s="781" t="s">
        <v>90</v>
      </c>
      <c r="E765" s="775" t="s">
        <v>49</v>
      </c>
      <c r="F765" s="804" t="s">
        <v>260</v>
      </c>
      <c r="G765" s="775"/>
      <c r="H765" s="849"/>
      <c r="I765" s="29">
        <v>0</v>
      </c>
      <c r="J765" s="808" t="s">
        <v>130</v>
      </c>
      <c r="K765" s="843"/>
      <c r="L765" s="132"/>
    </row>
    <row r="766" ht="16.5" hidden="1" spans="2:12">
      <c r="B766" s="739"/>
      <c r="C766" s="765"/>
      <c r="D766" s="781" t="s">
        <v>91</v>
      </c>
      <c r="E766" s="775" t="s">
        <v>49</v>
      </c>
      <c r="F766" s="804" t="s">
        <v>260</v>
      </c>
      <c r="G766" s="775"/>
      <c r="H766" s="849"/>
      <c r="I766" s="29">
        <v>0</v>
      </c>
      <c r="J766" s="808" t="s">
        <v>130</v>
      </c>
      <c r="K766" s="843"/>
      <c r="L766" s="132"/>
    </row>
    <row r="767" ht="16.5" hidden="1" spans="2:12">
      <c r="B767" s="739"/>
      <c r="C767" s="765"/>
      <c r="D767" s="781" t="s">
        <v>92</v>
      </c>
      <c r="E767" s="775" t="s">
        <v>49</v>
      </c>
      <c r="F767" s="804" t="s">
        <v>260</v>
      </c>
      <c r="G767" s="775"/>
      <c r="H767" s="849"/>
      <c r="I767" s="29">
        <f>I748</f>
        <v>1500</v>
      </c>
      <c r="J767" s="808" t="s">
        <v>130</v>
      </c>
      <c r="K767" s="843"/>
      <c r="L767" s="132"/>
    </row>
    <row r="768" ht="16.5" hidden="1" spans="2:12">
      <c r="B768" s="739"/>
      <c r="C768" s="765"/>
      <c r="D768" s="781" t="s">
        <v>93</v>
      </c>
      <c r="E768" s="775" t="s">
        <v>49</v>
      </c>
      <c r="F768" s="804" t="s">
        <v>260</v>
      </c>
      <c r="G768" s="775"/>
      <c r="H768" s="849"/>
      <c r="I768" s="29">
        <v>0</v>
      </c>
      <c r="J768" s="808" t="s">
        <v>130</v>
      </c>
      <c r="K768" s="843"/>
      <c r="L768" s="132"/>
    </row>
    <row r="769" ht="16.5" hidden="1" spans="2:12">
      <c r="B769" s="739"/>
      <c r="C769" s="765"/>
      <c r="D769" s="781" t="s">
        <v>94</v>
      </c>
      <c r="E769" s="775" t="s">
        <v>49</v>
      </c>
      <c r="F769" s="804" t="s">
        <v>260</v>
      </c>
      <c r="G769" s="775"/>
      <c r="H769" s="849"/>
      <c r="I769" s="29">
        <v>0</v>
      </c>
      <c r="J769" s="808" t="s">
        <v>130</v>
      </c>
      <c r="K769" s="843"/>
      <c r="L769" s="132"/>
    </row>
    <row r="770" ht="16.5" hidden="1" spans="2:12">
      <c r="B770" s="739"/>
      <c r="C770" s="765"/>
      <c r="D770" s="781" t="s">
        <v>95</v>
      </c>
      <c r="E770" s="775" t="s">
        <v>49</v>
      </c>
      <c r="F770" s="804" t="s">
        <v>260</v>
      </c>
      <c r="G770" s="775"/>
      <c r="H770" s="849"/>
      <c r="I770" s="29">
        <v>0</v>
      </c>
      <c r="J770" s="808" t="s">
        <v>130</v>
      </c>
      <c r="K770" s="843"/>
      <c r="L770" s="132"/>
    </row>
    <row r="771" ht="16.5" hidden="1" spans="2:12">
      <c r="B771" s="739"/>
      <c r="C771" s="765"/>
      <c r="D771" s="781" t="s">
        <v>96</v>
      </c>
      <c r="E771" s="775" t="s">
        <v>49</v>
      </c>
      <c r="F771" s="804" t="s">
        <v>260</v>
      </c>
      <c r="G771" s="775"/>
      <c r="H771" s="849"/>
      <c r="I771" s="29">
        <v>0</v>
      </c>
      <c r="J771" s="808" t="s">
        <v>130</v>
      </c>
      <c r="K771" s="843"/>
      <c r="L771" s="132"/>
    </row>
    <row r="772" ht="16.5" hidden="1" spans="2:12">
      <c r="B772" s="739"/>
      <c r="C772" s="765"/>
      <c r="D772" s="781" t="s">
        <v>97</v>
      </c>
      <c r="E772" s="775" t="s">
        <v>49</v>
      </c>
      <c r="F772" s="804" t="s">
        <v>260</v>
      </c>
      <c r="G772" s="775"/>
      <c r="H772" s="849"/>
      <c r="I772" s="29">
        <v>0</v>
      </c>
      <c r="J772" s="808" t="s">
        <v>130</v>
      </c>
      <c r="K772" s="843"/>
      <c r="L772" s="132"/>
    </row>
    <row r="773" ht="16.5" hidden="1" spans="2:12">
      <c r="B773" s="739"/>
      <c r="C773" s="765"/>
      <c r="D773" s="781" t="s">
        <v>98</v>
      </c>
      <c r="E773" s="775" t="s">
        <v>49</v>
      </c>
      <c r="F773" s="804" t="s">
        <v>260</v>
      </c>
      <c r="G773" s="775"/>
      <c r="H773" s="849"/>
      <c r="I773" s="29">
        <v>0</v>
      </c>
      <c r="J773" s="808" t="s">
        <v>130</v>
      </c>
      <c r="K773" s="843"/>
      <c r="L773" s="132"/>
    </row>
    <row r="774" ht="16.5" hidden="1" spans="2:12">
      <c r="B774" s="739"/>
      <c r="C774" s="765"/>
      <c r="D774" s="781" t="s">
        <v>99</v>
      </c>
      <c r="E774" s="775" t="s">
        <v>49</v>
      </c>
      <c r="F774" s="804" t="s">
        <v>260</v>
      </c>
      <c r="G774" s="775"/>
      <c r="H774" s="849"/>
      <c r="I774" s="29">
        <v>0</v>
      </c>
      <c r="J774" s="808" t="s">
        <v>130</v>
      </c>
      <c r="K774" s="843"/>
      <c r="L774" s="132"/>
    </row>
    <row r="775" ht="16.5" hidden="1" spans="2:12">
      <c r="B775" s="739"/>
      <c r="C775" s="765"/>
      <c r="D775" s="781" t="s">
        <v>100</v>
      </c>
      <c r="E775" s="775" t="s">
        <v>49</v>
      </c>
      <c r="F775" s="804" t="s">
        <v>260</v>
      </c>
      <c r="G775" s="775"/>
      <c r="H775" s="849"/>
      <c r="I775" s="29">
        <f>I748</f>
        <v>1500</v>
      </c>
      <c r="J775" s="808" t="s">
        <v>130</v>
      </c>
      <c r="K775" s="843"/>
      <c r="L775" s="132"/>
    </row>
    <row r="776" ht="16.5" hidden="1" spans="2:12">
      <c r="B776" s="739"/>
      <c r="C776" s="765"/>
      <c r="D776" s="781" t="s">
        <v>101</v>
      </c>
      <c r="E776" s="775" t="s">
        <v>49</v>
      </c>
      <c r="F776" s="804" t="s">
        <v>260</v>
      </c>
      <c r="G776" s="775"/>
      <c r="H776" s="849"/>
      <c r="I776" s="29">
        <v>0</v>
      </c>
      <c r="J776" s="808" t="s">
        <v>130</v>
      </c>
      <c r="K776" s="843"/>
      <c r="L776" s="132"/>
    </row>
    <row r="777" ht="16.5" hidden="1" spans="2:12">
      <c r="B777" s="739"/>
      <c r="C777" s="765"/>
      <c r="D777" s="781" t="s">
        <v>102</v>
      </c>
      <c r="E777" s="775" t="s">
        <v>49</v>
      </c>
      <c r="F777" s="804" t="s">
        <v>260</v>
      </c>
      <c r="G777" s="775"/>
      <c r="H777" s="849"/>
      <c r="I777" s="29">
        <v>0</v>
      </c>
      <c r="J777" s="808" t="s">
        <v>130</v>
      </c>
      <c r="K777" s="843"/>
      <c r="L777" s="132"/>
    </row>
    <row r="778" ht="16.5" hidden="1" spans="2:12">
      <c r="B778" s="739"/>
      <c r="C778" s="765"/>
      <c r="D778" s="781" t="s">
        <v>103</v>
      </c>
      <c r="E778" s="775" t="s">
        <v>49</v>
      </c>
      <c r="F778" s="804" t="s">
        <v>260</v>
      </c>
      <c r="G778" s="775"/>
      <c r="H778" s="849"/>
      <c r="I778" s="29">
        <v>0</v>
      </c>
      <c r="J778" s="808" t="s">
        <v>130</v>
      </c>
      <c r="K778" s="843"/>
      <c r="L778" s="132"/>
    </row>
    <row r="779" ht="16.5" hidden="1" spans="2:12">
      <c r="B779" s="739"/>
      <c r="C779" s="765"/>
      <c r="D779" s="781" t="s">
        <v>104</v>
      </c>
      <c r="E779" s="775" t="s">
        <v>49</v>
      </c>
      <c r="F779" s="804" t="s">
        <v>260</v>
      </c>
      <c r="G779" s="775"/>
      <c r="H779" s="849"/>
      <c r="I779" s="29">
        <v>0</v>
      </c>
      <c r="J779" s="808" t="s">
        <v>130</v>
      </c>
      <c r="K779" s="843"/>
      <c r="L779" s="132"/>
    </row>
    <row r="780" ht="16.5" hidden="1" spans="2:12">
      <c r="B780" s="739"/>
      <c r="C780" s="765"/>
      <c r="D780" s="781" t="s">
        <v>105</v>
      </c>
      <c r="E780" s="775" t="s">
        <v>49</v>
      </c>
      <c r="F780" s="804" t="s">
        <v>260</v>
      </c>
      <c r="G780" s="775"/>
      <c r="H780" s="849"/>
      <c r="I780" s="29">
        <v>0</v>
      </c>
      <c r="J780" s="808" t="s">
        <v>130</v>
      </c>
      <c r="K780" s="843"/>
      <c r="L780" s="132"/>
    </row>
    <row r="781" ht="16.5" hidden="1" spans="2:12">
      <c r="B781" s="739"/>
      <c r="C781" s="765"/>
      <c r="D781" s="781" t="s">
        <v>106</v>
      </c>
      <c r="E781" s="775" t="s">
        <v>49</v>
      </c>
      <c r="F781" s="804" t="s">
        <v>260</v>
      </c>
      <c r="G781" s="775"/>
      <c r="H781" s="849"/>
      <c r="I781" s="29">
        <v>0</v>
      </c>
      <c r="J781" s="808" t="s">
        <v>130</v>
      </c>
      <c r="K781" s="843"/>
      <c r="L781" s="132"/>
    </row>
    <row r="782" ht="16.5" hidden="1" spans="2:12">
      <c r="B782" s="739"/>
      <c r="C782" s="765"/>
      <c r="D782" s="781" t="s">
        <v>107</v>
      </c>
      <c r="E782" s="775" t="s">
        <v>49</v>
      </c>
      <c r="F782" s="804" t="s">
        <v>260</v>
      </c>
      <c r="G782" s="775"/>
      <c r="H782" s="849"/>
      <c r="I782" s="29">
        <v>0</v>
      </c>
      <c r="J782" s="808" t="s">
        <v>130</v>
      </c>
      <c r="K782" s="843"/>
      <c r="L782" s="132"/>
    </row>
    <row r="783" ht="16.5" hidden="1" spans="2:12">
      <c r="B783" s="739"/>
      <c r="C783" s="765"/>
      <c r="D783" s="781" t="s">
        <v>108</v>
      </c>
      <c r="E783" s="775" t="s">
        <v>49</v>
      </c>
      <c r="F783" s="804" t="s">
        <v>260</v>
      </c>
      <c r="G783" s="775"/>
      <c r="H783" s="849"/>
      <c r="I783" s="29">
        <f>I748</f>
        <v>1500</v>
      </c>
      <c r="J783" s="808" t="s">
        <v>130</v>
      </c>
      <c r="K783" s="843"/>
      <c r="L783" s="132"/>
    </row>
    <row r="784" ht="16.5" hidden="1" spans="2:12">
      <c r="B784" s="739"/>
      <c r="C784" s="765"/>
      <c r="D784" s="781" t="s">
        <v>109</v>
      </c>
      <c r="E784" s="775" t="s">
        <v>49</v>
      </c>
      <c r="F784" s="804" t="s">
        <v>260</v>
      </c>
      <c r="G784" s="775"/>
      <c r="H784" s="849"/>
      <c r="I784" s="29">
        <v>0</v>
      </c>
      <c r="J784" s="808" t="s">
        <v>130</v>
      </c>
      <c r="K784" s="843"/>
      <c r="L784" s="132"/>
    </row>
    <row r="785" ht="16.5" hidden="1" spans="2:12">
      <c r="B785" s="739"/>
      <c r="C785" s="765"/>
      <c r="D785" s="781" t="s">
        <v>110</v>
      </c>
      <c r="E785" s="775" t="s">
        <v>49</v>
      </c>
      <c r="F785" s="804" t="s">
        <v>260</v>
      </c>
      <c r="G785" s="775"/>
      <c r="H785" s="849"/>
      <c r="I785" s="29">
        <v>0</v>
      </c>
      <c r="J785" s="808" t="s">
        <v>130</v>
      </c>
      <c r="K785" s="843"/>
      <c r="L785" s="132"/>
    </row>
    <row r="786" ht="16.5" hidden="1" spans="2:12">
      <c r="B786" s="739"/>
      <c r="C786" s="765"/>
      <c r="D786" s="781" t="s">
        <v>111</v>
      </c>
      <c r="E786" s="775" t="s">
        <v>49</v>
      </c>
      <c r="F786" s="804" t="s">
        <v>260</v>
      </c>
      <c r="G786" s="775"/>
      <c r="H786" s="849"/>
      <c r="I786" s="29">
        <v>0</v>
      </c>
      <c r="J786" s="808" t="s">
        <v>130</v>
      </c>
      <c r="K786" s="843"/>
      <c r="L786" s="132"/>
    </row>
    <row r="787" ht="16.5" hidden="1" spans="2:12">
      <c r="B787" s="739"/>
      <c r="C787" s="765"/>
      <c r="D787" s="781" t="s">
        <v>112</v>
      </c>
      <c r="E787" s="775" t="s">
        <v>49</v>
      </c>
      <c r="F787" s="804" t="s">
        <v>260</v>
      </c>
      <c r="G787" s="775"/>
      <c r="H787" s="849"/>
      <c r="I787" s="29">
        <v>0</v>
      </c>
      <c r="J787" s="808" t="s">
        <v>130</v>
      </c>
      <c r="K787" s="843"/>
      <c r="L787" s="132"/>
    </row>
    <row r="788" ht="16.5" hidden="1" spans="2:12">
      <c r="B788" s="739"/>
      <c r="C788" s="765"/>
      <c r="D788" s="781" t="s">
        <v>113</v>
      </c>
      <c r="E788" s="775" t="s">
        <v>49</v>
      </c>
      <c r="F788" s="804" t="s">
        <v>260</v>
      </c>
      <c r="G788" s="775"/>
      <c r="H788" s="849"/>
      <c r="I788" s="29">
        <v>0</v>
      </c>
      <c r="J788" s="808" t="s">
        <v>130</v>
      </c>
      <c r="K788" s="843"/>
      <c r="L788" s="132"/>
    </row>
    <row r="789" ht="16.5" hidden="1" spans="2:12">
      <c r="B789" s="739"/>
      <c r="C789" s="765"/>
      <c r="D789" s="781" t="s">
        <v>114</v>
      </c>
      <c r="E789" s="775" t="s">
        <v>49</v>
      </c>
      <c r="F789" s="804" t="s">
        <v>260</v>
      </c>
      <c r="G789" s="775"/>
      <c r="H789" s="849"/>
      <c r="I789" s="29">
        <v>0</v>
      </c>
      <c r="J789" s="808" t="s">
        <v>130</v>
      </c>
      <c r="K789" s="843"/>
      <c r="L789" s="132"/>
    </row>
    <row r="790" ht="16.5" hidden="1" spans="2:12">
      <c r="B790" s="739"/>
      <c r="C790" s="765"/>
      <c r="D790" s="781" t="s">
        <v>115</v>
      </c>
      <c r="E790" s="775" t="s">
        <v>49</v>
      </c>
      <c r="F790" s="804" t="s">
        <v>260</v>
      </c>
      <c r="G790" s="775"/>
      <c r="H790" s="849"/>
      <c r="I790" s="29">
        <v>0</v>
      </c>
      <c r="J790" s="808" t="s">
        <v>130</v>
      </c>
      <c r="K790" s="843"/>
      <c r="L790" s="132"/>
    </row>
    <row r="791" ht="16.5" hidden="1" spans="2:12">
      <c r="B791" s="739"/>
      <c r="C791" s="765"/>
      <c r="D791" s="781" t="s">
        <v>116</v>
      </c>
      <c r="E791" s="775" t="s">
        <v>49</v>
      </c>
      <c r="F791" s="804" t="s">
        <v>260</v>
      </c>
      <c r="G791" s="775"/>
      <c r="H791" s="849"/>
      <c r="I791" s="29">
        <f>I748</f>
        <v>1500</v>
      </c>
      <c r="J791" s="808" t="s">
        <v>130</v>
      </c>
      <c r="K791" s="843"/>
      <c r="L791" s="132"/>
    </row>
    <row r="792" ht="16.5" hidden="1" spans="2:12">
      <c r="B792" s="739"/>
      <c r="C792" s="765"/>
      <c r="D792" s="781" t="s">
        <v>117</v>
      </c>
      <c r="E792" s="775" t="s">
        <v>49</v>
      </c>
      <c r="F792" s="804" t="s">
        <v>260</v>
      </c>
      <c r="G792" s="775"/>
      <c r="H792" s="849"/>
      <c r="I792" s="29">
        <v>0</v>
      </c>
      <c r="J792" s="808" t="s">
        <v>130</v>
      </c>
      <c r="K792" s="843"/>
      <c r="L792" s="132"/>
    </row>
    <row r="793" ht="16.5" hidden="1" spans="2:12">
      <c r="B793" s="739"/>
      <c r="C793" s="765"/>
      <c r="D793" s="781" t="s">
        <v>118</v>
      </c>
      <c r="E793" s="775" t="s">
        <v>49</v>
      </c>
      <c r="F793" s="804" t="s">
        <v>260</v>
      </c>
      <c r="G793" s="775"/>
      <c r="H793" s="849"/>
      <c r="I793" s="29">
        <v>0</v>
      </c>
      <c r="J793" s="808" t="s">
        <v>130</v>
      </c>
      <c r="K793" s="843"/>
      <c r="L793" s="132"/>
    </row>
    <row r="794" ht="16.5" hidden="1" spans="2:12">
      <c r="B794" s="739"/>
      <c r="C794" s="765"/>
      <c r="D794" s="781" t="s">
        <v>119</v>
      </c>
      <c r="E794" s="775" t="s">
        <v>49</v>
      </c>
      <c r="F794" s="804" t="s">
        <v>260</v>
      </c>
      <c r="G794" s="775"/>
      <c r="H794" s="849"/>
      <c r="I794" s="29">
        <v>0</v>
      </c>
      <c r="J794" s="808" t="s">
        <v>130</v>
      </c>
      <c r="K794" s="843"/>
      <c r="L794" s="132"/>
    </row>
    <row r="795" ht="16.5" hidden="1" spans="2:12">
      <c r="B795" s="739"/>
      <c r="C795" s="765"/>
      <c r="D795" s="781" t="s">
        <v>120</v>
      </c>
      <c r="E795" s="775" t="s">
        <v>49</v>
      </c>
      <c r="F795" s="804" t="s">
        <v>260</v>
      </c>
      <c r="G795" s="775"/>
      <c r="H795" s="849"/>
      <c r="I795" s="29">
        <v>0</v>
      </c>
      <c r="J795" s="808" t="s">
        <v>130</v>
      </c>
      <c r="K795" s="843"/>
      <c r="L795" s="132"/>
    </row>
    <row r="796" ht="16.5" hidden="1" spans="2:12">
      <c r="B796" s="739"/>
      <c r="C796" s="765"/>
      <c r="D796" s="781" t="s">
        <v>121</v>
      </c>
      <c r="E796" s="775" t="s">
        <v>49</v>
      </c>
      <c r="F796" s="804" t="s">
        <v>260</v>
      </c>
      <c r="G796" s="775"/>
      <c r="H796" s="849"/>
      <c r="I796" s="29">
        <v>0</v>
      </c>
      <c r="J796" s="808" t="s">
        <v>130</v>
      </c>
      <c r="K796" s="843"/>
      <c r="L796" s="132"/>
    </row>
    <row r="797" ht="22.5" customHeight="1" spans="2:12">
      <c r="B797" s="739"/>
      <c r="C797" s="765">
        <v>14.2</v>
      </c>
      <c r="D797" s="54" t="s">
        <v>333</v>
      </c>
      <c r="E797" s="743" t="s">
        <v>59</v>
      </c>
      <c r="F797" s="742" t="s">
        <v>310</v>
      </c>
      <c r="G797" s="743"/>
      <c r="H797" s="843" t="s">
        <v>329</v>
      </c>
      <c r="I797" s="768"/>
      <c r="J797" s="38"/>
      <c r="K797" s="843"/>
      <c r="L797" s="132"/>
    </row>
    <row r="798" ht="22.5" customHeight="1" spans="2:12">
      <c r="B798" s="739"/>
      <c r="C798" s="765">
        <v>14.3</v>
      </c>
      <c r="D798" s="54" t="s">
        <v>340</v>
      </c>
      <c r="E798" s="743" t="s">
        <v>49</v>
      </c>
      <c r="F798" s="742" t="s">
        <v>263</v>
      </c>
      <c r="G798" s="743"/>
      <c r="H798" s="843"/>
      <c r="I798" s="768">
        <v>8</v>
      </c>
      <c r="J798" s="38" t="s">
        <v>15</v>
      </c>
      <c r="K798" s="843"/>
      <c r="L798" s="132"/>
    </row>
    <row r="799" ht="22.5" customHeight="1" spans="2:12">
      <c r="B799" s="739"/>
      <c r="C799" s="765">
        <v>14.4</v>
      </c>
      <c r="D799" s="54" t="s">
        <v>253</v>
      </c>
      <c r="E799" s="743" t="s">
        <v>59</v>
      </c>
      <c r="F799" s="742" t="s">
        <v>335</v>
      </c>
      <c r="G799" s="743"/>
      <c r="H799" s="762" t="s">
        <v>254</v>
      </c>
      <c r="I799" s="822">
        <v>0.13</v>
      </c>
      <c r="J799" s="38" t="s">
        <v>31</v>
      </c>
      <c r="K799" s="843"/>
      <c r="L799" s="132"/>
    </row>
    <row r="800" ht="34.8" customHeight="1" spans="2:12">
      <c r="B800" s="739"/>
      <c r="C800" s="661">
        <v>15</v>
      </c>
      <c r="D800" s="95" t="s">
        <v>341</v>
      </c>
      <c r="E800" s="741" t="s">
        <v>242</v>
      </c>
      <c r="F800" s="742" t="s">
        <v>290</v>
      </c>
      <c r="G800" s="821" t="s">
        <v>341</v>
      </c>
      <c r="H800" s="762"/>
      <c r="I800" s="811"/>
      <c r="J800" s="38"/>
      <c r="K800" s="843"/>
      <c r="L800" s="132"/>
    </row>
    <row r="801" ht="24" customHeight="1" spans="2:12">
      <c r="B801" s="739"/>
      <c r="C801" s="765">
        <v>15.1</v>
      </c>
      <c r="D801" s="54" t="s">
        <v>342</v>
      </c>
      <c r="E801" s="743" t="s">
        <v>49</v>
      </c>
      <c r="F801" s="742"/>
      <c r="G801" s="741"/>
      <c r="H801" s="762"/>
      <c r="I801" s="768">
        <v>0</v>
      </c>
      <c r="J801" s="38" t="s">
        <v>130</v>
      </c>
      <c r="K801" s="843" t="s">
        <v>343</v>
      </c>
      <c r="L801" s="132"/>
    </row>
    <row r="802" ht="20.4" customHeight="1" spans="2:12">
      <c r="B802" s="739"/>
      <c r="C802" s="765"/>
      <c r="D802" s="781" t="s">
        <v>74</v>
      </c>
      <c r="E802" s="743" t="s">
        <v>49</v>
      </c>
      <c r="F802" s="742" t="s">
        <v>290</v>
      </c>
      <c r="G802" s="741"/>
      <c r="H802" s="762"/>
      <c r="I802" s="768">
        <v>0</v>
      </c>
      <c r="J802" s="38" t="s">
        <v>130</v>
      </c>
      <c r="K802" s="843"/>
      <c r="L802" s="132"/>
    </row>
    <row r="803" ht="20.4" customHeight="1" spans="2:12">
      <c r="B803" s="739"/>
      <c r="C803" s="765"/>
      <c r="D803" s="781" t="s">
        <v>75</v>
      </c>
      <c r="E803" s="743" t="s">
        <v>49</v>
      </c>
      <c r="F803" s="742" t="s">
        <v>290</v>
      </c>
      <c r="G803" s="741"/>
      <c r="H803" s="762"/>
      <c r="I803" s="768">
        <v>0</v>
      </c>
      <c r="J803" s="38" t="s">
        <v>130</v>
      </c>
      <c r="K803" s="843"/>
      <c r="L803" s="132"/>
    </row>
    <row r="804" ht="20.4" customHeight="1" spans="2:12">
      <c r="B804" s="739"/>
      <c r="C804" s="765"/>
      <c r="D804" s="781" t="s">
        <v>76</v>
      </c>
      <c r="E804" s="743" t="s">
        <v>49</v>
      </c>
      <c r="F804" s="742" t="s">
        <v>290</v>
      </c>
      <c r="G804" s="741"/>
      <c r="H804" s="762"/>
      <c r="I804" s="768">
        <v>0</v>
      </c>
      <c r="J804" s="38" t="s">
        <v>130</v>
      </c>
      <c r="K804" s="843"/>
      <c r="L804" s="132"/>
    </row>
    <row r="805" ht="20.4" customHeight="1" spans="2:12">
      <c r="B805" s="739"/>
      <c r="C805" s="765"/>
      <c r="D805" s="781" t="s">
        <v>77</v>
      </c>
      <c r="E805" s="743" t="s">
        <v>49</v>
      </c>
      <c r="F805" s="742" t="s">
        <v>290</v>
      </c>
      <c r="G805" s="741"/>
      <c r="H805" s="762"/>
      <c r="I805" s="768">
        <v>0</v>
      </c>
      <c r="J805" s="38" t="s">
        <v>130</v>
      </c>
      <c r="K805" s="843"/>
      <c r="L805" s="132"/>
    </row>
    <row r="806" ht="20.4" customHeight="1" spans="2:12">
      <c r="B806" s="739"/>
      <c r="C806" s="765"/>
      <c r="D806" s="781" t="s">
        <v>78</v>
      </c>
      <c r="E806" s="743" t="s">
        <v>49</v>
      </c>
      <c r="F806" s="742" t="s">
        <v>290</v>
      </c>
      <c r="G806" s="741"/>
      <c r="H806" s="762"/>
      <c r="I806" s="768">
        <v>0</v>
      </c>
      <c r="J806" s="38" t="s">
        <v>130</v>
      </c>
      <c r="K806" s="843"/>
      <c r="L806" s="132"/>
    </row>
    <row r="807" ht="20.4" customHeight="1" spans="2:12">
      <c r="B807" s="739"/>
      <c r="C807" s="765"/>
      <c r="D807" s="781" t="s">
        <v>79</v>
      </c>
      <c r="E807" s="743" t="s">
        <v>49</v>
      </c>
      <c r="F807" s="742" t="s">
        <v>290</v>
      </c>
      <c r="G807" s="741"/>
      <c r="H807" s="762"/>
      <c r="I807" s="768">
        <v>0</v>
      </c>
      <c r="J807" s="38" t="s">
        <v>130</v>
      </c>
      <c r="K807" s="843"/>
      <c r="L807" s="132"/>
    </row>
    <row r="808" ht="20.4" customHeight="1" spans="2:12">
      <c r="B808" s="739"/>
      <c r="C808" s="765"/>
      <c r="D808" s="781" t="s">
        <v>80</v>
      </c>
      <c r="E808" s="743" t="s">
        <v>49</v>
      </c>
      <c r="F808" s="742" t="s">
        <v>290</v>
      </c>
      <c r="G808" s="741"/>
      <c r="H808" s="762"/>
      <c r="I808" s="768">
        <v>0</v>
      </c>
      <c r="J808" s="38" t="s">
        <v>130</v>
      </c>
      <c r="K808" s="843"/>
      <c r="L808" s="132"/>
    </row>
    <row r="809" ht="20.4" customHeight="1" spans="2:12">
      <c r="B809" s="739"/>
      <c r="C809" s="765"/>
      <c r="D809" s="781" t="s">
        <v>81</v>
      </c>
      <c r="E809" s="743" t="s">
        <v>49</v>
      </c>
      <c r="F809" s="742" t="s">
        <v>290</v>
      </c>
      <c r="G809" s="741"/>
      <c r="H809" s="762"/>
      <c r="I809" s="768">
        <v>0</v>
      </c>
      <c r="J809" s="38" t="s">
        <v>130</v>
      </c>
      <c r="K809" s="843"/>
      <c r="L809" s="132"/>
    </row>
    <row r="810" ht="20.4" customHeight="1" spans="2:12">
      <c r="B810" s="739"/>
      <c r="C810" s="765"/>
      <c r="D810" s="781" t="s">
        <v>82</v>
      </c>
      <c r="E810" s="743" t="s">
        <v>49</v>
      </c>
      <c r="F810" s="742" t="s">
        <v>290</v>
      </c>
      <c r="G810" s="741"/>
      <c r="H810" s="762"/>
      <c r="I810" s="768">
        <v>0</v>
      </c>
      <c r="J810" s="38" t="s">
        <v>130</v>
      </c>
      <c r="K810" s="843"/>
      <c r="L810" s="132"/>
    </row>
    <row r="811" ht="20.4" customHeight="1" spans="2:12">
      <c r="B811" s="739"/>
      <c r="C811" s="765"/>
      <c r="D811" s="781" t="s">
        <v>83</v>
      </c>
      <c r="E811" s="743" t="s">
        <v>49</v>
      </c>
      <c r="F811" s="742" t="s">
        <v>290</v>
      </c>
      <c r="G811" s="741"/>
      <c r="H811" s="762"/>
      <c r="I811" s="768">
        <v>0</v>
      </c>
      <c r="J811" s="38" t="s">
        <v>130</v>
      </c>
      <c r="K811" s="843"/>
      <c r="L811" s="132"/>
    </row>
    <row r="812" ht="20.4" customHeight="1" spans="2:12">
      <c r="B812" s="739"/>
      <c r="C812" s="765"/>
      <c r="D812" s="781" t="s">
        <v>84</v>
      </c>
      <c r="E812" s="743" t="s">
        <v>49</v>
      </c>
      <c r="F812" s="742" t="s">
        <v>290</v>
      </c>
      <c r="G812" s="741"/>
      <c r="H812" s="762"/>
      <c r="I812" s="768">
        <v>0</v>
      </c>
      <c r="J812" s="38" t="s">
        <v>130</v>
      </c>
      <c r="K812" s="843"/>
      <c r="L812" s="132"/>
    </row>
    <row r="813" ht="20.4" customHeight="1" spans="2:12">
      <c r="B813" s="739"/>
      <c r="C813" s="765"/>
      <c r="D813" s="781" t="s">
        <v>85</v>
      </c>
      <c r="E813" s="743" t="s">
        <v>49</v>
      </c>
      <c r="F813" s="742" t="s">
        <v>290</v>
      </c>
      <c r="G813" s="741"/>
      <c r="H813" s="762"/>
      <c r="I813" s="768">
        <v>0</v>
      </c>
      <c r="J813" s="38" t="s">
        <v>130</v>
      </c>
      <c r="K813" s="843"/>
      <c r="L813" s="132"/>
    </row>
    <row r="814" ht="20.4" customHeight="1" spans="2:12">
      <c r="B814" s="739"/>
      <c r="C814" s="765"/>
      <c r="D814" s="781" t="s">
        <v>86</v>
      </c>
      <c r="E814" s="743" t="s">
        <v>49</v>
      </c>
      <c r="F814" s="742" t="s">
        <v>290</v>
      </c>
      <c r="G814" s="741"/>
      <c r="H814" s="762"/>
      <c r="I814" s="768">
        <v>0</v>
      </c>
      <c r="J814" s="38" t="s">
        <v>130</v>
      </c>
      <c r="K814" s="843"/>
      <c r="L814" s="132"/>
    </row>
    <row r="815" ht="20.4" customHeight="1" spans="2:12">
      <c r="B815" s="739"/>
      <c r="C815" s="765"/>
      <c r="D815" s="781" t="s">
        <v>87</v>
      </c>
      <c r="E815" s="743" t="s">
        <v>49</v>
      </c>
      <c r="F815" s="742" t="s">
        <v>290</v>
      </c>
      <c r="G815" s="741"/>
      <c r="H815" s="762"/>
      <c r="I815" s="768">
        <v>0</v>
      </c>
      <c r="J815" s="38" t="s">
        <v>130</v>
      </c>
      <c r="K815" s="843"/>
      <c r="L815" s="132"/>
    </row>
    <row r="816" ht="20.4" customHeight="1" spans="2:12">
      <c r="B816" s="739"/>
      <c r="C816" s="765"/>
      <c r="D816" s="781" t="s">
        <v>88</v>
      </c>
      <c r="E816" s="743" t="s">
        <v>49</v>
      </c>
      <c r="F816" s="742" t="s">
        <v>290</v>
      </c>
      <c r="G816" s="741"/>
      <c r="H816" s="762"/>
      <c r="I816" s="768">
        <v>0</v>
      </c>
      <c r="J816" s="38" t="s">
        <v>130</v>
      </c>
      <c r="K816" s="843"/>
      <c r="L816" s="132"/>
    </row>
    <row r="817" ht="20.4" customHeight="1" spans="2:12">
      <c r="B817" s="739"/>
      <c r="C817" s="765"/>
      <c r="D817" s="781" t="s">
        <v>89</v>
      </c>
      <c r="E817" s="743" t="s">
        <v>49</v>
      </c>
      <c r="F817" s="742" t="s">
        <v>290</v>
      </c>
      <c r="G817" s="741"/>
      <c r="H817" s="762"/>
      <c r="I817" s="768">
        <v>0</v>
      </c>
      <c r="J817" s="38" t="s">
        <v>130</v>
      </c>
      <c r="K817" s="843"/>
      <c r="L817" s="132"/>
    </row>
    <row r="818" ht="20.4" customHeight="1" spans="2:12">
      <c r="B818" s="739"/>
      <c r="C818" s="765"/>
      <c r="D818" s="781" t="s">
        <v>90</v>
      </c>
      <c r="E818" s="743" t="s">
        <v>49</v>
      </c>
      <c r="F818" s="742" t="s">
        <v>290</v>
      </c>
      <c r="G818" s="741"/>
      <c r="H818" s="762"/>
      <c r="I818" s="768">
        <v>0</v>
      </c>
      <c r="J818" s="38" t="s">
        <v>130</v>
      </c>
      <c r="K818" s="843"/>
      <c r="L818" s="132"/>
    </row>
    <row r="819" ht="20.4" customHeight="1" spans="2:12">
      <c r="B819" s="739"/>
      <c r="C819" s="765"/>
      <c r="D819" s="781" t="s">
        <v>91</v>
      </c>
      <c r="E819" s="743" t="s">
        <v>49</v>
      </c>
      <c r="F819" s="742" t="s">
        <v>290</v>
      </c>
      <c r="G819" s="741"/>
      <c r="H819" s="762"/>
      <c r="I819" s="768">
        <v>0</v>
      </c>
      <c r="J819" s="38" t="s">
        <v>130</v>
      </c>
      <c r="K819" s="843"/>
      <c r="L819" s="132"/>
    </row>
    <row r="820" ht="20.4" customHeight="1" spans="2:12">
      <c r="B820" s="739"/>
      <c r="C820" s="765"/>
      <c r="D820" s="781" t="s">
        <v>92</v>
      </c>
      <c r="E820" s="743" t="s">
        <v>49</v>
      </c>
      <c r="F820" s="742" t="s">
        <v>290</v>
      </c>
      <c r="G820" s="741"/>
      <c r="H820" s="762"/>
      <c r="I820" s="768">
        <v>0</v>
      </c>
      <c r="J820" s="38" t="s">
        <v>130</v>
      </c>
      <c r="K820" s="843"/>
      <c r="L820" s="132"/>
    </row>
    <row r="821" ht="20.4" customHeight="1" spans="2:12">
      <c r="B821" s="739"/>
      <c r="C821" s="765"/>
      <c r="D821" s="781" t="s">
        <v>93</v>
      </c>
      <c r="E821" s="743" t="s">
        <v>49</v>
      </c>
      <c r="F821" s="742" t="s">
        <v>290</v>
      </c>
      <c r="G821" s="741"/>
      <c r="H821" s="762"/>
      <c r="I821" s="768">
        <v>0</v>
      </c>
      <c r="J821" s="38" t="s">
        <v>130</v>
      </c>
      <c r="K821" s="843"/>
      <c r="L821" s="132"/>
    </row>
    <row r="822" ht="20.4" customHeight="1" spans="2:12">
      <c r="B822" s="739"/>
      <c r="C822" s="765"/>
      <c r="D822" s="781" t="s">
        <v>94</v>
      </c>
      <c r="E822" s="743" t="s">
        <v>49</v>
      </c>
      <c r="F822" s="742" t="s">
        <v>290</v>
      </c>
      <c r="G822" s="741"/>
      <c r="H822" s="762"/>
      <c r="I822" s="768">
        <v>0</v>
      </c>
      <c r="J822" s="38" t="s">
        <v>130</v>
      </c>
      <c r="K822" s="843"/>
      <c r="L822" s="132"/>
    </row>
    <row r="823" ht="20.4" customHeight="1" spans="2:12">
      <c r="B823" s="739"/>
      <c r="C823" s="765"/>
      <c r="D823" s="781" t="s">
        <v>95</v>
      </c>
      <c r="E823" s="743" t="s">
        <v>49</v>
      </c>
      <c r="F823" s="742" t="s">
        <v>290</v>
      </c>
      <c r="G823" s="741"/>
      <c r="H823" s="762"/>
      <c r="I823" s="768">
        <v>0</v>
      </c>
      <c r="J823" s="38" t="s">
        <v>130</v>
      </c>
      <c r="K823" s="843"/>
      <c r="L823" s="132"/>
    </row>
    <row r="824" ht="20.4" customHeight="1" spans="2:12">
      <c r="B824" s="739"/>
      <c r="C824" s="765"/>
      <c r="D824" s="781" t="s">
        <v>96</v>
      </c>
      <c r="E824" s="743" t="s">
        <v>49</v>
      </c>
      <c r="F824" s="742" t="s">
        <v>290</v>
      </c>
      <c r="G824" s="741"/>
      <c r="H824" s="762"/>
      <c r="I824" s="768">
        <v>0</v>
      </c>
      <c r="J824" s="38" t="s">
        <v>130</v>
      </c>
      <c r="K824" s="843"/>
      <c r="L824" s="132"/>
    </row>
    <row r="825" ht="20.4" customHeight="1" spans="2:12">
      <c r="B825" s="739"/>
      <c r="C825" s="765"/>
      <c r="D825" s="781" t="s">
        <v>97</v>
      </c>
      <c r="E825" s="743" t="s">
        <v>49</v>
      </c>
      <c r="F825" s="742" t="s">
        <v>290</v>
      </c>
      <c r="G825" s="741"/>
      <c r="H825" s="762"/>
      <c r="I825" s="768">
        <v>0</v>
      </c>
      <c r="J825" s="38" t="s">
        <v>130</v>
      </c>
      <c r="K825" s="843"/>
      <c r="L825" s="132"/>
    </row>
    <row r="826" ht="20.4" customHeight="1" spans="2:12">
      <c r="B826" s="739"/>
      <c r="C826" s="765"/>
      <c r="D826" s="781" t="s">
        <v>98</v>
      </c>
      <c r="E826" s="743" t="s">
        <v>49</v>
      </c>
      <c r="F826" s="742" t="s">
        <v>290</v>
      </c>
      <c r="G826" s="741"/>
      <c r="H826" s="762"/>
      <c r="I826" s="768">
        <v>0</v>
      </c>
      <c r="J826" s="38" t="s">
        <v>130</v>
      </c>
      <c r="K826" s="843"/>
      <c r="L826" s="132"/>
    </row>
    <row r="827" ht="20.4" customHeight="1" spans="2:12">
      <c r="B827" s="739"/>
      <c r="C827" s="765"/>
      <c r="D827" s="781" t="s">
        <v>99</v>
      </c>
      <c r="E827" s="743" t="s">
        <v>49</v>
      </c>
      <c r="F827" s="742" t="s">
        <v>290</v>
      </c>
      <c r="G827" s="741"/>
      <c r="H827" s="762"/>
      <c r="I827" s="768">
        <v>0</v>
      </c>
      <c r="J827" s="38" t="s">
        <v>130</v>
      </c>
      <c r="K827" s="843"/>
      <c r="L827" s="132"/>
    </row>
    <row r="828" ht="20.4" customHeight="1" spans="2:12">
      <c r="B828" s="739"/>
      <c r="C828" s="765"/>
      <c r="D828" s="781" t="s">
        <v>100</v>
      </c>
      <c r="E828" s="743" t="s">
        <v>49</v>
      </c>
      <c r="F828" s="742" t="s">
        <v>290</v>
      </c>
      <c r="G828" s="741"/>
      <c r="H828" s="762"/>
      <c r="I828" s="768">
        <v>0</v>
      </c>
      <c r="J828" s="38" t="s">
        <v>130</v>
      </c>
      <c r="K828" s="843"/>
      <c r="L828" s="132"/>
    </row>
    <row r="829" ht="20.4" customHeight="1" spans="2:12">
      <c r="B829" s="739"/>
      <c r="C829" s="765"/>
      <c r="D829" s="781" t="s">
        <v>101</v>
      </c>
      <c r="E829" s="743" t="s">
        <v>49</v>
      </c>
      <c r="F829" s="742" t="s">
        <v>290</v>
      </c>
      <c r="G829" s="741"/>
      <c r="H829" s="762"/>
      <c r="I829" s="768">
        <v>0</v>
      </c>
      <c r="J829" s="38" t="s">
        <v>130</v>
      </c>
      <c r="K829" s="843"/>
      <c r="L829" s="132"/>
    </row>
    <row r="830" ht="20.4" customHeight="1" spans="2:12">
      <c r="B830" s="739"/>
      <c r="C830" s="765"/>
      <c r="D830" s="781" t="s">
        <v>102</v>
      </c>
      <c r="E830" s="743" t="s">
        <v>49</v>
      </c>
      <c r="F830" s="742" t="s">
        <v>290</v>
      </c>
      <c r="G830" s="741"/>
      <c r="H830" s="762"/>
      <c r="I830" s="768">
        <v>0</v>
      </c>
      <c r="J830" s="38" t="s">
        <v>130</v>
      </c>
      <c r="K830" s="843"/>
      <c r="L830" s="132"/>
    </row>
    <row r="831" ht="20.4" customHeight="1" spans="2:12">
      <c r="B831" s="739"/>
      <c r="C831" s="765"/>
      <c r="D831" s="781" t="s">
        <v>103</v>
      </c>
      <c r="E831" s="743" t="s">
        <v>49</v>
      </c>
      <c r="F831" s="742" t="s">
        <v>290</v>
      </c>
      <c r="G831" s="741"/>
      <c r="H831" s="762"/>
      <c r="I831" s="768">
        <v>0</v>
      </c>
      <c r="J831" s="38" t="s">
        <v>130</v>
      </c>
      <c r="K831" s="843"/>
      <c r="L831" s="132"/>
    </row>
    <row r="832" ht="20.4" customHeight="1" spans="2:12">
      <c r="B832" s="739"/>
      <c r="C832" s="765"/>
      <c r="D832" s="781" t="s">
        <v>104</v>
      </c>
      <c r="E832" s="743" t="s">
        <v>49</v>
      </c>
      <c r="F832" s="742" t="s">
        <v>290</v>
      </c>
      <c r="G832" s="741"/>
      <c r="H832" s="762"/>
      <c r="I832" s="768">
        <v>0</v>
      </c>
      <c r="J832" s="38" t="s">
        <v>130</v>
      </c>
      <c r="K832" s="843"/>
      <c r="L832" s="132"/>
    </row>
    <row r="833" ht="20.4" customHeight="1" spans="2:12">
      <c r="B833" s="739"/>
      <c r="C833" s="765"/>
      <c r="D833" s="781" t="s">
        <v>105</v>
      </c>
      <c r="E833" s="743" t="s">
        <v>49</v>
      </c>
      <c r="F833" s="742" t="s">
        <v>290</v>
      </c>
      <c r="G833" s="741"/>
      <c r="H833" s="762"/>
      <c r="I833" s="768">
        <v>0</v>
      </c>
      <c r="J833" s="38" t="s">
        <v>130</v>
      </c>
      <c r="K833" s="843"/>
      <c r="L833" s="132"/>
    </row>
    <row r="834" ht="20.4" customHeight="1" spans="2:12">
      <c r="B834" s="739"/>
      <c r="C834" s="765"/>
      <c r="D834" s="781" t="s">
        <v>106</v>
      </c>
      <c r="E834" s="743" t="s">
        <v>49</v>
      </c>
      <c r="F834" s="742" t="s">
        <v>290</v>
      </c>
      <c r="G834" s="741"/>
      <c r="H834" s="762"/>
      <c r="I834" s="768">
        <v>0</v>
      </c>
      <c r="J834" s="38" t="s">
        <v>130</v>
      </c>
      <c r="K834" s="843"/>
      <c r="L834" s="132"/>
    </row>
    <row r="835" ht="20.4" customHeight="1" spans="2:12">
      <c r="B835" s="739"/>
      <c r="C835" s="765"/>
      <c r="D835" s="781" t="s">
        <v>107</v>
      </c>
      <c r="E835" s="743" t="s">
        <v>49</v>
      </c>
      <c r="F835" s="742" t="s">
        <v>290</v>
      </c>
      <c r="G835" s="741"/>
      <c r="H835" s="762"/>
      <c r="I835" s="768">
        <v>0</v>
      </c>
      <c r="J835" s="38" t="s">
        <v>130</v>
      </c>
      <c r="K835" s="843"/>
      <c r="L835" s="132"/>
    </row>
    <row r="836" ht="20.4" customHeight="1" spans="2:12">
      <c r="B836" s="739"/>
      <c r="C836" s="765"/>
      <c r="D836" s="781" t="s">
        <v>108</v>
      </c>
      <c r="E836" s="743" t="s">
        <v>49</v>
      </c>
      <c r="F836" s="742" t="s">
        <v>290</v>
      </c>
      <c r="G836" s="741"/>
      <c r="H836" s="762"/>
      <c r="I836" s="768">
        <v>0</v>
      </c>
      <c r="J836" s="38" t="s">
        <v>130</v>
      </c>
      <c r="K836" s="843"/>
      <c r="L836" s="132"/>
    </row>
    <row r="837" ht="20.4" customHeight="1" spans="2:12">
      <c r="B837" s="739"/>
      <c r="C837" s="765"/>
      <c r="D837" s="781" t="s">
        <v>109</v>
      </c>
      <c r="E837" s="743" t="s">
        <v>49</v>
      </c>
      <c r="F837" s="742" t="s">
        <v>290</v>
      </c>
      <c r="G837" s="741"/>
      <c r="H837" s="762"/>
      <c r="I837" s="768">
        <v>0</v>
      </c>
      <c r="J837" s="38" t="s">
        <v>130</v>
      </c>
      <c r="K837" s="843"/>
      <c r="L837" s="132"/>
    </row>
    <row r="838" ht="20.4" customHeight="1" spans="2:12">
      <c r="B838" s="739"/>
      <c r="C838" s="765"/>
      <c r="D838" s="781" t="s">
        <v>110</v>
      </c>
      <c r="E838" s="743" t="s">
        <v>49</v>
      </c>
      <c r="F838" s="742" t="s">
        <v>290</v>
      </c>
      <c r="G838" s="741"/>
      <c r="H838" s="762"/>
      <c r="I838" s="768">
        <v>0</v>
      </c>
      <c r="J838" s="38" t="s">
        <v>130</v>
      </c>
      <c r="K838" s="843"/>
      <c r="L838" s="132"/>
    </row>
    <row r="839" ht="20.4" customHeight="1" spans="2:12">
      <c r="B839" s="739"/>
      <c r="C839" s="765"/>
      <c r="D839" s="781" t="s">
        <v>111</v>
      </c>
      <c r="E839" s="743" t="s">
        <v>49</v>
      </c>
      <c r="F839" s="742" t="s">
        <v>290</v>
      </c>
      <c r="G839" s="741"/>
      <c r="H839" s="762"/>
      <c r="I839" s="768">
        <v>0</v>
      </c>
      <c r="J839" s="38" t="s">
        <v>130</v>
      </c>
      <c r="K839" s="843"/>
      <c r="L839" s="132"/>
    </row>
    <row r="840" ht="20.4" customHeight="1" spans="2:12">
      <c r="B840" s="739"/>
      <c r="C840" s="765"/>
      <c r="D840" s="781" t="s">
        <v>112</v>
      </c>
      <c r="E840" s="743" t="s">
        <v>49</v>
      </c>
      <c r="F840" s="742" t="s">
        <v>290</v>
      </c>
      <c r="G840" s="741"/>
      <c r="H840" s="762"/>
      <c r="I840" s="768">
        <v>0</v>
      </c>
      <c r="J840" s="38" t="s">
        <v>130</v>
      </c>
      <c r="K840" s="843"/>
      <c r="L840" s="132"/>
    </row>
    <row r="841" ht="20.4" customHeight="1" spans="2:12">
      <c r="B841" s="739"/>
      <c r="C841" s="765"/>
      <c r="D841" s="781" t="s">
        <v>113</v>
      </c>
      <c r="E841" s="743" t="s">
        <v>49</v>
      </c>
      <c r="F841" s="742" t="s">
        <v>290</v>
      </c>
      <c r="G841" s="741"/>
      <c r="H841" s="762"/>
      <c r="I841" s="768">
        <v>0</v>
      </c>
      <c r="J841" s="38" t="s">
        <v>130</v>
      </c>
      <c r="K841" s="843"/>
      <c r="L841" s="132"/>
    </row>
    <row r="842" ht="20.4" customHeight="1" spans="2:12">
      <c r="B842" s="739"/>
      <c r="C842" s="765"/>
      <c r="D842" s="781" t="s">
        <v>114</v>
      </c>
      <c r="E842" s="743" t="s">
        <v>49</v>
      </c>
      <c r="F842" s="742" t="s">
        <v>290</v>
      </c>
      <c r="G842" s="741"/>
      <c r="H842" s="762"/>
      <c r="I842" s="768">
        <v>0</v>
      </c>
      <c r="J842" s="38" t="s">
        <v>130</v>
      </c>
      <c r="K842" s="843"/>
      <c r="L842" s="132"/>
    </row>
    <row r="843" ht="20.4" customHeight="1" spans="2:12">
      <c r="B843" s="739"/>
      <c r="C843" s="765"/>
      <c r="D843" s="781" t="s">
        <v>115</v>
      </c>
      <c r="E843" s="743" t="s">
        <v>49</v>
      </c>
      <c r="F843" s="742" t="s">
        <v>290</v>
      </c>
      <c r="G843" s="741"/>
      <c r="H843" s="762"/>
      <c r="I843" s="768">
        <v>0</v>
      </c>
      <c r="J843" s="38" t="s">
        <v>130</v>
      </c>
      <c r="K843" s="843"/>
      <c r="L843" s="132"/>
    </row>
    <row r="844" ht="20.4" customHeight="1" spans="2:12">
      <c r="B844" s="739"/>
      <c r="C844" s="765"/>
      <c r="D844" s="781" t="s">
        <v>116</v>
      </c>
      <c r="E844" s="743" t="s">
        <v>49</v>
      </c>
      <c r="F844" s="742" t="s">
        <v>290</v>
      </c>
      <c r="G844" s="741"/>
      <c r="H844" s="762"/>
      <c r="I844" s="768">
        <v>0</v>
      </c>
      <c r="J844" s="38" t="s">
        <v>130</v>
      </c>
      <c r="K844" s="843"/>
      <c r="L844" s="132"/>
    </row>
    <row r="845" ht="20.4" customHeight="1" spans="2:12">
      <c r="B845" s="739"/>
      <c r="C845" s="765"/>
      <c r="D845" s="781" t="s">
        <v>117</v>
      </c>
      <c r="E845" s="743" t="s">
        <v>49</v>
      </c>
      <c r="F845" s="742" t="s">
        <v>290</v>
      </c>
      <c r="G845" s="741"/>
      <c r="H845" s="762"/>
      <c r="I845" s="768">
        <v>0</v>
      </c>
      <c r="J845" s="38" t="s">
        <v>130</v>
      </c>
      <c r="K845" s="843"/>
      <c r="L845" s="132"/>
    </row>
    <row r="846" ht="20.4" customHeight="1" spans="2:12">
      <c r="B846" s="739"/>
      <c r="C846" s="765"/>
      <c r="D846" s="781" t="s">
        <v>118</v>
      </c>
      <c r="E846" s="743" t="s">
        <v>49</v>
      </c>
      <c r="F846" s="742" t="s">
        <v>290</v>
      </c>
      <c r="G846" s="741"/>
      <c r="H846" s="762"/>
      <c r="I846" s="768">
        <v>0</v>
      </c>
      <c r="J846" s="38" t="s">
        <v>130</v>
      </c>
      <c r="K846" s="843"/>
      <c r="L846" s="132"/>
    </row>
    <row r="847" ht="20.4" customHeight="1" spans="2:12">
      <c r="B847" s="739"/>
      <c r="C847" s="765"/>
      <c r="D847" s="781" t="s">
        <v>119</v>
      </c>
      <c r="E847" s="743" t="s">
        <v>49</v>
      </c>
      <c r="F847" s="742" t="s">
        <v>290</v>
      </c>
      <c r="G847" s="741"/>
      <c r="H847" s="762"/>
      <c r="I847" s="768">
        <v>0</v>
      </c>
      <c r="J847" s="38" t="s">
        <v>130</v>
      </c>
      <c r="K847" s="843"/>
      <c r="L847" s="132"/>
    </row>
    <row r="848" ht="20.4" customHeight="1" spans="2:12">
      <c r="B848" s="739"/>
      <c r="C848" s="765"/>
      <c r="D848" s="781" t="s">
        <v>120</v>
      </c>
      <c r="E848" s="743" t="s">
        <v>49</v>
      </c>
      <c r="F848" s="742" t="s">
        <v>290</v>
      </c>
      <c r="G848" s="741"/>
      <c r="H848" s="762"/>
      <c r="I848" s="768">
        <v>0</v>
      </c>
      <c r="J848" s="38" t="s">
        <v>130</v>
      </c>
      <c r="K848" s="843"/>
      <c r="L848" s="132"/>
    </row>
    <row r="849" ht="20.4" customHeight="1" spans="2:12">
      <c r="B849" s="739"/>
      <c r="C849" s="765"/>
      <c r="D849" s="781" t="s">
        <v>121</v>
      </c>
      <c r="E849" s="743" t="s">
        <v>49</v>
      </c>
      <c r="F849" s="742" t="s">
        <v>290</v>
      </c>
      <c r="G849" s="741"/>
      <c r="H849" s="762"/>
      <c r="I849" s="768">
        <v>0</v>
      </c>
      <c r="J849" s="38" t="s">
        <v>130</v>
      </c>
      <c r="K849" s="843"/>
      <c r="L849" s="132"/>
    </row>
    <row r="850" ht="22.5" customHeight="1" spans="2:12">
      <c r="B850" s="739"/>
      <c r="C850" s="765">
        <v>15.2</v>
      </c>
      <c r="D850" s="54" t="s">
        <v>253</v>
      </c>
      <c r="E850" s="743" t="s">
        <v>59</v>
      </c>
      <c r="F850" s="742" t="s">
        <v>335</v>
      </c>
      <c r="G850" s="743"/>
      <c r="I850" s="822">
        <v>0</v>
      </c>
      <c r="J850" s="38" t="s">
        <v>31</v>
      </c>
      <c r="K850" s="843"/>
      <c r="L850" s="132"/>
    </row>
    <row r="851" ht="61.2" customHeight="1" spans="2:12">
      <c r="B851" s="789" t="s">
        <v>344</v>
      </c>
      <c r="C851" s="740">
        <v>1</v>
      </c>
      <c r="D851" s="795" t="s">
        <v>345</v>
      </c>
      <c r="E851" s="741"/>
      <c r="F851" s="800"/>
      <c r="G851" s="821" t="s">
        <v>345</v>
      </c>
      <c r="H851" s="762"/>
      <c r="I851" s="766"/>
      <c r="J851" s="743"/>
      <c r="K851" s="846"/>
      <c r="L851" s="132"/>
    </row>
    <row r="852" ht="40.95" customHeight="1" spans="2:12">
      <c r="B852" s="739"/>
      <c r="C852" s="773">
        <v>1.1</v>
      </c>
      <c r="D852" s="795" t="s">
        <v>346</v>
      </c>
      <c r="E852" s="741" t="s">
        <v>242</v>
      </c>
      <c r="F852" s="800" t="s">
        <v>243</v>
      </c>
      <c r="G852" s="821" t="s">
        <v>345</v>
      </c>
      <c r="H852" s="762"/>
      <c r="I852" s="766"/>
      <c r="J852" s="743"/>
      <c r="K852" s="846"/>
      <c r="L852" s="132"/>
    </row>
    <row r="853" spans="2:12">
      <c r="B853" s="739"/>
      <c r="C853" s="773"/>
      <c r="D853" s="258" t="s">
        <v>347</v>
      </c>
      <c r="E853" s="741" t="s">
        <v>348</v>
      </c>
      <c r="F853" s="800" t="s">
        <v>248</v>
      </c>
      <c r="G853" s="823"/>
      <c r="H853" s="762"/>
      <c r="I853" s="745">
        <f>I33</f>
        <v>1400</v>
      </c>
      <c r="J853" s="743" t="s">
        <v>65</v>
      </c>
      <c r="K853" s="846"/>
      <c r="L853" s="132"/>
    </row>
    <row r="854" spans="2:12">
      <c r="B854" s="739"/>
      <c r="C854" s="773"/>
      <c r="D854" s="258" t="s">
        <v>349</v>
      </c>
      <c r="E854" s="741" t="s">
        <v>348</v>
      </c>
      <c r="F854" s="800" t="s">
        <v>248</v>
      </c>
      <c r="G854" s="823"/>
      <c r="H854" s="762"/>
      <c r="I854" s="745"/>
      <c r="J854" s="743" t="s">
        <v>31</v>
      </c>
      <c r="K854" s="846"/>
      <c r="L854" s="132"/>
    </row>
    <row r="855" ht="28.05" customHeight="1" spans="2:12">
      <c r="B855" s="739"/>
      <c r="C855" s="765"/>
      <c r="D855" s="851" t="s">
        <v>350</v>
      </c>
      <c r="E855" s="741" t="s">
        <v>24</v>
      </c>
      <c r="F855" s="742" t="s">
        <v>251</v>
      </c>
      <c r="G855" s="743"/>
      <c r="H855" s="787"/>
      <c r="I855" s="852">
        <v>696.5</v>
      </c>
      <c r="J855" s="764" t="s">
        <v>351</v>
      </c>
      <c r="K855" s="762" t="s">
        <v>352</v>
      </c>
      <c r="L855" s="132"/>
    </row>
    <row r="856" ht="28.05" customHeight="1" spans="2:12">
      <c r="B856" s="739"/>
      <c r="C856" s="765"/>
      <c r="D856" s="258" t="s">
        <v>253</v>
      </c>
      <c r="E856" s="743" t="s">
        <v>59</v>
      </c>
      <c r="F856" s="742" t="s">
        <v>335</v>
      </c>
      <c r="G856" s="743"/>
      <c r="H856" s="762" t="s">
        <v>254</v>
      </c>
      <c r="I856" s="822">
        <v>0.13</v>
      </c>
      <c r="J856" s="764" t="s">
        <v>31</v>
      </c>
      <c r="K856" s="762"/>
      <c r="L856" s="132"/>
    </row>
    <row r="857" ht="28.05" customHeight="1" spans="2:12">
      <c r="B857" s="739"/>
      <c r="C857" s="765"/>
      <c r="D857" s="258" t="s">
        <v>353</v>
      </c>
      <c r="E857" s="743" t="s">
        <v>49</v>
      </c>
      <c r="F857" s="800" t="s">
        <v>251</v>
      </c>
      <c r="G857" s="801"/>
      <c r="H857" s="762"/>
      <c r="I857" s="822">
        <v>0.8</v>
      </c>
      <c r="J857" s="764" t="s">
        <v>31</v>
      </c>
      <c r="K857" s="762"/>
      <c r="L857" s="132"/>
    </row>
    <row r="858" ht="28.05" customHeight="1" spans="2:12">
      <c r="B858" s="739"/>
      <c r="C858" s="765"/>
      <c r="D858" s="258" t="s">
        <v>354</v>
      </c>
      <c r="E858" s="743" t="s">
        <v>49</v>
      </c>
      <c r="F858" s="800"/>
      <c r="G858" s="801"/>
      <c r="H858" s="762"/>
      <c r="I858" s="853"/>
      <c r="J858" s="764"/>
      <c r="K858" s="762"/>
      <c r="L858" s="132"/>
    </row>
    <row r="859" s="105" customFormat="1" ht="28.05" customHeight="1" spans="2:12">
      <c r="B859" s="767"/>
      <c r="C859" s="773"/>
      <c r="D859" s="854" t="s">
        <v>355</v>
      </c>
      <c r="E859" s="741"/>
      <c r="F859" s="800"/>
      <c r="G859" s="801"/>
      <c r="H859" s="855" t="s">
        <v>356</v>
      </c>
      <c r="I859" s="856">
        <f ca="1">'表6-现金流量表-资本金'!D45</f>
        <v>0.06760812738745</v>
      </c>
      <c r="J859" s="367"/>
      <c r="K859" s="744"/>
      <c r="L859" s="133"/>
    </row>
    <row r="860" ht="42" customHeight="1" spans="2:12">
      <c r="B860" s="739"/>
      <c r="C860" s="773">
        <v>1.2</v>
      </c>
      <c r="D860" s="795" t="s">
        <v>357</v>
      </c>
      <c r="E860" s="741" t="s">
        <v>242</v>
      </c>
      <c r="F860" s="800" t="s">
        <v>243</v>
      </c>
      <c r="G860" s="821" t="s">
        <v>345</v>
      </c>
      <c r="H860" s="762"/>
      <c r="I860" s="766"/>
      <c r="J860" s="743"/>
      <c r="K860" s="846"/>
      <c r="L860" s="132"/>
    </row>
    <row r="861" spans="2:12">
      <c r="B861" s="739"/>
      <c r="C861" s="765"/>
      <c r="D861" s="258" t="s">
        <v>122</v>
      </c>
      <c r="E861" s="741" t="s">
        <v>358</v>
      </c>
      <c r="F861" s="742" t="s">
        <v>248</v>
      </c>
      <c r="G861" s="741"/>
      <c r="H861" s="787"/>
      <c r="I861" s="768"/>
      <c r="J861" s="764" t="s">
        <v>124</v>
      </c>
      <c r="K861" s="132"/>
      <c r="L861" s="132"/>
    </row>
    <row r="862" spans="2:12">
      <c r="B862" s="739"/>
      <c r="C862" s="765"/>
      <c r="D862" s="258" t="s">
        <v>359</v>
      </c>
      <c r="E862" s="743" t="s">
        <v>49</v>
      </c>
      <c r="F862" s="742" t="s">
        <v>248</v>
      </c>
      <c r="G862" s="743"/>
      <c r="H862" s="787"/>
      <c r="I862" s="822">
        <v>0.02</v>
      </c>
      <c r="J862" s="764" t="s">
        <v>31</v>
      </c>
      <c r="K862" s="762"/>
      <c r="L862" s="132"/>
    </row>
    <row r="863" spans="2:12">
      <c r="B863" s="739"/>
      <c r="C863" s="765"/>
      <c r="D863" s="258" t="s">
        <v>126</v>
      </c>
      <c r="E863" s="741" t="s">
        <v>358</v>
      </c>
      <c r="F863" s="742" t="s">
        <v>251</v>
      </c>
      <c r="G863" s="743"/>
      <c r="H863" s="787"/>
      <c r="I863" s="768"/>
      <c r="J863" s="764" t="s">
        <v>351</v>
      </c>
      <c r="K863" s="762"/>
      <c r="L863" s="132"/>
    </row>
    <row r="864" spans="2:12">
      <c r="B864" s="739"/>
      <c r="C864" s="765"/>
      <c r="D864" s="258" t="s">
        <v>253</v>
      </c>
      <c r="E864" s="743" t="s">
        <v>59</v>
      </c>
      <c r="F864" s="742" t="s">
        <v>335</v>
      </c>
      <c r="G864" s="743"/>
      <c r="H864" s="762" t="s">
        <v>254</v>
      </c>
      <c r="I864" s="822">
        <v>0.13</v>
      </c>
      <c r="J864" s="764" t="s">
        <v>31</v>
      </c>
      <c r="K864" s="762"/>
      <c r="L864" s="132"/>
    </row>
    <row r="865" spans="2:12">
      <c r="B865" s="739"/>
      <c r="C865" s="765"/>
      <c r="D865" s="258" t="s">
        <v>353</v>
      </c>
      <c r="E865" s="743" t="s">
        <v>49</v>
      </c>
      <c r="F865" s="800" t="s">
        <v>251</v>
      </c>
      <c r="G865" s="801"/>
      <c r="H865" s="762"/>
      <c r="I865" s="822">
        <v>0.8</v>
      </c>
      <c r="J865" s="764" t="s">
        <v>31</v>
      </c>
      <c r="K865" s="762"/>
      <c r="L865" s="132"/>
    </row>
    <row r="866" spans="2:12">
      <c r="B866" s="739"/>
      <c r="C866" s="765"/>
      <c r="D866" s="258" t="s">
        <v>354</v>
      </c>
      <c r="E866" s="743" t="s">
        <v>49</v>
      </c>
      <c r="F866" s="800"/>
      <c r="G866" s="801"/>
      <c r="H866" s="762"/>
      <c r="I866" s="822"/>
      <c r="J866" s="764" t="s">
        <v>25</v>
      </c>
      <c r="K866" s="762"/>
      <c r="L866" s="132"/>
    </row>
    <row r="867" ht="51.6" customHeight="1" spans="2:12">
      <c r="B867" s="739"/>
      <c r="C867" s="661">
        <v>2</v>
      </c>
      <c r="D867" s="795" t="s">
        <v>360</v>
      </c>
      <c r="E867" s="743"/>
      <c r="F867" s="800"/>
      <c r="G867" s="821" t="s">
        <v>360</v>
      </c>
      <c r="H867" s="762"/>
      <c r="I867" s="768"/>
      <c r="J867" s="764"/>
      <c r="K867" s="762" t="s">
        <v>361</v>
      </c>
      <c r="L867" s="132"/>
    </row>
    <row r="868" ht="51.6" customHeight="1" spans="2:12">
      <c r="B868" s="739"/>
      <c r="C868" s="765">
        <v>2.1</v>
      </c>
      <c r="D868" s="795" t="s">
        <v>362</v>
      </c>
      <c r="E868" s="741" t="s">
        <v>242</v>
      </c>
      <c r="F868" s="800" t="s">
        <v>243</v>
      </c>
      <c r="G868" s="821" t="s">
        <v>360</v>
      </c>
      <c r="H868" s="762" t="s">
        <v>363</v>
      </c>
      <c r="I868" s="768"/>
      <c r="J868" s="764"/>
      <c r="K868" s="762"/>
      <c r="L868" s="132"/>
    </row>
    <row r="869" ht="18.45" customHeight="1" spans="2:12">
      <c r="B869" s="739"/>
      <c r="C869" s="765"/>
      <c r="D869" s="54" t="s">
        <v>364</v>
      </c>
      <c r="E869" s="741" t="s">
        <v>247</v>
      </c>
      <c r="F869" s="800" t="s">
        <v>248</v>
      </c>
      <c r="G869" s="743"/>
      <c r="H869" s="762"/>
      <c r="I869" s="768">
        <f>I33</f>
        <v>1400</v>
      </c>
      <c r="J869" s="764" t="s">
        <v>65</v>
      </c>
      <c r="K869" s="762"/>
      <c r="L869" s="132"/>
    </row>
    <row r="870" ht="18.45" customHeight="1" spans="2:12">
      <c r="B870" s="739"/>
      <c r="C870" s="765"/>
      <c r="D870" s="54" t="s">
        <v>349</v>
      </c>
      <c r="E870" s="741" t="s">
        <v>247</v>
      </c>
      <c r="F870" s="800" t="s">
        <v>248</v>
      </c>
      <c r="G870" s="743"/>
      <c r="H870" s="762"/>
      <c r="I870" s="768"/>
      <c r="J870" s="764"/>
      <c r="K870" s="762"/>
      <c r="L870" s="132"/>
    </row>
    <row r="871" ht="18.45" customHeight="1" spans="2:12">
      <c r="B871" s="739"/>
      <c r="C871" s="765"/>
      <c r="D871" s="54" t="s">
        <v>365</v>
      </c>
      <c r="E871" s="743" t="s">
        <v>49</v>
      </c>
      <c r="F871" s="800" t="s">
        <v>251</v>
      </c>
      <c r="G871" s="743"/>
      <c r="H871" s="762"/>
      <c r="I871" s="768">
        <v>1</v>
      </c>
      <c r="J871" s="764" t="s">
        <v>300</v>
      </c>
      <c r="K871" s="762"/>
      <c r="L871" s="132"/>
    </row>
    <row r="872" ht="34.2" customHeight="1" spans="2:12">
      <c r="B872" s="739"/>
      <c r="C872" s="765"/>
      <c r="D872" s="54" t="s">
        <v>253</v>
      </c>
      <c r="E872" s="743" t="s">
        <v>59</v>
      </c>
      <c r="F872" s="742"/>
      <c r="G872" s="743"/>
      <c r="H872" s="762" t="s">
        <v>254</v>
      </c>
      <c r="I872" s="822">
        <v>0.13</v>
      </c>
      <c r="J872" s="764" t="s">
        <v>31</v>
      </c>
      <c r="K872" s="762"/>
      <c r="L872" s="132"/>
    </row>
    <row r="873" ht="18.45" customHeight="1" spans="2:12">
      <c r="B873" s="739"/>
      <c r="C873" s="765"/>
      <c r="D873" s="54" t="s">
        <v>353</v>
      </c>
      <c r="E873" s="743" t="s">
        <v>49</v>
      </c>
      <c r="F873" s="742"/>
      <c r="G873" s="743"/>
      <c r="H873" s="762"/>
      <c r="I873" s="822">
        <v>0.5</v>
      </c>
      <c r="J873" s="764" t="s">
        <v>31</v>
      </c>
      <c r="K873" s="762"/>
      <c r="L873" s="132"/>
    </row>
    <row r="874" ht="21" customHeight="1" spans="2:12">
      <c r="B874" s="739"/>
      <c r="C874" s="765"/>
      <c r="D874" s="54" t="s">
        <v>354</v>
      </c>
      <c r="E874" s="743" t="s">
        <v>49</v>
      </c>
      <c r="F874" s="742"/>
      <c r="G874" s="743"/>
      <c r="H874" s="762"/>
      <c r="I874" s="822"/>
      <c r="J874" s="764" t="s">
        <v>25</v>
      </c>
      <c r="K874" s="762"/>
      <c r="L874" s="132"/>
    </row>
    <row r="875" ht="28.95" customHeight="1" spans="2:12">
      <c r="B875" s="739"/>
      <c r="C875" s="661">
        <v>3</v>
      </c>
      <c r="D875" s="795" t="s">
        <v>366</v>
      </c>
      <c r="E875" s="743"/>
      <c r="F875" s="800"/>
      <c r="G875" s="821" t="s">
        <v>366</v>
      </c>
      <c r="H875" s="762"/>
      <c r="I875" s="822"/>
      <c r="J875" s="764"/>
      <c r="K875" s="762"/>
      <c r="L875" s="132"/>
    </row>
    <row r="876" ht="39.6" customHeight="1" spans="2:12">
      <c r="B876" s="739"/>
      <c r="C876" s="765">
        <v>3.1</v>
      </c>
      <c r="D876" s="795" t="s">
        <v>367</v>
      </c>
      <c r="E876" s="743" t="s">
        <v>49</v>
      </c>
      <c r="F876" s="742" t="s">
        <v>290</v>
      </c>
      <c r="G876" s="821" t="s">
        <v>366</v>
      </c>
      <c r="H876" s="762"/>
      <c r="I876" s="822"/>
      <c r="J876" s="764"/>
      <c r="K876" s="762"/>
      <c r="L876" s="132"/>
    </row>
    <row r="877" ht="39.6" customHeight="1" spans="2:12">
      <c r="B877" s="739"/>
      <c r="C877" s="765"/>
      <c r="D877" s="54" t="s">
        <v>368</v>
      </c>
      <c r="E877" s="743" t="s">
        <v>49</v>
      </c>
      <c r="F877" s="742"/>
      <c r="G877" s="743"/>
      <c r="H877" s="762"/>
      <c r="I877" s="768">
        <v>400</v>
      </c>
      <c r="J877" s="764" t="s">
        <v>130</v>
      </c>
      <c r="K877" s="762"/>
      <c r="L877" s="132"/>
    </row>
    <row r="878" s="105" customFormat="1" ht="16.2" hidden="1" customHeight="1" spans="2:12">
      <c r="B878" s="739"/>
      <c r="C878" s="773"/>
      <c r="D878" s="781" t="s">
        <v>74</v>
      </c>
      <c r="E878" s="743" t="s">
        <v>49</v>
      </c>
      <c r="F878" s="742" t="s">
        <v>290</v>
      </c>
      <c r="G878" s="743"/>
      <c r="H878" s="744"/>
      <c r="I878" s="768">
        <v>0</v>
      </c>
      <c r="J878" s="764" t="s">
        <v>130</v>
      </c>
      <c r="K878" s="744"/>
      <c r="L878" s="133"/>
    </row>
    <row r="879" s="105" customFormat="1" ht="16.2" hidden="1" customHeight="1" spans="2:12">
      <c r="B879" s="739"/>
      <c r="C879" s="773"/>
      <c r="D879" s="781" t="s">
        <v>75</v>
      </c>
      <c r="E879" s="743" t="s">
        <v>49</v>
      </c>
      <c r="F879" s="742" t="s">
        <v>290</v>
      </c>
      <c r="G879" s="743"/>
      <c r="H879" s="744"/>
      <c r="I879" s="768">
        <v>0</v>
      </c>
      <c r="J879" s="764" t="s">
        <v>130</v>
      </c>
      <c r="K879" s="744"/>
      <c r="L879" s="133"/>
    </row>
    <row r="880" s="105" customFormat="1" ht="16.2" hidden="1" customHeight="1" spans="2:12">
      <c r="B880" s="739"/>
      <c r="C880" s="773"/>
      <c r="D880" s="781" t="s">
        <v>76</v>
      </c>
      <c r="E880" s="743" t="s">
        <v>49</v>
      </c>
      <c r="F880" s="742" t="s">
        <v>290</v>
      </c>
      <c r="G880" s="743"/>
      <c r="H880" s="744"/>
      <c r="I880" s="768">
        <v>0</v>
      </c>
      <c r="J880" s="764" t="s">
        <v>130</v>
      </c>
      <c r="K880" s="744"/>
      <c r="L880" s="133"/>
    </row>
    <row r="881" s="105" customFormat="1" ht="16.2" hidden="1" customHeight="1" spans="2:12">
      <c r="B881" s="739"/>
      <c r="C881" s="773"/>
      <c r="D881" s="781" t="s">
        <v>77</v>
      </c>
      <c r="E881" s="743" t="s">
        <v>49</v>
      </c>
      <c r="F881" s="742" t="s">
        <v>290</v>
      </c>
      <c r="G881" s="743"/>
      <c r="H881" s="744"/>
      <c r="I881" s="768">
        <v>0</v>
      </c>
      <c r="J881" s="764" t="s">
        <v>130</v>
      </c>
      <c r="K881" s="744"/>
      <c r="L881" s="133"/>
    </row>
    <row r="882" s="105" customFormat="1" ht="16.2" hidden="1" customHeight="1" spans="2:12">
      <c r="B882" s="739"/>
      <c r="C882" s="773"/>
      <c r="D882" s="781" t="s">
        <v>78</v>
      </c>
      <c r="E882" s="743" t="s">
        <v>49</v>
      </c>
      <c r="F882" s="742" t="s">
        <v>290</v>
      </c>
      <c r="G882" s="743"/>
      <c r="H882" s="744"/>
      <c r="I882" s="768">
        <v>0</v>
      </c>
      <c r="J882" s="764" t="s">
        <v>130</v>
      </c>
      <c r="K882" s="744"/>
      <c r="L882" s="133"/>
    </row>
    <row r="883" s="105" customFormat="1" ht="16.2" hidden="1" customHeight="1" spans="2:12">
      <c r="B883" s="739"/>
      <c r="C883" s="773"/>
      <c r="D883" s="781" t="s">
        <v>79</v>
      </c>
      <c r="E883" s="743" t="s">
        <v>49</v>
      </c>
      <c r="F883" s="742" t="s">
        <v>290</v>
      </c>
      <c r="G883" s="743"/>
      <c r="H883" s="744"/>
      <c r="I883" s="768">
        <v>0</v>
      </c>
      <c r="J883" s="764" t="s">
        <v>130</v>
      </c>
      <c r="K883" s="744"/>
      <c r="L883" s="133"/>
    </row>
    <row r="884" s="105" customFormat="1" ht="16.2" hidden="1" customHeight="1" spans="2:12">
      <c r="B884" s="739"/>
      <c r="C884" s="773"/>
      <c r="D884" s="781" t="s">
        <v>80</v>
      </c>
      <c r="E884" s="743" t="s">
        <v>49</v>
      </c>
      <c r="F884" s="742" t="s">
        <v>290</v>
      </c>
      <c r="G884" s="743"/>
      <c r="H884" s="744"/>
      <c r="I884" s="768">
        <v>0</v>
      </c>
      <c r="J884" s="764" t="s">
        <v>130</v>
      </c>
      <c r="K884" s="744"/>
      <c r="L884" s="133"/>
    </row>
    <row r="885" s="105" customFormat="1" ht="16.2" hidden="1" customHeight="1" spans="2:12">
      <c r="B885" s="739"/>
      <c r="C885" s="773"/>
      <c r="D885" s="781" t="s">
        <v>81</v>
      </c>
      <c r="E885" s="743" t="s">
        <v>49</v>
      </c>
      <c r="F885" s="742" t="s">
        <v>290</v>
      </c>
      <c r="G885" s="743"/>
      <c r="H885" s="744"/>
      <c r="I885" s="768">
        <v>0</v>
      </c>
      <c r="J885" s="764" t="s">
        <v>130</v>
      </c>
      <c r="K885" s="744"/>
      <c r="L885" s="133"/>
    </row>
    <row r="886" ht="16.2" hidden="1" customHeight="1" spans="2:12">
      <c r="B886" s="739"/>
      <c r="C886" s="765"/>
      <c r="D886" s="781" t="s">
        <v>82</v>
      </c>
      <c r="E886" s="743" t="s">
        <v>49</v>
      </c>
      <c r="F886" s="742" t="s">
        <v>290</v>
      </c>
      <c r="G886" s="743"/>
      <c r="H886" s="762"/>
      <c r="I886" s="768">
        <f>I877</f>
        <v>400</v>
      </c>
      <c r="J886" s="764" t="s">
        <v>130</v>
      </c>
      <c r="K886" s="762"/>
      <c r="L886" s="132"/>
    </row>
    <row r="887" ht="16.2" hidden="1" customHeight="1" spans="2:12">
      <c r="B887" s="739"/>
      <c r="C887" s="765"/>
      <c r="D887" s="781" t="s">
        <v>83</v>
      </c>
      <c r="E887" s="743" t="s">
        <v>49</v>
      </c>
      <c r="F887" s="742" t="s">
        <v>290</v>
      </c>
      <c r="G887" s="743"/>
      <c r="H887" s="762"/>
      <c r="I887" s="768">
        <v>0</v>
      </c>
      <c r="J887" s="764" t="s">
        <v>130</v>
      </c>
      <c r="K887" s="762"/>
      <c r="L887" s="132"/>
    </row>
    <row r="888" ht="16.2" hidden="1" customHeight="1" spans="2:12">
      <c r="B888" s="739"/>
      <c r="C888" s="765"/>
      <c r="D888" s="781" t="s">
        <v>84</v>
      </c>
      <c r="E888" s="743" t="s">
        <v>49</v>
      </c>
      <c r="F888" s="742" t="s">
        <v>290</v>
      </c>
      <c r="G888" s="743"/>
      <c r="H888" s="762"/>
      <c r="I888" s="768">
        <v>0</v>
      </c>
      <c r="J888" s="764" t="s">
        <v>130</v>
      </c>
      <c r="K888" s="762"/>
      <c r="L888" s="132"/>
    </row>
    <row r="889" ht="16.2" hidden="1" customHeight="1" spans="2:12">
      <c r="B889" s="739"/>
      <c r="C889" s="765"/>
      <c r="D889" s="781" t="s">
        <v>85</v>
      </c>
      <c r="E889" s="743" t="s">
        <v>49</v>
      </c>
      <c r="F889" s="742" t="s">
        <v>290</v>
      </c>
      <c r="G889" s="743"/>
      <c r="H889" s="762"/>
      <c r="I889" s="768">
        <v>0</v>
      </c>
      <c r="J889" s="764" t="s">
        <v>130</v>
      </c>
      <c r="K889" s="762"/>
      <c r="L889" s="132"/>
    </row>
    <row r="890" ht="16.2" hidden="1" customHeight="1" spans="2:12">
      <c r="B890" s="739"/>
      <c r="C890" s="765"/>
      <c r="D890" s="781" t="s">
        <v>86</v>
      </c>
      <c r="E890" s="743" t="s">
        <v>49</v>
      </c>
      <c r="F890" s="742" t="s">
        <v>290</v>
      </c>
      <c r="G890" s="743"/>
      <c r="H890" s="762"/>
      <c r="I890" s="768">
        <v>0</v>
      </c>
      <c r="J890" s="764" t="s">
        <v>130</v>
      </c>
      <c r="K890" s="762"/>
      <c r="L890" s="132"/>
    </row>
    <row r="891" ht="16.2" hidden="1" customHeight="1" spans="2:12">
      <c r="B891" s="739"/>
      <c r="C891" s="765"/>
      <c r="D891" s="781" t="s">
        <v>87</v>
      </c>
      <c r="E891" s="743" t="s">
        <v>49</v>
      </c>
      <c r="F891" s="742" t="s">
        <v>290</v>
      </c>
      <c r="G891" s="743"/>
      <c r="H891" s="762"/>
      <c r="I891" s="768">
        <v>0</v>
      </c>
      <c r="J891" s="764" t="s">
        <v>130</v>
      </c>
      <c r="K891" s="762"/>
      <c r="L891" s="132"/>
    </row>
    <row r="892" ht="16.2" hidden="1" customHeight="1" spans="2:12">
      <c r="B892" s="739"/>
      <c r="C892" s="765"/>
      <c r="D892" s="781" t="s">
        <v>88</v>
      </c>
      <c r="E892" s="743" t="s">
        <v>49</v>
      </c>
      <c r="F892" s="742" t="s">
        <v>290</v>
      </c>
      <c r="G892" s="743"/>
      <c r="H892" s="762"/>
      <c r="I892" s="768">
        <v>0</v>
      </c>
      <c r="J892" s="764" t="s">
        <v>130</v>
      </c>
      <c r="K892" s="762"/>
      <c r="L892" s="132"/>
    </row>
    <row r="893" ht="16.2" hidden="1" customHeight="1" spans="2:12">
      <c r="B893" s="739"/>
      <c r="C893" s="765"/>
      <c r="D893" s="781" t="s">
        <v>89</v>
      </c>
      <c r="E893" s="743" t="s">
        <v>49</v>
      </c>
      <c r="F893" s="742" t="s">
        <v>290</v>
      </c>
      <c r="G893" s="743"/>
      <c r="H893" s="762"/>
      <c r="I893" s="768">
        <v>0</v>
      </c>
      <c r="J893" s="764" t="s">
        <v>130</v>
      </c>
      <c r="K893" s="762"/>
      <c r="L893" s="132"/>
    </row>
    <row r="894" ht="16.2" hidden="1" customHeight="1" spans="2:12">
      <c r="B894" s="739"/>
      <c r="C894" s="765"/>
      <c r="D894" s="781" t="s">
        <v>90</v>
      </c>
      <c r="E894" s="743" t="s">
        <v>49</v>
      </c>
      <c r="F894" s="742" t="s">
        <v>290</v>
      </c>
      <c r="G894" s="743"/>
      <c r="H894" s="762"/>
      <c r="I894" s="768">
        <v>0</v>
      </c>
      <c r="J894" s="764" t="s">
        <v>130</v>
      </c>
      <c r="K894" s="762"/>
      <c r="L894" s="132"/>
    </row>
    <row r="895" ht="16.2" hidden="1" customHeight="1" spans="2:12">
      <c r="B895" s="739"/>
      <c r="C895" s="765"/>
      <c r="D895" s="781" t="s">
        <v>91</v>
      </c>
      <c r="E895" s="743" t="s">
        <v>49</v>
      </c>
      <c r="F895" s="742" t="s">
        <v>290</v>
      </c>
      <c r="G895" s="743"/>
      <c r="H895" s="762"/>
      <c r="I895" s="768">
        <v>0</v>
      </c>
      <c r="J895" s="764" t="s">
        <v>130</v>
      </c>
      <c r="K895" s="762"/>
      <c r="L895" s="132"/>
    </row>
    <row r="896" ht="16.2" hidden="1" customHeight="1" spans="2:12">
      <c r="B896" s="739"/>
      <c r="C896" s="765"/>
      <c r="D896" s="781" t="s">
        <v>92</v>
      </c>
      <c r="E896" s="743" t="s">
        <v>49</v>
      </c>
      <c r="F896" s="742" t="s">
        <v>290</v>
      </c>
      <c r="G896" s="743"/>
      <c r="H896" s="762"/>
      <c r="I896" s="768">
        <v>0</v>
      </c>
      <c r="J896" s="764" t="s">
        <v>130</v>
      </c>
      <c r="K896" s="762"/>
      <c r="L896" s="132"/>
    </row>
    <row r="897" ht="16.2" hidden="1" customHeight="1" spans="2:12">
      <c r="B897" s="739"/>
      <c r="C897" s="765"/>
      <c r="D897" s="781" t="s">
        <v>93</v>
      </c>
      <c r="E897" s="743" t="s">
        <v>49</v>
      </c>
      <c r="F897" s="742" t="s">
        <v>290</v>
      </c>
      <c r="G897" s="743"/>
      <c r="H897" s="762"/>
      <c r="I897" s="768">
        <v>0</v>
      </c>
      <c r="J897" s="764" t="s">
        <v>130</v>
      </c>
      <c r="K897" s="762"/>
      <c r="L897" s="132"/>
    </row>
    <row r="898" ht="16.2" hidden="1" customHeight="1" spans="2:12">
      <c r="B898" s="739"/>
      <c r="C898" s="765"/>
      <c r="D898" s="781" t="s">
        <v>94</v>
      </c>
      <c r="E898" s="743" t="s">
        <v>49</v>
      </c>
      <c r="F898" s="742" t="s">
        <v>290</v>
      </c>
      <c r="G898" s="743"/>
      <c r="H898" s="762"/>
      <c r="I898" s="768">
        <v>0</v>
      </c>
      <c r="J898" s="764" t="s">
        <v>130</v>
      </c>
      <c r="K898" s="762"/>
      <c r="L898" s="132"/>
    </row>
    <row r="899" ht="16.2" hidden="1" customHeight="1" spans="2:12">
      <c r="B899" s="739"/>
      <c r="C899" s="765"/>
      <c r="D899" s="781" t="s">
        <v>95</v>
      </c>
      <c r="E899" s="743" t="s">
        <v>49</v>
      </c>
      <c r="F899" s="742" t="s">
        <v>290</v>
      </c>
      <c r="G899" s="743"/>
      <c r="H899" s="762"/>
      <c r="I899" s="768">
        <v>0</v>
      </c>
      <c r="J899" s="764" t="s">
        <v>130</v>
      </c>
      <c r="K899" s="762"/>
      <c r="L899" s="132"/>
    </row>
    <row r="900" ht="16.2" hidden="1" customHeight="1" spans="2:12">
      <c r="B900" s="739"/>
      <c r="C900" s="765"/>
      <c r="D900" s="781" t="s">
        <v>96</v>
      </c>
      <c r="E900" s="743" t="s">
        <v>49</v>
      </c>
      <c r="F900" s="742" t="s">
        <v>290</v>
      </c>
      <c r="G900" s="743"/>
      <c r="H900" s="762"/>
      <c r="I900" s="768">
        <v>0</v>
      </c>
      <c r="J900" s="764" t="s">
        <v>130</v>
      </c>
      <c r="K900" s="762"/>
      <c r="L900" s="132"/>
    </row>
    <row r="901" ht="16.2" hidden="1" customHeight="1" spans="2:12">
      <c r="B901" s="739"/>
      <c r="C901" s="765"/>
      <c r="D901" s="781" t="s">
        <v>97</v>
      </c>
      <c r="E901" s="743" t="s">
        <v>49</v>
      </c>
      <c r="F901" s="742" t="s">
        <v>290</v>
      </c>
      <c r="G901" s="743"/>
      <c r="H901" s="762"/>
      <c r="I901" s="768">
        <v>0</v>
      </c>
      <c r="J901" s="764" t="s">
        <v>130</v>
      </c>
      <c r="K901" s="762"/>
      <c r="L901" s="132"/>
    </row>
    <row r="902" ht="16.2" hidden="1" customHeight="1" spans="2:12">
      <c r="B902" s="739"/>
      <c r="C902" s="765"/>
      <c r="D902" s="781" t="s">
        <v>98</v>
      </c>
      <c r="E902" s="743" t="s">
        <v>49</v>
      </c>
      <c r="F902" s="742" t="s">
        <v>290</v>
      </c>
      <c r="G902" s="743"/>
      <c r="H902" s="762"/>
      <c r="I902" s="768">
        <v>0</v>
      </c>
      <c r="J902" s="764" t="s">
        <v>130</v>
      </c>
      <c r="K902" s="762"/>
      <c r="L902" s="132"/>
    </row>
    <row r="903" ht="16.2" hidden="1" customHeight="1" spans="2:12">
      <c r="B903" s="739"/>
      <c r="C903" s="765"/>
      <c r="D903" s="781" t="s">
        <v>99</v>
      </c>
      <c r="E903" s="743" t="s">
        <v>49</v>
      </c>
      <c r="F903" s="742" t="s">
        <v>290</v>
      </c>
      <c r="G903" s="743"/>
      <c r="H903" s="762"/>
      <c r="I903" s="768">
        <v>0</v>
      </c>
      <c r="J903" s="764" t="s">
        <v>130</v>
      </c>
      <c r="K903" s="762"/>
      <c r="L903" s="132"/>
    </row>
    <row r="904" ht="16.2" hidden="1" customHeight="1" spans="2:12">
      <c r="B904" s="739"/>
      <c r="C904" s="765"/>
      <c r="D904" s="781" t="s">
        <v>100</v>
      </c>
      <c r="E904" s="743" t="s">
        <v>49</v>
      </c>
      <c r="F904" s="742" t="s">
        <v>290</v>
      </c>
      <c r="G904" s="743"/>
      <c r="H904" s="762"/>
      <c r="I904" s="768">
        <v>0</v>
      </c>
      <c r="J904" s="764" t="s">
        <v>130</v>
      </c>
      <c r="K904" s="762"/>
      <c r="L904" s="132"/>
    </row>
    <row r="905" ht="16.2" hidden="1" customHeight="1" spans="2:12">
      <c r="B905" s="739"/>
      <c r="C905" s="765"/>
      <c r="D905" s="781" t="s">
        <v>101</v>
      </c>
      <c r="E905" s="743" t="s">
        <v>49</v>
      </c>
      <c r="F905" s="742" t="s">
        <v>290</v>
      </c>
      <c r="G905" s="743"/>
      <c r="H905" s="762"/>
      <c r="I905" s="768">
        <v>0</v>
      </c>
      <c r="J905" s="764" t="s">
        <v>130</v>
      </c>
      <c r="K905" s="762"/>
      <c r="L905" s="132"/>
    </row>
    <row r="906" ht="16.2" hidden="1" customHeight="1" spans="2:12">
      <c r="B906" s="739"/>
      <c r="C906" s="765"/>
      <c r="D906" s="781" t="s">
        <v>102</v>
      </c>
      <c r="E906" s="743" t="s">
        <v>49</v>
      </c>
      <c r="F906" s="742" t="s">
        <v>290</v>
      </c>
      <c r="G906" s="743"/>
      <c r="H906" s="762"/>
      <c r="I906" s="768">
        <v>0</v>
      </c>
      <c r="J906" s="764" t="s">
        <v>130</v>
      </c>
      <c r="K906" s="762"/>
      <c r="L906" s="132"/>
    </row>
    <row r="907" ht="16.2" hidden="1" customHeight="1" spans="2:12">
      <c r="B907" s="739"/>
      <c r="C907" s="765"/>
      <c r="D907" s="781" t="s">
        <v>103</v>
      </c>
      <c r="E907" s="743" t="s">
        <v>49</v>
      </c>
      <c r="F907" s="742" t="s">
        <v>290</v>
      </c>
      <c r="G907" s="743"/>
      <c r="H907" s="762"/>
      <c r="I907" s="768">
        <v>0</v>
      </c>
      <c r="J907" s="764" t="s">
        <v>130</v>
      </c>
      <c r="K907" s="762"/>
      <c r="L907" s="132"/>
    </row>
    <row r="908" ht="16.2" hidden="1" customHeight="1" spans="2:12">
      <c r="B908" s="739"/>
      <c r="C908" s="765"/>
      <c r="D908" s="781" t="s">
        <v>104</v>
      </c>
      <c r="E908" s="743" t="s">
        <v>49</v>
      </c>
      <c r="F908" s="742" t="s">
        <v>290</v>
      </c>
      <c r="G908" s="743"/>
      <c r="H908" s="762"/>
      <c r="I908" s="768">
        <v>0</v>
      </c>
      <c r="J908" s="764" t="s">
        <v>130</v>
      </c>
      <c r="K908" s="762"/>
      <c r="L908" s="132"/>
    </row>
    <row r="909" ht="16.2" hidden="1" customHeight="1" spans="2:12">
      <c r="B909" s="739"/>
      <c r="C909" s="765"/>
      <c r="D909" s="781" t="s">
        <v>105</v>
      </c>
      <c r="E909" s="743" t="s">
        <v>49</v>
      </c>
      <c r="F909" s="742" t="s">
        <v>290</v>
      </c>
      <c r="G909" s="743"/>
      <c r="H909" s="762"/>
      <c r="I909" s="768">
        <v>0</v>
      </c>
      <c r="J909" s="764" t="s">
        <v>130</v>
      </c>
      <c r="K909" s="762"/>
      <c r="L909" s="132"/>
    </row>
    <row r="910" ht="16.2" hidden="1" customHeight="1" spans="2:12">
      <c r="B910" s="739"/>
      <c r="C910" s="765"/>
      <c r="D910" s="781" t="s">
        <v>106</v>
      </c>
      <c r="E910" s="743" t="s">
        <v>49</v>
      </c>
      <c r="F910" s="742" t="s">
        <v>290</v>
      </c>
      <c r="G910" s="743"/>
      <c r="H910" s="762"/>
      <c r="I910" s="768">
        <v>0</v>
      </c>
      <c r="J910" s="764" t="s">
        <v>130</v>
      </c>
      <c r="K910" s="762"/>
      <c r="L910" s="132"/>
    </row>
    <row r="911" ht="16.2" hidden="1" customHeight="1" spans="2:12">
      <c r="B911" s="739"/>
      <c r="C911" s="765"/>
      <c r="D911" s="781" t="s">
        <v>107</v>
      </c>
      <c r="E911" s="743" t="s">
        <v>49</v>
      </c>
      <c r="F911" s="742" t="s">
        <v>290</v>
      </c>
      <c r="G911" s="743"/>
      <c r="H911" s="762"/>
      <c r="I911" s="768">
        <v>0</v>
      </c>
      <c r="J911" s="764" t="s">
        <v>130</v>
      </c>
      <c r="K911" s="762"/>
      <c r="L911" s="132"/>
    </row>
    <row r="912" ht="16.2" hidden="1" customHeight="1" spans="2:12">
      <c r="B912" s="739"/>
      <c r="C912" s="765"/>
      <c r="D912" s="781" t="s">
        <v>108</v>
      </c>
      <c r="E912" s="743" t="s">
        <v>49</v>
      </c>
      <c r="F912" s="742" t="s">
        <v>290</v>
      </c>
      <c r="G912" s="743"/>
      <c r="H912" s="762"/>
      <c r="I912" s="768">
        <v>0</v>
      </c>
      <c r="J912" s="764" t="s">
        <v>130</v>
      </c>
      <c r="K912" s="762"/>
      <c r="L912" s="132"/>
    </row>
    <row r="913" ht="16.2" hidden="1" customHeight="1" spans="2:12">
      <c r="B913" s="739"/>
      <c r="C913" s="765"/>
      <c r="D913" s="781" t="s">
        <v>109</v>
      </c>
      <c r="E913" s="743" t="s">
        <v>49</v>
      </c>
      <c r="F913" s="742" t="s">
        <v>290</v>
      </c>
      <c r="G913" s="743"/>
      <c r="H913" s="762"/>
      <c r="I913" s="768">
        <v>0</v>
      </c>
      <c r="J913" s="764" t="s">
        <v>130</v>
      </c>
      <c r="K913" s="762"/>
      <c r="L913" s="132"/>
    </row>
    <row r="914" ht="16.2" hidden="1" customHeight="1" spans="2:12">
      <c r="B914" s="739"/>
      <c r="C914" s="765"/>
      <c r="D914" s="781" t="s">
        <v>110</v>
      </c>
      <c r="E914" s="743" t="s">
        <v>49</v>
      </c>
      <c r="F914" s="742" t="s">
        <v>290</v>
      </c>
      <c r="G914" s="743"/>
      <c r="H914" s="762"/>
      <c r="I914" s="768">
        <v>0</v>
      </c>
      <c r="J914" s="764" t="s">
        <v>130</v>
      </c>
      <c r="K914" s="762"/>
      <c r="L914" s="132"/>
    </row>
    <row r="915" ht="16.2" hidden="1" customHeight="1" spans="2:12">
      <c r="B915" s="739"/>
      <c r="C915" s="765"/>
      <c r="D915" s="781" t="s">
        <v>111</v>
      </c>
      <c r="E915" s="743" t="s">
        <v>49</v>
      </c>
      <c r="F915" s="742" t="s">
        <v>290</v>
      </c>
      <c r="G915" s="743"/>
      <c r="H915" s="762"/>
      <c r="I915" s="768">
        <v>0</v>
      </c>
      <c r="J915" s="764" t="s">
        <v>130</v>
      </c>
      <c r="K915" s="762"/>
      <c r="L915" s="132"/>
    </row>
    <row r="916" ht="16.2" hidden="1" customHeight="1" spans="2:12">
      <c r="B916" s="739"/>
      <c r="C916" s="765"/>
      <c r="D916" s="781" t="s">
        <v>112</v>
      </c>
      <c r="E916" s="743" t="s">
        <v>49</v>
      </c>
      <c r="F916" s="742" t="s">
        <v>290</v>
      </c>
      <c r="G916" s="743"/>
      <c r="H916" s="762"/>
      <c r="I916" s="768">
        <v>0</v>
      </c>
      <c r="J916" s="764" t="s">
        <v>130</v>
      </c>
      <c r="K916" s="762"/>
      <c r="L916" s="132"/>
    </row>
    <row r="917" ht="16.2" hidden="1" customHeight="1" spans="2:12">
      <c r="B917" s="739"/>
      <c r="C917" s="765"/>
      <c r="D917" s="781" t="s">
        <v>113</v>
      </c>
      <c r="E917" s="743" t="s">
        <v>49</v>
      </c>
      <c r="F917" s="742" t="s">
        <v>290</v>
      </c>
      <c r="G917" s="743"/>
      <c r="H917" s="762"/>
      <c r="I917" s="768">
        <v>0</v>
      </c>
      <c r="J917" s="764" t="s">
        <v>130</v>
      </c>
      <c r="K917" s="762"/>
      <c r="L917" s="132"/>
    </row>
    <row r="918" ht="16.2" hidden="1" customHeight="1" spans="2:12">
      <c r="B918" s="739"/>
      <c r="C918" s="765"/>
      <c r="D918" s="781" t="s">
        <v>114</v>
      </c>
      <c r="E918" s="743" t="s">
        <v>49</v>
      </c>
      <c r="F918" s="742" t="s">
        <v>290</v>
      </c>
      <c r="G918" s="743"/>
      <c r="H918" s="762"/>
      <c r="I918" s="768">
        <v>0</v>
      </c>
      <c r="J918" s="764" t="s">
        <v>130</v>
      </c>
      <c r="K918" s="762"/>
      <c r="L918" s="132"/>
    </row>
    <row r="919" ht="16.2" hidden="1" customHeight="1" spans="2:12">
      <c r="B919" s="739"/>
      <c r="C919" s="765"/>
      <c r="D919" s="781" t="s">
        <v>115</v>
      </c>
      <c r="E919" s="743" t="s">
        <v>49</v>
      </c>
      <c r="F919" s="742" t="s">
        <v>290</v>
      </c>
      <c r="G919" s="743"/>
      <c r="H919" s="762"/>
      <c r="I919" s="768">
        <v>0</v>
      </c>
      <c r="J919" s="764" t="s">
        <v>130</v>
      </c>
      <c r="K919" s="762"/>
      <c r="L919" s="132"/>
    </row>
    <row r="920" ht="16.2" hidden="1" customHeight="1" spans="2:12">
      <c r="B920" s="739"/>
      <c r="C920" s="765"/>
      <c r="D920" s="781" t="s">
        <v>116</v>
      </c>
      <c r="E920" s="743" t="s">
        <v>49</v>
      </c>
      <c r="F920" s="742" t="s">
        <v>290</v>
      </c>
      <c r="G920" s="743"/>
      <c r="H920" s="762"/>
      <c r="I920" s="768">
        <v>0</v>
      </c>
      <c r="J920" s="764" t="s">
        <v>130</v>
      </c>
      <c r="K920" s="762"/>
      <c r="L920" s="132"/>
    </row>
    <row r="921" ht="16.2" hidden="1" customHeight="1" spans="2:12">
      <c r="B921" s="739"/>
      <c r="C921" s="765"/>
      <c r="D921" s="781" t="s">
        <v>117</v>
      </c>
      <c r="E921" s="743" t="s">
        <v>49</v>
      </c>
      <c r="F921" s="742" t="s">
        <v>290</v>
      </c>
      <c r="G921" s="743"/>
      <c r="H921" s="762"/>
      <c r="I921" s="768">
        <v>0</v>
      </c>
      <c r="J921" s="764" t="s">
        <v>130</v>
      </c>
      <c r="K921" s="762"/>
      <c r="L921" s="132"/>
    </row>
    <row r="922" ht="16.2" hidden="1" customHeight="1" spans="2:12">
      <c r="B922" s="739"/>
      <c r="C922" s="765"/>
      <c r="D922" s="781" t="s">
        <v>118</v>
      </c>
      <c r="E922" s="743" t="s">
        <v>49</v>
      </c>
      <c r="F922" s="742" t="s">
        <v>290</v>
      </c>
      <c r="G922" s="743"/>
      <c r="H922" s="762"/>
      <c r="I922" s="768">
        <v>0</v>
      </c>
      <c r="J922" s="764" t="s">
        <v>130</v>
      </c>
      <c r="K922" s="762"/>
      <c r="L922" s="132"/>
    </row>
    <row r="923" ht="16.2" hidden="1" customHeight="1" spans="2:12">
      <c r="B923" s="739"/>
      <c r="C923" s="765"/>
      <c r="D923" s="781" t="s">
        <v>119</v>
      </c>
      <c r="E923" s="743" t="s">
        <v>49</v>
      </c>
      <c r="F923" s="742" t="s">
        <v>290</v>
      </c>
      <c r="G923" s="743"/>
      <c r="H923" s="762"/>
      <c r="I923" s="768">
        <v>0</v>
      </c>
      <c r="J923" s="764" t="s">
        <v>130</v>
      </c>
      <c r="K923" s="762"/>
      <c r="L923" s="132"/>
    </row>
    <row r="924" ht="16.2" hidden="1" customHeight="1" spans="2:12">
      <c r="B924" s="739"/>
      <c r="C924" s="765"/>
      <c r="D924" s="781" t="s">
        <v>120</v>
      </c>
      <c r="E924" s="743" t="s">
        <v>49</v>
      </c>
      <c r="F924" s="742" t="s">
        <v>290</v>
      </c>
      <c r="G924" s="743"/>
      <c r="H924" s="762"/>
      <c r="I924" s="768">
        <v>0</v>
      </c>
      <c r="J924" s="764" t="s">
        <v>130</v>
      </c>
      <c r="K924" s="762"/>
      <c r="L924" s="132"/>
    </row>
    <row r="925" ht="16.2" hidden="1" customHeight="1" spans="2:12">
      <c r="B925" s="739"/>
      <c r="C925" s="765"/>
      <c r="D925" s="781" t="s">
        <v>121</v>
      </c>
      <c r="E925" s="743" t="s">
        <v>49</v>
      </c>
      <c r="F925" s="742" t="s">
        <v>290</v>
      </c>
      <c r="G925" s="743"/>
      <c r="H925" s="762"/>
      <c r="I925" s="768">
        <v>0</v>
      </c>
      <c r="J925" s="764" t="s">
        <v>130</v>
      </c>
      <c r="K925" s="762"/>
      <c r="L925" s="132"/>
    </row>
    <row r="926" ht="18.45" customHeight="1" spans="2:12">
      <c r="B926" s="739"/>
      <c r="C926" s="765"/>
      <c r="D926" s="54" t="s">
        <v>369</v>
      </c>
      <c r="E926" s="743"/>
      <c r="F926" s="742"/>
      <c r="G926" s="743"/>
      <c r="H926" s="762"/>
      <c r="I926" s="768">
        <v>10</v>
      </c>
      <c r="J926" s="764" t="s">
        <v>130</v>
      </c>
      <c r="K926" s="762"/>
      <c r="L926" s="132"/>
    </row>
    <row r="927" ht="18.45" hidden="1" customHeight="1" spans="2:12">
      <c r="B927" s="739"/>
      <c r="C927" s="765"/>
      <c r="D927" s="781" t="s">
        <v>74</v>
      </c>
      <c r="E927" s="743" t="s">
        <v>49</v>
      </c>
      <c r="F927" s="742" t="s">
        <v>290</v>
      </c>
      <c r="G927" s="743"/>
      <c r="H927" s="762"/>
      <c r="I927" s="768">
        <v>0</v>
      </c>
      <c r="J927" s="764" t="s">
        <v>130</v>
      </c>
      <c r="K927" s="762"/>
      <c r="L927" s="132"/>
    </row>
    <row r="928" ht="18.45" hidden="1" customHeight="1" spans="2:12">
      <c r="B928" s="739"/>
      <c r="C928" s="765"/>
      <c r="D928" s="781" t="s">
        <v>75</v>
      </c>
      <c r="E928" s="743" t="s">
        <v>49</v>
      </c>
      <c r="F928" s="742" t="s">
        <v>290</v>
      </c>
      <c r="G928" s="743"/>
      <c r="H928" s="762"/>
      <c r="I928" s="768">
        <v>0</v>
      </c>
      <c r="J928" s="764" t="s">
        <v>130</v>
      </c>
      <c r="K928" s="762"/>
      <c r="L928" s="132"/>
    </row>
    <row r="929" ht="18.45" hidden="1" customHeight="1" spans="2:12">
      <c r="B929" s="739"/>
      <c r="C929" s="765"/>
      <c r="D929" s="781" t="s">
        <v>76</v>
      </c>
      <c r="E929" s="743" t="s">
        <v>49</v>
      </c>
      <c r="F929" s="742" t="s">
        <v>290</v>
      </c>
      <c r="G929" s="743"/>
      <c r="H929" s="762"/>
      <c r="I929" s="768">
        <v>0</v>
      </c>
      <c r="J929" s="764" t="s">
        <v>130</v>
      </c>
      <c r="K929" s="762"/>
      <c r="L929" s="132"/>
    </row>
    <row r="930" ht="18.45" hidden="1" customHeight="1" spans="2:12">
      <c r="B930" s="739"/>
      <c r="C930" s="765"/>
      <c r="D930" s="781" t="s">
        <v>77</v>
      </c>
      <c r="E930" s="743" t="s">
        <v>49</v>
      </c>
      <c r="F930" s="742" t="s">
        <v>290</v>
      </c>
      <c r="G930" s="743"/>
      <c r="H930" s="762"/>
      <c r="I930" s="768">
        <v>0</v>
      </c>
      <c r="J930" s="764" t="s">
        <v>130</v>
      </c>
      <c r="K930" s="762"/>
      <c r="L930" s="132"/>
    </row>
    <row r="931" ht="18.45" hidden="1" customHeight="1" spans="2:12">
      <c r="B931" s="739"/>
      <c r="C931" s="765"/>
      <c r="D931" s="781" t="s">
        <v>78</v>
      </c>
      <c r="E931" s="743" t="s">
        <v>49</v>
      </c>
      <c r="F931" s="742" t="s">
        <v>290</v>
      </c>
      <c r="G931" s="743"/>
      <c r="H931" s="762"/>
      <c r="I931" s="768">
        <v>0</v>
      </c>
      <c r="J931" s="764" t="s">
        <v>130</v>
      </c>
      <c r="K931" s="762"/>
      <c r="L931" s="132"/>
    </row>
    <row r="932" ht="18.45" hidden="1" customHeight="1" spans="2:12">
      <c r="B932" s="739"/>
      <c r="C932" s="765"/>
      <c r="D932" s="781" t="s">
        <v>79</v>
      </c>
      <c r="E932" s="743" t="s">
        <v>49</v>
      </c>
      <c r="F932" s="742" t="s">
        <v>290</v>
      </c>
      <c r="G932" s="743"/>
      <c r="H932" s="762"/>
      <c r="I932" s="768">
        <v>0</v>
      </c>
      <c r="J932" s="764" t="s">
        <v>130</v>
      </c>
      <c r="K932" s="762"/>
      <c r="L932" s="132"/>
    </row>
    <row r="933" ht="18.45" hidden="1" customHeight="1" spans="2:12">
      <c r="B933" s="739"/>
      <c r="C933" s="765"/>
      <c r="D933" s="781" t="s">
        <v>80</v>
      </c>
      <c r="E933" s="743" t="s">
        <v>49</v>
      </c>
      <c r="F933" s="742" t="s">
        <v>290</v>
      </c>
      <c r="G933" s="743"/>
      <c r="H933" s="762"/>
      <c r="I933" s="768">
        <v>0</v>
      </c>
      <c r="J933" s="764" t="s">
        <v>130</v>
      </c>
      <c r="K933" s="762"/>
      <c r="L933" s="132"/>
    </row>
    <row r="934" ht="18.45" hidden="1" customHeight="1" spans="2:12">
      <c r="B934" s="739"/>
      <c r="C934" s="765"/>
      <c r="D934" s="781" t="s">
        <v>81</v>
      </c>
      <c r="E934" s="743" t="s">
        <v>49</v>
      </c>
      <c r="F934" s="742" t="s">
        <v>290</v>
      </c>
      <c r="G934" s="743"/>
      <c r="H934" s="762"/>
      <c r="I934" s="768">
        <v>0</v>
      </c>
      <c r="J934" s="764" t="s">
        <v>130</v>
      </c>
      <c r="K934" s="762"/>
      <c r="L934" s="132"/>
    </row>
    <row r="935" ht="18.45" hidden="1" customHeight="1" spans="2:12">
      <c r="B935" s="739"/>
      <c r="C935" s="765"/>
      <c r="D935" s="781" t="s">
        <v>82</v>
      </c>
      <c r="E935" s="743" t="s">
        <v>49</v>
      </c>
      <c r="F935" s="742" t="s">
        <v>290</v>
      </c>
      <c r="G935" s="743"/>
      <c r="H935" s="762"/>
      <c r="I935" s="768">
        <f>$I$926</f>
        <v>10</v>
      </c>
      <c r="J935" s="764" t="s">
        <v>130</v>
      </c>
      <c r="K935" s="762"/>
      <c r="L935" s="132"/>
    </row>
    <row r="936" ht="18.45" hidden="1" customHeight="1" spans="2:12">
      <c r="B936" s="739"/>
      <c r="C936" s="765"/>
      <c r="D936" s="781" t="s">
        <v>83</v>
      </c>
      <c r="E936" s="743" t="s">
        <v>49</v>
      </c>
      <c r="F936" s="742" t="s">
        <v>290</v>
      </c>
      <c r="G936" s="743"/>
      <c r="H936" s="762"/>
      <c r="I936" s="768">
        <f t="shared" ref="I936:I945" si="8">$I$926</f>
        <v>10</v>
      </c>
      <c r="J936" s="764" t="s">
        <v>130</v>
      </c>
      <c r="K936" s="762"/>
      <c r="L936" s="132"/>
    </row>
    <row r="937" ht="18.45" hidden="1" customHeight="1" spans="2:12">
      <c r="B937" s="739"/>
      <c r="C937" s="765"/>
      <c r="D937" s="781" t="s">
        <v>84</v>
      </c>
      <c r="E937" s="743" t="s">
        <v>49</v>
      </c>
      <c r="F937" s="742" t="s">
        <v>290</v>
      </c>
      <c r="G937" s="743"/>
      <c r="H937" s="762"/>
      <c r="I937" s="768">
        <f t="shared" si="8"/>
        <v>10</v>
      </c>
      <c r="J937" s="764" t="s">
        <v>130</v>
      </c>
      <c r="K937" s="762"/>
      <c r="L937" s="132"/>
    </row>
    <row r="938" ht="18.45" hidden="1" customHeight="1" spans="2:12">
      <c r="B938" s="739"/>
      <c r="C938" s="765"/>
      <c r="D938" s="781" t="s">
        <v>85</v>
      </c>
      <c r="E938" s="743" t="s">
        <v>49</v>
      </c>
      <c r="F938" s="742" t="s">
        <v>290</v>
      </c>
      <c r="G938" s="743"/>
      <c r="H938" s="762"/>
      <c r="I938" s="768">
        <f t="shared" si="8"/>
        <v>10</v>
      </c>
      <c r="J938" s="764" t="s">
        <v>130</v>
      </c>
      <c r="K938" s="762"/>
      <c r="L938" s="132"/>
    </row>
    <row r="939" ht="18.45" hidden="1" customHeight="1" spans="2:12">
      <c r="B939" s="739"/>
      <c r="C939" s="765"/>
      <c r="D939" s="781" t="s">
        <v>86</v>
      </c>
      <c r="E939" s="743" t="s">
        <v>49</v>
      </c>
      <c r="F939" s="742" t="s">
        <v>290</v>
      </c>
      <c r="G939" s="743"/>
      <c r="H939" s="762"/>
      <c r="I939" s="768">
        <f t="shared" si="8"/>
        <v>10</v>
      </c>
      <c r="J939" s="764" t="s">
        <v>130</v>
      </c>
      <c r="K939" s="762"/>
      <c r="L939" s="132"/>
    </row>
    <row r="940" ht="18.45" hidden="1" customHeight="1" spans="2:12">
      <c r="B940" s="739"/>
      <c r="C940" s="765"/>
      <c r="D940" s="781" t="s">
        <v>87</v>
      </c>
      <c r="E940" s="743" t="s">
        <v>49</v>
      </c>
      <c r="F940" s="742" t="s">
        <v>290</v>
      </c>
      <c r="G940" s="743"/>
      <c r="H940" s="762"/>
      <c r="I940" s="768">
        <f t="shared" si="8"/>
        <v>10</v>
      </c>
      <c r="J940" s="764" t="s">
        <v>130</v>
      </c>
      <c r="K940" s="762"/>
      <c r="L940" s="132"/>
    </row>
    <row r="941" ht="18.45" hidden="1" customHeight="1" spans="2:12">
      <c r="B941" s="739"/>
      <c r="C941" s="765"/>
      <c r="D941" s="781" t="s">
        <v>88</v>
      </c>
      <c r="E941" s="743" t="s">
        <v>49</v>
      </c>
      <c r="F941" s="742" t="s">
        <v>290</v>
      </c>
      <c r="G941" s="743"/>
      <c r="H941" s="762"/>
      <c r="I941" s="768">
        <f t="shared" si="8"/>
        <v>10</v>
      </c>
      <c r="J941" s="764" t="s">
        <v>130</v>
      </c>
      <c r="K941" s="762"/>
      <c r="L941" s="132"/>
    </row>
    <row r="942" ht="18.45" hidden="1" customHeight="1" spans="2:12">
      <c r="B942" s="739"/>
      <c r="C942" s="765"/>
      <c r="D942" s="781" t="s">
        <v>89</v>
      </c>
      <c r="E942" s="743" t="s">
        <v>49</v>
      </c>
      <c r="F942" s="742" t="s">
        <v>290</v>
      </c>
      <c r="G942" s="743"/>
      <c r="H942" s="762"/>
      <c r="I942" s="768">
        <f t="shared" si="8"/>
        <v>10</v>
      </c>
      <c r="J942" s="764" t="s">
        <v>130</v>
      </c>
      <c r="K942" s="762"/>
      <c r="L942" s="132"/>
    </row>
    <row r="943" ht="18.45" hidden="1" customHeight="1" spans="2:12">
      <c r="B943" s="739"/>
      <c r="C943" s="765"/>
      <c r="D943" s="781" t="s">
        <v>90</v>
      </c>
      <c r="E943" s="743" t="s">
        <v>49</v>
      </c>
      <c r="F943" s="742" t="s">
        <v>290</v>
      </c>
      <c r="G943" s="743"/>
      <c r="H943" s="762"/>
      <c r="I943" s="768">
        <f t="shared" si="8"/>
        <v>10</v>
      </c>
      <c r="J943" s="764" t="s">
        <v>130</v>
      </c>
      <c r="K943" s="762"/>
      <c r="L943" s="132"/>
    </row>
    <row r="944" ht="18.45" hidden="1" customHeight="1" spans="2:12">
      <c r="B944" s="739"/>
      <c r="C944" s="765"/>
      <c r="D944" s="781" t="s">
        <v>91</v>
      </c>
      <c r="E944" s="743" t="s">
        <v>49</v>
      </c>
      <c r="F944" s="742" t="s">
        <v>290</v>
      </c>
      <c r="G944" s="743"/>
      <c r="H944" s="762"/>
      <c r="I944" s="768">
        <f t="shared" si="8"/>
        <v>10</v>
      </c>
      <c r="J944" s="764" t="s">
        <v>130</v>
      </c>
      <c r="K944" s="762"/>
      <c r="L944" s="132"/>
    </row>
    <row r="945" ht="18.45" hidden="1" customHeight="1" spans="2:12">
      <c r="B945" s="739"/>
      <c r="C945" s="765"/>
      <c r="D945" s="781" t="s">
        <v>92</v>
      </c>
      <c r="E945" s="743" t="s">
        <v>49</v>
      </c>
      <c r="F945" s="742" t="s">
        <v>290</v>
      </c>
      <c r="G945" s="743"/>
      <c r="H945" s="762"/>
      <c r="I945" s="768">
        <f t="shared" si="8"/>
        <v>10</v>
      </c>
      <c r="J945" s="764" t="s">
        <v>130</v>
      </c>
      <c r="K945" s="762"/>
      <c r="L945" s="132"/>
    </row>
    <row r="946" ht="18.45" hidden="1" customHeight="1" spans="2:12">
      <c r="B946" s="739"/>
      <c r="C946" s="765"/>
      <c r="D946" s="781" t="s">
        <v>93</v>
      </c>
      <c r="E946" s="743" t="s">
        <v>49</v>
      </c>
      <c r="F946" s="742" t="s">
        <v>290</v>
      </c>
      <c r="G946" s="743"/>
      <c r="H946" s="762"/>
      <c r="I946" s="768">
        <f t="shared" ref="I946:I955" si="9">$I$926</f>
        <v>10</v>
      </c>
      <c r="J946" s="764" t="s">
        <v>130</v>
      </c>
      <c r="K946" s="762"/>
      <c r="L946" s="132"/>
    </row>
    <row r="947" ht="18.45" hidden="1" customHeight="1" spans="2:12">
      <c r="B947" s="739"/>
      <c r="C947" s="765"/>
      <c r="D947" s="781" t="s">
        <v>94</v>
      </c>
      <c r="E947" s="743" t="s">
        <v>49</v>
      </c>
      <c r="F947" s="742" t="s">
        <v>290</v>
      </c>
      <c r="G947" s="743"/>
      <c r="H947" s="762"/>
      <c r="I947" s="768">
        <f t="shared" si="9"/>
        <v>10</v>
      </c>
      <c r="J947" s="764" t="s">
        <v>130</v>
      </c>
      <c r="K947" s="762"/>
      <c r="L947" s="132"/>
    </row>
    <row r="948" ht="18.45" hidden="1" customHeight="1" spans="2:12">
      <c r="B948" s="739"/>
      <c r="C948" s="765"/>
      <c r="D948" s="781" t="s">
        <v>95</v>
      </c>
      <c r="E948" s="743" t="s">
        <v>49</v>
      </c>
      <c r="F948" s="742" t="s">
        <v>290</v>
      </c>
      <c r="G948" s="743"/>
      <c r="H948" s="762"/>
      <c r="I948" s="768">
        <f t="shared" si="9"/>
        <v>10</v>
      </c>
      <c r="J948" s="764" t="s">
        <v>130</v>
      </c>
      <c r="K948" s="762"/>
      <c r="L948" s="132"/>
    </row>
    <row r="949" ht="18.45" hidden="1" customHeight="1" spans="2:12">
      <c r="B949" s="739"/>
      <c r="C949" s="765"/>
      <c r="D949" s="781" t="s">
        <v>96</v>
      </c>
      <c r="E949" s="743" t="s">
        <v>49</v>
      </c>
      <c r="F949" s="742" t="s">
        <v>290</v>
      </c>
      <c r="G949" s="743"/>
      <c r="H949" s="762"/>
      <c r="I949" s="768">
        <f t="shared" si="9"/>
        <v>10</v>
      </c>
      <c r="J949" s="764" t="s">
        <v>130</v>
      </c>
      <c r="K949" s="762"/>
      <c r="L949" s="132"/>
    </row>
    <row r="950" ht="18.45" hidden="1" customHeight="1" spans="2:12">
      <c r="B950" s="739"/>
      <c r="C950" s="765"/>
      <c r="D950" s="781" t="s">
        <v>97</v>
      </c>
      <c r="E950" s="743" t="s">
        <v>49</v>
      </c>
      <c r="F950" s="742" t="s">
        <v>290</v>
      </c>
      <c r="G950" s="743"/>
      <c r="H950" s="762"/>
      <c r="I950" s="768">
        <f t="shared" si="9"/>
        <v>10</v>
      </c>
      <c r="J950" s="764" t="s">
        <v>130</v>
      </c>
      <c r="K950" s="762"/>
      <c r="L950" s="132"/>
    </row>
    <row r="951" ht="18.45" hidden="1" customHeight="1" spans="2:12">
      <c r="B951" s="739"/>
      <c r="C951" s="765"/>
      <c r="D951" s="781" t="s">
        <v>98</v>
      </c>
      <c r="E951" s="743" t="s">
        <v>49</v>
      </c>
      <c r="F951" s="742" t="s">
        <v>290</v>
      </c>
      <c r="G951" s="743"/>
      <c r="H951" s="762"/>
      <c r="I951" s="768">
        <f t="shared" si="9"/>
        <v>10</v>
      </c>
      <c r="J951" s="764" t="s">
        <v>130</v>
      </c>
      <c r="K951" s="762"/>
      <c r="L951" s="132"/>
    </row>
    <row r="952" ht="18.45" hidden="1" customHeight="1" spans="2:12">
      <c r="B952" s="739"/>
      <c r="C952" s="765"/>
      <c r="D952" s="781" t="s">
        <v>99</v>
      </c>
      <c r="E952" s="743" t="s">
        <v>49</v>
      </c>
      <c r="F952" s="742" t="s">
        <v>290</v>
      </c>
      <c r="G952" s="743"/>
      <c r="H952" s="762"/>
      <c r="I952" s="768">
        <f t="shared" si="9"/>
        <v>10</v>
      </c>
      <c r="J952" s="764" t="s">
        <v>130</v>
      </c>
      <c r="K952" s="762"/>
      <c r="L952" s="132"/>
    </row>
    <row r="953" ht="18.45" hidden="1" customHeight="1" spans="2:12">
      <c r="B953" s="739"/>
      <c r="C953" s="765"/>
      <c r="D953" s="781" t="s">
        <v>100</v>
      </c>
      <c r="E953" s="743" t="s">
        <v>49</v>
      </c>
      <c r="F953" s="742" t="s">
        <v>290</v>
      </c>
      <c r="G953" s="743"/>
      <c r="H953" s="762"/>
      <c r="I953" s="768">
        <f t="shared" si="9"/>
        <v>10</v>
      </c>
      <c r="J953" s="764" t="s">
        <v>130</v>
      </c>
      <c r="K953" s="762"/>
      <c r="L953" s="132"/>
    </row>
    <row r="954" ht="18.45" hidden="1" customHeight="1" spans="2:12">
      <c r="B954" s="739"/>
      <c r="C954" s="765"/>
      <c r="D954" s="781" t="s">
        <v>101</v>
      </c>
      <c r="E954" s="743" t="s">
        <v>49</v>
      </c>
      <c r="F954" s="742" t="s">
        <v>290</v>
      </c>
      <c r="G954" s="743"/>
      <c r="H954" s="762"/>
      <c r="I954" s="768">
        <f t="shared" si="9"/>
        <v>10</v>
      </c>
      <c r="J954" s="764" t="s">
        <v>130</v>
      </c>
      <c r="K954" s="762"/>
      <c r="L954" s="132"/>
    </row>
    <row r="955" ht="18.45" hidden="1" customHeight="1" spans="2:12">
      <c r="B955" s="739"/>
      <c r="C955" s="765"/>
      <c r="D955" s="781" t="s">
        <v>102</v>
      </c>
      <c r="E955" s="743" t="s">
        <v>49</v>
      </c>
      <c r="F955" s="742" t="s">
        <v>290</v>
      </c>
      <c r="G955" s="743"/>
      <c r="H955" s="762"/>
      <c r="I955" s="768">
        <f t="shared" si="9"/>
        <v>10</v>
      </c>
      <c r="J955" s="764" t="s">
        <v>130</v>
      </c>
      <c r="K955" s="762"/>
      <c r="L955" s="132"/>
    </row>
    <row r="956" ht="18.45" hidden="1" customHeight="1" spans="2:12">
      <c r="B956" s="739"/>
      <c r="C956" s="765"/>
      <c r="D956" s="781" t="s">
        <v>103</v>
      </c>
      <c r="E956" s="743" t="s">
        <v>49</v>
      </c>
      <c r="F956" s="742" t="s">
        <v>290</v>
      </c>
      <c r="G956" s="743"/>
      <c r="H956" s="762"/>
      <c r="I956" s="768">
        <f t="shared" ref="I956:I965" si="10">$I$926</f>
        <v>10</v>
      </c>
      <c r="J956" s="764" t="s">
        <v>130</v>
      </c>
      <c r="K956" s="762"/>
      <c r="L956" s="132"/>
    </row>
    <row r="957" ht="18.45" hidden="1" customHeight="1" spans="2:12">
      <c r="B957" s="739"/>
      <c r="C957" s="765"/>
      <c r="D957" s="781" t="s">
        <v>104</v>
      </c>
      <c r="E957" s="743" t="s">
        <v>49</v>
      </c>
      <c r="F957" s="742" t="s">
        <v>290</v>
      </c>
      <c r="G957" s="743"/>
      <c r="H957" s="762"/>
      <c r="I957" s="768">
        <f t="shared" si="10"/>
        <v>10</v>
      </c>
      <c r="J957" s="764" t="s">
        <v>130</v>
      </c>
      <c r="K957" s="762"/>
      <c r="L957" s="132"/>
    </row>
    <row r="958" ht="18.45" hidden="1" customHeight="1" spans="2:12">
      <c r="B958" s="739"/>
      <c r="C958" s="765"/>
      <c r="D958" s="781" t="s">
        <v>105</v>
      </c>
      <c r="E958" s="743" t="s">
        <v>49</v>
      </c>
      <c r="F958" s="742" t="s">
        <v>290</v>
      </c>
      <c r="G958" s="743"/>
      <c r="H958" s="762"/>
      <c r="I958" s="768">
        <f t="shared" si="10"/>
        <v>10</v>
      </c>
      <c r="J958" s="764" t="s">
        <v>130</v>
      </c>
      <c r="K958" s="762"/>
      <c r="L958" s="132"/>
    </row>
    <row r="959" ht="18.45" hidden="1" customHeight="1" spans="2:12">
      <c r="B959" s="739"/>
      <c r="C959" s="765"/>
      <c r="D959" s="781" t="s">
        <v>106</v>
      </c>
      <c r="E959" s="743" t="s">
        <v>49</v>
      </c>
      <c r="F959" s="742" t="s">
        <v>290</v>
      </c>
      <c r="G959" s="743"/>
      <c r="H959" s="762"/>
      <c r="I959" s="768">
        <f t="shared" si="10"/>
        <v>10</v>
      </c>
      <c r="J959" s="764" t="s">
        <v>130</v>
      </c>
      <c r="K959" s="762"/>
      <c r="L959" s="132"/>
    </row>
    <row r="960" ht="18.45" hidden="1" customHeight="1" spans="2:12">
      <c r="B960" s="739"/>
      <c r="C960" s="765"/>
      <c r="D960" s="781" t="s">
        <v>107</v>
      </c>
      <c r="E960" s="743" t="s">
        <v>49</v>
      </c>
      <c r="F960" s="742" t="s">
        <v>290</v>
      </c>
      <c r="G960" s="743"/>
      <c r="H960" s="762"/>
      <c r="I960" s="768">
        <f t="shared" si="10"/>
        <v>10</v>
      </c>
      <c r="J960" s="764" t="s">
        <v>130</v>
      </c>
      <c r="K960" s="762"/>
      <c r="L960" s="132"/>
    </row>
    <row r="961" ht="18.45" hidden="1" customHeight="1" spans="2:12">
      <c r="B961" s="739"/>
      <c r="C961" s="765"/>
      <c r="D961" s="781" t="s">
        <v>108</v>
      </c>
      <c r="E961" s="743" t="s">
        <v>49</v>
      </c>
      <c r="F961" s="742" t="s">
        <v>290</v>
      </c>
      <c r="G961" s="743"/>
      <c r="H961" s="762"/>
      <c r="I961" s="768">
        <f t="shared" si="10"/>
        <v>10</v>
      </c>
      <c r="J961" s="764" t="s">
        <v>130</v>
      </c>
      <c r="K961" s="762"/>
      <c r="L961" s="132"/>
    </row>
    <row r="962" ht="18.45" hidden="1" customHeight="1" spans="2:12">
      <c r="B962" s="739"/>
      <c r="C962" s="765"/>
      <c r="D962" s="781" t="s">
        <v>109</v>
      </c>
      <c r="E962" s="743" t="s">
        <v>49</v>
      </c>
      <c r="F962" s="742" t="s">
        <v>290</v>
      </c>
      <c r="G962" s="743"/>
      <c r="H962" s="762"/>
      <c r="I962" s="768">
        <f t="shared" si="10"/>
        <v>10</v>
      </c>
      <c r="J962" s="764" t="s">
        <v>130</v>
      </c>
      <c r="K962" s="762"/>
      <c r="L962" s="132"/>
    </row>
    <row r="963" ht="18.45" hidden="1" customHeight="1" spans="2:12">
      <c r="B963" s="739"/>
      <c r="C963" s="765"/>
      <c r="D963" s="781" t="s">
        <v>110</v>
      </c>
      <c r="E963" s="743" t="s">
        <v>49</v>
      </c>
      <c r="F963" s="742" t="s">
        <v>290</v>
      </c>
      <c r="G963" s="743"/>
      <c r="H963" s="762"/>
      <c r="I963" s="768">
        <f t="shared" si="10"/>
        <v>10</v>
      </c>
      <c r="J963" s="764" t="s">
        <v>130</v>
      </c>
      <c r="K963" s="762"/>
      <c r="L963" s="132"/>
    </row>
    <row r="964" ht="18.45" hidden="1" customHeight="1" spans="2:12">
      <c r="B964" s="739"/>
      <c r="C964" s="765"/>
      <c r="D964" s="781" t="s">
        <v>111</v>
      </c>
      <c r="E964" s="743" t="s">
        <v>49</v>
      </c>
      <c r="F964" s="742" t="s">
        <v>290</v>
      </c>
      <c r="G964" s="743"/>
      <c r="H964" s="762"/>
      <c r="I964" s="768">
        <f t="shared" si="10"/>
        <v>10</v>
      </c>
      <c r="J964" s="764" t="s">
        <v>130</v>
      </c>
      <c r="K964" s="762"/>
      <c r="L964" s="132"/>
    </row>
    <row r="965" ht="18.45" hidden="1" customHeight="1" spans="2:12">
      <c r="B965" s="739"/>
      <c r="C965" s="765"/>
      <c r="D965" s="781" t="s">
        <v>112</v>
      </c>
      <c r="E965" s="743" t="s">
        <v>49</v>
      </c>
      <c r="F965" s="742" t="s">
        <v>290</v>
      </c>
      <c r="G965" s="743"/>
      <c r="H965" s="762"/>
      <c r="I965" s="768">
        <f t="shared" si="10"/>
        <v>10</v>
      </c>
      <c r="J965" s="764" t="s">
        <v>130</v>
      </c>
      <c r="K965" s="762"/>
      <c r="L965" s="132"/>
    </row>
    <row r="966" ht="18.45" hidden="1" customHeight="1" spans="2:12">
      <c r="B966" s="739"/>
      <c r="C966" s="765"/>
      <c r="D966" s="781" t="s">
        <v>113</v>
      </c>
      <c r="E966" s="743" t="s">
        <v>49</v>
      </c>
      <c r="F966" s="742" t="s">
        <v>290</v>
      </c>
      <c r="G966" s="743"/>
      <c r="H966" s="762"/>
      <c r="I966" s="768">
        <f t="shared" ref="I966:I974" si="11">$I$926</f>
        <v>10</v>
      </c>
      <c r="J966" s="764" t="s">
        <v>130</v>
      </c>
      <c r="K966" s="762"/>
      <c r="L966" s="132"/>
    </row>
    <row r="967" ht="18.45" hidden="1" customHeight="1" spans="2:12">
      <c r="B967" s="739"/>
      <c r="C967" s="765"/>
      <c r="D967" s="781" t="s">
        <v>114</v>
      </c>
      <c r="E967" s="743" t="s">
        <v>49</v>
      </c>
      <c r="F967" s="742" t="s">
        <v>290</v>
      </c>
      <c r="G967" s="743"/>
      <c r="H967" s="762"/>
      <c r="I967" s="768">
        <f t="shared" si="11"/>
        <v>10</v>
      </c>
      <c r="J967" s="764" t="s">
        <v>130</v>
      </c>
      <c r="K967" s="762"/>
      <c r="L967" s="132"/>
    </row>
    <row r="968" ht="18.45" hidden="1" customHeight="1" spans="2:12">
      <c r="B968" s="739"/>
      <c r="C968" s="765"/>
      <c r="D968" s="781" t="s">
        <v>115</v>
      </c>
      <c r="E968" s="743" t="s">
        <v>49</v>
      </c>
      <c r="F968" s="742" t="s">
        <v>290</v>
      </c>
      <c r="G968" s="743"/>
      <c r="H968" s="762"/>
      <c r="I968" s="768">
        <f t="shared" si="11"/>
        <v>10</v>
      </c>
      <c r="J968" s="764" t="s">
        <v>130</v>
      </c>
      <c r="K968" s="762"/>
      <c r="L968" s="132"/>
    </row>
    <row r="969" ht="18.45" hidden="1" customHeight="1" spans="2:12">
      <c r="B969" s="739"/>
      <c r="C969" s="765"/>
      <c r="D969" s="781" t="s">
        <v>116</v>
      </c>
      <c r="E969" s="743" t="s">
        <v>49</v>
      </c>
      <c r="F969" s="742" t="s">
        <v>290</v>
      </c>
      <c r="G969" s="743"/>
      <c r="H969" s="762"/>
      <c r="I969" s="768">
        <f t="shared" si="11"/>
        <v>10</v>
      </c>
      <c r="J969" s="764" t="s">
        <v>130</v>
      </c>
      <c r="K969" s="762"/>
      <c r="L969" s="132"/>
    </row>
    <row r="970" ht="18.45" hidden="1" customHeight="1" spans="2:12">
      <c r="B970" s="739"/>
      <c r="C970" s="765"/>
      <c r="D970" s="781" t="s">
        <v>117</v>
      </c>
      <c r="E970" s="743" t="s">
        <v>49</v>
      </c>
      <c r="F970" s="742" t="s">
        <v>290</v>
      </c>
      <c r="G970" s="743"/>
      <c r="H970" s="762"/>
      <c r="I970" s="768">
        <f t="shared" si="11"/>
        <v>10</v>
      </c>
      <c r="J970" s="764" t="s">
        <v>130</v>
      </c>
      <c r="K970" s="762"/>
      <c r="L970" s="132"/>
    </row>
    <row r="971" ht="18.45" hidden="1" customHeight="1" spans="2:12">
      <c r="B971" s="739"/>
      <c r="C971" s="765"/>
      <c r="D971" s="781" t="s">
        <v>118</v>
      </c>
      <c r="E971" s="743" t="s">
        <v>49</v>
      </c>
      <c r="F971" s="742" t="s">
        <v>290</v>
      </c>
      <c r="G971" s="743"/>
      <c r="H971" s="762"/>
      <c r="I971" s="768">
        <f t="shared" si="11"/>
        <v>10</v>
      </c>
      <c r="J971" s="764" t="s">
        <v>130</v>
      </c>
      <c r="K971" s="762"/>
      <c r="L971" s="132"/>
    </row>
    <row r="972" ht="18.45" hidden="1" customHeight="1" spans="2:12">
      <c r="B972" s="739"/>
      <c r="C972" s="765"/>
      <c r="D972" s="781" t="s">
        <v>119</v>
      </c>
      <c r="E972" s="743" t="s">
        <v>49</v>
      </c>
      <c r="F972" s="742" t="s">
        <v>290</v>
      </c>
      <c r="G972" s="743"/>
      <c r="H972" s="762"/>
      <c r="I972" s="768">
        <f t="shared" si="11"/>
        <v>10</v>
      </c>
      <c r="J972" s="764" t="s">
        <v>130</v>
      </c>
      <c r="K972" s="762"/>
      <c r="L972" s="132"/>
    </row>
    <row r="973" ht="18.45" hidden="1" customHeight="1" spans="2:12">
      <c r="B973" s="739"/>
      <c r="C973" s="765"/>
      <c r="D973" s="781" t="s">
        <v>120</v>
      </c>
      <c r="E973" s="743" t="s">
        <v>49</v>
      </c>
      <c r="F973" s="742" t="s">
        <v>290</v>
      </c>
      <c r="G973" s="743"/>
      <c r="H973" s="762"/>
      <c r="I973" s="768">
        <f t="shared" si="11"/>
        <v>10</v>
      </c>
      <c r="J973" s="764" t="s">
        <v>130</v>
      </c>
      <c r="K973" s="762"/>
      <c r="L973" s="132"/>
    </row>
    <row r="974" ht="18.45" hidden="1" customHeight="1" spans="2:12">
      <c r="B974" s="739"/>
      <c r="C974" s="765"/>
      <c r="D974" s="781" t="s">
        <v>121</v>
      </c>
      <c r="E974" s="743" t="s">
        <v>49</v>
      </c>
      <c r="F974" s="742" t="s">
        <v>290</v>
      </c>
      <c r="G974" s="743"/>
      <c r="H974" s="762"/>
      <c r="I974" s="768">
        <f t="shared" si="11"/>
        <v>10</v>
      </c>
      <c r="J974" s="764" t="s">
        <v>130</v>
      </c>
      <c r="K974" s="762"/>
      <c r="L974" s="132"/>
    </row>
    <row r="975" ht="22.95" customHeight="1" spans="2:12">
      <c r="B975" s="857" t="s">
        <v>370</v>
      </c>
      <c r="C975" s="858">
        <v>1</v>
      </c>
      <c r="D975" s="95" t="s">
        <v>371</v>
      </c>
      <c r="E975" s="743" t="s">
        <v>59</v>
      </c>
      <c r="F975" s="742" t="s">
        <v>310</v>
      </c>
      <c r="G975" s="743"/>
      <c r="H975" s="787" t="s">
        <v>372</v>
      </c>
      <c r="I975" s="768"/>
      <c r="J975" s="38"/>
      <c r="K975" s="132"/>
      <c r="L975" s="132"/>
    </row>
    <row r="976" ht="22.95" customHeight="1" spans="2:12">
      <c r="B976" s="859"/>
      <c r="C976" s="858"/>
      <c r="D976" s="54" t="s">
        <v>373</v>
      </c>
      <c r="E976" s="743" t="s">
        <v>374</v>
      </c>
      <c r="F976" s="742" t="s">
        <v>310</v>
      </c>
      <c r="G976" s="743"/>
      <c r="H976" s="787"/>
      <c r="I976" s="768">
        <v>0</v>
      </c>
      <c r="J976" s="38" t="s">
        <v>31</v>
      </c>
      <c r="K976" s="132" t="s">
        <v>375</v>
      </c>
      <c r="L976" s="132"/>
    </row>
    <row r="977" ht="22.95" customHeight="1" spans="2:12">
      <c r="B977" s="859"/>
      <c r="C977" s="858"/>
      <c r="D977" s="54" t="s">
        <v>376</v>
      </c>
      <c r="E977" s="743" t="s">
        <v>377</v>
      </c>
      <c r="F977" s="742" t="s">
        <v>310</v>
      </c>
      <c r="G977" s="743"/>
      <c r="H977" s="787"/>
      <c r="I977" s="822" t="s">
        <v>378</v>
      </c>
      <c r="J977" s="38" t="s">
        <v>31</v>
      </c>
      <c r="K977" s="132"/>
      <c r="L977" s="132"/>
    </row>
    <row r="978" ht="82.5" spans="2:12">
      <c r="B978" s="859"/>
      <c r="C978" s="858">
        <v>2</v>
      </c>
      <c r="D978" s="795" t="s">
        <v>379</v>
      </c>
      <c r="E978" s="779" t="s">
        <v>380</v>
      </c>
      <c r="F978" s="742" t="s">
        <v>310</v>
      </c>
      <c r="G978" s="779"/>
      <c r="H978" s="787" t="s">
        <v>381</v>
      </c>
      <c r="I978" s="822" t="s">
        <v>382</v>
      </c>
      <c r="J978" s="764"/>
      <c r="K978" s="762" t="s">
        <v>383</v>
      </c>
      <c r="L978" s="132"/>
    </row>
    <row r="979" spans="2:12">
      <c r="B979" s="859"/>
      <c r="C979" s="858"/>
      <c r="D979" s="54" t="s">
        <v>373</v>
      </c>
      <c r="E979" s="743" t="s">
        <v>374</v>
      </c>
      <c r="F979" s="742" t="s">
        <v>310</v>
      </c>
      <c r="G979" s="743"/>
      <c r="H979" s="787" t="s">
        <v>384</v>
      </c>
      <c r="I979" s="822">
        <v>0.25</v>
      </c>
      <c r="J979" s="764" t="s">
        <v>31</v>
      </c>
      <c r="K979" s="762"/>
      <c r="L979" s="132"/>
    </row>
    <row r="980" spans="2:12">
      <c r="B980" s="859"/>
      <c r="C980" s="858"/>
      <c r="D980" s="54" t="s">
        <v>385</v>
      </c>
      <c r="E980" s="743" t="s">
        <v>374</v>
      </c>
      <c r="F980" s="742" t="s">
        <v>310</v>
      </c>
      <c r="G980" s="743"/>
      <c r="H980" s="787" t="s">
        <v>385</v>
      </c>
      <c r="I980" s="822">
        <v>0.25</v>
      </c>
      <c r="J980" s="764" t="s">
        <v>31</v>
      </c>
      <c r="K980" s="762" t="s">
        <v>386</v>
      </c>
      <c r="L980" s="132"/>
    </row>
    <row r="981" spans="2:12">
      <c r="B981" s="859"/>
      <c r="C981" s="858"/>
      <c r="D981" s="54" t="s">
        <v>387</v>
      </c>
      <c r="E981" s="743" t="s">
        <v>374</v>
      </c>
      <c r="F981" s="742" t="s">
        <v>310</v>
      </c>
      <c r="G981" s="743"/>
      <c r="H981" s="787" t="s">
        <v>388</v>
      </c>
      <c r="I981" s="822">
        <v>0.15</v>
      </c>
      <c r="J981" s="764" t="s">
        <v>31</v>
      </c>
      <c r="K981" s="762" t="s">
        <v>389</v>
      </c>
      <c r="L981" s="132"/>
    </row>
    <row r="982" ht="49.5" spans="2:12">
      <c r="B982" s="859"/>
      <c r="C982" s="858">
        <v>3</v>
      </c>
      <c r="D982" s="795" t="s">
        <v>390</v>
      </c>
      <c r="E982" s="743" t="s">
        <v>59</v>
      </c>
      <c r="F982" s="742"/>
      <c r="G982" s="743"/>
      <c r="H982" s="787"/>
      <c r="I982" s="768"/>
      <c r="J982" s="764" t="s">
        <v>31</v>
      </c>
      <c r="K982" s="762" t="s">
        <v>391</v>
      </c>
      <c r="L982" s="132"/>
    </row>
    <row r="983" spans="2:12">
      <c r="B983" s="859"/>
      <c r="C983" s="858"/>
      <c r="D983" s="54" t="s">
        <v>392</v>
      </c>
      <c r="E983" s="743" t="s">
        <v>374</v>
      </c>
      <c r="F983" s="742" t="s">
        <v>335</v>
      </c>
      <c r="G983" s="743"/>
      <c r="H983" s="860">
        <v>0.07</v>
      </c>
      <c r="I983" s="822">
        <v>0.07</v>
      </c>
      <c r="J983" s="764" t="s">
        <v>31</v>
      </c>
      <c r="K983" s="762"/>
      <c r="L983" s="132"/>
    </row>
    <row r="984" spans="2:12">
      <c r="B984" s="859"/>
      <c r="C984" s="858"/>
      <c r="D984" s="54" t="s">
        <v>393</v>
      </c>
      <c r="E984" s="743" t="s">
        <v>374</v>
      </c>
      <c r="F984" s="742" t="s">
        <v>335</v>
      </c>
      <c r="G984" s="743"/>
      <c r="H984" s="860">
        <v>0.05</v>
      </c>
      <c r="I984" s="822">
        <v>0.05</v>
      </c>
      <c r="J984" s="764" t="s">
        <v>31</v>
      </c>
      <c r="K984" s="762"/>
      <c r="L984" s="132"/>
    </row>
    <row r="985" spans="2:12">
      <c r="B985" s="859"/>
      <c r="C985" s="858"/>
      <c r="D985" s="54" t="s">
        <v>394</v>
      </c>
      <c r="E985" s="743" t="s">
        <v>374</v>
      </c>
      <c r="F985" s="742" t="s">
        <v>335</v>
      </c>
      <c r="G985" s="743"/>
      <c r="H985" s="860">
        <v>0.01</v>
      </c>
      <c r="I985" s="822">
        <v>0.01</v>
      </c>
      <c r="J985" s="764" t="s">
        <v>31</v>
      </c>
      <c r="K985" s="762"/>
      <c r="L985" s="132"/>
    </row>
    <row r="986" ht="33" spans="2:12">
      <c r="B986" s="859"/>
      <c r="C986" s="858">
        <v>4</v>
      </c>
      <c r="D986" s="795" t="s">
        <v>395</v>
      </c>
      <c r="E986" s="743" t="s">
        <v>59</v>
      </c>
      <c r="F986" s="742"/>
      <c r="G986" s="743"/>
      <c r="H986" s="787"/>
      <c r="I986" s="768"/>
      <c r="J986" s="764" t="s">
        <v>31</v>
      </c>
      <c r="K986" s="787" t="s">
        <v>396</v>
      </c>
      <c r="L986" s="132"/>
    </row>
    <row r="987" spans="2:12">
      <c r="B987" s="859"/>
      <c r="C987" s="858"/>
      <c r="D987" s="54" t="s">
        <v>397</v>
      </c>
      <c r="E987" s="743" t="s">
        <v>374</v>
      </c>
      <c r="F987" s="742" t="s">
        <v>335</v>
      </c>
      <c r="G987" s="743"/>
      <c r="H987" s="860">
        <v>0.03</v>
      </c>
      <c r="I987" s="822">
        <v>0.03</v>
      </c>
      <c r="J987" s="764" t="s">
        <v>31</v>
      </c>
      <c r="K987" s="132"/>
      <c r="L987" s="132"/>
    </row>
    <row r="988" spans="2:12">
      <c r="B988" s="859"/>
      <c r="C988" s="858"/>
      <c r="D988" s="54" t="s">
        <v>398</v>
      </c>
      <c r="E988" s="743" t="s">
        <v>374</v>
      </c>
      <c r="F988" s="742" t="s">
        <v>335</v>
      </c>
      <c r="G988" s="743"/>
      <c r="H988" s="860">
        <v>0.02</v>
      </c>
      <c r="I988" s="822">
        <v>0.02</v>
      </c>
      <c r="J988" s="764" t="s">
        <v>31</v>
      </c>
      <c r="K988" s="132"/>
      <c r="L988" s="132"/>
    </row>
    <row r="989" spans="2:12">
      <c r="B989" s="859"/>
      <c r="C989" s="858">
        <v>5</v>
      </c>
      <c r="D989" s="795" t="s">
        <v>399</v>
      </c>
      <c r="E989" s="743"/>
      <c r="F989" s="742" t="s">
        <v>243</v>
      </c>
      <c r="G989" s="743"/>
      <c r="H989" s="762"/>
      <c r="I989" s="768"/>
      <c r="J989" s="764"/>
      <c r="K989" s="762"/>
      <c r="L989" s="132"/>
    </row>
    <row r="990" spans="2:12">
      <c r="B990" s="859"/>
      <c r="C990" s="861">
        <v>5.1</v>
      </c>
      <c r="D990" s="54" t="s">
        <v>400</v>
      </c>
      <c r="E990" s="743" t="s">
        <v>49</v>
      </c>
      <c r="F990" s="742" t="s">
        <v>248</v>
      </c>
      <c r="G990" s="743"/>
      <c r="H990" s="762"/>
      <c r="I990" s="768">
        <v>5000</v>
      </c>
      <c r="J990" s="764" t="s">
        <v>401</v>
      </c>
      <c r="K990" s="762"/>
      <c r="L990" s="132"/>
    </row>
    <row r="991" spans="2:12">
      <c r="B991" s="859"/>
      <c r="C991" s="861">
        <v>5.2</v>
      </c>
      <c r="D991" s="54" t="s">
        <v>402</v>
      </c>
      <c r="E991" s="743" t="s">
        <v>49</v>
      </c>
      <c r="F991" s="742" t="s">
        <v>251</v>
      </c>
      <c r="G991" s="743"/>
      <c r="H991" s="762"/>
      <c r="I991" s="768">
        <v>300</v>
      </c>
      <c r="J991" s="764" t="s">
        <v>403</v>
      </c>
      <c r="K991" s="762"/>
      <c r="L991" s="132"/>
    </row>
    <row r="992" s="105" customFormat="1" ht="38" customHeight="1" spans="2:12">
      <c r="B992" s="859"/>
      <c r="C992" s="862">
        <v>6</v>
      </c>
      <c r="D992" s="863" t="s">
        <v>404</v>
      </c>
      <c r="E992" s="743" t="s">
        <v>49</v>
      </c>
      <c r="F992" s="742" t="s">
        <v>290</v>
      </c>
      <c r="G992" s="743"/>
      <c r="H992" s="864" t="s">
        <v>405</v>
      </c>
      <c r="I992" s="766">
        <v>600</v>
      </c>
      <c r="J992" s="743" t="s">
        <v>130</v>
      </c>
      <c r="K992" s="744"/>
      <c r="L992" s="133"/>
    </row>
    <row r="993" s="105" customFormat="1" ht="20.4" customHeight="1" spans="2:12">
      <c r="B993" s="859"/>
      <c r="C993" s="865"/>
      <c r="D993" s="781" t="s">
        <v>74</v>
      </c>
      <c r="E993" s="743" t="s">
        <v>49</v>
      </c>
      <c r="F993" s="742" t="s">
        <v>290</v>
      </c>
      <c r="G993" s="741"/>
      <c r="H993" s="744"/>
      <c r="I993" s="766">
        <v>0</v>
      </c>
      <c r="J993" s="743" t="s">
        <v>130</v>
      </c>
      <c r="K993" s="846"/>
      <c r="L993" s="133"/>
    </row>
    <row r="994" s="105" customFormat="1" ht="20.4" customHeight="1" spans="2:12">
      <c r="B994" s="859"/>
      <c r="C994" s="865"/>
      <c r="D994" s="781" t="s">
        <v>75</v>
      </c>
      <c r="E994" s="743" t="s">
        <v>49</v>
      </c>
      <c r="F994" s="742" t="s">
        <v>290</v>
      </c>
      <c r="G994" s="741"/>
      <c r="H994" s="744"/>
      <c r="I994" s="766">
        <v>0</v>
      </c>
      <c r="J994" s="743" t="s">
        <v>130</v>
      </c>
      <c r="K994" s="846"/>
      <c r="L994" s="133"/>
    </row>
    <row r="995" s="105" customFormat="1" ht="20.4" customHeight="1" spans="2:12">
      <c r="B995" s="859"/>
      <c r="C995" s="865"/>
      <c r="D995" s="781" t="s">
        <v>76</v>
      </c>
      <c r="E995" s="743" t="s">
        <v>49</v>
      </c>
      <c r="F995" s="742" t="s">
        <v>290</v>
      </c>
      <c r="G995" s="741"/>
      <c r="H995" s="744"/>
      <c r="I995" s="766">
        <v>0</v>
      </c>
      <c r="J995" s="743" t="s">
        <v>130</v>
      </c>
      <c r="K995" s="846"/>
      <c r="L995" s="133"/>
    </row>
    <row r="996" s="105" customFormat="1" ht="20.4" customHeight="1" spans="2:12">
      <c r="B996" s="859"/>
      <c r="C996" s="865"/>
      <c r="D996" s="781" t="s">
        <v>77</v>
      </c>
      <c r="E996" s="743" t="s">
        <v>49</v>
      </c>
      <c r="F996" s="742" t="s">
        <v>290</v>
      </c>
      <c r="G996" s="741"/>
      <c r="H996" s="744"/>
      <c r="I996" s="766">
        <v>0</v>
      </c>
      <c r="J996" s="743" t="s">
        <v>130</v>
      </c>
      <c r="K996" s="846"/>
      <c r="L996" s="133"/>
    </row>
    <row r="997" s="105" customFormat="1" ht="20.4" customHeight="1" spans="2:12">
      <c r="B997" s="859"/>
      <c r="C997" s="865"/>
      <c r="D997" s="781" t="s">
        <v>78</v>
      </c>
      <c r="E997" s="743" t="s">
        <v>49</v>
      </c>
      <c r="F997" s="742" t="s">
        <v>290</v>
      </c>
      <c r="G997" s="741"/>
      <c r="H997" s="744"/>
      <c r="I997" s="766">
        <v>0</v>
      </c>
      <c r="J997" s="743" t="s">
        <v>130</v>
      </c>
      <c r="K997" s="846"/>
      <c r="L997" s="133"/>
    </row>
    <row r="998" s="105" customFormat="1" ht="20.4" customHeight="1" spans="2:12">
      <c r="B998" s="859"/>
      <c r="C998" s="865"/>
      <c r="D998" s="781" t="s">
        <v>79</v>
      </c>
      <c r="E998" s="743" t="s">
        <v>49</v>
      </c>
      <c r="F998" s="742" t="s">
        <v>290</v>
      </c>
      <c r="G998" s="741"/>
      <c r="H998" s="744"/>
      <c r="I998" s="766">
        <v>0</v>
      </c>
      <c r="J998" s="743" t="s">
        <v>130</v>
      </c>
      <c r="K998" s="846"/>
      <c r="L998" s="133"/>
    </row>
    <row r="999" s="105" customFormat="1" ht="20.4" customHeight="1" spans="2:12">
      <c r="B999" s="859"/>
      <c r="C999" s="865"/>
      <c r="D999" s="781" t="s">
        <v>80</v>
      </c>
      <c r="E999" s="743" t="s">
        <v>49</v>
      </c>
      <c r="F999" s="742" t="s">
        <v>290</v>
      </c>
      <c r="G999" s="741"/>
      <c r="H999" s="744"/>
      <c r="I999" s="766">
        <v>0</v>
      </c>
      <c r="J999" s="743" t="s">
        <v>130</v>
      </c>
      <c r="K999" s="846"/>
      <c r="L999" s="133"/>
    </row>
    <row r="1000" s="105" customFormat="1" ht="20.4" customHeight="1" spans="2:12">
      <c r="B1000" s="859"/>
      <c r="C1000" s="865"/>
      <c r="D1000" s="781" t="s">
        <v>81</v>
      </c>
      <c r="E1000" s="743" t="s">
        <v>49</v>
      </c>
      <c r="F1000" s="742" t="s">
        <v>290</v>
      </c>
      <c r="G1000" s="741"/>
      <c r="H1000" s="744"/>
      <c r="I1000" s="766">
        <v>0</v>
      </c>
      <c r="J1000" s="743" t="s">
        <v>130</v>
      </c>
      <c r="K1000" s="846"/>
      <c r="L1000" s="133"/>
    </row>
    <row r="1001" s="105" customFormat="1" ht="20.4" customHeight="1" spans="2:12">
      <c r="B1001" s="859"/>
      <c r="C1001" s="865"/>
      <c r="D1001" s="781" t="s">
        <v>82</v>
      </c>
      <c r="E1001" s="743" t="s">
        <v>49</v>
      </c>
      <c r="F1001" s="742" t="s">
        <v>290</v>
      </c>
      <c r="G1001" s="741"/>
      <c r="H1001" s="744"/>
      <c r="I1001" s="766">
        <f>$I$992</f>
        <v>600</v>
      </c>
      <c r="J1001" s="743" t="s">
        <v>130</v>
      </c>
      <c r="K1001" s="846"/>
      <c r="L1001" s="133"/>
    </row>
    <row r="1002" s="105" customFormat="1" ht="20.4" customHeight="1" spans="2:12">
      <c r="B1002" s="859"/>
      <c r="C1002" s="865"/>
      <c r="D1002" s="781" t="s">
        <v>83</v>
      </c>
      <c r="E1002" s="743" t="s">
        <v>49</v>
      </c>
      <c r="F1002" s="742" t="s">
        <v>290</v>
      </c>
      <c r="G1002" s="741"/>
      <c r="H1002" s="744"/>
      <c r="I1002" s="766">
        <f t="shared" ref="I1002:I1011" si="12">$I$992</f>
        <v>600</v>
      </c>
      <c r="J1002" s="743" t="s">
        <v>130</v>
      </c>
      <c r="K1002" s="846"/>
      <c r="L1002" s="133"/>
    </row>
    <row r="1003" s="105" customFormat="1" ht="20.4" customHeight="1" spans="2:12">
      <c r="B1003" s="859"/>
      <c r="C1003" s="865"/>
      <c r="D1003" s="781" t="s">
        <v>84</v>
      </c>
      <c r="E1003" s="743" t="s">
        <v>49</v>
      </c>
      <c r="F1003" s="742" t="s">
        <v>290</v>
      </c>
      <c r="G1003" s="741"/>
      <c r="H1003" s="744"/>
      <c r="I1003" s="766">
        <f t="shared" si="12"/>
        <v>600</v>
      </c>
      <c r="J1003" s="743" t="s">
        <v>130</v>
      </c>
      <c r="K1003" s="846"/>
      <c r="L1003" s="133"/>
    </row>
    <row r="1004" s="105" customFormat="1" ht="20.4" customHeight="1" spans="2:12">
      <c r="B1004" s="859"/>
      <c r="C1004" s="865"/>
      <c r="D1004" s="781" t="s">
        <v>85</v>
      </c>
      <c r="E1004" s="743" t="s">
        <v>49</v>
      </c>
      <c r="F1004" s="742" t="s">
        <v>290</v>
      </c>
      <c r="G1004" s="741"/>
      <c r="H1004" s="744"/>
      <c r="I1004" s="766">
        <f t="shared" si="12"/>
        <v>600</v>
      </c>
      <c r="J1004" s="743" t="s">
        <v>130</v>
      </c>
      <c r="K1004" s="846"/>
      <c r="L1004" s="133"/>
    </row>
    <row r="1005" s="105" customFormat="1" ht="20.4" customHeight="1" spans="2:12">
      <c r="B1005" s="859"/>
      <c r="C1005" s="865"/>
      <c r="D1005" s="781" t="s">
        <v>86</v>
      </c>
      <c r="E1005" s="743" t="s">
        <v>49</v>
      </c>
      <c r="F1005" s="742" t="s">
        <v>290</v>
      </c>
      <c r="G1005" s="741"/>
      <c r="H1005" s="744"/>
      <c r="I1005" s="766">
        <f t="shared" si="12"/>
        <v>600</v>
      </c>
      <c r="J1005" s="743" t="s">
        <v>130</v>
      </c>
      <c r="K1005" s="846"/>
      <c r="L1005" s="133"/>
    </row>
    <row r="1006" s="105" customFormat="1" ht="20.4" customHeight="1" spans="2:12">
      <c r="B1006" s="859"/>
      <c r="C1006" s="865"/>
      <c r="D1006" s="781" t="s">
        <v>87</v>
      </c>
      <c r="E1006" s="743" t="s">
        <v>49</v>
      </c>
      <c r="F1006" s="742" t="s">
        <v>290</v>
      </c>
      <c r="G1006" s="741"/>
      <c r="H1006" s="744"/>
      <c r="I1006" s="766">
        <f t="shared" si="12"/>
        <v>600</v>
      </c>
      <c r="J1006" s="743" t="s">
        <v>130</v>
      </c>
      <c r="K1006" s="846"/>
      <c r="L1006" s="133"/>
    </row>
    <row r="1007" s="105" customFormat="1" ht="20.4" customHeight="1" spans="2:12">
      <c r="B1007" s="859"/>
      <c r="C1007" s="865"/>
      <c r="D1007" s="781" t="s">
        <v>88</v>
      </c>
      <c r="E1007" s="743" t="s">
        <v>49</v>
      </c>
      <c r="F1007" s="742" t="s">
        <v>290</v>
      </c>
      <c r="G1007" s="741"/>
      <c r="H1007" s="744"/>
      <c r="I1007" s="766">
        <f t="shared" si="12"/>
        <v>600</v>
      </c>
      <c r="J1007" s="743" t="s">
        <v>130</v>
      </c>
      <c r="K1007" s="846"/>
      <c r="L1007" s="133"/>
    </row>
    <row r="1008" s="105" customFormat="1" ht="20.4" customHeight="1" spans="2:12">
      <c r="B1008" s="859"/>
      <c r="C1008" s="865"/>
      <c r="D1008" s="781" t="s">
        <v>89</v>
      </c>
      <c r="E1008" s="743" t="s">
        <v>49</v>
      </c>
      <c r="F1008" s="742" t="s">
        <v>290</v>
      </c>
      <c r="G1008" s="741"/>
      <c r="H1008" s="744"/>
      <c r="I1008" s="766">
        <f t="shared" si="12"/>
        <v>600</v>
      </c>
      <c r="J1008" s="743" t="s">
        <v>130</v>
      </c>
      <c r="K1008" s="846"/>
      <c r="L1008" s="133"/>
    </row>
    <row r="1009" s="105" customFormat="1" ht="20.4" customHeight="1" spans="2:12">
      <c r="B1009" s="859"/>
      <c r="C1009" s="865"/>
      <c r="D1009" s="781" t="s">
        <v>90</v>
      </c>
      <c r="E1009" s="743" t="s">
        <v>49</v>
      </c>
      <c r="F1009" s="742" t="s">
        <v>290</v>
      </c>
      <c r="G1009" s="741"/>
      <c r="H1009" s="744"/>
      <c r="I1009" s="766">
        <f t="shared" si="12"/>
        <v>600</v>
      </c>
      <c r="J1009" s="743" t="s">
        <v>130</v>
      </c>
      <c r="K1009" s="846"/>
      <c r="L1009" s="133"/>
    </row>
    <row r="1010" s="105" customFormat="1" ht="20.4" customHeight="1" spans="2:12">
      <c r="B1010" s="859"/>
      <c r="C1010" s="865"/>
      <c r="D1010" s="781" t="s">
        <v>91</v>
      </c>
      <c r="E1010" s="743" t="s">
        <v>49</v>
      </c>
      <c r="F1010" s="742" t="s">
        <v>290</v>
      </c>
      <c r="G1010" s="741"/>
      <c r="H1010" s="744"/>
      <c r="I1010" s="766">
        <f t="shared" si="12"/>
        <v>600</v>
      </c>
      <c r="J1010" s="743" t="s">
        <v>130</v>
      </c>
      <c r="K1010" s="846"/>
      <c r="L1010" s="133"/>
    </row>
    <row r="1011" s="105" customFormat="1" ht="20.4" customHeight="1" spans="2:12">
      <c r="B1011" s="859"/>
      <c r="C1011" s="865"/>
      <c r="D1011" s="781" t="s">
        <v>92</v>
      </c>
      <c r="E1011" s="743" t="s">
        <v>49</v>
      </c>
      <c r="F1011" s="742" t="s">
        <v>290</v>
      </c>
      <c r="G1011" s="741"/>
      <c r="H1011" s="744"/>
      <c r="I1011" s="766">
        <f t="shared" si="12"/>
        <v>600</v>
      </c>
      <c r="J1011" s="743" t="s">
        <v>130</v>
      </c>
      <c r="K1011" s="846"/>
      <c r="L1011" s="133"/>
    </row>
    <row r="1012" s="105" customFormat="1" ht="20.4" customHeight="1" spans="2:12">
      <c r="B1012" s="859"/>
      <c r="C1012" s="865"/>
      <c r="D1012" s="781" t="s">
        <v>93</v>
      </c>
      <c r="E1012" s="743" t="s">
        <v>49</v>
      </c>
      <c r="F1012" s="742" t="s">
        <v>290</v>
      </c>
      <c r="G1012" s="741"/>
      <c r="H1012" s="744"/>
      <c r="I1012" s="766">
        <f t="shared" ref="I1012:I1021" si="13">$I$992</f>
        <v>600</v>
      </c>
      <c r="J1012" s="743" t="s">
        <v>130</v>
      </c>
      <c r="K1012" s="846"/>
      <c r="L1012" s="133"/>
    </row>
    <row r="1013" s="105" customFormat="1" ht="20.4" customHeight="1" spans="2:12">
      <c r="B1013" s="859"/>
      <c r="C1013" s="865"/>
      <c r="D1013" s="781" t="s">
        <v>94</v>
      </c>
      <c r="E1013" s="743" t="s">
        <v>49</v>
      </c>
      <c r="F1013" s="742" t="s">
        <v>290</v>
      </c>
      <c r="G1013" s="741"/>
      <c r="H1013" s="744"/>
      <c r="I1013" s="766">
        <f t="shared" si="13"/>
        <v>600</v>
      </c>
      <c r="J1013" s="743" t="s">
        <v>130</v>
      </c>
      <c r="K1013" s="846"/>
      <c r="L1013" s="133"/>
    </row>
    <row r="1014" s="105" customFormat="1" ht="20.4" customHeight="1" spans="2:12">
      <c r="B1014" s="859"/>
      <c r="C1014" s="865"/>
      <c r="D1014" s="781" t="s">
        <v>95</v>
      </c>
      <c r="E1014" s="743" t="s">
        <v>49</v>
      </c>
      <c r="F1014" s="742" t="s">
        <v>290</v>
      </c>
      <c r="G1014" s="741"/>
      <c r="H1014" s="744"/>
      <c r="I1014" s="766">
        <f t="shared" si="13"/>
        <v>600</v>
      </c>
      <c r="J1014" s="743" t="s">
        <v>130</v>
      </c>
      <c r="K1014" s="846"/>
      <c r="L1014" s="133"/>
    </row>
    <row r="1015" s="105" customFormat="1" ht="20.4" customHeight="1" spans="2:12">
      <c r="B1015" s="859"/>
      <c r="C1015" s="865"/>
      <c r="D1015" s="781" t="s">
        <v>96</v>
      </c>
      <c r="E1015" s="743" t="s">
        <v>49</v>
      </c>
      <c r="F1015" s="742" t="s">
        <v>290</v>
      </c>
      <c r="G1015" s="741"/>
      <c r="H1015" s="744"/>
      <c r="I1015" s="766">
        <f t="shared" si="13"/>
        <v>600</v>
      </c>
      <c r="J1015" s="743" t="s">
        <v>130</v>
      </c>
      <c r="K1015" s="846"/>
      <c r="L1015" s="133"/>
    </row>
    <row r="1016" s="105" customFormat="1" ht="20.4" customHeight="1" spans="2:12">
      <c r="B1016" s="859"/>
      <c r="C1016" s="865"/>
      <c r="D1016" s="781" t="s">
        <v>97</v>
      </c>
      <c r="E1016" s="743" t="s">
        <v>49</v>
      </c>
      <c r="F1016" s="742" t="s">
        <v>290</v>
      </c>
      <c r="G1016" s="741"/>
      <c r="H1016" s="744"/>
      <c r="I1016" s="766">
        <f t="shared" si="13"/>
        <v>600</v>
      </c>
      <c r="J1016" s="743" t="s">
        <v>130</v>
      </c>
      <c r="K1016" s="846"/>
      <c r="L1016" s="133"/>
    </row>
    <row r="1017" s="105" customFormat="1" ht="20.4" customHeight="1" spans="2:12">
      <c r="B1017" s="859"/>
      <c r="C1017" s="865"/>
      <c r="D1017" s="781" t="s">
        <v>98</v>
      </c>
      <c r="E1017" s="743" t="s">
        <v>49</v>
      </c>
      <c r="F1017" s="742" t="s">
        <v>290</v>
      </c>
      <c r="G1017" s="741"/>
      <c r="H1017" s="744"/>
      <c r="I1017" s="766">
        <f t="shared" si="13"/>
        <v>600</v>
      </c>
      <c r="J1017" s="743" t="s">
        <v>130</v>
      </c>
      <c r="K1017" s="846"/>
      <c r="L1017" s="133"/>
    </row>
    <row r="1018" s="105" customFormat="1" ht="20.4" customHeight="1" spans="2:12">
      <c r="B1018" s="859"/>
      <c r="C1018" s="865"/>
      <c r="D1018" s="781" t="s">
        <v>99</v>
      </c>
      <c r="E1018" s="743" t="s">
        <v>49</v>
      </c>
      <c r="F1018" s="742" t="s">
        <v>290</v>
      </c>
      <c r="G1018" s="741"/>
      <c r="H1018" s="744"/>
      <c r="I1018" s="766">
        <f t="shared" si="13"/>
        <v>600</v>
      </c>
      <c r="J1018" s="743" t="s">
        <v>130</v>
      </c>
      <c r="K1018" s="846"/>
      <c r="L1018" s="133"/>
    </row>
    <row r="1019" s="105" customFormat="1" ht="20.4" customHeight="1" spans="2:12">
      <c r="B1019" s="859"/>
      <c r="C1019" s="865"/>
      <c r="D1019" s="781" t="s">
        <v>100</v>
      </c>
      <c r="E1019" s="743" t="s">
        <v>49</v>
      </c>
      <c r="F1019" s="742" t="s">
        <v>290</v>
      </c>
      <c r="G1019" s="741"/>
      <c r="H1019" s="744"/>
      <c r="I1019" s="766">
        <f t="shared" si="13"/>
        <v>600</v>
      </c>
      <c r="J1019" s="743" t="s">
        <v>130</v>
      </c>
      <c r="K1019" s="846"/>
      <c r="L1019" s="133"/>
    </row>
    <row r="1020" s="105" customFormat="1" ht="20.4" customHeight="1" spans="2:12">
      <c r="B1020" s="859"/>
      <c r="C1020" s="865"/>
      <c r="D1020" s="781" t="s">
        <v>101</v>
      </c>
      <c r="E1020" s="743" t="s">
        <v>49</v>
      </c>
      <c r="F1020" s="742" t="s">
        <v>290</v>
      </c>
      <c r="G1020" s="741"/>
      <c r="H1020" s="744"/>
      <c r="I1020" s="766">
        <f t="shared" si="13"/>
        <v>600</v>
      </c>
      <c r="J1020" s="743" t="s">
        <v>130</v>
      </c>
      <c r="K1020" s="846"/>
      <c r="L1020" s="133"/>
    </row>
    <row r="1021" s="105" customFormat="1" ht="20.4" customHeight="1" spans="2:12">
      <c r="B1021" s="859"/>
      <c r="C1021" s="865"/>
      <c r="D1021" s="781" t="s">
        <v>102</v>
      </c>
      <c r="E1021" s="743" t="s">
        <v>49</v>
      </c>
      <c r="F1021" s="742" t="s">
        <v>290</v>
      </c>
      <c r="G1021" s="741"/>
      <c r="H1021" s="744"/>
      <c r="I1021" s="766">
        <f t="shared" si="13"/>
        <v>600</v>
      </c>
      <c r="J1021" s="743" t="s">
        <v>130</v>
      </c>
      <c r="K1021" s="846"/>
      <c r="L1021" s="133"/>
    </row>
    <row r="1022" s="105" customFormat="1" ht="20.4" customHeight="1" spans="2:12">
      <c r="B1022" s="859"/>
      <c r="C1022" s="865"/>
      <c r="D1022" s="781" t="s">
        <v>103</v>
      </c>
      <c r="E1022" s="743" t="s">
        <v>49</v>
      </c>
      <c r="F1022" s="742" t="s">
        <v>290</v>
      </c>
      <c r="G1022" s="741"/>
      <c r="H1022" s="744"/>
      <c r="I1022" s="766">
        <f t="shared" ref="I1022:I1031" si="14">$I$992</f>
        <v>600</v>
      </c>
      <c r="J1022" s="743" t="s">
        <v>130</v>
      </c>
      <c r="K1022" s="846"/>
      <c r="L1022" s="133"/>
    </row>
    <row r="1023" s="105" customFormat="1" ht="20.4" customHeight="1" spans="2:12">
      <c r="B1023" s="859"/>
      <c r="C1023" s="865"/>
      <c r="D1023" s="781" t="s">
        <v>104</v>
      </c>
      <c r="E1023" s="743" t="s">
        <v>49</v>
      </c>
      <c r="F1023" s="742" t="s">
        <v>290</v>
      </c>
      <c r="G1023" s="741"/>
      <c r="H1023" s="744"/>
      <c r="I1023" s="766">
        <f t="shared" si="14"/>
        <v>600</v>
      </c>
      <c r="J1023" s="743" t="s">
        <v>130</v>
      </c>
      <c r="K1023" s="846"/>
      <c r="L1023" s="133"/>
    </row>
    <row r="1024" s="105" customFormat="1" ht="20.4" customHeight="1" spans="2:12">
      <c r="B1024" s="859"/>
      <c r="C1024" s="865"/>
      <c r="D1024" s="781" t="s">
        <v>105</v>
      </c>
      <c r="E1024" s="743" t="s">
        <v>49</v>
      </c>
      <c r="F1024" s="742" t="s">
        <v>290</v>
      </c>
      <c r="G1024" s="741"/>
      <c r="H1024" s="744"/>
      <c r="I1024" s="766">
        <f t="shared" si="14"/>
        <v>600</v>
      </c>
      <c r="J1024" s="743" t="s">
        <v>130</v>
      </c>
      <c r="K1024" s="846"/>
      <c r="L1024" s="133"/>
    </row>
    <row r="1025" s="105" customFormat="1" ht="20.4" customHeight="1" spans="2:12">
      <c r="B1025" s="859"/>
      <c r="C1025" s="865"/>
      <c r="D1025" s="781" t="s">
        <v>106</v>
      </c>
      <c r="E1025" s="743" t="s">
        <v>49</v>
      </c>
      <c r="F1025" s="742" t="s">
        <v>290</v>
      </c>
      <c r="G1025" s="741"/>
      <c r="H1025" s="744"/>
      <c r="I1025" s="766">
        <f t="shared" si="14"/>
        <v>600</v>
      </c>
      <c r="J1025" s="743" t="s">
        <v>130</v>
      </c>
      <c r="K1025" s="846"/>
      <c r="L1025" s="133"/>
    </row>
    <row r="1026" s="105" customFormat="1" ht="20.4" customHeight="1" spans="2:12">
      <c r="B1026" s="859"/>
      <c r="C1026" s="865"/>
      <c r="D1026" s="781" t="s">
        <v>107</v>
      </c>
      <c r="E1026" s="743" t="s">
        <v>49</v>
      </c>
      <c r="F1026" s="742" t="s">
        <v>290</v>
      </c>
      <c r="G1026" s="741"/>
      <c r="H1026" s="744"/>
      <c r="I1026" s="766">
        <f t="shared" si="14"/>
        <v>600</v>
      </c>
      <c r="J1026" s="743" t="s">
        <v>130</v>
      </c>
      <c r="K1026" s="846"/>
      <c r="L1026" s="133"/>
    </row>
    <row r="1027" s="105" customFormat="1" ht="20.4" customHeight="1" spans="2:12">
      <c r="B1027" s="859"/>
      <c r="C1027" s="865"/>
      <c r="D1027" s="781" t="s">
        <v>108</v>
      </c>
      <c r="E1027" s="743" t="s">
        <v>49</v>
      </c>
      <c r="F1027" s="742" t="s">
        <v>290</v>
      </c>
      <c r="G1027" s="741"/>
      <c r="H1027" s="744"/>
      <c r="I1027" s="766">
        <f t="shared" si="14"/>
        <v>600</v>
      </c>
      <c r="J1027" s="743" t="s">
        <v>130</v>
      </c>
      <c r="K1027" s="846"/>
      <c r="L1027" s="133"/>
    </row>
    <row r="1028" s="105" customFormat="1" ht="20.4" customHeight="1" spans="2:12">
      <c r="B1028" s="859"/>
      <c r="C1028" s="865"/>
      <c r="D1028" s="781" t="s">
        <v>109</v>
      </c>
      <c r="E1028" s="743" t="s">
        <v>49</v>
      </c>
      <c r="F1028" s="742" t="s">
        <v>290</v>
      </c>
      <c r="G1028" s="741"/>
      <c r="H1028" s="744"/>
      <c r="I1028" s="766">
        <f t="shared" si="14"/>
        <v>600</v>
      </c>
      <c r="J1028" s="743" t="s">
        <v>130</v>
      </c>
      <c r="K1028" s="846"/>
      <c r="L1028" s="133"/>
    </row>
    <row r="1029" s="105" customFormat="1" ht="20.4" customHeight="1" spans="2:12">
      <c r="B1029" s="859"/>
      <c r="C1029" s="865"/>
      <c r="D1029" s="781" t="s">
        <v>110</v>
      </c>
      <c r="E1029" s="743" t="s">
        <v>49</v>
      </c>
      <c r="F1029" s="742" t="s">
        <v>290</v>
      </c>
      <c r="G1029" s="741"/>
      <c r="H1029" s="744"/>
      <c r="I1029" s="766">
        <f t="shared" si="14"/>
        <v>600</v>
      </c>
      <c r="J1029" s="743" t="s">
        <v>130</v>
      </c>
      <c r="K1029" s="846"/>
      <c r="L1029" s="133"/>
    </row>
    <row r="1030" s="105" customFormat="1" ht="20.4" customHeight="1" spans="2:12">
      <c r="B1030" s="859"/>
      <c r="C1030" s="865"/>
      <c r="D1030" s="781" t="s">
        <v>111</v>
      </c>
      <c r="E1030" s="743" t="s">
        <v>49</v>
      </c>
      <c r="F1030" s="742" t="s">
        <v>290</v>
      </c>
      <c r="G1030" s="741"/>
      <c r="H1030" s="744"/>
      <c r="I1030" s="766">
        <f t="shared" si="14"/>
        <v>600</v>
      </c>
      <c r="J1030" s="743" t="s">
        <v>130</v>
      </c>
      <c r="K1030" s="846"/>
      <c r="L1030" s="133"/>
    </row>
    <row r="1031" s="105" customFormat="1" ht="20.4" customHeight="1" spans="2:12">
      <c r="B1031" s="859"/>
      <c r="C1031" s="865"/>
      <c r="D1031" s="781" t="s">
        <v>112</v>
      </c>
      <c r="E1031" s="743" t="s">
        <v>49</v>
      </c>
      <c r="F1031" s="742" t="s">
        <v>290</v>
      </c>
      <c r="G1031" s="741"/>
      <c r="H1031" s="744"/>
      <c r="I1031" s="766">
        <f t="shared" si="14"/>
        <v>600</v>
      </c>
      <c r="J1031" s="743" t="s">
        <v>130</v>
      </c>
      <c r="K1031" s="846"/>
      <c r="L1031" s="133"/>
    </row>
    <row r="1032" s="105" customFormat="1" ht="20.4" customHeight="1" spans="2:12">
      <c r="B1032" s="859"/>
      <c r="C1032" s="865"/>
      <c r="D1032" s="781" t="s">
        <v>113</v>
      </c>
      <c r="E1032" s="743" t="s">
        <v>49</v>
      </c>
      <c r="F1032" s="742" t="s">
        <v>290</v>
      </c>
      <c r="G1032" s="741"/>
      <c r="H1032" s="744"/>
      <c r="I1032" s="766">
        <f t="shared" ref="I1032:I1040" si="15">$I$992</f>
        <v>600</v>
      </c>
      <c r="J1032" s="743" t="s">
        <v>130</v>
      </c>
      <c r="K1032" s="846"/>
      <c r="L1032" s="133"/>
    </row>
    <row r="1033" s="105" customFormat="1" ht="20.4" customHeight="1" spans="2:12">
      <c r="B1033" s="859"/>
      <c r="C1033" s="865"/>
      <c r="D1033" s="781" t="s">
        <v>114</v>
      </c>
      <c r="E1033" s="743" t="s">
        <v>49</v>
      </c>
      <c r="F1033" s="742" t="s">
        <v>290</v>
      </c>
      <c r="G1033" s="741"/>
      <c r="H1033" s="744"/>
      <c r="I1033" s="766">
        <f t="shared" si="15"/>
        <v>600</v>
      </c>
      <c r="J1033" s="743" t="s">
        <v>130</v>
      </c>
      <c r="K1033" s="846"/>
      <c r="L1033" s="133"/>
    </row>
    <row r="1034" s="105" customFormat="1" ht="20.4" customHeight="1" spans="2:12">
      <c r="B1034" s="859"/>
      <c r="C1034" s="865"/>
      <c r="D1034" s="781" t="s">
        <v>115</v>
      </c>
      <c r="E1034" s="743" t="s">
        <v>49</v>
      </c>
      <c r="F1034" s="742" t="s">
        <v>290</v>
      </c>
      <c r="G1034" s="741"/>
      <c r="H1034" s="744"/>
      <c r="I1034" s="766">
        <f t="shared" si="15"/>
        <v>600</v>
      </c>
      <c r="J1034" s="743" t="s">
        <v>130</v>
      </c>
      <c r="K1034" s="846"/>
      <c r="L1034" s="133"/>
    </row>
    <row r="1035" s="105" customFormat="1" ht="20.4" customHeight="1" spans="2:12">
      <c r="B1035" s="859"/>
      <c r="C1035" s="865"/>
      <c r="D1035" s="781" t="s">
        <v>116</v>
      </c>
      <c r="E1035" s="743" t="s">
        <v>49</v>
      </c>
      <c r="F1035" s="742" t="s">
        <v>290</v>
      </c>
      <c r="G1035" s="741"/>
      <c r="H1035" s="744"/>
      <c r="I1035" s="766">
        <f t="shared" si="15"/>
        <v>600</v>
      </c>
      <c r="J1035" s="743" t="s">
        <v>130</v>
      </c>
      <c r="K1035" s="846"/>
      <c r="L1035" s="133"/>
    </row>
    <row r="1036" s="105" customFormat="1" ht="20.4" customHeight="1" spans="2:12">
      <c r="B1036" s="859"/>
      <c r="C1036" s="865"/>
      <c r="D1036" s="781" t="s">
        <v>117</v>
      </c>
      <c r="E1036" s="743" t="s">
        <v>49</v>
      </c>
      <c r="F1036" s="742" t="s">
        <v>290</v>
      </c>
      <c r="G1036" s="741"/>
      <c r="H1036" s="744"/>
      <c r="I1036" s="766">
        <f t="shared" si="15"/>
        <v>600</v>
      </c>
      <c r="J1036" s="743" t="s">
        <v>130</v>
      </c>
      <c r="K1036" s="846"/>
      <c r="L1036" s="133"/>
    </row>
    <row r="1037" s="105" customFormat="1" ht="20.4" customHeight="1" spans="2:12">
      <c r="B1037" s="859"/>
      <c r="C1037" s="865"/>
      <c r="D1037" s="781" t="s">
        <v>118</v>
      </c>
      <c r="E1037" s="743" t="s">
        <v>49</v>
      </c>
      <c r="F1037" s="742" t="s">
        <v>290</v>
      </c>
      <c r="G1037" s="741"/>
      <c r="H1037" s="744"/>
      <c r="I1037" s="766">
        <f t="shared" si="15"/>
        <v>600</v>
      </c>
      <c r="J1037" s="743" t="s">
        <v>130</v>
      </c>
      <c r="K1037" s="846"/>
      <c r="L1037" s="133"/>
    </row>
    <row r="1038" s="105" customFormat="1" ht="20.4" customHeight="1" spans="2:12">
      <c r="B1038" s="859"/>
      <c r="C1038" s="865"/>
      <c r="D1038" s="781" t="s">
        <v>119</v>
      </c>
      <c r="E1038" s="743" t="s">
        <v>49</v>
      </c>
      <c r="F1038" s="742" t="s">
        <v>290</v>
      </c>
      <c r="G1038" s="741"/>
      <c r="H1038" s="744"/>
      <c r="I1038" s="766">
        <f t="shared" si="15"/>
        <v>600</v>
      </c>
      <c r="J1038" s="743" t="s">
        <v>130</v>
      </c>
      <c r="K1038" s="846"/>
      <c r="L1038" s="133"/>
    </row>
    <row r="1039" s="105" customFormat="1" ht="20.4" customHeight="1" spans="2:12">
      <c r="B1039" s="859"/>
      <c r="C1039" s="865"/>
      <c r="D1039" s="781" t="s">
        <v>120</v>
      </c>
      <c r="E1039" s="743" t="s">
        <v>49</v>
      </c>
      <c r="F1039" s="742" t="s">
        <v>290</v>
      </c>
      <c r="G1039" s="741"/>
      <c r="H1039" s="744"/>
      <c r="I1039" s="766">
        <f t="shared" si="15"/>
        <v>600</v>
      </c>
      <c r="J1039" s="743" t="s">
        <v>130</v>
      </c>
      <c r="K1039" s="846"/>
      <c r="L1039" s="133"/>
    </row>
    <row r="1040" s="105" customFormat="1" ht="20.4" customHeight="1" spans="2:12">
      <c r="B1040" s="859"/>
      <c r="C1040" s="865"/>
      <c r="D1040" s="781" t="s">
        <v>121</v>
      </c>
      <c r="E1040" s="743" t="s">
        <v>49</v>
      </c>
      <c r="F1040" s="742" t="s">
        <v>290</v>
      </c>
      <c r="G1040" s="741"/>
      <c r="H1040" s="744"/>
      <c r="I1040" s="766">
        <f t="shared" si="15"/>
        <v>600</v>
      </c>
      <c r="J1040" s="743" t="s">
        <v>130</v>
      </c>
      <c r="K1040" s="846"/>
      <c r="L1040" s="133"/>
    </row>
    <row r="1041" s="105" customFormat="1" ht="20.4" customHeight="1" spans="2:12">
      <c r="B1041" s="859"/>
      <c r="C1041" s="866">
        <v>7</v>
      </c>
      <c r="D1041" s="867" t="s">
        <v>406</v>
      </c>
      <c r="E1041" s="868"/>
      <c r="F1041" s="869"/>
      <c r="G1041" s="870"/>
      <c r="H1041" s="871"/>
      <c r="I1041" s="818"/>
      <c r="J1041" s="868"/>
      <c r="K1041" s="846"/>
      <c r="L1041" s="133"/>
    </row>
    <row r="1042" s="105" customFormat="1" ht="20.4" customHeight="1" spans="2:12">
      <c r="B1042" s="859"/>
      <c r="C1042" s="872"/>
      <c r="D1042" s="203" t="s">
        <v>406</v>
      </c>
      <c r="E1042" s="868" t="s">
        <v>49</v>
      </c>
      <c r="F1042" s="869" t="s">
        <v>335</v>
      </c>
      <c r="G1042" s="870"/>
      <c r="H1042" s="871"/>
      <c r="I1042" s="820">
        <v>0.05</v>
      </c>
      <c r="J1042" s="873" t="s">
        <v>31</v>
      </c>
      <c r="K1042" s="846"/>
      <c r="L1042" s="133"/>
    </row>
    <row r="1043" s="105" customFormat="1" ht="20.4" customHeight="1" spans="2:12">
      <c r="B1043" s="859"/>
      <c r="C1043" s="866">
        <v>8</v>
      </c>
      <c r="D1043" s="867" t="s">
        <v>407</v>
      </c>
      <c r="E1043" s="868"/>
      <c r="F1043" s="869"/>
      <c r="G1043" s="870"/>
      <c r="H1043" s="871"/>
      <c r="I1043" s="818"/>
      <c r="J1043" s="868"/>
      <c r="K1043" s="846"/>
      <c r="L1043" s="133"/>
    </row>
    <row r="1044" s="105" customFormat="1" ht="20.4" customHeight="1" spans="2:12">
      <c r="B1044" s="859"/>
      <c r="C1044" s="872"/>
      <c r="D1044" s="203" t="s">
        <v>408</v>
      </c>
      <c r="E1044" s="868" t="s">
        <v>49</v>
      </c>
      <c r="F1044" s="869" t="s">
        <v>335</v>
      </c>
      <c r="G1044" s="870"/>
      <c r="H1044" s="871"/>
      <c r="I1044" s="820">
        <v>0.05</v>
      </c>
      <c r="J1044" s="873" t="s">
        <v>31</v>
      </c>
      <c r="K1044" s="846"/>
      <c r="L1044" s="133"/>
    </row>
    <row r="1045" s="105" customFormat="1" ht="20.4" customHeight="1" spans="2:12">
      <c r="B1045" s="859"/>
      <c r="C1045" s="866">
        <v>9</v>
      </c>
      <c r="D1045" s="867" t="s">
        <v>409</v>
      </c>
      <c r="E1045" s="868"/>
      <c r="F1045" s="869"/>
      <c r="G1045" s="870"/>
      <c r="H1045" s="871"/>
      <c r="I1045" s="820"/>
      <c r="J1045" s="873"/>
      <c r="K1045" s="846"/>
      <c r="L1045" s="133"/>
    </row>
    <row r="1046" s="105" customFormat="1" ht="20.4" customHeight="1" spans="2:12">
      <c r="B1046" s="859"/>
      <c r="C1046" s="866"/>
      <c r="D1046" s="203" t="s">
        <v>410</v>
      </c>
      <c r="E1046" s="868" t="s">
        <v>49</v>
      </c>
      <c r="F1046" s="869" t="s">
        <v>335</v>
      </c>
      <c r="G1046" s="870"/>
      <c r="H1046" s="871"/>
      <c r="I1046" s="874">
        <v>0.004</v>
      </c>
      <c r="J1046" s="873" t="s">
        <v>31</v>
      </c>
      <c r="K1046" s="846"/>
      <c r="L1046" s="133"/>
    </row>
    <row r="1047" spans="2:12">
      <c r="B1047" s="859"/>
      <c r="C1047" s="866"/>
      <c r="D1047" s="203" t="s">
        <v>411</v>
      </c>
      <c r="E1047" s="868" t="s">
        <v>49</v>
      </c>
      <c r="F1047" s="869" t="s">
        <v>335</v>
      </c>
      <c r="G1047" s="870"/>
      <c r="H1047" s="871"/>
      <c r="I1047" s="874">
        <v>0.015</v>
      </c>
      <c r="J1047" s="873" t="s">
        <v>31</v>
      </c>
      <c r="K1047" s="846" t="s">
        <v>412</v>
      </c>
    </row>
    <row r="1048" ht="16.5" spans="2:12">
      <c r="B1048" s="875"/>
      <c r="C1048" s="7"/>
      <c r="E1048" s="7"/>
      <c r="F1048" s="876"/>
      <c r="G1048" s="7"/>
      <c r="H1048" s="6"/>
      <c r="I1048" s="7"/>
      <c r="J1048" s="7"/>
      <c r="K1048" s="6"/>
      <c r="L1048" s="6"/>
    </row>
    <row r="1049" ht="16.5" spans="2:12">
      <c r="B1049" s="737" t="s">
        <v>1</v>
      </c>
      <c r="C1049" s="737" t="s">
        <v>2</v>
      </c>
      <c r="D1049" s="737" t="s">
        <v>3</v>
      </c>
      <c r="E1049" s="737" t="s">
        <v>4</v>
      </c>
      <c r="F1049" s="738"/>
      <c r="G1049" s="737"/>
      <c r="H1049" s="737"/>
      <c r="I1049" s="737" t="s">
        <v>8</v>
      </c>
      <c r="J1049" s="737"/>
      <c r="K1049" s="6"/>
      <c r="L1049" s="6"/>
    </row>
    <row r="1050" ht="16.5" spans="2:12">
      <c r="B1050" s="877" t="s">
        <v>413</v>
      </c>
      <c r="C1050" s="878">
        <v>1</v>
      </c>
      <c r="D1050" s="28" t="s">
        <v>253</v>
      </c>
      <c r="E1050" s="743"/>
      <c r="F1050" s="742"/>
      <c r="G1050" s="743"/>
      <c r="H1050" s="144"/>
      <c r="I1050" s="29"/>
      <c r="J1050" s="29"/>
      <c r="K1050" s="6"/>
      <c r="L1050" s="6"/>
    </row>
    <row r="1051" ht="16.5" spans="2:12">
      <c r="B1051" s="879"/>
      <c r="C1051" s="878"/>
      <c r="D1051" s="54"/>
      <c r="E1051" s="743" t="s">
        <v>59</v>
      </c>
      <c r="F1051" s="742"/>
      <c r="G1051" s="743"/>
      <c r="H1051" s="144"/>
      <c r="I1051" s="880">
        <v>0.13</v>
      </c>
      <c r="J1051" s="29"/>
      <c r="K1051" s="6"/>
      <c r="L1051" s="6"/>
    </row>
    <row r="1052" ht="16.5" spans="2:12">
      <c r="B1052" s="879"/>
      <c r="C1052" s="878"/>
      <c r="D1052" s="54"/>
      <c r="E1052" s="743" t="s">
        <v>59</v>
      </c>
      <c r="F1052" s="742"/>
      <c r="G1052" s="743"/>
      <c r="H1052" s="144"/>
      <c r="I1052" s="880">
        <v>0.09</v>
      </c>
      <c r="J1052" s="29"/>
      <c r="K1052" s="6"/>
      <c r="L1052" s="6"/>
    </row>
    <row r="1053" ht="16.5" spans="2:12">
      <c r="B1053" s="879"/>
      <c r="C1053" s="878"/>
      <c r="D1053" s="54"/>
      <c r="E1053" s="743" t="s">
        <v>59</v>
      </c>
      <c r="F1053" s="742"/>
      <c r="G1053" s="743"/>
      <c r="H1053" s="144"/>
      <c r="I1053" s="880">
        <v>0.06</v>
      </c>
      <c r="J1053" s="29"/>
      <c r="K1053" s="6"/>
      <c r="L1053" s="6"/>
    </row>
    <row r="1054" ht="16.5" spans="2:12">
      <c r="B1054" s="879"/>
      <c r="C1054" s="878"/>
      <c r="D1054" s="54"/>
      <c r="E1054" s="743" t="s">
        <v>59</v>
      </c>
      <c r="F1054" s="742"/>
      <c r="G1054" s="743"/>
      <c r="H1054" s="144"/>
      <c r="I1054" s="880">
        <v>0</v>
      </c>
      <c r="J1054" s="29"/>
      <c r="K1054" s="6"/>
      <c r="L1054" s="6"/>
    </row>
    <row r="1055" ht="16.5" spans="2:12">
      <c r="B1055" s="879"/>
      <c r="C1055" s="878">
        <v>2</v>
      </c>
      <c r="D1055" s="28" t="s">
        <v>414</v>
      </c>
      <c r="E1055" s="743"/>
      <c r="F1055" s="742"/>
      <c r="G1055" s="743"/>
      <c r="H1055" s="144"/>
      <c r="I1055" s="880"/>
      <c r="J1055" s="29"/>
      <c r="K1055" s="6"/>
      <c r="L1055" s="6"/>
    </row>
    <row r="1056" ht="16.5" spans="2:12">
      <c r="B1056" s="879"/>
      <c r="C1056" s="878"/>
      <c r="D1056" s="33" t="s">
        <v>415</v>
      </c>
      <c r="E1056" s="743" t="s">
        <v>59</v>
      </c>
      <c r="F1056" s="881"/>
      <c r="G1056" s="29"/>
      <c r="H1056" s="144"/>
      <c r="I1056" s="29"/>
      <c r="J1056" s="29"/>
      <c r="K1056" s="6"/>
      <c r="L1056" s="6"/>
    </row>
    <row r="1057" ht="16.5" spans="2:12">
      <c r="B1057" s="879"/>
      <c r="C1057" s="878"/>
      <c r="D1057" s="33" t="s">
        <v>218</v>
      </c>
      <c r="E1057" s="743" t="s">
        <v>59</v>
      </c>
      <c r="F1057" s="881"/>
      <c r="G1057" s="29"/>
      <c r="H1057" s="144"/>
      <c r="I1057" s="29"/>
      <c r="J1057" s="29"/>
      <c r="K1057" s="6"/>
      <c r="L1057" s="6"/>
    </row>
    <row r="1058" ht="16.5" spans="2:12">
      <c r="B1058" s="879"/>
      <c r="C1058" s="878">
        <v>3</v>
      </c>
      <c r="D1058" s="28" t="s">
        <v>416</v>
      </c>
      <c r="E1058" s="743"/>
      <c r="F1058" s="881"/>
      <c r="G1058" s="29"/>
      <c r="H1058" s="144"/>
      <c r="I1058" s="29"/>
      <c r="J1058" s="29"/>
      <c r="K1058" s="6"/>
      <c r="L1058" s="6"/>
    </row>
    <row r="1059" ht="16.5" spans="2:12">
      <c r="B1059" s="879"/>
      <c r="C1059" s="878"/>
      <c r="D1059" s="33" t="s">
        <v>417</v>
      </c>
      <c r="E1059" s="743" t="s">
        <v>59</v>
      </c>
      <c r="F1059" s="881"/>
      <c r="G1059" s="29"/>
      <c r="H1059" s="144"/>
      <c r="I1059" s="29"/>
      <c r="J1059" s="29"/>
      <c r="K1059" s="6"/>
      <c r="L1059" s="6"/>
    </row>
    <row r="1060" ht="16.5" spans="2:12">
      <c r="B1060" s="879"/>
      <c r="C1060" s="878"/>
      <c r="D1060" s="33" t="s">
        <v>166</v>
      </c>
      <c r="E1060" s="743" t="s">
        <v>59</v>
      </c>
      <c r="F1060" s="881"/>
      <c r="G1060" s="29"/>
      <c r="H1060" s="144"/>
      <c r="I1060" s="29"/>
      <c r="J1060" s="29"/>
      <c r="K1060" s="6"/>
      <c r="L1060" s="6"/>
    </row>
    <row r="1061" ht="16.5" spans="2:12">
      <c r="B1061" s="879"/>
      <c r="C1061" s="878">
        <v>4</v>
      </c>
      <c r="D1061" s="28" t="s">
        <v>172</v>
      </c>
      <c r="E1061" s="743"/>
      <c r="F1061" s="881"/>
      <c r="G1061" s="29"/>
      <c r="H1061" s="144"/>
      <c r="I1061" s="29"/>
      <c r="J1061" s="29"/>
      <c r="K1061" s="6"/>
      <c r="L1061" s="6"/>
    </row>
    <row r="1062" ht="16.5" spans="2:12">
      <c r="B1062" s="879"/>
      <c r="C1062" s="878"/>
      <c r="D1062" s="33" t="s">
        <v>418</v>
      </c>
      <c r="E1062" s="743" t="s">
        <v>59</v>
      </c>
      <c r="F1062" s="881"/>
      <c r="G1062" s="29"/>
      <c r="H1062" s="144"/>
      <c r="I1062" s="29"/>
      <c r="J1062" s="29"/>
      <c r="K1062" s="6"/>
      <c r="L1062" s="6"/>
    </row>
    <row r="1063" ht="16.5" spans="2:12">
      <c r="B1063" s="879"/>
      <c r="C1063" s="878"/>
      <c r="D1063" s="33" t="s">
        <v>173</v>
      </c>
      <c r="E1063" s="743" t="s">
        <v>59</v>
      </c>
      <c r="F1063" s="881"/>
      <c r="G1063" s="29"/>
      <c r="H1063" s="144"/>
      <c r="I1063" s="29"/>
      <c r="J1063" s="29"/>
      <c r="K1063" s="6"/>
      <c r="L1063" s="6"/>
    </row>
    <row r="1064" ht="16.5" spans="2:12">
      <c r="B1064" s="879"/>
      <c r="C1064" s="878">
        <v>5</v>
      </c>
      <c r="D1064" s="28" t="s">
        <v>419</v>
      </c>
      <c r="E1064" s="743"/>
      <c r="F1064" s="881"/>
      <c r="G1064" s="29"/>
      <c r="H1064" s="144"/>
      <c r="I1064" s="29"/>
      <c r="J1064" s="29"/>
      <c r="K1064" s="6"/>
      <c r="L1064" s="6"/>
    </row>
    <row r="1065" ht="16.5" spans="2:12">
      <c r="B1065" s="879"/>
      <c r="C1065" s="878"/>
      <c r="D1065" s="33" t="s">
        <v>207</v>
      </c>
      <c r="E1065" s="743" t="s">
        <v>59</v>
      </c>
      <c r="F1065" s="881"/>
      <c r="G1065" s="29"/>
      <c r="H1065" s="144"/>
      <c r="I1065" s="29"/>
      <c r="J1065" s="29"/>
      <c r="K1065" s="6"/>
      <c r="L1065" s="6"/>
    </row>
    <row r="1066" ht="16.5" spans="2:12">
      <c r="B1066" s="879"/>
      <c r="C1066" s="878"/>
      <c r="D1066" s="33" t="s">
        <v>420</v>
      </c>
      <c r="E1066" s="743" t="s">
        <v>59</v>
      </c>
      <c r="F1066" s="881"/>
      <c r="G1066" s="29"/>
      <c r="H1066" s="144"/>
      <c r="I1066" s="29"/>
      <c r="J1066" s="29"/>
      <c r="K1066" s="6"/>
      <c r="L1066" s="6"/>
    </row>
    <row r="1067" ht="16.5" spans="2:12">
      <c r="B1067" s="879"/>
      <c r="C1067" s="878"/>
      <c r="D1067" s="33" t="s">
        <v>421</v>
      </c>
      <c r="E1067" s="743" t="s">
        <v>59</v>
      </c>
      <c r="F1067" s="881"/>
      <c r="G1067" s="29"/>
      <c r="H1067" s="144"/>
      <c r="I1067" s="29"/>
      <c r="J1067" s="29"/>
      <c r="K1067" s="6"/>
      <c r="L1067" s="6"/>
    </row>
    <row r="1068" ht="16.5" spans="2:12">
      <c r="B1068" s="879"/>
      <c r="C1068" s="878">
        <v>6</v>
      </c>
      <c r="D1068" s="28" t="s">
        <v>422</v>
      </c>
      <c r="E1068" s="743"/>
      <c r="F1068" s="881"/>
      <c r="G1068" s="29"/>
      <c r="H1068" s="144"/>
      <c r="I1068" s="29"/>
      <c r="J1068" s="29"/>
      <c r="K1068" s="6"/>
      <c r="L1068" s="6"/>
    </row>
    <row r="1069" ht="16.5" spans="2:12">
      <c r="B1069" s="879"/>
      <c r="C1069" s="878"/>
      <c r="D1069" s="33" t="s">
        <v>423</v>
      </c>
      <c r="E1069" s="743" t="s">
        <v>59</v>
      </c>
      <c r="F1069" s="881"/>
      <c r="G1069" s="29"/>
      <c r="H1069" s="144"/>
      <c r="I1069" s="29"/>
      <c r="J1069" s="29"/>
      <c r="K1069" s="6"/>
      <c r="L1069" s="6"/>
    </row>
    <row r="1070" ht="16.5" spans="2:12">
      <c r="B1070" s="879"/>
      <c r="C1070" s="878"/>
      <c r="D1070" s="33" t="s">
        <v>209</v>
      </c>
      <c r="E1070" s="743" t="s">
        <v>59</v>
      </c>
      <c r="F1070" s="881"/>
      <c r="G1070" s="29"/>
      <c r="H1070" s="144"/>
      <c r="I1070" s="29"/>
      <c r="J1070" s="29"/>
      <c r="K1070" s="6"/>
      <c r="L1070" s="6"/>
    </row>
    <row r="1071" ht="16.5" spans="2:12">
      <c r="B1071" s="879"/>
      <c r="C1071" s="878"/>
      <c r="D1071" s="33" t="s">
        <v>424</v>
      </c>
      <c r="E1071" s="743" t="s">
        <v>59</v>
      </c>
      <c r="F1071" s="881"/>
      <c r="G1071" s="29"/>
      <c r="H1071" s="144"/>
      <c r="I1071" s="29"/>
      <c r="J1071" s="29"/>
      <c r="K1071" s="6"/>
      <c r="L1071" s="6"/>
    </row>
    <row r="1072" ht="16.5" spans="2:12">
      <c r="B1072" s="879"/>
      <c r="C1072" s="878"/>
      <c r="D1072" s="33" t="s">
        <v>425</v>
      </c>
      <c r="E1072" s="743" t="s">
        <v>59</v>
      </c>
      <c r="F1072" s="881"/>
      <c r="G1072" s="29"/>
      <c r="H1072" s="144"/>
      <c r="I1072" s="29"/>
      <c r="J1072" s="29"/>
      <c r="K1072" s="6"/>
      <c r="L1072" s="6"/>
    </row>
    <row r="1073" ht="16.5" spans="2:12">
      <c r="B1073" s="879"/>
      <c r="C1073" s="29">
        <v>7</v>
      </c>
      <c r="D1073" s="28" t="s">
        <v>258</v>
      </c>
      <c r="E1073" s="743"/>
      <c r="F1073" s="881"/>
      <c r="G1073" s="29"/>
      <c r="H1073" s="144"/>
      <c r="I1073" s="29"/>
      <c r="J1073" s="29"/>
      <c r="K1073" s="6"/>
      <c r="L1073" s="6"/>
    </row>
    <row r="1074" ht="16.5" spans="2:12">
      <c r="B1074" s="879"/>
      <c r="C1074" s="29"/>
      <c r="D1074" s="882" t="s">
        <v>426</v>
      </c>
      <c r="E1074" s="743"/>
      <c r="F1074" s="881"/>
      <c r="G1074" s="29"/>
      <c r="H1074" s="144"/>
      <c r="I1074" s="29"/>
      <c r="J1074" s="29"/>
      <c r="K1074" s="6"/>
      <c r="L1074" s="6"/>
    </row>
    <row r="1075" ht="16.5" spans="2:12">
      <c r="B1075" s="879"/>
      <c r="C1075" s="29"/>
      <c r="D1075" s="882" t="s">
        <v>427</v>
      </c>
      <c r="E1075" s="743"/>
      <c r="F1075" s="881"/>
      <c r="G1075" s="29"/>
      <c r="H1075" s="144"/>
      <c r="I1075" s="29"/>
      <c r="J1075" s="29"/>
      <c r="K1075" s="6"/>
      <c r="L1075" s="6"/>
    </row>
    <row r="1076" ht="16.5" spans="2:12">
      <c r="B1076" s="879"/>
      <c r="C1076" s="29"/>
      <c r="D1076" s="33" t="s">
        <v>421</v>
      </c>
      <c r="E1076" s="743"/>
      <c r="F1076" s="881"/>
      <c r="G1076" s="29"/>
      <c r="H1076" s="144"/>
      <c r="I1076" s="29"/>
      <c r="J1076" s="29"/>
      <c r="K1076" s="6"/>
      <c r="L1076" s="6"/>
    </row>
    <row r="1077" ht="16.5" spans="2:12">
      <c r="B1077" s="6"/>
      <c r="C1077" s="7"/>
      <c r="E1077" s="7"/>
      <c r="F1077" s="876"/>
      <c r="G1077" s="7"/>
      <c r="H1077" s="6"/>
      <c r="I1077" s="7"/>
      <c r="J1077" s="7"/>
      <c r="K1077" s="6"/>
      <c r="L1077" s="6"/>
    </row>
    <row r="1078" ht="20" spans="2:12">
      <c r="B1078" s="6"/>
      <c r="C1078" s="7"/>
      <c r="D1078" s="883" t="s">
        <v>428</v>
      </c>
      <c r="E1078" s="7"/>
      <c r="F1078" s="876"/>
      <c r="G1078" s="7"/>
      <c r="H1078" s="6"/>
      <c r="I1078" s="7"/>
      <c r="J1078" s="7"/>
      <c r="K1078" s="6"/>
      <c r="L1078" s="6"/>
    </row>
    <row r="1079" ht="20" spans="2:12">
      <c r="B1079" s="6"/>
      <c r="C1079" s="7"/>
      <c r="D1079" s="883" t="s">
        <v>429</v>
      </c>
      <c r="E1079" s="7"/>
      <c r="F1079" s="876"/>
      <c r="G1079" s="7"/>
      <c r="H1079" s="6"/>
      <c r="I1079" s="7"/>
      <c r="J1079" s="7"/>
      <c r="K1079" s="6"/>
      <c r="L1079" s="6"/>
    </row>
    <row r="1080" ht="16.5" spans="2:12">
      <c r="B1080" s="6"/>
      <c r="C1080" s="7"/>
      <c r="E1080" s="7"/>
      <c r="F1080" s="876"/>
      <c r="G1080" s="7"/>
      <c r="H1080" s="6"/>
      <c r="I1080" s="7"/>
      <c r="J1080" s="7"/>
      <c r="K1080" s="6"/>
      <c r="L1080" s="6"/>
    </row>
    <row r="1081" ht="16.5" spans="2:12">
      <c r="B1081" s="6"/>
      <c r="C1081" s="7"/>
      <c r="E1081" s="7"/>
      <c r="F1081" s="876"/>
      <c r="G1081" s="7"/>
      <c r="H1081" s="6"/>
      <c r="I1081" s="7"/>
      <c r="J1081" s="7"/>
      <c r="K1081" s="6"/>
      <c r="L1081" s="6"/>
    </row>
    <row r="1082" ht="16.5" spans="2:12">
      <c r="B1082" s="6"/>
      <c r="C1082" s="7"/>
      <c r="E1082" s="7"/>
      <c r="F1082" s="876"/>
      <c r="G1082" s="7"/>
      <c r="H1082" s="6"/>
      <c r="I1082" s="7"/>
      <c r="J1082" s="7"/>
      <c r="K1082" s="6"/>
      <c r="L1082" s="6"/>
    </row>
  </sheetData>
  <mergeCells count="12">
    <mergeCell ref="B4:B32"/>
    <mergeCell ref="B33:B192"/>
    <mergeCell ref="B193:B222"/>
    <mergeCell ref="B223:B378"/>
    <mergeCell ref="B379:B850"/>
    <mergeCell ref="B851:B974"/>
    <mergeCell ref="B975:B1047"/>
    <mergeCell ref="B1050:B1057"/>
    <mergeCell ref="C254:C255"/>
    <mergeCell ref="D254:D255"/>
    <mergeCell ref="K5:K7"/>
    <mergeCell ref="K490:K499"/>
  </mergeCells>
  <dataValidations count="5">
    <dataValidation type="list" allowBlank="1" showInputMessage="1" showErrorMessage="1" sqref="I220">
      <formula1>$D$1059:$D$1060</formula1>
    </dataValidation>
    <dataValidation type="list" allowBlank="1" showInputMessage="1" showErrorMessage="1" sqref="I224">
      <formula1>$D$1062:$D$1063</formula1>
    </dataValidation>
    <dataValidation type="list" allowBlank="1" showInputMessage="1" showErrorMessage="1" sqref="I254">
      <formula1>$D$1065:$D$1067</formula1>
    </dataValidation>
    <dataValidation type="list" allowBlank="1" showInputMessage="1" showErrorMessage="1" sqref="I255">
      <formula1>$D$1069:$D$1072</formula1>
    </dataValidation>
    <dataValidation type="list" allowBlank="1" showInputMessage="1" showErrorMessage="1" sqref="I358">
      <formula1>$D$1056:$D$1057</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BC128"/>
  <sheetViews>
    <sheetView showGridLines="0" zoomScale="70" zoomScaleNormal="70" workbookViewId="0">
      <selection activeCell="J8" sqref="J8"/>
    </sheetView>
  </sheetViews>
  <sheetFormatPr defaultColWidth="8.89090909090909" defaultRowHeight="16.5"/>
  <cols>
    <col min="1" max="1" width="3.10909090909091" style="6" customWidth="1"/>
    <col min="2" max="2" width="60.5545454545455" style="7" customWidth="1"/>
    <col min="3" max="3" width="15.7818181818182" style="7" customWidth="1"/>
    <col min="4" max="53" width="17.1090909090909" style="6" customWidth="1"/>
    <col min="54" max="54" width="15.7818181818182" style="6" customWidth="1"/>
    <col min="55" max="55" width="13.6272727272727" style="6"/>
    <col min="56" max="16383" width="8.89090909090909" style="6"/>
  </cols>
  <sheetData>
    <row r="1" ht="20.4" customHeight="1"/>
    <row r="2" ht="24.6" customHeight="1"/>
    <row r="3" ht="24.6" customHeight="1" spans="2:55">
      <c r="B3" s="698" t="s">
        <v>430</v>
      </c>
      <c r="C3" s="699" t="s">
        <v>431</v>
      </c>
      <c r="D3" s="700" t="s">
        <v>13</v>
      </c>
      <c r="E3" s="701"/>
      <c r="F3" s="701"/>
      <c r="G3" s="701"/>
      <c r="H3" s="701"/>
      <c r="I3" s="701"/>
      <c r="J3" s="701"/>
      <c r="K3" s="701"/>
      <c r="L3" s="701"/>
      <c r="M3" s="702"/>
      <c r="N3" s="703" t="s">
        <v>432</v>
      </c>
      <c r="O3" s="703"/>
      <c r="P3" s="703"/>
      <c r="Q3" s="703"/>
      <c r="R3" s="703"/>
      <c r="S3" s="703"/>
      <c r="T3" s="703"/>
      <c r="U3" s="703"/>
      <c r="V3" s="703"/>
      <c r="W3" s="703"/>
      <c r="X3" s="703"/>
      <c r="Y3" s="703"/>
      <c r="Z3" s="703"/>
      <c r="AA3" s="703"/>
      <c r="AB3" s="703"/>
      <c r="AC3" s="703"/>
      <c r="AD3" s="703"/>
      <c r="AE3" s="703"/>
      <c r="AF3" s="703"/>
      <c r="AG3" s="703"/>
      <c r="AH3" s="703"/>
      <c r="AI3" s="703"/>
      <c r="AJ3" s="703"/>
      <c r="AK3" s="703"/>
      <c r="AL3" s="703"/>
      <c r="AM3" s="703"/>
      <c r="AN3" s="703"/>
      <c r="AO3" s="703"/>
      <c r="AP3" s="703"/>
      <c r="AQ3" s="703"/>
      <c r="AR3" s="703"/>
      <c r="AS3" s="703"/>
      <c r="AT3" s="703"/>
      <c r="AU3" s="703"/>
      <c r="AV3" s="703"/>
      <c r="AW3" s="703"/>
      <c r="AX3" s="703"/>
      <c r="AY3" s="703"/>
      <c r="AZ3" s="703"/>
      <c r="BA3" s="703"/>
      <c r="BB3" s="704"/>
      <c r="BC3" s="699" t="s">
        <v>433</v>
      </c>
    </row>
    <row r="4" ht="28.8" customHeight="1" spans="2:55">
      <c r="B4" s="698" t="s">
        <v>434</v>
      </c>
      <c r="C4" s="705">
        <f>参数输入表!I5</f>
        <v>44958</v>
      </c>
      <c r="D4" s="706">
        <v>45016</v>
      </c>
      <c r="E4" s="706">
        <v>45291</v>
      </c>
      <c r="F4" s="706">
        <v>45657</v>
      </c>
      <c r="G4" s="706">
        <v>46022</v>
      </c>
      <c r="H4" s="706">
        <v>46387</v>
      </c>
      <c r="I4" s="706">
        <v>46752</v>
      </c>
      <c r="J4" s="706">
        <v>47118</v>
      </c>
      <c r="K4" s="707">
        <v>47361</v>
      </c>
      <c r="L4" s="707">
        <v>47483</v>
      </c>
      <c r="M4" s="708">
        <v>47695</v>
      </c>
      <c r="N4" s="709">
        <f>参数输入表!I250</f>
        <v>47726</v>
      </c>
      <c r="O4" s="707">
        <v>47848</v>
      </c>
      <c r="P4" s="710">
        <v>48213</v>
      </c>
      <c r="Q4" s="710">
        <v>48579</v>
      </c>
      <c r="R4" s="710">
        <v>48944</v>
      </c>
      <c r="S4" s="710">
        <v>49309</v>
      </c>
      <c r="T4" s="710">
        <v>49674</v>
      </c>
      <c r="U4" s="710">
        <v>50040</v>
      </c>
      <c r="V4" s="710">
        <v>50405</v>
      </c>
      <c r="W4" s="710">
        <v>50770</v>
      </c>
      <c r="X4" s="710">
        <v>51135</v>
      </c>
      <c r="Y4" s="710">
        <v>51501</v>
      </c>
      <c r="Z4" s="710">
        <v>51866</v>
      </c>
      <c r="AA4" s="710">
        <v>52231</v>
      </c>
      <c r="AB4" s="710">
        <v>52596</v>
      </c>
      <c r="AC4" s="710">
        <v>52962</v>
      </c>
      <c r="AD4" s="710">
        <v>53327</v>
      </c>
      <c r="AE4" s="710">
        <v>53692</v>
      </c>
      <c r="AF4" s="710">
        <v>54057</v>
      </c>
      <c r="AG4" s="710">
        <v>54423</v>
      </c>
      <c r="AH4" s="710">
        <v>54788</v>
      </c>
      <c r="AI4" s="710">
        <v>55153</v>
      </c>
      <c r="AJ4" s="710">
        <v>55518</v>
      </c>
      <c r="AK4" s="710">
        <v>55884</v>
      </c>
      <c r="AL4" s="710">
        <v>56249</v>
      </c>
      <c r="AM4" s="710">
        <v>56614</v>
      </c>
      <c r="AN4" s="710">
        <v>56979</v>
      </c>
      <c r="AO4" s="710">
        <v>57345</v>
      </c>
      <c r="AP4" s="710">
        <v>57710</v>
      </c>
      <c r="AQ4" s="710">
        <v>58075</v>
      </c>
      <c r="AR4" s="710">
        <v>58440</v>
      </c>
      <c r="AS4" s="710">
        <v>58806</v>
      </c>
      <c r="AT4" s="710">
        <v>59171</v>
      </c>
      <c r="AU4" s="710">
        <v>59536</v>
      </c>
      <c r="AV4" s="710">
        <v>59901</v>
      </c>
      <c r="AW4" s="710">
        <v>60267</v>
      </c>
      <c r="AX4" s="710">
        <v>60632</v>
      </c>
      <c r="AY4" s="710">
        <v>60997</v>
      </c>
      <c r="AZ4" s="710">
        <v>61362</v>
      </c>
      <c r="BA4" s="710">
        <v>61728</v>
      </c>
      <c r="BB4" s="710">
        <v>62093</v>
      </c>
      <c r="BC4" s="705">
        <f>参数输入表!I28</f>
        <v>62305</v>
      </c>
    </row>
    <row r="5" ht="28.8" customHeight="1" spans="2:55">
      <c r="B5" s="698" t="s">
        <v>435</v>
      </c>
      <c r="C5" s="29">
        <v>0</v>
      </c>
      <c r="D5" s="29">
        <f t="shared" ref="D5:O5" si="0">ROUND(DATEDIF(C4,D4,"d")/30,0)</f>
        <v>2</v>
      </c>
      <c r="E5" s="29">
        <f t="shared" si="0"/>
        <v>9</v>
      </c>
      <c r="F5" s="29">
        <f t="shared" si="0"/>
        <v>12</v>
      </c>
      <c r="G5" s="29">
        <f t="shared" si="0"/>
        <v>12</v>
      </c>
      <c r="H5" s="29">
        <f t="shared" si="0"/>
        <v>12</v>
      </c>
      <c r="I5" s="29">
        <f t="shared" si="0"/>
        <v>12</v>
      </c>
      <c r="J5" s="29">
        <f t="shared" si="0"/>
        <v>12</v>
      </c>
      <c r="K5" s="29">
        <f t="shared" si="0"/>
        <v>8</v>
      </c>
      <c r="L5" s="29">
        <f t="shared" si="0"/>
        <v>4</v>
      </c>
      <c r="M5" s="29">
        <f t="shared" si="0"/>
        <v>7</v>
      </c>
      <c r="N5" s="80">
        <f t="shared" si="0"/>
        <v>1</v>
      </c>
      <c r="O5" s="29">
        <f t="shared" si="0"/>
        <v>4</v>
      </c>
      <c r="P5" s="29">
        <f t="shared" ref="O5:BC5" si="1">ROUND(DATEDIF(O4,P4,"d")/30,0)</f>
        <v>12</v>
      </c>
      <c r="Q5" s="29">
        <f t="shared" si="1"/>
        <v>12</v>
      </c>
      <c r="R5" s="29">
        <f t="shared" si="1"/>
        <v>12</v>
      </c>
      <c r="S5" s="29">
        <f t="shared" si="1"/>
        <v>12</v>
      </c>
      <c r="T5" s="29">
        <f t="shared" si="1"/>
        <v>12</v>
      </c>
      <c r="U5" s="29">
        <f t="shared" si="1"/>
        <v>12</v>
      </c>
      <c r="V5" s="29">
        <f t="shared" si="1"/>
        <v>12</v>
      </c>
      <c r="W5" s="29">
        <f t="shared" si="1"/>
        <v>12</v>
      </c>
      <c r="X5" s="29">
        <f t="shared" si="1"/>
        <v>12</v>
      </c>
      <c r="Y5" s="29">
        <f t="shared" si="1"/>
        <v>12</v>
      </c>
      <c r="Z5" s="29">
        <f t="shared" si="1"/>
        <v>12</v>
      </c>
      <c r="AA5" s="29">
        <f t="shared" si="1"/>
        <v>12</v>
      </c>
      <c r="AB5" s="29">
        <f t="shared" si="1"/>
        <v>12</v>
      </c>
      <c r="AC5" s="29">
        <f t="shared" si="1"/>
        <v>12</v>
      </c>
      <c r="AD5" s="29">
        <f t="shared" si="1"/>
        <v>12</v>
      </c>
      <c r="AE5" s="29">
        <f t="shared" si="1"/>
        <v>12</v>
      </c>
      <c r="AF5" s="29">
        <f t="shared" si="1"/>
        <v>12</v>
      </c>
      <c r="AG5" s="29">
        <f t="shared" si="1"/>
        <v>12</v>
      </c>
      <c r="AH5" s="29">
        <f t="shared" si="1"/>
        <v>12</v>
      </c>
      <c r="AI5" s="29">
        <f t="shared" si="1"/>
        <v>12</v>
      </c>
      <c r="AJ5" s="29">
        <f t="shared" si="1"/>
        <v>12</v>
      </c>
      <c r="AK5" s="29">
        <f t="shared" si="1"/>
        <v>12</v>
      </c>
      <c r="AL5" s="29">
        <f t="shared" si="1"/>
        <v>12</v>
      </c>
      <c r="AM5" s="29">
        <f t="shared" si="1"/>
        <v>12</v>
      </c>
      <c r="AN5" s="29">
        <f t="shared" si="1"/>
        <v>12</v>
      </c>
      <c r="AO5" s="29">
        <f t="shared" si="1"/>
        <v>12</v>
      </c>
      <c r="AP5" s="29">
        <f t="shared" si="1"/>
        <v>12</v>
      </c>
      <c r="AQ5" s="29">
        <f t="shared" si="1"/>
        <v>12</v>
      </c>
      <c r="AR5" s="29">
        <f t="shared" si="1"/>
        <v>12</v>
      </c>
      <c r="AS5" s="29">
        <f t="shared" si="1"/>
        <v>12</v>
      </c>
      <c r="AT5" s="29">
        <f t="shared" si="1"/>
        <v>12</v>
      </c>
      <c r="AU5" s="29">
        <f t="shared" si="1"/>
        <v>12</v>
      </c>
      <c r="AV5" s="29">
        <f t="shared" si="1"/>
        <v>12</v>
      </c>
      <c r="AW5" s="29">
        <f t="shared" si="1"/>
        <v>12</v>
      </c>
      <c r="AX5" s="29">
        <f t="shared" si="1"/>
        <v>12</v>
      </c>
      <c r="AY5" s="29">
        <f t="shared" si="1"/>
        <v>12</v>
      </c>
      <c r="AZ5" s="29">
        <f t="shared" si="1"/>
        <v>12</v>
      </c>
      <c r="BA5" s="29">
        <f t="shared" si="1"/>
        <v>12</v>
      </c>
      <c r="BB5" s="29">
        <f t="shared" si="1"/>
        <v>12</v>
      </c>
      <c r="BC5" s="29">
        <f t="shared" si="1"/>
        <v>7</v>
      </c>
    </row>
    <row r="6" s="4" customFormat="1" ht="28.8" customHeight="1" spans="2:55">
      <c r="B6" s="698" t="s">
        <v>436</v>
      </c>
      <c r="C6" s="29">
        <f t="shared" ref="C6:P6" si="2">YEAR(C4)</f>
        <v>2023</v>
      </c>
      <c r="D6" s="29">
        <f t="shared" si="2"/>
        <v>2023</v>
      </c>
      <c r="E6" s="29">
        <f t="shared" si="2"/>
        <v>2023</v>
      </c>
      <c r="F6" s="29">
        <f t="shared" si="2"/>
        <v>2024</v>
      </c>
      <c r="G6" s="29">
        <f t="shared" si="2"/>
        <v>2025</v>
      </c>
      <c r="H6" s="29">
        <f t="shared" si="2"/>
        <v>2026</v>
      </c>
      <c r="I6" s="29">
        <f t="shared" si="2"/>
        <v>2027</v>
      </c>
      <c r="J6" s="29">
        <f t="shared" si="2"/>
        <v>2028</v>
      </c>
      <c r="K6" s="29">
        <f t="shared" si="2"/>
        <v>2029</v>
      </c>
      <c r="L6" s="29">
        <f t="shared" si="2"/>
        <v>2029</v>
      </c>
      <c r="M6" s="29">
        <f t="shared" si="2"/>
        <v>2030</v>
      </c>
      <c r="N6" s="80">
        <f t="shared" si="2"/>
        <v>2030</v>
      </c>
      <c r="O6" s="29">
        <f t="shared" si="2"/>
        <v>2030</v>
      </c>
      <c r="P6" s="29">
        <f t="shared" si="2"/>
        <v>2031</v>
      </c>
      <c r="Q6" s="29">
        <f t="shared" ref="O6:AI6" si="3">YEAR(Q4)</f>
        <v>2032</v>
      </c>
      <c r="R6" s="29">
        <f t="shared" si="3"/>
        <v>2033</v>
      </c>
      <c r="S6" s="29">
        <f t="shared" si="3"/>
        <v>2034</v>
      </c>
      <c r="T6" s="29">
        <f t="shared" si="3"/>
        <v>2035</v>
      </c>
      <c r="U6" s="29">
        <f t="shared" si="3"/>
        <v>2036</v>
      </c>
      <c r="V6" s="29">
        <f t="shared" si="3"/>
        <v>2037</v>
      </c>
      <c r="W6" s="29">
        <f t="shared" si="3"/>
        <v>2038</v>
      </c>
      <c r="X6" s="29">
        <f t="shared" si="3"/>
        <v>2039</v>
      </c>
      <c r="Y6" s="29">
        <f t="shared" si="3"/>
        <v>2040</v>
      </c>
      <c r="Z6" s="29">
        <f t="shared" si="3"/>
        <v>2041</v>
      </c>
      <c r="AA6" s="29">
        <f t="shared" si="3"/>
        <v>2042</v>
      </c>
      <c r="AB6" s="29">
        <f t="shared" si="3"/>
        <v>2043</v>
      </c>
      <c r="AC6" s="29">
        <f t="shared" si="3"/>
        <v>2044</v>
      </c>
      <c r="AD6" s="29">
        <f t="shared" si="3"/>
        <v>2045</v>
      </c>
      <c r="AE6" s="29">
        <f t="shared" si="3"/>
        <v>2046</v>
      </c>
      <c r="AF6" s="29">
        <f t="shared" si="3"/>
        <v>2047</v>
      </c>
      <c r="AG6" s="29">
        <f t="shared" si="3"/>
        <v>2048</v>
      </c>
      <c r="AH6" s="29">
        <f t="shared" si="3"/>
        <v>2049</v>
      </c>
      <c r="AI6" s="29">
        <f t="shared" si="3"/>
        <v>2050</v>
      </c>
      <c r="AJ6" s="29">
        <f t="shared" ref="AJ6:BC6" si="4">YEAR(AJ4)</f>
        <v>2051</v>
      </c>
      <c r="AK6" s="29">
        <f t="shared" si="4"/>
        <v>2052</v>
      </c>
      <c r="AL6" s="29">
        <f t="shared" si="4"/>
        <v>2053</v>
      </c>
      <c r="AM6" s="29">
        <f t="shared" si="4"/>
        <v>2054</v>
      </c>
      <c r="AN6" s="29">
        <f t="shared" si="4"/>
        <v>2055</v>
      </c>
      <c r="AO6" s="29">
        <f t="shared" si="4"/>
        <v>2056</v>
      </c>
      <c r="AP6" s="29">
        <f t="shared" si="4"/>
        <v>2057</v>
      </c>
      <c r="AQ6" s="29">
        <f t="shared" si="4"/>
        <v>2058</v>
      </c>
      <c r="AR6" s="29">
        <f t="shared" si="4"/>
        <v>2059</v>
      </c>
      <c r="AS6" s="29">
        <f t="shared" si="4"/>
        <v>2060</v>
      </c>
      <c r="AT6" s="29">
        <f t="shared" si="4"/>
        <v>2061</v>
      </c>
      <c r="AU6" s="29">
        <f t="shared" si="4"/>
        <v>2062</v>
      </c>
      <c r="AV6" s="29">
        <f t="shared" si="4"/>
        <v>2063</v>
      </c>
      <c r="AW6" s="29">
        <f t="shared" si="4"/>
        <v>2064</v>
      </c>
      <c r="AX6" s="29">
        <f t="shared" si="4"/>
        <v>2065</v>
      </c>
      <c r="AY6" s="29">
        <f t="shared" si="4"/>
        <v>2066</v>
      </c>
      <c r="AZ6" s="29">
        <f t="shared" si="4"/>
        <v>2067</v>
      </c>
      <c r="BA6" s="29">
        <f t="shared" si="4"/>
        <v>2068</v>
      </c>
      <c r="BB6" s="29">
        <f t="shared" si="4"/>
        <v>2069</v>
      </c>
      <c r="BC6" s="29">
        <f t="shared" si="4"/>
        <v>2070</v>
      </c>
    </row>
    <row r="7" ht="28.8" customHeight="1" spans="2:55">
      <c r="B7" s="698" t="s">
        <v>437</v>
      </c>
      <c r="C7" s="648">
        <v>2023</v>
      </c>
      <c r="D7" s="648">
        <v>2024</v>
      </c>
      <c r="E7" s="648">
        <v>2025</v>
      </c>
      <c r="F7" s="648">
        <v>2026</v>
      </c>
      <c r="G7" s="648">
        <v>2027</v>
      </c>
      <c r="H7" s="648">
        <v>2028</v>
      </c>
      <c r="I7" s="648">
        <v>2029</v>
      </c>
      <c r="J7" s="648">
        <v>2030</v>
      </c>
      <c r="K7" s="648">
        <v>2031</v>
      </c>
      <c r="L7" s="648">
        <v>2032</v>
      </c>
      <c r="M7" s="648">
        <v>2033</v>
      </c>
      <c r="N7" s="208">
        <v>2034</v>
      </c>
      <c r="O7" s="648">
        <v>2035</v>
      </c>
      <c r="P7" s="648">
        <v>2036</v>
      </c>
      <c r="Q7" s="648">
        <v>2037</v>
      </c>
      <c r="R7" s="648">
        <v>2038</v>
      </c>
      <c r="S7" s="648">
        <v>2039</v>
      </c>
      <c r="T7" s="648">
        <v>2040</v>
      </c>
      <c r="U7" s="648">
        <v>2041</v>
      </c>
      <c r="V7" s="648">
        <v>2042</v>
      </c>
      <c r="W7" s="648">
        <v>2043</v>
      </c>
      <c r="X7" s="648">
        <v>2044</v>
      </c>
      <c r="Y7" s="648">
        <v>2045</v>
      </c>
      <c r="Z7" s="648">
        <v>2046</v>
      </c>
      <c r="AA7" s="648">
        <v>2047</v>
      </c>
      <c r="AB7" s="648">
        <v>2048</v>
      </c>
      <c r="AC7" s="648">
        <v>2049</v>
      </c>
      <c r="AD7" s="648">
        <v>2050</v>
      </c>
      <c r="AE7" s="648">
        <v>2051</v>
      </c>
      <c r="AF7" s="648">
        <v>2052</v>
      </c>
      <c r="AG7" s="648">
        <v>2053</v>
      </c>
      <c r="AH7" s="648">
        <v>2054</v>
      </c>
      <c r="AI7" s="648">
        <v>2055</v>
      </c>
      <c r="AJ7" s="648">
        <v>2056</v>
      </c>
      <c r="AK7" s="648">
        <v>2057</v>
      </c>
      <c r="AL7" s="648">
        <v>2058</v>
      </c>
      <c r="AM7" s="648">
        <v>2059</v>
      </c>
      <c r="AN7" s="648">
        <v>2060</v>
      </c>
      <c r="AO7" s="648">
        <v>2061</v>
      </c>
      <c r="AP7" s="648">
        <v>2062</v>
      </c>
      <c r="AQ7" s="648">
        <v>2063</v>
      </c>
      <c r="AR7" s="648">
        <v>2064</v>
      </c>
      <c r="AS7" s="648">
        <v>2065</v>
      </c>
      <c r="AT7" s="648">
        <v>2066</v>
      </c>
      <c r="AU7" s="648">
        <v>2067</v>
      </c>
      <c r="AV7" s="648">
        <v>2068</v>
      </c>
      <c r="AW7" s="648">
        <v>2069</v>
      </c>
      <c r="AX7" s="648">
        <v>2070</v>
      </c>
    </row>
    <row r="8" ht="28.8" customHeight="1" spans="2:55">
      <c r="B8" s="698" t="s">
        <v>438</v>
      </c>
      <c r="C8" s="29">
        <f t="shared" ref="C8:M8" si="5">SUMIF($C$6:$BC$6,C7,$C$5:$BC$5)</f>
        <v>11</v>
      </c>
      <c r="D8" s="29">
        <f t="shared" si="5"/>
        <v>12</v>
      </c>
      <c r="E8" s="29">
        <f t="shared" si="5"/>
        <v>12</v>
      </c>
      <c r="F8" s="29">
        <f t="shared" si="5"/>
        <v>12</v>
      </c>
      <c r="G8" s="29">
        <f t="shared" si="5"/>
        <v>12</v>
      </c>
      <c r="H8" s="29">
        <f t="shared" si="5"/>
        <v>12</v>
      </c>
      <c r="I8" s="29">
        <f t="shared" si="5"/>
        <v>12</v>
      </c>
      <c r="J8" s="29">
        <f t="shared" si="5"/>
        <v>12</v>
      </c>
      <c r="K8" s="29">
        <f t="shared" si="5"/>
        <v>12</v>
      </c>
      <c r="L8" s="29">
        <f t="shared" si="5"/>
        <v>12</v>
      </c>
      <c r="M8" s="29">
        <f t="shared" si="5"/>
        <v>12</v>
      </c>
      <c r="N8" s="80">
        <f t="shared" ref="N8:AX8" si="6">SUMIF($C$6:$BC$6,N7,$C$5:$BC$5)</f>
        <v>12</v>
      </c>
      <c r="O8" s="29">
        <f t="shared" si="6"/>
        <v>12</v>
      </c>
      <c r="P8" s="29">
        <f t="shared" si="6"/>
        <v>12</v>
      </c>
      <c r="Q8" s="29">
        <f t="shared" si="6"/>
        <v>12</v>
      </c>
      <c r="R8" s="29">
        <f t="shared" si="6"/>
        <v>12</v>
      </c>
      <c r="S8" s="29">
        <f t="shared" si="6"/>
        <v>12</v>
      </c>
      <c r="T8" s="29">
        <f t="shared" si="6"/>
        <v>12</v>
      </c>
      <c r="U8" s="29">
        <f t="shared" si="6"/>
        <v>12</v>
      </c>
      <c r="V8" s="29">
        <f t="shared" si="6"/>
        <v>12</v>
      </c>
      <c r="W8" s="29">
        <f t="shared" si="6"/>
        <v>12</v>
      </c>
      <c r="X8" s="29">
        <f t="shared" si="6"/>
        <v>12</v>
      </c>
      <c r="Y8" s="29">
        <f t="shared" si="6"/>
        <v>12</v>
      </c>
      <c r="Z8" s="29">
        <f t="shared" si="6"/>
        <v>12</v>
      </c>
      <c r="AA8" s="29">
        <f t="shared" si="6"/>
        <v>12</v>
      </c>
      <c r="AB8" s="29">
        <f t="shared" si="6"/>
        <v>12</v>
      </c>
      <c r="AC8" s="29">
        <f t="shared" si="6"/>
        <v>12</v>
      </c>
      <c r="AD8" s="29">
        <f t="shared" si="6"/>
        <v>12</v>
      </c>
      <c r="AE8" s="29">
        <f t="shared" si="6"/>
        <v>12</v>
      </c>
      <c r="AF8" s="29">
        <f t="shared" si="6"/>
        <v>12</v>
      </c>
      <c r="AG8" s="29">
        <f t="shared" si="6"/>
        <v>12</v>
      </c>
      <c r="AH8" s="29">
        <f t="shared" si="6"/>
        <v>12</v>
      </c>
      <c r="AI8" s="29">
        <f t="shared" si="6"/>
        <v>12</v>
      </c>
      <c r="AJ8" s="29">
        <f t="shared" si="6"/>
        <v>12</v>
      </c>
      <c r="AK8" s="29">
        <f t="shared" si="6"/>
        <v>12</v>
      </c>
      <c r="AL8" s="29">
        <f t="shared" si="6"/>
        <v>12</v>
      </c>
      <c r="AM8" s="29">
        <f t="shared" si="6"/>
        <v>12</v>
      </c>
      <c r="AN8" s="29">
        <f t="shared" si="6"/>
        <v>12</v>
      </c>
      <c r="AO8" s="29">
        <f t="shared" si="6"/>
        <v>12</v>
      </c>
      <c r="AP8" s="29">
        <f t="shared" si="6"/>
        <v>12</v>
      </c>
      <c r="AQ8" s="29">
        <f t="shared" si="6"/>
        <v>12</v>
      </c>
      <c r="AR8" s="29">
        <f t="shared" si="6"/>
        <v>12</v>
      </c>
      <c r="AS8" s="29">
        <f t="shared" si="6"/>
        <v>12</v>
      </c>
      <c r="AT8" s="29">
        <f t="shared" si="6"/>
        <v>12</v>
      </c>
      <c r="AU8" s="29">
        <f t="shared" si="6"/>
        <v>12</v>
      </c>
      <c r="AV8" s="29">
        <f t="shared" si="6"/>
        <v>12</v>
      </c>
      <c r="AW8" s="29">
        <f t="shared" si="6"/>
        <v>12</v>
      </c>
      <c r="AX8" s="29">
        <f t="shared" si="6"/>
        <v>7</v>
      </c>
    </row>
    <row r="9" ht="28.8" customHeight="1"/>
    <row r="10" ht="28.8" customHeight="1" spans="2:55">
      <c r="B10" s="698" t="s">
        <v>430</v>
      </c>
      <c r="C10" s="699" t="s">
        <v>439</v>
      </c>
      <c r="D10" s="711"/>
      <c r="E10" s="712"/>
      <c r="F10" s="712"/>
      <c r="G10" s="712"/>
      <c r="H10" s="712"/>
      <c r="I10" s="712"/>
      <c r="J10" s="712"/>
      <c r="K10" s="712"/>
      <c r="L10" s="712"/>
      <c r="M10" s="712"/>
      <c r="N10" s="712"/>
      <c r="O10" s="712"/>
      <c r="P10" s="712"/>
      <c r="Q10" s="712"/>
      <c r="R10" s="712"/>
      <c r="S10" s="712"/>
      <c r="T10" s="712"/>
      <c r="U10" s="712"/>
      <c r="V10" s="712"/>
      <c r="W10" s="712"/>
      <c r="X10" s="712"/>
      <c r="Y10" s="712"/>
      <c r="Z10" s="712"/>
      <c r="AA10" s="712"/>
      <c r="AB10" s="712"/>
      <c r="AC10" s="712"/>
      <c r="AD10" s="712"/>
      <c r="AE10" s="712"/>
      <c r="AF10" s="712"/>
      <c r="AG10" s="712"/>
      <c r="AH10" s="712"/>
      <c r="AI10" s="712"/>
      <c r="AJ10" s="712"/>
      <c r="AK10" s="712"/>
      <c r="AL10" s="712"/>
      <c r="AM10" s="712"/>
      <c r="AN10" s="712"/>
      <c r="AO10" s="712"/>
      <c r="AP10" s="712"/>
      <c r="AQ10" s="712"/>
      <c r="AR10" s="713"/>
      <c r="AS10" s="699" t="s">
        <v>433</v>
      </c>
    </row>
    <row r="11" ht="28.8" customHeight="1" spans="2:55">
      <c r="B11" s="698" t="s">
        <v>440</v>
      </c>
      <c r="C11" s="705">
        <f>参数输入表!D36</f>
        <v>47150</v>
      </c>
      <c r="D11" s="706">
        <v>47483</v>
      </c>
      <c r="E11" s="706">
        <v>47848</v>
      </c>
      <c r="F11" s="706">
        <v>48213</v>
      </c>
      <c r="G11" s="706">
        <v>48579</v>
      </c>
      <c r="H11" s="706">
        <v>48944</v>
      </c>
      <c r="I11" s="706">
        <v>49309</v>
      </c>
      <c r="J11" s="706">
        <v>49674</v>
      </c>
      <c r="K11" s="706">
        <v>50040</v>
      </c>
      <c r="L11" s="706">
        <v>50405</v>
      </c>
      <c r="M11" s="706">
        <v>50770</v>
      </c>
      <c r="N11" s="706">
        <v>51135</v>
      </c>
      <c r="O11" s="706">
        <v>51501</v>
      </c>
      <c r="P11" s="706">
        <v>51866</v>
      </c>
      <c r="Q11" s="706">
        <v>52231</v>
      </c>
      <c r="R11" s="706">
        <v>52596</v>
      </c>
      <c r="S11" s="706">
        <v>52962</v>
      </c>
      <c r="T11" s="706">
        <v>53327</v>
      </c>
      <c r="U11" s="706">
        <v>53692</v>
      </c>
      <c r="V11" s="706">
        <v>54057</v>
      </c>
      <c r="W11" s="706">
        <v>54423</v>
      </c>
      <c r="X11" s="706">
        <v>54788</v>
      </c>
      <c r="Y11" s="706">
        <v>55153</v>
      </c>
      <c r="Z11" s="706">
        <v>55518</v>
      </c>
      <c r="AA11" s="706">
        <v>55884</v>
      </c>
      <c r="AB11" s="706">
        <v>56249</v>
      </c>
      <c r="AC11" s="706">
        <v>56614</v>
      </c>
      <c r="AD11" s="706">
        <v>56979</v>
      </c>
      <c r="AE11" s="706">
        <v>57345</v>
      </c>
      <c r="AF11" s="706">
        <v>57710</v>
      </c>
      <c r="AG11" s="706">
        <v>58075</v>
      </c>
      <c r="AH11" s="706">
        <v>58440</v>
      </c>
      <c r="AI11" s="706">
        <v>58806</v>
      </c>
      <c r="AJ11" s="706">
        <v>59171</v>
      </c>
      <c r="AK11" s="706">
        <v>59536</v>
      </c>
      <c r="AL11" s="706">
        <v>59901</v>
      </c>
      <c r="AM11" s="706">
        <v>60267</v>
      </c>
      <c r="AN11" s="706">
        <v>60632</v>
      </c>
      <c r="AO11" s="706">
        <v>60997</v>
      </c>
      <c r="AP11" s="706">
        <v>61362</v>
      </c>
      <c r="AQ11" s="706">
        <v>61728</v>
      </c>
      <c r="AR11" s="706">
        <v>62093</v>
      </c>
      <c r="AS11" s="705">
        <f>参数输入表!I28</f>
        <v>62305</v>
      </c>
    </row>
    <row r="12" ht="28.8" customHeight="1" spans="2:55">
      <c r="B12" s="698" t="s">
        <v>435</v>
      </c>
      <c r="C12" s="29">
        <v>0</v>
      </c>
      <c r="D12" s="29">
        <f>ROUND(DATEDIF(C11,D11,"d")/30,0)</f>
        <v>11</v>
      </c>
      <c r="E12" s="29">
        <f t="shared" ref="E12:AS12" si="7">ROUND(DATEDIF(D11,E11,"d")/30,0)</f>
        <v>12</v>
      </c>
      <c r="F12" s="29">
        <f t="shared" si="7"/>
        <v>12</v>
      </c>
      <c r="G12" s="29">
        <f t="shared" si="7"/>
        <v>12</v>
      </c>
      <c r="H12" s="29">
        <f t="shared" si="7"/>
        <v>12</v>
      </c>
      <c r="I12" s="29">
        <f t="shared" si="7"/>
        <v>12</v>
      </c>
      <c r="J12" s="29">
        <f t="shared" si="7"/>
        <v>12</v>
      </c>
      <c r="K12" s="29">
        <f t="shared" si="7"/>
        <v>12</v>
      </c>
      <c r="L12" s="29">
        <f t="shared" si="7"/>
        <v>12</v>
      </c>
      <c r="M12" s="29">
        <f t="shared" si="7"/>
        <v>12</v>
      </c>
      <c r="N12" s="29">
        <f t="shared" si="7"/>
        <v>12</v>
      </c>
      <c r="O12" s="29">
        <f t="shared" si="7"/>
        <v>12</v>
      </c>
      <c r="P12" s="29">
        <f t="shared" si="7"/>
        <v>12</v>
      </c>
      <c r="Q12" s="29">
        <f t="shared" si="7"/>
        <v>12</v>
      </c>
      <c r="R12" s="29">
        <f t="shared" si="7"/>
        <v>12</v>
      </c>
      <c r="S12" s="29">
        <f t="shared" si="7"/>
        <v>12</v>
      </c>
      <c r="T12" s="29">
        <f t="shared" si="7"/>
        <v>12</v>
      </c>
      <c r="U12" s="29">
        <f t="shared" si="7"/>
        <v>12</v>
      </c>
      <c r="V12" s="29">
        <f t="shared" si="7"/>
        <v>12</v>
      </c>
      <c r="W12" s="29">
        <f t="shared" si="7"/>
        <v>12</v>
      </c>
      <c r="X12" s="29">
        <f t="shared" si="7"/>
        <v>12</v>
      </c>
      <c r="Y12" s="29">
        <f t="shared" si="7"/>
        <v>12</v>
      </c>
      <c r="Z12" s="29">
        <f t="shared" si="7"/>
        <v>12</v>
      </c>
      <c r="AA12" s="29">
        <f t="shared" si="7"/>
        <v>12</v>
      </c>
      <c r="AB12" s="29">
        <f t="shared" si="7"/>
        <v>12</v>
      </c>
      <c r="AC12" s="29">
        <f t="shared" si="7"/>
        <v>12</v>
      </c>
      <c r="AD12" s="29">
        <f t="shared" si="7"/>
        <v>12</v>
      </c>
      <c r="AE12" s="29">
        <f t="shared" si="7"/>
        <v>12</v>
      </c>
      <c r="AF12" s="29">
        <f t="shared" si="7"/>
        <v>12</v>
      </c>
      <c r="AG12" s="29">
        <f t="shared" si="7"/>
        <v>12</v>
      </c>
      <c r="AH12" s="29">
        <f t="shared" si="7"/>
        <v>12</v>
      </c>
      <c r="AI12" s="29">
        <f t="shared" si="7"/>
        <v>12</v>
      </c>
      <c r="AJ12" s="29">
        <f t="shared" si="7"/>
        <v>12</v>
      </c>
      <c r="AK12" s="29">
        <f t="shared" si="7"/>
        <v>12</v>
      </c>
      <c r="AL12" s="29">
        <f t="shared" si="7"/>
        <v>12</v>
      </c>
      <c r="AM12" s="29">
        <f t="shared" si="7"/>
        <v>12</v>
      </c>
      <c r="AN12" s="29">
        <f t="shared" si="7"/>
        <v>12</v>
      </c>
      <c r="AO12" s="29">
        <f t="shared" si="7"/>
        <v>12</v>
      </c>
      <c r="AP12" s="29">
        <f t="shared" si="7"/>
        <v>12</v>
      </c>
      <c r="AQ12" s="29">
        <f t="shared" si="7"/>
        <v>12</v>
      </c>
      <c r="AR12" s="29">
        <f t="shared" si="7"/>
        <v>12</v>
      </c>
      <c r="AS12" s="29">
        <f t="shared" si="7"/>
        <v>7</v>
      </c>
    </row>
    <row r="13" ht="28.8" customHeight="1" spans="2:55">
      <c r="B13" s="698" t="s">
        <v>436</v>
      </c>
      <c r="C13" s="29">
        <f t="shared" ref="C13:AS13" si="8">YEAR(C11)</f>
        <v>2029</v>
      </c>
      <c r="D13" s="29">
        <f t="shared" si="8"/>
        <v>2029</v>
      </c>
      <c r="E13" s="29">
        <f t="shared" si="8"/>
        <v>2030</v>
      </c>
      <c r="F13" s="29">
        <f t="shared" si="8"/>
        <v>2031</v>
      </c>
      <c r="G13" s="29">
        <f t="shared" si="8"/>
        <v>2032</v>
      </c>
      <c r="H13" s="29">
        <f t="shared" si="8"/>
        <v>2033</v>
      </c>
      <c r="I13" s="29">
        <f t="shared" si="8"/>
        <v>2034</v>
      </c>
      <c r="J13" s="29">
        <f t="shared" si="8"/>
        <v>2035</v>
      </c>
      <c r="K13" s="29">
        <f t="shared" si="8"/>
        <v>2036</v>
      </c>
      <c r="L13" s="29">
        <f t="shared" si="8"/>
        <v>2037</v>
      </c>
      <c r="M13" s="29">
        <f t="shared" si="8"/>
        <v>2038</v>
      </c>
      <c r="N13" s="29">
        <f t="shared" si="8"/>
        <v>2039</v>
      </c>
      <c r="O13" s="29">
        <f t="shared" si="8"/>
        <v>2040</v>
      </c>
      <c r="P13" s="29">
        <f t="shared" si="8"/>
        <v>2041</v>
      </c>
      <c r="Q13" s="29">
        <f t="shared" si="8"/>
        <v>2042</v>
      </c>
      <c r="R13" s="29">
        <f t="shared" si="8"/>
        <v>2043</v>
      </c>
      <c r="S13" s="29">
        <f t="shared" si="8"/>
        <v>2044</v>
      </c>
      <c r="T13" s="29">
        <f t="shared" si="8"/>
        <v>2045</v>
      </c>
      <c r="U13" s="29">
        <f t="shared" si="8"/>
        <v>2046</v>
      </c>
      <c r="V13" s="29">
        <f t="shared" si="8"/>
        <v>2047</v>
      </c>
      <c r="W13" s="29">
        <f t="shared" si="8"/>
        <v>2048</v>
      </c>
      <c r="X13" s="29">
        <f t="shared" si="8"/>
        <v>2049</v>
      </c>
      <c r="Y13" s="29">
        <f t="shared" si="8"/>
        <v>2050</v>
      </c>
      <c r="Z13" s="29">
        <f t="shared" si="8"/>
        <v>2051</v>
      </c>
      <c r="AA13" s="29">
        <f t="shared" si="8"/>
        <v>2052</v>
      </c>
      <c r="AB13" s="29">
        <f t="shared" si="8"/>
        <v>2053</v>
      </c>
      <c r="AC13" s="29">
        <f t="shared" si="8"/>
        <v>2054</v>
      </c>
      <c r="AD13" s="29">
        <f t="shared" si="8"/>
        <v>2055</v>
      </c>
      <c r="AE13" s="29">
        <f t="shared" si="8"/>
        <v>2056</v>
      </c>
      <c r="AF13" s="29">
        <f t="shared" si="8"/>
        <v>2057</v>
      </c>
      <c r="AG13" s="29">
        <f t="shared" si="8"/>
        <v>2058</v>
      </c>
      <c r="AH13" s="29">
        <f t="shared" si="8"/>
        <v>2059</v>
      </c>
      <c r="AI13" s="29">
        <f t="shared" si="8"/>
        <v>2060</v>
      </c>
      <c r="AJ13" s="29">
        <f t="shared" si="8"/>
        <v>2061</v>
      </c>
      <c r="AK13" s="29">
        <f t="shared" si="8"/>
        <v>2062</v>
      </c>
      <c r="AL13" s="29">
        <f t="shared" si="8"/>
        <v>2063</v>
      </c>
      <c r="AM13" s="29">
        <f t="shared" si="8"/>
        <v>2064</v>
      </c>
      <c r="AN13" s="29">
        <f t="shared" si="8"/>
        <v>2065</v>
      </c>
      <c r="AO13" s="29">
        <f t="shared" si="8"/>
        <v>2066</v>
      </c>
      <c r="AP13" s="29">
        <f t="shared" si="8"/>
        <v>2067</v>
      </c>
      <c r="AQ13" s="29">
        <f t="shared" si="8"/>
        <v>2068</v>
      </c>
      <c r="AR13" s="29">
        <f t="shared" si="8"/>
        <v>2069</v>
      </c>
      <c r="AS13" s="29">
        <f t="shared" si="8"/>
        <v>2070</v>
      </c>
    </row>
    <row r="14" ht="28.8" customHeight="1" spans="2:55">
      <c r="B14" s="698" t="s">
        <v>437</v>
      </c>
      <c r="C14" s="648">
        <v>2029</v>
      </c>
      <c r="D14" s="648">
        <v>2030</v>
      </c>
      <c r="E14" s="648">
        <v>2031</v>
      </c>
      <c r="F14" s="648">
        <v>2032</v>
      </c>
      <c r="G14" s="648">
        <v>2033</v>
      </c>
      <c r="H14" s="648">
        <v>2034</v>
      </c>
      <c r="I14" s="648">
        <v>2035</v>
      </c>
      <c r="J14" s="648">
        <v>2036</v>
      </c>
      <c r="K14" s="648">
        <v>2037</v>
      </c>
      <c r="L14" s="648">
        <v>2038</v>
      </c>
      <c r="M14" s="648">
        <v>2039</v>
      </c>
      <c r="N14" s="648">
        <v>2040</v>
      </c>
      <c r="O14" s="648">
        <v>2041</v>
      </c>
      <c r="P14" s="648">
        <v>2042</v>
      </c>
      <c r="Q14" s="648">
        <v>2043</v>
      </c>
      <c r="R14" s="648">
        <v>2044</v>
      </c>
      <c r="S14" s="648">
        <v>2045</v>
      </c>
      <c r="T14" s="648">
        <v>2046</v>
      </c>
      <c r="U14" s="648">
        <v>2047</v>
      </c>
      <c r="V14" s="648">
        <v>2048</v>
      </c>
      <c r="W14" s="648">
        <v>2049</v>
      </c>
      <c r="X14" s="648">
        <v>2050</v>
      </c>
      <c r="Y14" s="648">
        <v>2051</v>
      </c>
      <c r="Z14" s="648">
        <v>2052</v>
      </c>
      <c r="AA14" s="648">
        <v>2053</v>
      </c>
      <c r="AB14" s="648">
        <v>2054</v>
      </c>
      <c r="AC14" s="648">
        <v>2055</v>
      </c>
      <c r="AD14" s="648">
        <v>2056</v>
      </c>
      <c r="AE14" s="648">
        <v>2057</v>
      </c>
      <c r="AF14" s="648">
        <v>2058</v>
      </c>
      <c r="AG14" s="648">
        <v>2059</v>
      </c>
      <c r="AH14" s="648">
        <v>2060</v>
      </c>
      <c r="AI14" s="648">
        <v>2061</v>
      </c>
      <c r="AJ14" s="648">
        <v>2062</v>
      </c>
      <c r="AK14" s="648">
        <v>2063</v>
      </c>
      <c r="AL14" s="648">
        <v>2064</v>
      </c>
      <c r="AM14" s="648">
        <v>2065</v>
      </c>
      <c r="AN14" s="648">
        <v>2066</v>
      </c>
      <c r="AO14" s="648">
        <v>2067</v>
      </c>
      <c r="AP14" s="648">
        <v>2068</v>
      </c>
      <c r="AQ14" s="648">
        <v>2069</v>
      </c>
      <c r="AR14" s="648">
        <v>2070</v>
      </c>
    </row>
    <row r="15" ht="28.8" customHeight="1" spans="2:55">
      <c r="B15" s="698" t="s">
        <v>438</v>
      </c>
      <c r="C15" s="29">
        <f>SUMIF($C$13:$BB$13,C14,$C$12:$BB$12)</f>
        <v>11</v>
      </c>
      <c r="D15" s="29">
        <f t="shared" ref="D15:AR15" si="9">SUMIF($C$13:$BB$13,D14,$C$12:$BB$12)</f>
        <v>12</v>
      </c>
      <c r="E15" s="29">
        <f t="shared" si="9"/>
        <v>12</v>
      </c>
      <c r="F15" s="29">
        <f t="shared" si="9"/>
        <v>12</v>
      </c>
      <c r="G15" s="29">
        <f t="shared" si="9"/>
        <v>12</v>
      </c>
      <c r="H15" s="29">
        <f t="shared" si="9"/>
        <v>12</v>
      </c>
      <c r="I15" s="29">
        <f t="shared" si="9"/>
        <v>12</v>
      </c>
      <c r="J15" s="29">
        <f t="shared" si="9"/>
        <v>12</v>
      </c>
      <c r="K15" s="29">
        <f t="shared" si="9"/>
        <v>12</v>
      </c>
      <c r="L15" s="29">
        <f t="shared" si="9"/>
        <v>12</v>
      </c>
      <c r="M15" s="29">
        <f t="shared" si="9"/>
        <v>12</v>
      </c>
      <c r="N15" s="29">
        <f t="shared" si="9"/>
        <v>12</v>
      </c>
      <c r="O15" s="29">
        <f t="shared" si="9"/>
        <v>12</v>
      </c>
      <c r="P15" s="29">
        <f t="shared" si="9"/>
        <v>12</v>
      </c>
      <c r="Q15" s="29">
        <f t="shared" si="9"/>
        <v>12</v>
      </c>
      <c r="R15" s="29">
        <f t="shared" si="9"/>
        <v>12</v>
      </c>
      <c r="S15" s="29">
        <f t="shared" si="9"/>
        <v>12</v>
      </c>
      <c r="T15" s="29">
        <f t="shared" si="9"/>
        <v>12</v>
      </c>
      <c r="U15" s="29">
        <f t="shared" si="9"/>
        <v>12</v>
      </c>
      <c r="V15" s="29">
        <f t="shared" si="9"/>
        <v>12</v>
      </c>
      <c r="W15" s="29">
        <f t="shared" si="9"/>
        <v>12</v>
      </c>
      <c r="X15" s="29">
        <f t="shared" si="9"/>
        <v>12</v>
      </c>
      <c r="Y15" s="29">
        <f t="shared" si="9"/>
        <v>12</v>
      </c>
      <c r="Z15" s="29">
        <f t="shared" si="9"/>
        <v>12</v>
      </c>
      <c r="AA15" s="29">
        <f t="shared" si="9"/>
        <v>12</v>
      </c>
      <c r="AB15" s="29">
        <f t="shared" si="9"/>
        <v>12</v>
      </c>
      <c r="AC15" s="29">
        <f t="shared" si="9"/>
        <v>12</v>
      </c>
      <c r="AD15" s="29">
        <f t="shared" si="9"/>
        <v>12</v>
      </c>
      <c r="AE15" s="29">
        <f t="shared" si="9"/>
        <v>12</v>
      </c>
      <c r="AF15" s="29">
        <f t="shared" si="9"/>
        <v>12</v>
      </c>
      <c r="AG15" s="29">
        <f t="shared" si="9"/>
        <v>12</v>
      </c>
      <c r="AH15" s="29">
        <f t="shared" si="9"/>
        <v>12</v>
      </c>
      <c r="AI15" s="29">
        <f t="shared" si="9"/>
        <v>12</v>
      </c>
      <c r="AJ15" s="29">
        <f t="shared" si="9"/>
        <v>12</v>
      </c>
      <c r="AK15" s="29">
        <f t="shared" si="9"/>
        <v>12</v>
      </c>
      <c r="AL15" s="29">
        <f t="shared" si="9"/>
        <v>12</v>
      </c>
      <c r="AM15" s="29">
        <f t="shared" si="9"/>
        <v>12</v>
      </c>
      <c r="AN15" s="29">
        <f t="shared" si="9"/>
        <v>12</v>
      </c>
      <c r="AO15" s="29">
        <f t="shared" si="9"/>
        <v>12</v>
      </c>
      <c r="AP15" s="29">
        <f t="shared" si="9"/>
        <v>12</v>
      </c>
      <c r="AQ15" s="29">
        <f t="shared" si="9"/>
        <v>12</v>
      </c>
      <c r="AR15" s="29">
        <f t="shared" si="9"/>
        <v>7</v>
      </c>
    </row>
    <row r="16" ht="28.8" customHeight="1"/>
    <row r="17" ht="22.05" customHeight="1" spans="2:50">
      <c r="B17" s="714" t="s">
        <v>441</v>
      </c>
      <c r="C17" s="715">
        <f>参数输入表!$D$36</f>
        <v>47150</v>
      </c>
      <c r="D17" s="716">
        <f>参数输入表!$D$36+参数输入表!$I$622*365+INT(参数输入表!$I$622/4)</f>
        <v>57742</v>
      </c>
    </row>
    <row r="18" ht="22.05" customHeight="1" spans="2:50">
      <c r="B18" s="648" t="s">
        <v>442</v>
      </c>
      <c r="C18" s="717">
        <f>YEAR(C19)</f>
        <v>2029</v>
      </c>
      <c r="D18" s="717">
        <f t="shared" ref="D18:AG18" si="10">YEAR(D19)</f>
        <v>2029</v>
      </c>
      <c r="E18" s="717">
        <f t="shared" si="10"/>
        <v>2030</v>
      </c>
      <c r="F18" s="717">
        <f t="shared" si="10"/>
        <v>2031</v>
      </c>
      <c r="G18" s="717">
        <f t="shared" si="10"/>
        <v>2032</v>
      </c>
      <c r="H18" s="717">
        <f t="shared" si="10"/>
        <v>2033</v>
      </c>
      <c r="I18" s="717">
        <f t="shared" si="10"/>
        <v>2034</v>
      </c>
      <c r="J18" s="717">
        <f t="shared" si="10"/>
        <v>2035</v>
      </c>
      <c r="K18" s="717">
        <f t="shared" si="10"/>
        <v>2036</v>
      </c>
      <c r="L18" s="717">
        <f t="shared" si="10"/>
        <v>2037</v>
      </c>
      <c r="M18" s="717">
        <f t="shared" si="10"/>
        <v>2038</v>
      </c>
      <c r="N18" s="717">
        <f t="shared" si="10"/>
        <v>2039</v>
      </c>
      <c r="O18" s="717">
        <f t="shared" si="10"/>
        <v>2040</v>
      </c>
      <c r="P18" s="717">
        <f t="shared" si="10"/>
        <v>2041</v>
      </c>
      <c r="Q18" s="717">
        <f t="shared" si="10"/>
        <v>2042</v>
      </c>
      <c r="R18" s="717">
        <f t="shared" si="10"/>
        <v>2043</v>
      </c>
      <c r="S18" s="717">
        <f t="shared" si="10"/>
        <v>2044</v>
      </c>
      <c r="T18" s="717">
        <f t="shared" si="10"/>
        <v>2045</v>
      </c>
      <c r="U18" s="717">
        <f t="shared" si="10"/>
        <v>2046</v>
      </c>
      <c r="V18" s="717">
        <f t="shared" si="10"/>
        <v>2047</v>
      </c>
      <c r="W18" s="717">
        <f t="shared" si="10"/>
        <v>2048</v>
      </c>
      <c r="X18" s="717">
        <f t="shared" si="10"/>
        <v>2049</v>
      </c>
      <c r="Y18" s="717">
        <f t="shared" si="10"/>
        <v>2050</v>
      </c>
      <c r="Z18" s="717">
        <f t="shared" si="10"/>
        <v>2051</v>
      </c>
      <c r="AA18" s="717">
        <f t="shared" si="10"/>
        <v>2052</v>
      </c>
      <c r="AB18" s="717">
        <f t="shared" si="10"/>
        <v>2053</v>
      </c>
      <c r="AC18" s="717">
        <f t="shared" si="10"/>
        <v>2054</v>
      </c>
      <c r="AD18" s="717">
        <f t="shared" si="10"/>
        <v>2055</v>
      </c>
      <c r="AE18" s="717">
        <f t="shared" si="10"/>
        <v>2056</v>
      </c>
      <c r="AF18" s="717">
        <f t="shared" si="10"/>
        <v>2057</v>
      </c>
      <c r="AG18" s="717">
        <f t="shared" si="10"/>
        <v>2058</v>
      </c>
    </row>
    <row r="19" ht="22.05" customHeight="1" spans="2:50">
      <c r="B19" s="648"/>
      <c r="C19" s="718">
        <f>C17</f>
        <v>47150</v>
      </c>
      <c r="D19" s="719">
        <v>47483</v>
      </c>
      <c r="E19" s="719">
        <v>47848</v>
      </c>
      <c r="F19" s="719">
        <v>48213</v>
      </c>
      <c r="G19" s="719">
        <v>48579</v>
      </c>
      <c r="H19" s="719">
        <v>48944</v>
      </c>
      <c r="I19" s="719">
        <v>49309</v>
      </c>
      <c r="J19" s="719">
        <v>49674</v>
      </c>
      <c r="K19" s="719">
        <v>50040</v>
      </c>
      <c r="L19" s="719">
        <v>50405</v>
      </c>
      <c r="M19" s="719">
        <v>50770</v>
      </c>
      <c r="N19" s="719">
        <v>51135</v>
      </c>
      <c r="O19" s="719">
        <v>51501</v>
      </c>
      <c r="P19" s="719">
        <v>51866</v>
      </c>
      <c r="Q19" s="719">
        <v>52231</v>
      </c>
      <c r="R19" s="719">
        <v>52596</v>
      </c>
      <c r="S19" s="719">
        <v>52962</v>
      </c>
      <c r="T19" s="719">
        <v>53327</v>
      </c>
      <c r="U19" s="719">
        <v>53692</v>
      </c>
      <c r="V19" s="719">
        <v>54057</v>
      </c>
      <c r="W19" s="719">
        <v>54423</v>
      </c>
      <c r="X19" s="719">
        <v>54788</v>
      </c>
      <c r="Y19" s="719">
        <v>55153</v>
      </c>
      <c r="Z19" s="719">
        <v>55518</v>
      </c>
      <c r="AA19" s="719">
        <v>55884</v>
      </c>
      <c r="AB19" s="719">
        <v>56249</v>
      </c>
      <c r="AC19" s="719">
        <v>56614</v>
      </c>
      <c r="AD19" s="719">
        <v>56979</v>
      </c>
      <c r="AE19" s="719">
        <v>57345</v>
      </c>
      <c r="AF19" s="719">
        <v>57710</v>
      </c>
      <c r="AG19" s="720">
        <f>D17</f>
        <v>57742</v>
      </c>
    </row>
    <row r="20" ht="22.05" customHeight="1" spans="2:50">
      <c r="B20" s="29">
        <f>SUM(C20:AX20)</f>
        <v>348</v>
      </c>
      <c r="C20" s="29">
        <v>0</v>
      </c>
      <c r="D20" s="29">
        <f>ROUND((DATEDIF(C19,D19,"d"))/30,0)</f>
        <v>11</v>
      </c>
      <c r="E20" s="29">
        <f t="shared" ref="E20:AG20" si="11">ROUND((DATEDIF(D19,E19,"d"))/30,0)</f>
        <v>12</v>
      </c>
      <c r="F20" s="29">
        <f t="shared" si="11"/>
        <v>12</v>
      </c>
      <c r="G20" s="29">
        <f t="shared" si="11"/>
        <v>12</v>
      </c>
      <c r="H20" s="29">
        <f t="shared" si="11"/>
        <v>12</v>
      </c>
      <c r="I20" s="29">
        <f t="shared" si="11"/>
        <v>12</v>
      </c>
      <c r="J20" s="29">
        <f t="shared" si="11"/>
        <v>12</v>
      </c>
      <c r="K20" s="29">
        <f t="shared" si="11"/>
        <v>12</v>
      </c>
      <c r="L20" s="29">
        <f t="shared" si="11"/>
        <v>12</v>
      </c>
      <c r="M20" s="29">
        <f t="shared" si="11"/>
        <v>12</v>
      </c>
      <c r="N20" s="29">
        <f t="shared" si="11"/>
        <v>12</v>
      </c>
      <c r="O20" s="29">
        <f t="shared" si="11"/>
        <v>12</v>
      </c>
      <c r="P20" s="29">
        <f t="shared" si="11"/>
        <v>12</v>
      </c>
      <c r="Q20" s="29">
        <f t="shared" si="11"/>
        <v>12</v>
      </c>
      <c r="R20" s="29">
        <f t="shared" si="11"/>
        <v>12</v>
      </c>
      <c r="S20" s="29">
        <f t="shared" si="11"/>
        <v>12</v>
      </c>
      <c r="T20" s="29">
        <f t="shared" si="11"/>
        <v>12</v>
      </c>
      <c r="U20" s="29">
        <f t="shared" si="11"/>
        <v>12</v>
      </c>
      <c r="V20" s="29">
        <f t="shared" si="11"/>
        <v>12</v>
      </c>
      <c r="W20" s="29">
        <f t="shared" si="11"/>
        <v>12</v>
      </c>
      <c r="X20" s="29">
        <f t="shared" si="11"/>
        <v>12</v>
      </c>
      <c r="Y20" s="29">
        <f t="shared" si="11"/>
        <v>12</v>
      </c>
      <c r="Z20" s="29">
        <f t="shared" si="11"/>
        <v>12</v>
      </c>
      <c r="AA20" s="29">
        <f t="shared" si="11"/>
        <v>12</v>
      </c>
      <c r="AB20" s="29">
        <f t="shared" si="11"/>
        <v>12</v>
      </c>
      <c r="AC20" s="29">
        <f t="shared" si="11"/>
        <v>12</v>
      </c>
      <c r="AD20" s="29">
        <f t="shared" si="11"/>
        <v>12</v>
      </c>
      <c r="AE20" s="29">
        <f t="shared" si="11"/>
        <v>12</v>
      </c>
      <c r="AF20" s="29">
        <f t="shared" si="11"/>
        <v>12</v>
      </c>
      <c r="AG20" s="29">
        <f t="shared" si="11"/>
        <v>1</v>
      </c>
    </row>
    <row r="21" s="4" customFormat="1" ht="22.05" customHeight="1" spans="2:50">
      <c r="B21" s="76" t="s">
        <v>437</v>
      </c>
      <c r="C21" s="76">
        <v>2023</v>
      </c>
      <c r="D21" s="76">
        <v>2024</v>
      </c>
      <c r="E21" s="76">
        <v>2025</v>
      </c>
      <c r="F21" s="76">
        <v>2026</v>
      </c>
      <c r="G21" s="76">
        <v>2027</v>
      </c>
      <c r="H21" s="76">
        <v>2028</v>
      </c>
      <c r="I21" s="76">
        <v>2029</v>
      </c>
      <c r="J21" s="76">
        <v>2030</v>
      </c>
      <c r="K21" s="76">
        <v>2031</v>
      </c>
      <c r="L21" s="76">
        <v>2032</v>
      </c>
      <c r="M21" s="76">
        <v>2033</v>
      </c>
      <c r="N21" s="76">
        <v>2034</v>
      </c>
      <c r="O21" s="76">
        <v>2035</v>
      </c>
      <c r="P21" s="76">
        <v>2036</v>
      </c>
      <c r="Q21" s="76">
        <v>2037</v>
      </c>
      <c r="R21" s="76">
        <v>2038</v>
      </c>
      <c r="S21" s="76">
        <v>2039</v>
      </c>
      <c r="T21" s="76">
        <v>2040</v>
      </c>
      <c r="U21" s="76">
        <v>2041</v>
      </c>
      <c r="V21" s="76">
        <v>2042</v>
      </c>
      <c r="W21" s="76">
        <v>2043</v>
      </c>
      <c r="X21" s="76">
        <v>2044</v>
      </c>
      <c r="Y21" s="76">
        <v>2045</v>
      </c>
      <c r="Z21" s="76">
        <v>2046</v>
      </c>
      <c r="AA21" s="76">
        <v>2047</v>
      </c>
      <c r="AB21" s="76">
        <v>2048</v>
      </c>
      <c r="AC21" s="76">
        <v>2049</v>
      </c>
      <c r="AD21" s="76">
        <v>2050</v>
      </c>
      <c r="AE21" s="76">
        <v>2051</v>
      </c>
      <c r="AF21" s="76">
        <v>2052</v>
      </c>
      <c r="AG21" s="76">
        <v>2053</v>
      </c>
      <c r="AH21" s="76">
        <v>2054</v>
      </c>
      <c r="AI21" s="76">
        <v>2055</v>
      </c>
      <c r="AJ21" s="76">
        <v>2056</v>
      </c>
      <c r="AK21" s="76">
        <v>2057</v>
      </c>
      <c r="AL21" s="76">
        <v>2058</v>
      </c>
      <c r="AM21" s="76">
        <v>2059</v>
      </c>
      <c r="AN21" s="76">
        <v>2060</v>
      </c>
      <c r="AO21" s="76">
        <v>2061</v>
      </c>
      <c r="AP21" s="76">
        <v>2062</v>
      </c>
      <c r="AQ21" s="76">
        <v>2063</v>
      </c>
      <c r="AR21" s="76">
        <v>2064</v>
      </c>
      <c r="AS21" s="76">
        <v>2065</v>
      </c>
      <c r="AT21" s="76">
        <v>2066</v>
      </c>
      <c r="AU21" s="76">
        <v>2067</v>
      </c>
      <c r="AV21" s="76">
        <v>2068</v>
      </c>
      <c r="AW21" s="76">
        <v>2069</v>
      </c>
      <c r="AX21" s="76">
        <v>2070</v>
      </c>
    </row>
    <row r="22" s="4" customFormat="1" ht="22.05" customHeight="1" spans="2:50">
      <c r="B22" s="76" t="s">
        <v>443</v>
      </c>
      <c r="C22" s="76">
        <f>SUMIF($C$18:$AG$18,C21,$C$20:$AG$20)</f>
        <v>0</v>
      </c>
      <c r="D22" s="76">
        <f t="shared" ref="D22:AX22" si="12">SUMIF($C$18:$AG$18,D21,$C$20:$AG$20)</f>
        <v>0</v>
      </c>
      <c r="E22" s="76">
        <f t="shared" si="12"/>
        <v>0</v>
      </c>
      <c r="F22" s="76">
        <f t="shared" si="12"/>
        <v>0</v>
      </c>
      <c r="G22" s="76">
        <f t="shared" si="12"/>
        <v>0</v>
      </c>
      <c r="H22" s="76">
        <f t="shared" si="12"/>
        <v>0</v>
      </c>
      <c r="I22" s="76">
        <f t="shared" si="12"/>
        <v>11</v>
      </c>
      <c r="J22" s="76">
        <f t="shared" si="12"/>
        <v>12</v>
      </c>
      <c r="K22" s="76">
        <f t="shared" si="12"/>
        <v>12</v>
      </c>
      <c r="L22" s="76">
        <f t="shared" si="12"/>
        <v>12</v>
      </c>
      <c r="M22" s="76">
        <f t="shared" si="12"/>
        <v>12</v>
      </c>
      <c r="N22" s="76">
        <f t="shared" si="12"/>
        <v>12</v>
      </c>
      <c r="O22" s="76">
        <f t="shared" si="12"/>
        <v>12</v>
      </c>
      <c r="P22" s="76">
        <f t="shared" si="12"/>
        <v>12</v>
      </c>
      <c r="Q22" s="76">
        <f t="shared" si="12"/>
        <v>12</v>
      </c>
      <c r="R22" s="76">
        <f t="shared" si="12"/>
        <v>12</v>
      </c>
      <c r="S22" s="76">
        <f t="shared" si="12"/>
        <v>12</v>
      </c>
      <c r="T22" s="76">
        <f t="shared" si="12"/>
        <v>12</v>
      </c>
      <c r="U22" s="76">
        <f t="shared" si="12"/>
        <v>12</v>
      </c>
      <c r="V22" s="76">
        <f t="shared" si="12"/>
        <v>12</v>
      </c>
      <c r="W22" s="76">
        <f t="shared" si="12"/>
        <v>12</v>
      </c>
      <c r="X22" s="76">
        <f t="shared" si="12"/>
        <v>12</v>
      </c>
      <c r="Y22" s="76">
        <f t="shared" si="12"/>
        <v>12</v>
      </c>
      <c r="Z22" s="76">
        <f t="shared" si="12"/>
        <v>12</v>
      </c>
      <c r="AA22" s="76">
        <f t="shared" si="12"/>
        <v>12</v>
      </c>
      <c r="AB22" s="76">
        <f t="shared" si="12"/>
        <v>12</v>
      </c>
      <c r="AC22" s="76">
        <f t="shared" si="12"/>
        <v>12</v>
      </c>
      <c r="AD22" s="76">
        <f t="shared" si="12"/>
        <v>12</v>
      </c>
      <c r="AE22" s="76">
        <f t="shared" si="12"/>
        <v>12</v>
      </c>
      <c r="AF22" s="76">
        <f t="shared" si="12"/>
        <v>12</v>
      </c>
      <c r="AG22" s="76">
        <f t="shared" si="12"/>
        <v>12</v>
      </c>
      <c r="AH22" s="76">
        <f t="shared" si="12"/>
        <v>12</v>
      </c>
      <c r="AI22" s="76">
        <f t="shared" si="12"/>
        <v>12</v>
      </c>
      <c r="AJ22" s="76">
        <f t="shared" si="12"/>
        <v>12</v>
      </c>
      <c r="AK22" s="76">
        <f t="shared" si="12"/>
        <v>12</v>
      </c>
      <c r="AL22" s="76">
        <f t="shared" si="12"/>
        <v>1</v>
      </c>
      <c r="AM22" s="76">
        <f t="shared" si="12"/>
        <v>0</v>
      </c>
      <c r="AN22" s="76">
        <f t="shared" si="12"/>
        <v>0</v>
      </c>
      <c r="AO22" s="76">
        <f t="shared" si="12"/>
        <v>0</v>
      </c>
      <c r="AP22" s="76">
        <f t="shared" si="12"/>
        <v>0</v>
      </c>
      <c r="AQ22" s="76">
        <f t="shared" si="12"/>
        <v>0</v>
      </c>
      <c r="AR22" s="76">
        <f t="shared" si="12"/>
        <v>0</v>
      </c>
      <c r="AS22" s="76">
        <f t="shared" si="12"/>
        <v>0</v>
      </c>
      <c r="AT22" s="76">
        <f t="shared" si="12"/>
        <v>0</v>
      </c>
      <c r="AU22" s="76">
        <f t="shared" si="12"/>
        <v>0</v>
      </c>
      <c r="AV22" s="76">
        <f t="shared" si="12"/>
        <v>0</v>
      </c>
      <c r="AW22" s="76">
        <f t="shared" si="12"/>
        <v>0</v>
      </c>
      <c r="AX22" s="76">
        <f t="shared" si="12"/>
        <v>0</v>
      </c>
    </row>
    <row r="23" ht="22.05" customHeight="1" spans="2:50">
      <c r="B23" s="714" t="s">
        <v>444</v>
      </c>
      <c r="C23" s="721">
        <f>参数输入表!D36</f>
        <v>47150</v>
      </c>
      <c r="D23" s="722">
        <f>参数输入表!$D$36+参数输入表!$I$638*365+INT(参数输入表!$I$638/4)</f>
        <v>53724</v>
      </c>
    </row>
    <row r="24" ht="19.95" customHeight="1" spans="2:50">
      <c r="B24" s="648" t="s">
        <v>445</v>
      </c>
      <c r="C24" s="717">
        <f>YEAR(C25)</f>
        <v>2029</v>
      </c>
      <c r="D24" s="717">
        <f t="shared" ref="D24:V24" si="13">YEAR(D25)</f>
        <v>2029</v>
      </c>
      <c r="E24" s="717">
        <f t="shared" si="13"/>
        <v>2030</v>
      </c>
      <c r="F24" s="717">
        <f t="shared" si="13"/>
        <v>2031</v>
      </c>
      <c r="G24" s="717">
        <f t="shared" si="13"/>
        <v>2032</v>
      </c>
      <c r="H24" s="717">
        <f t="shared" si="13"/>
        <v>2033</v>
      </c>
      <c r="I24" s="717">
        <f t="shared" si="13"/>
        <v>2034</v>
      </c>
      <c r="J24" s="717">
        <f t="shared" si="13"/>
        <v>2035</v>
      </c>
      <c r="K24" s="717">
        <f t="shared" si="13"/>
        <v>2036</v>
      </c>
      <c r="L24" s="717">
        <f t="shared" si="13"/>
        <v>2037</v>
      </c>
      <c r="M24" s="717">
        <f t="shared" si="13"/>
        <v>2038</v>
      </c>
      <c r="N24" s="717">
        <f t="shared" si="13"/>
        <v>2039</v>
      </c>
      <c r="O24" s="717">
        <f t="shared" si="13"/>
        <v>2040</v>
      </c>
      <c r="P24" s="717">
        <f t="shared" si="13"/>
        <v>2041</v>
      </c>
      <c r="Q24" s="717">
        <f t="shared" si="13"/>
        <v>2042</v>
      </c>
      <c r="R24" s="717">
        <f t="shared" si="13"/>
        <v>2043</v>
      </c>
      <c r="S24" s="717">
        <f t="shared" si="13"/>
        <v>2044</v>
      </c>
      <c r="T24" s="717">
        <f t="shared" si="13"/>
        <v>2045</v>
      </c>
      <c r="U24" s="717">
        <f t="shared" si="13"/>
        <v>2046</v>
      </c>
      <c r="V24" s="717">
        <f t="shared" si="13"/>
        <v>2047</v>
      </c>
    </row>
    <row r="25" spans="2:50">
      <c r="B25" s="648"/>
      <c r="C25" s="723">
        <f>C23</f>
        <v>47150</v>
      </c>
      <c r="D25" s="719">
        <v>47483</v>
      </c>
      <c r="E25" s="719">
        <v>47848</v>
      </c>
      <c r="F25" s="719">
        <v>48213</v>
      </c>
      <c r="G25" s="719">
        <v>48579</v>
      </c>
      <c r="H25" s="719">
        <v>48944</v>
      </c>
      <c r="I25" s="719">
        <v>49309</v>
      </c>
      <c r="J25" s="719">
        <v>49674</v>
      </c>
      <c r="K25" s="719">
        <v>50040</v>
      </c>
      <c r="L25" s="719">
        <v>50405</v>
      </c>
      <c r="M25" s="719">
        <v>50770</v>
      </c>
      <c r="N25" s="719">
        <v>51135</v>
      </c>
      <c r="O25" s="719">
        <v>51501</v>
      </c>
      <c r="P25" s="719">
        <v>51866</v>
      </c>
      <c r="Q25" s="719">
        <v>52231</v>
      </c>
      <c r="R25" s="719">
        <v>52596</v>
      </c>
      <c r="S25" s="719">
        <v>52962</v>
      </c>
      <c r="T25" s="719">
        <v>53327</v>
      </c>
      <c r="U25" s="719">
        <v>53692</v>
      </c>
      <c r="V25" s="724">
        <f>D23</f>
        <v>53724</v>
      </c>
    </row>
    <row r="26" spans="2:50">
      <c r="B26" s="29">
        <f>SUM(C26:AX26)</f>
        <v>216</v>
      </c>
      <c r="C26" s="29">
        <v>0</v>
      </c>
      <c r="D26" s="29">
        <f>ROUND((DATEDIF(C25,D25,"d"))/30,0)</f>
        <v>11</v>
      </c>
      <c r="E26" s="29">
        <f t="shared" ref="E26:V26" si="14">ROUND((DATEDIF(D25,E25,"d"))/30,0)</f>
        <v>12</v>
      </c>
      <c r="F26" s="29">
        <f t="shared" si="14"/>
        <v>12</v>
      </c>
      <c r="G26" s="29">
        <f t="shared" si="14"/>
        <v>12</v>
      </c>
      <c r="H26" s="29">
        <f t="shared" si="14"/>
        <v>12</v>
      </c>
      <c r="I26" s="29">
        <f t="shared" si="14"/>
        <v>12</v>
      </c>
      <c r="J26" s="29">
        <f t="shared" si="14"/>
        <v>12</v>
      </c>
      <c r="K26" s="29">
        <f t="shared" si="14"/>
        <v>12</v>
      </c>
      <c r="L26" s="29">
        <f t="shared" si="14"/>
        <v>12</v>
      </c>
      <c r="M26" s="29">
        <f t="shared" si="14"/>
        <v>12</v>
      </c>
      <c r="N26" s="29">
        <f t="shared" si="14"/>
        <v>12</v>
      </c>
      <c r="O26" s="29">
        <f t="shared" si="14"/>
        <v>12</v>
      </c>
      <c r="P26" s="29">
        <f t="shared" si="14"/>
        <v>12</v>
      </c>
      <c r="Q26" s="29">
        <f t="shared" si="14"/>
        <v>12</v>
      </c>
      <c r="R26" s="29">
        <f t="shared" si="14"/>
        <v>12</v>
      </c>
      <c r="S26" s="29">
        <f t="shared" si="14"/>
        <v>12</v>
      </c>
      <c r="T26" s="29">
        <f t="shared" si="14"/>
        <v>12</v>
      </c>
      <c r="U26" s="29">
        <f t="shared" si="14"/>
        <v>12</v>
      </c>
      <c r="V26" s="29">
        <f t="shared" si="14"/>
        <v>1</v>
      </c>
    </row>
    <row r="27" s="4" customFormat="1" spans="2:50">
      <c r="B27" s="76" t="s">
        <v>437</v>
      </c>
      <c r="C27" s="76">
        <v>2023</v>
      </c>
      <c r="D27" s="76">
        <v>2024</v>
      </c>
      <c r="E27" s="76">
        <v>2025</v>
      </c>
      <c r="F27" s="76">
        <v>2026</v>
      </c>
      <c r="G27" s="76">
        <v>2027</v>
      </c>
      <c r="H27" s="76">
        <v>2028</v>
      </c>
      <c r="I27" s="76">
        <v>2029</v>
      </c>
      <c r="J27" s="76">
        <v>2030</v>
      </c>
      <c r="K27" s="76">
        <v>2031</v>
      </c>
      <c r="L27" s="76">
        <v>2032</v>
      </c>
      <c r="M27" s="76">
        <v>2033</v>
      </c>
      <c r="N27" s="76">
        <v>2034</v>
      </c>
      <c r="O27" s="76">
        <v>2035</v>
      </c>
      <c r="P27" s="76">
        <v>2036</v>
      </c>
      <c r="Q27" s="76">
        <v>2037</v>
      </c>
      <c r="R27" s="76">
        <v>2038</v>
      </c>
      <c r="S27" s="76">
        <v>2039</v>
      </c>
      <c r="T27" s="76">
        <v>2040</v>
      </c>
      <c r="U27" s="76">
        <v>2041</v>
      </c>
      <c r="V27" s="76">
        <v>2042</v>
      </c>
      <c r="W27" s="76">
        <v>2043</v>
      </c>
      <c r="X27" s="76">
        <v>2044</v>
      </c>
      <c r="Y27" s="76">
        <v>2045</v>
      </c>
      <c r="Z27" s="76">
        <v>2046</v>
      </c>
      <c r="AA27" s="76">
        <v>2047</v>
      </c>
      <c r="AB27" s="76">
        <v>2048</v>
      </c>
      <c r="AC27" s="76">
        <v>2049</v>
      </c>
      <c r="AD27" s="76">
        <v>2050</v>
      </c>
      <c r="AE27" s="76">
        <v>2051</v>
      </c>
      <c r="AF27" s="76">
        <v>2052</v>
      </c>
      <c r="AG27" s="76">
        <v>2053</v>
      </c>
      <c r="AH27" s="76">
        <v>2054</v>
      </c>
      <c r="AI27" s="76">
        <v>2055</v>
      </c>
      <c r="AJ27" s="76">
        <v>2056</v>
      </c>
      <c r="AK27" s="76">
        <v>2057</v>
      </c>
      <c r="AL27" s="76">
        <v>2058</v>
      </c>
      <c r="AM27" s="76">
        <v>2059</v>
      </c>
      <c r="AN27" s="76">
        <v>2060</v>
      </c>
      <c r="AO27" s="76">
        <v>2061</v>
      </c>
      <c r="AP27" s="76">
        <v>2062</v>
      </c>
      <c r="AQ27" s="76">
        <v>2063</v>
      </c>
      <c r="AR27" s="76">
        <v>2064</v>
      </c>
      <c r="AS27" s="76">
        <v>2065</v>
      </c>
      <c r="AT27" s="76">
        <v>2066</v>
      </c>
      <c r="AU27" s="76">
        <v>2067</v>
      </c>
      <c r="AV27" s="76">
        <v>2068</v>
      </c>
      <c r="AW27" s="76">
        <v>2069</v>
      </c>
      <c r="AX27" s="76">
        <v>2070</v>
      </c>
    </row>
    <row r="28" s="4" customFormat="1" spans="2:50">
      <c r="B28" s="76" t="s">
        <v>446</v>
      </c>
      <c r="C28" s="76">
        <f>SUMIF($C$24:$V$24,C27,$C$26:$V$26)</f>
        <v>0</v>
      </c>
      <c r="D28" s="76">
        <f t="shared" ref="D28:AX28" si="15">SUMIF($C$24:$V$24,D27,$C$26:$V$26)</f>
        <v>0</v>
      </c>
      <c r="E28" s="76">
        <f t="shared" si="15"/>
        <v>0</v>
      </c>
      <c r="F28" s="76">
        <f t="shared" si="15"/>
        <v>0</v>
      </c>
      <c r="G28" s="76">
        <f t="shared" si="15"/>
        <v>0</v>
      </c>
      <c r="H28" s="76">
        <f t="shared" si="15"/>
        <v>0</v>
      </c>
      <c r="I28" s="76">
        <f t="shared" si="15"/>
        <v>11</v>
      </c>
      <c r="J28" s="76">
        <f t="shared" si="15"/>
        <v>12</v>
      </c>
      <c r="K28" s="76">
        <f t="shared" si="15"/>
        <v>12</v>
      </c>
      <c r="L28" s="76">
        <f t="shared" si="15"/>
        <v>12</v>
      </c>
      <c r="M28" s="76">
        <f t="shared" si="15"/>
        <v>12</v>
      </c>
      <c r="N28" s="76">
        <f t="shared" si="15"/>
        <v>12</v>
      </c>
      <c r="O28" s="76">
        <f t="shared" si="15"/>
        <v>12</v>
      </c>
      <c r="P28" s="76">
        <f t="shared" si="15"/>
        <v>12</v>
      </c>
      <c r="Q28" s="76">
        <f t="shared" si="15"/>
        <v>12</v>
      </c>
      <c r="R28" s="76">
        <f t="shared" si="15"/>
        <v>12</v>
      </c>
      <c r="S28" s="76">
        <f t="shared" si="15"/>
        <v>12</v>
      </c>
      <c r="T28" s="76">
        <f t="shared" si="15"/>
        <v>12</v>
      </c>
      <c r="U28" s="76">
        <f t="shared" si="15"/>
        <v>12</v>
      </c>
      <c r="V28" s="76">
        <f t="shared" si="15"/>
        <v>12</v>
      </c>
      <c r="W28" s="76">
        <f t="shared" si="15"/>
        <v>12</v>
      </c>
      <c r="X28" s="76">
        <f t="shared" si="15"/>
        <v>12</v>
      </c>
      <c r="Y28" s="76">
        <f t="shared" si="15"/>
        <v>12</v>
      </c>
      <c r="Z28" s="76">
        <f t="shared" si="15"/>
        <v>12</v>
      </c>
      <c r="AA28" s="76">
        <f t="shared" si="15"/>
        <v>1</v>
      </c>
      <c r="AB28" s="76">
        <f t="shared" si="15"/>
        <v>0</v>
      </c>
      <c r="AC28" s="76">
        <f t="shared" si="15"/>
        <v>0</v>
      </c>
      <c r="AD28" s="76">
        <f t="shared" si="15"/>
        <v>0</v>
      </c>
      <c r="AE28" s="76">
        <f t="shared" si="15"/>
        <v>0</v>
      </c>
      <c r="AF28" s="76">
        <f t="shared" si="15"/>
        <v>0</v>
      </c>
      <c r="AG28" s="76">
        <f t="shared" si="15"/>
        <v>0</v>
      </c>
      <c r="AH28" s="76">
        <f t="shared" si="15"/>
        <v>0</v>
      </c>
      <c r="AI28" s="76">
        <f t="shared" si="15"/>
        <v>0</v>
      </c>
      <c r="AJ28" s="76">
        <f t="shared" si="15"/>
        <v>0</v>
      </c>
      <c r="AK28" s="76">
        <f t="shared" si="15"/>
        <v>0</v>
      </c>
      <c r="AL28" s="76">
        <f t="shared" si="15"/>
        <v>0</v>
      </c>
      <c r="AM28" s="76">
        <f t="shared" si="15"/>
        <v>0</v>
      </c>
      <c r="AN28" s="76">
        <f t="shared" si="15"/>
        <v>0</v>
      </c>
      <c r="AO28" s="76">
        <f t="shared" si="15"/>
        <v>0</v>
      </c>
      <c r="AP28" s="76">
        <f t="shared" si="15"/>
        <v>0</v>
      </c>
      <c r="AQ28" s="76">
        <f t="shared" si="15"/>
        <v>0</v>
      </c>
      <c r="AR28" s="76">
        <f t="shared" si="15"/>
        <v>0</v>
      </c>
      <c r="AS28" s="76">
        <f t="shared" si="15"/>
        <v>0</v>
      </c>
      <c r="AT28" s="76">
        <f t="shared" si="15"/>
        <v>0</v>
      </c>
      <c r="AU28" s="76">
        <f t="shared" si="15"/>
        <v>0</v>
      </c>
      <c r="AV28" s="76">
        <f t="shared" si="15"/>
        <v>0</v>
      </c>
      <c r="AW28" s="76">
        <f t="shared" si="15"/>
        <v>0</v>
      </c>
      <c r="AX28" s="76">
        <f t="shared" si="15"/>
        <v>0</v>
      </c>
    </row>
    <row r="29" s="4" customFormat="1" ht="26" customHeight="1" spans="2:50">
      <c r="B29" s="714" t="s">
        <v>447</v>
      </c>
      <c r="C29" s="715">
        <f>参数输入表!$D$36</f>
        <v>47150</v>
      </c>
      <c r="D29" s="725">
        <f>参数输入表!$D$36+参数输入表!$I$627*365+INT(参数输入表!$I$627/4)</f>
        <v>51533</v>
      </c>
      <c r="E29" s="199"/>
      <c r="F29" s="199"/>
      <c r="G29" s="199"/>
      <c r="H29" s="199"/>
      <c r="I29" s="199"/>
      <c r="J29" s="199"/>
      <c r="K29" s="199"/>
      <c r="L29" s="199"/>
      <c r="M29" s="199"/>
      <c r="N29" s="199"/>
      <c r="O29" s="199"/>
      <c r="P29" s="199"/>
      <c r="Q29" s="199"/>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row>
    <row r="30" s="4" customFormat="1" spans="2:50">
      <c r="B30" s="76" t="s">
        <v>448</v>
      </c>
      <c r="C30" s="717">
        <f>YEAR(C31)</f>
        <v>2029</v>
      </c>
      <c r="D30" s="717">
        <f>YEAR(D31)</f>
        <v>2029</v>
      </c>
      <c r="E30" s="717">
        <f>YEAR(E31)</f>
        <v>2030</v>
      </c>
      <c r="F30" s="717">
        <f t="shared" ref="F30:P30" si="16">YEAR(F31)</f>
        <v>2031</v>
      </c>
      <c r="G30" s="717">
        <f t="shared" si="16"/>
        <v>2032</v>
      </c>
      <c r="H30" s="717">
        <f t="shared" si="16"/>
        <v>2033</v>
      </c>
      <c r="I30" s="717">
        <f t="shared" si="16"/>
        <v>2034</v>
      </c>
      <c r="J30" s="717">
        <f t="shared" si="16"/>
        <v>2035</v>
      </c>
      <c r="K30" s="717">
        <f t="shared" si="16"/>
        <v>2036</v>
      </c>
      <c r="L30" s="717">
        <f t="shared" si="16"/>
        <v>2037</v>
      </c>
      <c r="M30" s="717">
        <f t="shared" si="16"/>
        <v>2038</v>
      </c>
      <c r="N30" s="717">
        <f t="shared" si="16"/>
        <v>2039</v>
      </c>
      <c r="O30" s="717">
        <f t="shared" si="16"/>
        <v>2040</v>
      </c>
      <c r="P30" s="717">
        <f t="shared" si="16"/>
        <v>2041</v>
      </c>
      <c r="Q30" s="199"/>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row>
    <row r="31" s="4" customFormat="1" spans="2:50">
      <c r="B31" s="76"/>
      <c r="C31" s="718">
        <f>C29</f>
        <v>47150</v>
      </c>
      <c r="D31" s="719">
        <v>47483</v>
      </c>
      <c r="E31" s="719">
        <v>47848</v>
      </c>
      <c r="F31" s="719">
        <v>48213</v>
      </c>
      <c r="G31" s="719">
        <v>48579</v>
      </c>
      <c r="H31" s="719">
        <v>48944</v>
      </c>
      <c r="I31" s="719">
        <v>49309</v>
      </c>
      <c r="J31" s="719">
        <v>49674</v>
      </c>
      <c r="K31" s="719">
        <v>50040</v>
      </c>
      <c r="L31" s="719">
        <v>50405</v>
      </c>
      <c r="M31" s="719">
        <v>50770</v>
      </c>
      <c r="N31" s="719">
        <v>51135</v>
      </c>
      <c r="O31" s="719">
        <v>51501</v>
      </c>
      <c r="P31" s="726">
        <f>D29</f>
        <v>51533</v>
      </c>
      <c r="Q31" s="199"/>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row>
    <row r="32" s="4" customFormat="1" spans="2:50">
      <c r="B32" s="50">
        <f>SUM(C32:AX32)</f>
        <v>144</v>
      </c>
      <c r="C32" s="29">
        <v>0</v>
      </c>
      <c r="D32" s="29">
        <f>ROUND((DATEDIF(C31,D31,"d"))/30,0)</f>
        <v>11</v>
      </c>
      <c r="E32" s="29">
        <f t="shared" ref="E32:P32" si="17">ROUND((DATEDIF(D31,E31,"d"))/30,0)</f>
        <v>12</v>
      </c>
      <c r="F32" s="29">
        <f t="shared" si="17"/>
        <v>12</v>
      </c>
      <c r="G32" s="29">
        <f t="shared" si="17"/>
        <v>12</v>
      </c>
      <c r="H32" s="29">
        <f t="shared" si="17"/>
        <v>12</v>
      </c>
      <c r="I32" s="29">
        <f t="shared" si="17"/>
        <v>12</v>
      </c>
      <c r="J32" s="29">
        <f t="shared" si="17"/>
        <v>12</v>
      </c>
      <c r="K32" s="29">
        <f t="shared" si="17"/>
        <v>12</v>
      </c>
      <c r="L32" s="29">
        <f t="shared" si="17"/>
        <v>12</v>
      </c>
      <c r="M32" s="29">
        <f t="shared" si="17"/>
        <v>12</v>
      </c>
      <c r="N32" s="29">
        <f t="shared" si="17"/>
        <v>12</v>
      </c>
      <c r="O32" s="29">
        <f t="shared" si="17"/>
        <v>12</v>
      </c>
      <c r="P32" s="29">
        <f t="shared" si="17"/>
        <v>1</v>
      </c>
      <c r="Q32" s="199"/>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row>
    <row r="33" s="4" customFormat="1" spans="2:50">
      <c r="B33" s="76" t="s">
        <v>437</v>
      </c>
      <c r="C33" s="76">
        <v>2023</v>
      </c>
      <c r="D33" s="76">
        <v>2024</v>
      </c>
      <c r="E33" s="76">
        <v>2025</v>
      </c>
      <c r="F33" s="76">
        <v>2026</v>
      </c>
      <c r="G33" s="76">
        <v>2027</v>
      </c>
      <c r="H33" s="76">
        <v>2028</v>
      </c>
      <c r="I33" s="76">
        <v>2029</v>
      </c>
      <c r="J33" s="76">
        <v>2030</v>
      </c>
      <c r="K33" s="76">
        <v>2031</v>
      </c>
      <c r="L33" s="76">
        <v>2032</v>
      </c>
      <c r="M33" s="76">
        <v>2033</v>
      </c>
      <c r="N33" s="76">
        <v>2034</v>
      </c>
      <c r="O33" s="76">
        <v>2035</v>
      </c>
      <c r="P33" s="76">
        <v>2036</v>
      </c>
      <c r="Q33" s="76">
        <v>2037</v>
      </c>
      <c r="R33" s="76">
        <v>2038</v>
      </c>
      <c r="S33" s="76">
        <v>2039</v>
      </c>
      <c r="T33" s="76">
        <v>2040</v>
      </c>
      <c r="U33" s="76">
        <v>2041</v>
      </c>
      <c r="V33" s="76">
        <v>2042</v>
      </c>
      <c r="W33" s="76">
        <v>2043</v>
      </c>
      <c r="X33" s="76">
        <v>2044</v>
      </c>
      <c r="Y33" s="76">
        <v>2045</v>
      </c>
      <c r="Z33" s="76">
        <v>2046</v>
      </c>
      <c r="AA33" s="76">
        <v>2047</v>
      </c>
      <c r="AB33" s="76">
        <v>2048</v>
      </c>
      <c r="AC33" s="76">
        <v>2049</v>
      </c>
      <c r="AD33" s="76">
        <v>2050</v>
      </c>
      <c r="AE33" s="76">
        <v>2051</v>
      </c>
      <c r="AF33" s="76">
        <v>2052</v>
      </c>
      <c r="AG33" s="76">
        <v>2053</v>
      </c>
      <c r="AH33" s="76">
        <v>2054</v>
      </c>
      <c r="AI33" s="76">
        <v>2055</v>
      </c>
      <c r="AJ33" s="76">
        <v>2056</v>
      </c>
      <c r="AK33" s="76">
        <v>2057</v>
      </c>
      <c r="AL33" s="76">
        <v>2058</v>
      </c>
      <c r="AM33" s="76">
        <v>2059</v>
      </c>
      <c r="AN33" s="76">
        <v>2060</v>
      </c>
      <c r="AO33" s="76">
        <v>2061</v>
      </c>
      <c r="AP33" s="76">
        <v>2062</v>
      </c>
      <c r="AQ33" s="76">
        <v>2063</v>
      </c>
      <c r="AR33" s="76">
        <v>2064</v>
      </c>
      <c r="AS33" s="76">
        <v>2065</v>
      </c>
      <c r="AT33" s="76">
        <v>2066</v>
      </c>
      <c r="AU33" s="76">
        <v>2067</v>
      </c>
      <c r="AV33" s="76">
        <v>2068</v>
      </c>
      <c r="AW33" s="76">
        <v>2069</v>
      </c>
      <c r="AX33" s="76">
        <v>2070</v>
      </c>
    </row>
    <row r="34" s="4" customFormat="1" spans="2:50">
      <c r="B34" s="76" t="s">
        <v>449</v>
      </c>
      <c r="C34" s="76">
        <f>SUMIF($C$30:$P$30,C33,$C$32:$P$32)</f>
        <v>0</v>
      </c>
      <c r="D34" s="76">
        <f t="shared" ref="D34:AX34" si="18">SUMIF($C$30:$P$30,D33,$C$32:$P$32)</f>
        <v>0</v>
      </c>
      <c r="E34" s="76">
        <f t="shared" si="18"/>
        <v>0</v>
      </c>
      <c r="F34" s="76">
        <f t="shared" si="18"/>
        <v>0</v>
      </c>
      <c r="G34" s="76">
        <f t="shared" si="18"/>
        <v>0</v>
      </c>
      <c r="H34" s="76">
        <f t="shared" si="18"/>
        <v>0</v>
      </c>
      <c r="I34" s="76">
        <f t="shared" si="18"/>
        <v>11</v>
      </c>
      <c r="J34" s="76">
        <f t="shared" si="18"/>
        <v>12</v>
      </c>
      <c r="K34" s="76">
        <f t="shared" si="18"/>
        <v>12</v>
      </c>
      <c r="L34" s="76">
        <f t="shared" si="18"/>
        <v>12</v>
      </c>
      <c r="M34" s="76">
        <f t="shared" si="18"/>
        <v>12</v>
      </c>
      <c r="N34" s="76">
        <f t="shared" si="18"/>
        <v>12</v>
      </c>
      <c r="O34" s="76">
        <f t="shared" si="18"/>
        <v>12</v>
      </c>
      <c r="P34" s="76">
        <f t="shared" si="18"/>
        <v>12</v>
      </c>
      <c r="Q34" s="76">
        <f t="shared" si="18"/>
        <v>12</v>
      </c>
      <c r="R34" s="76">
        <f t="shared" si="18"/>
        <v>12</v>
      </c>
      <c r="S34" s="76">
        <f t="shared" si="18"/>
        <v>12</v>
      </c>
      <c r="T34" s="76">
        <f t="shared" si="18"/>
        <v>12</v>
      </c>
      <c r="U34" s="76">
        <f t="shared" si="18"/>
        <v>1</v>
      </c>
      <c r="V34" s="76">
        <f t="shared" si="18"/>
        <v>0</v>
      </c>
      <c r="W34" s="76">
        <f t="shared" si="18"/>
        <v>0</v>
      </c>
      <c r="X34" s="76">
        <f t="shared" si="18"/>
        <v>0</v>
      </c>
      <c r="Y34" s="76">
        <f t="shared" si="18"/>
        <v>0</v>
      </c>
      <c r="Z34" s="76">
        <f t="shared" si="18"/>
        <v>0</v>
      </c>
      <c r="AA34" s="76">
        <f t="shared" si="18"/>
        <v>0</v>
      </c>
      <c r="AB34" s="76">
        <f t="shared" si="18"/>
        <v>0</v>
      </c>
      <c r="AC34" s="76">
        <f t="shared" si="18"/>
        <v>0</v>
      </c>
      <c r="AD34" s="76">
        <f t="shared" si="18"/>
        <v>0</v>
      </c>
      <c r="AE34" s="76">
        <f t="shared" si="18"/>
        <v>0</v>
      </c>
      <c r="AF34" s="76">
        <f t="shared" si="18"/>
        <v>0</v>
      </c>
      <c r="AG34" s="76">
        <f t="shared" si="18"/>
        <v>0</v>
      </c>
      <c r="AH34" s="76">
        <f t="shared" si="18"/>
        <v>0</v>
      </c>
      <c r="AI34" s="76">
        <f t="shared" si="18"/>
        <v>0</v>
      </c>
      <c r="AJ34" s="76">
        <f t="shared" si="18"/>
        <v>0</v>
      </c>
      <c r="AK34" s="76">
        <f t="shared" si="18"/>
        <v>0</v>
      </c>
      <c r="AL34" s="76">
        <f t="shared" si="18"/>
        <v>0</v>
      </c>
      <c r="AM34" s="76">
        <f t="shared" si="18"/>
        <v>0</v>
      </c>
      <c r="AN34" s="76">
        <f t="shared" si="18"/>
        <v>0</v>
      </c>
      <c r="AO34" s="76">
        <f t="shared" si="18"/>
        <v>0</v>
      </c>
      <c r="AP34" s="76">
        <f t="shared" si="18"/>
        <v>0</v>
      </c>
      <c r="AQ34" s="76">
        <f t="shared" si="18"/>
        <v>0</v>
      </c>
      <c r="AR34" s="76">
        <f t="shared" si="18"/>
        <v>0</v>
      </c>
      <c r="AS34" s="76">
        <f t="shared" si="18"/>
        <v>0</v>
      </c>
      <c r="AT34" s="76">
        <f t="shared" si="18"/>
        <v>0</v>
      </c>
      <c r="AU34" s="76">
        <f t="shared" si="18"/>
        <v>0</v>
      </c>
      <c r="AV34" s="76">
        <f t="shared" si="18"/>
        <v>0</v>
      </c>
      <c r="AW34" s="76">
        <f t="shared" si="18"/>
        <v>0</v>
      </c>
      <c r="AX34" s="76">
        <f t="shared" si="18"/>
        <v>0</v>
      </c>
    </row>
    <row r="35" s="4" customFormat="1" ht="26" customHeight="1" spans="2:50">
      <c r="B35" s="714" t="s">
        <v>450</v>
      </c>
      <c r="C35" s="715">
        <f>参数输入表!$D$36</f>
        <v>47150</v>
      </c>
      <c r="D35" s="727">
        <f>参数输入表!$D$36+参数输入表!$I$632*365+INT(参数输入表!$I$632/4)</f>
        <v>54455</v>
      </c>
      <c r="E35" s="199"/>
      <c r="F35" s="199"/>
      <c r="G35" s="199"/>
      <c r="H35" s="199"/>
      <c r="I35" s="199"/>
      <c r="J35" s="199"/>
      <c r="K35" s="199"/>
      <c r="L35" s="199"/>
      <c r="M35" s="199"/>
      <c r="N35" s="199"/>
      <c r="O35" s="199"/>
      <c r="P35" s="199"/>
      <c r="Q35" s="199"/>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row>
    <row r="36" s="4" customFormat="1" spans="2:50">
      <c r="B36" s="76" t="s">
        <v>451</v>
      </c>
      <c r="C36" s="717">
        <f>YEAR(C37)</f>
        <v>2029</v>
      </c>
      <c r="D36" s="717">
        <f>YEAR(D37)</f>
        <v>2029</v>
      </c>
      <c r="E36" s="717">
        <f t="shared" ref="E36:X36" si="19">YEAR(E37)</f>
        <v>2030</v>
      </c>
      <c r="F36" s="717">
        <f t="shared" si="19"/>
        <v>2031</v>
      </c>
      <c r="G36" s="717">
        <f t="shared" si="19"/>
        <v>2032</v>
      </c>
      <c r="H36" s="717">
        <f t="shared" si="19"/>
        <v>2033</v>
      </c>
      <c r="I36" s="717">
        <f t="shared" si="19"/>
        <v>2034</v>
      </c>
      <c r="J36" s="717">
        <f t="shared" si="19"/>
        <v>2035</v>
      </c>
      <c r="K36" s="717">
        <f t="shared" si="19"/>
        <v>2036</v>
      </c>
      <c r="L36" s="717">
        <f t="shared" si="19"/>
        <v>2037</v>
      </c>
      <c r="M36" s="717">
        <f t="shared" si="19"/>
        <v>2038</v>
      </c>
      <c r="N36" s="717">
        <f t="shared" si="19"/>
        <v>2039</v>
      </c>
      <c r="O36" s="717">
        <f t="shared" si="19"/>
        <v>2040</v>
      </c>
      <c r="P36" s="717">
        <f t="shared" si="19"/>
        <v>2041</v>
      </c>
      <c r="Q36" s="717">
        <f t="shared" si="19"/>
        <v>2042</v>
      </c>
      <c r="R36" s="717">
        <f t="shared" si="19"/>
        <v>2043</v>
      </c>
      <c r="S36" s="717">
        <f t="shared" si="19"/>
        <v>2044</v>
      </c>
      <c r="T36" s="717">
        <f t="shared" si="19"/>
        <v>2045</v>
      </c>
      <c r="U36" s="717">
        <f t="shared" si="19"/>
        <v>2046</v>
      </c>
      <c r="V36" s="717">
        <f t="shared" si="19"/>
        <v>2047</v>
      </c>
      <c r="W36" s="717">
        <f t="shared" si="19"/>
        <v>2048</v>
      </c>
      <c r="X36" s="717">
        <f t="shared" si="19"/>
        <v>2049</v>
      </c>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row>
    <row r="37" s="4" customFormat="1" spans="2:50">
      <c r="B37" s="76"/>
      <c r="C37" s="718">
        <f>C35</f>
        <v>47150</v>
      </c>
      <c r="D37" s="719">
        <v>47483</v>
      </c>
      <c r="E37" s="719">
        <v>47848</v>
      </c>
      <c r="F37" s="719">
        <v>48213</v>
      </c>
      <c r="G37" s="719">
        <v>48579</v>
      </c>
      <c r="H37" s="719">
        <v>48944</v>
      </c>
      <c r="I37" s="719">
        <v>49309</v>
      </c>
      <c r="J37" s="719">
        <v>49674</v>
      </c>
      <c r="K37" s="719">
        <v>50040</v>
      </c>
      <c r="L37" s="719">
        <v>50405</v>
      </c>
      <c r="M37" s="719">
        <v>50770</v>
      </c>
      <c r="N37" s="719">
        <v>51135</v>
      </c>
      <c r="O37" s="719">
        <v>51501</v>
      </c>
      <c r="P37" s="719">
        <v>51866</v>
      </c>
      <c r="Q37" s="719">
        <v>52231</v>
      </c>
      <c r="R37" s="719">
        <v>52596</v>
      </c>
      <c r="S37" s="719">
        <v>52962</v>
      </c>
      <c r="T37" s="719">
        <v>53327</v>
      </c>
      <c r="U37" s="719">
        <v>53692</v>
      </c>
      <c r="V37" s="719">
        <v>54057</v>
      </c>
      <c r="W37" s="719">
        <v>54423</v>
      </c>
      <c r="X37" s="728">
        <f>D35</f>
        <v>54455</v>
      </c>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row>
    <row r="38" s="4" customFormat="1" spans="2:50">
      <c r="B38" s="50">
        <f>SUM(C38:AX38)</f>
        <v>240</v>
      </c>
      <c r="C38" s="29">
        <v>0</v>
      </c>
      <c r="D38" s="29">
        <f>ROUND((DATEDIF(C37,D37,"d"))/30,0)</f>
        <v>11</v>
      </c>
      <c r="E38" s="29">
        <f t="shared" ref="E38:X38" si="20">ROUND((DATEDIF(D37,E37,"d"))/30,0)</f>
        <v>12</v>
      </c>
      <c r="F38" s="29">
        <f t="shared" si="20"/>
        <v>12</v>
      </c>
      <c r="G38" s="29">
        <f t="shared" si="20"/>
        <v>12</v>
      </c>
      <c r="H38" s="29">
        <f t="shared" si="20"/>
        <v>12</v>
      </c>
      <c r="I38" s="29">
        <f t="shared" si="20"/>
        <v>12</v>
      </c>
      <c r="J38" s="29">
        <f t="shared" si="20"/>
        <v>12</v>
      </c>
      <c r="K38" s="29">
        <f t="shared" si="20"/>
        <v>12</v>
      </c>
      <c r="L38" s="29">
        <f t="shared" si="20"/>
        <v>12</v>
      </c>
      <c r="M38" s="29">
        <f t="shared" si="20"/>
        <v>12</v>
      </c>
      <c r="N38" s="29">
        <f t="shared" si="20"/>
        <v>12</v>
      </c>
      <c r="O38" s="29">
        <f t="shared" si="20"/>
        <v>12</v>
      </c>
      <c r="P38" s="29">
        <f t="shared" si="20"/>
        <v>12</v>
      </c>
      <c r="Q38" s="29">
        <f t="shared" si="20"/>
        <v>12</v>
      </c>
      <c r="R38" s="29">
        <f t="shared" si="20"/>
        <v>12</v>
      </c>
      <c r="S38" s="29">
        <f t="shared" si="20"/>
        <v>12</v>
      </c>
      <c r="T38" s="29">
        <f t="shared" si="20"/>
        <v>12</v>
      </c>
      <c r="U38" s="29">
        <f t="shared" si="20"/>
        <v>12</v>
      </c>
      <c r="V38" s="29">
        <f t="shared" si="20"/>
        <v>12</v>
      </c>
      <c r="W38" s="29">
        <f t="shared" si="20"/>
        <v>12</v>
      </c>
      <c r="X38" s="29">
        <f t="shared" si="20"/>
        <v>1</v>
      </c>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row>
    <row r="39" s="4" customFormat="1" spans="2:50">
      <c r="B39" s="76" t="s">
        <v>437</v>
      </c>
      <c r="C39" s="76">
        <v>2023</v>
      </c>
      <c r="D39" s="76">
        <v>2024</v>
      </c>
      <c r="E39" s="76">
        <v>2025</v>
      </c>
      <c r="F39" s="76">
        <v>2026</v>
      </c>
      <c r="G39" s="76">
        <v>2027</v>
      </c>
      <c r="H39" s="76">
        <v>2028</v>
      </c>
      <c r="I39" s="76">
        <v>2029</v>
      </c>
      <c r="J39" s="76">
        <v>2030</v>
      </c>
      <c r="K39" s="76">
        <v>2031</v>
      </c>
      <c r="L39" s="76">
        <v>2032</v>
      </c>
      <c r="M39" s="76">
        <v>2033</v>
      </c>
      <c r="N39" s="76">
        <v>2034</v>
      </c>
      <c r="O39" s="76">
        <v>2035</v>
      </c>
      <c r="P39" s="76">
        <v>2036</v>
      </c>
      <c r="Q39" s="76">
        <v>2037</v>
      </c>
      <c r="R39" s="76">
        <v>2038</v>
      </c>
      <c r="S39" s="76">
        <v>2039</v>
      </c>
      <c r="T39" s="76">
        <v>2040</v>
      </c>
      <c r="U39" s="76">
        <v>2041</v>
      </c>
      <c r="V39" s="76">
        <v>2042</v>
      </c>
      <c r="W39" s="76">
        <v>2043</v>
      </c>
      <c r="X39" s="76">
        <v>2044</v>
      </c>
      <c r="Y39" s="76">
        <v>2045</v>
      </c>
      <c r="Z39" s="76">
        <v>2046</v>
      </c>
      <c r="AA39" s="76">
        <v>2047</v>
      </c>
      <c r="AB39" s="76">
        <v>2048</v>
      </c>
      <c r="AC39" s="76">
        <v>2049</v>
      </c>
      <c r="AD39" s="76">
        <v>2050</v>
      </c>
      <c r="AE39" s="76">
        <v>2051</v>
      </c>
      <c r="AF39" s="76">
        <v>2052</v>
      </c>
      <c r="AG39" s="76">
        <v>2053</v>
      </c>
      <c r="AH39" s="76">
        <v>2054</v>
      </c>
      <c r="AI39" s="76">
        <v>2055</v>
      </c>
      <c r="AJ39" s="76">
        <v>2056</v>
      </c>
      <c r="AK39" s="76">
        <v>2057</v>
      </c>
      <c r="AL39" s="76">
        <v>2058</v>
      </c>
      <c r="AM39" s="76">
        <v>2059</v>
      </c>
      <c r="AN39" s="76">
        <v>2060</v>
      </c>
      <c r="AO39" s="76">
        <v>2061</v>
      </c>
      <c r="AP39" s="76">
        <v>2062</v>
      </c>
      <c r="AQ39" s="76">
        <v>2063</v>
      </c>
      <c r="AR39" s="76">
        <v>2064</v>
      </c>
      <c r="AS39" s="76">
        <v>2065</v>
      </c>
      <c r="AT39" s="76">
        <v>2066</v>
      </c>
      <c r="AU39" s="76">
        <v>2067</v>
      </c>
      <c r="AV39" s="76">
        <v>2068</v>
      </c>
      <c r="AW39" s="76">
        <v>2069</v>
      </c>
      <c r="AX39" s="76">
        <v>2070</v>
      </c>
    </row>
    <row r="40" s="4" customFormat="1" spans="2:50">
      <c r="B40" s="76" t="s">
        <v>452</v>
      </c>
      <c r="C40" s="76">
        <f>SUMIF($C$36:$X$36,C39,$C$38:$X$38)</f>
        <v>0</v>
      </c>
      <c r="D40" s="76">
        <f t="shared" ref="D40:AX40" si="21">SUMIF($C$36:$X$36,D39,$C$38:$X$38)</f>
        <v>0</v>
      </c>
      <c r="E40" s="76">
        <f t="shared" si="21"/>
        <v>0</v>
      </c>
      <c r="F40" s="76">
        <f t="shared" si="21"/>
        <v>0</v>
      </c>
      <c r="G40" s="76">
        <f t="shared" si="21"/>
        <v>0</v>
      </c>
      <c r="H40" s="76">
        <f t="shared" si="21"/>
        <v>0</v>
      </c>
      <c r="I40" s="76">
        <f t="shared" si="21"/>
        <v>11</v>
      </c>
      <c r="J40" s="76">
        <f t="shared" si="21"/>
        <v>12</v>
      </c>
      <c r="K40" s="76">
        <f t="shared" si="21"/>
        <v>12</v>
      </c>
      <c r="L40" s="76">
        <f t="shared" si="21"/>
        <v>12</v>
      </c>
      <c r="M40" s="76">
        <f t="shared" si="21"/>
        <v>12</v>
      </c>
      <c r="N40" s="76">
        <f t="shared" si="21"/>
        <v>12</v>
      </c>
      <c r="O40" s="76">
        <f t="shared" si="21"/>
        <v>12</v>
      </c>
      <c r="P40" s="76">
        <f t="shared" si="21"/>
        <v>12</v>
      </c>
      <c r="Q40" s="76">
        <f t="shared" si="21"/>
        <v>12</v>
      </c>
      <c r="R40" s="76">
        <f t="shared" si="21"/>
        <v>12</v>
      </c>
      <c r="S40" s="76">
        <f t="shared" si="21"/>
        <v>12</v>
      </c>
      <c r="T40" s="76">
        <f t="shared" si="21"/>
        <v>12</v>
      </c>
      <c r="U40" s="76">
        <f t="shared" si="21"/>
        <v>12</v>
      </c>
      <c r="V40" s="76">
        <f t="shared" si="21"/>
        <v>12</v>
      </c>
      <c r="W40" s="76">
        <f t="shared" si="21"/>
        <v>12</v>
      </c>
      <c r="X40" s="76">
        <f t="shared" si="21"/>
        <v>12</v>
      </c>
      <c r="Y40" s="76">
        <f t="shared" si="21"/>
        <v>12</v>
      </c>
      <c r="Z40" s="76">
        <f t="shared" si="21"/>
        <v>12</v>
      </c>
      <c r="AA40" s="76">
        <f t="shared" si="21"/>
        <v>12</v>
      </c>
      <c r="AB40" s="76">
        <f t="shared" si="21"/>
        <v>12</v>
      </c>
      <c r="AC40" s="76">
        <f t="shared" si="21"/>
        <v>1</v>
      </c>
      <c r="AD40" s="76">
        <f t="shared" si="21"/>
        <v>0</v>
      </c>
      <c r="AE40" s="76">
        <f t="shared" si="21"/>
        <v>0</v>
      </c>
      <c r="AF40" s="76">
        <f t="shared" si="21"/>
        <v>0</v>
      </c>
      <c r="AG40" s="76">
        <f t="shared" si="21"/>
        <v>0</v>
      </c>
      <c r="AH40" s="76">
        <f t="shared" si="21"/>
        <v>0</v>
      </c>
      <c r="AI40" s="76">
        <f t="shared" si="21"/>
        <v>0</v>
      </c>
      <c r="AJ40" s="76">
        <f t="shared" si="21"/>
        <v>0</v>
      </c>
      <c r="AK40" s="76">
        <f t="shared" si="21"/>
        <v>0</v>
      </c>
      <c r="AL40" s="76">
        <f t="shared" si="21"/>
        <v>0</v>
      </c>
      <c r="AM40" s="76">
        <f t="shared" si="21"/>
        <v>0</v>
      </c>
      <c r="AN40" s="76">
        <f t="shared" si="21"/>
        <v>0</v>
      </c>
      <c r="AO40" s="76">
        <f t="shared" si="21"/>
        <v>0</v>
      </c>
      <c r="AP40" s="76">
        <f t="shared" si="21"/>
        <v>0</v>
      </c>
      <c r="AQ40" s="76">
        <f t="shared" si="21"/>
        <v>0</v>
      </c>
      <c r="AR40" s="76">
        <f t="shared" si="21"/>
        <v>0</v>
      </c>
      <c r="AS40" s="76">
        <f t="shared" si="21"/>
        <v>0</v>
      </c>
      <c r="AT40" s="76">
        <f t="shared" si="21"/>
        <v>0</v>
      </c>
      <c r="AU40" s="76">
        <f t="shared" si="21"/>
        <v>0</v>
      </c>
      <c r="AV40" s="76">
        <f t="shared" si="21"/>
        <v>0</v>
      </c>
      <c r="AW40" s="76">
        <f t="shared" si="21"/>
        <v>0</v>
      </c>
      <c r="AX40" s="76">
        <f t="shared" si="21"/>
        <v>0</v>
      </c>
    </row>
    <row r="41" spans="2:50">
      <c r="B41" s="729" t="s">
        <v>453</v>
      </c>
      <c r="C41" s="729" t="b">
        <f>B20-参数输入表!$I$622*12=0</f>
        <v>1</v>
      </c>
      <c r="D41" s="729" t="b">
        <f>SUM(C22:AX22)-B20=0</f>
        <v>1</v>
      </c>
    </row>
    <row r="42" spans="2:50">
      <c r="B42" s="729" t="s">
        <v>454</v>
      </c>
      <c r="C42" s="729" t="b">
        <f>B26-参数输入表!$I$638*12=0</f>
        <v>1</v>
      </c>
      <c r="D42" s="729" t="b">
        <f>SUM(C28:AX28)-B26=0</f>
        <v>1</v>
      </c>
    </row>
    <row r="43" spans="2:50">
      <c r="B43" s="729" t="s">
        <v>455</v>
      </c>
      <c r="C43" s="729" t="b">
        <f>B32-参数输入表!$I$627*12=0</f>
        <v>1</v>
      </c>
      <c r="D43" s="729" t="b">
        <f>SUM(C34:AX34)-B32=0</f>
        <v>1</v>
      </c>
    </row>
    <row r="44" spans="2:50">
      <c r="B44" s="729" t="s">
        <v>456</v>
      </c>
      <c r="C44" s="729" t="b">
        <f>B38-参数输入表!$I$632*12=0</f>
        <v>1</v>
      </c>
      <c r="D44" s="729" t="b">
        <f>SUM(C40:AX40)-B38=0</f>
        <v>1</v>
      </c>
    </row>
    <row r="45" ht="22" customHeight="1" spans="2:50">
      <c r="B45" s="714" t="s">
        <v>457</v>
      </c>
      <c r="C45" s="730">
        <f>参数输入表!$D$37</f>
        <v>47362</v>
      </c>
      <c r="D45" s="716">
        <f>参数输入表!$D$37+参数输入表!$I$622*365+INT(参数输入表!$I$622/4)</f>
        <v>57954</v>
      </c>
    </row>
    <row r="46" ht="22.05" customHeight="1" spans="2:50">
      <c r="B46" s="648" t="s">
        <v>442</v>
      </c>
      <c r="C46" s="717">
        <f>YEAR(C47)</f>
        <v>2029</v>
      </c>
      <c r="D46" s="717">
        <f t="shared" ref="D46:AG46" si="22">YEAR(D47)</f>
        <v>2029</v>
      </c>
      <c r="E46" s="717">
        <f t="shared" si="22"/>
        <v>2030</v>
      </c>
      <c r="F46" s="717">
        <f t="shared" si="22"/>
        <v>2031</v>
      </c>
      <c r="G46" s="717">
        <f t="shared" si="22"/>
        <v>2032</v>
      </c>
      <c r="H46" s="717">
        <f t="shared" si="22"/>
        <v>2033</v>
      </c>
      <c r="I46" s="717">
        <f t="shared" si="22"/>
        <v>2034</v>
      </c>
      <c r="J46" s="717">
        <f t="shared" si="22"/>
        <v>2035</v>
      </c>
      <c r="K46" s="717">
        <f t="shared" si="22"/>
        <v>2036</v>
      </c>
      <c r="L46" s="717">
        <f t="shared" si="22"/>
        <v>2037</v>
      </c>
      <c r="M46" s="717">
        <f t="shared" si="22"/>
        <v>2038</v>
      </c>
      <c r="N46" s="717">
        <f t="shared" si="22"/>
        <v>2039</v>
      </c>
      <c r="O46" s="717">
        <f t="shared" si="22"/>
        <v>2040</v>
      </c>
      <c r="P46" s="717">
        <f t="shared" si="22"/>
        <v>2041</v>
      </c>
      <c r="Q46" s="717">
        <f t="shared" si="22"/>
        <v>2042</v>
      </c>
      <c r="R46" s="717">
        <f t="shared" si="22"/>
        <v>2043</v>
      </c>
      <c r="S46" s="717">
        <f t="shared" si="22"/>
        <v>2044</v>
      </c>
      <c r="T46" s="717">
        <f t="shared" si="22"/>
        <v>2045</v>
      </c>
      <c r="U46" s="717">
        <f t="shared" si="22"/>
        <v>2046</v>
      </c>
      <c r="V46" s="717">
        <f t="shared" si="22"/>
        <v>2047</v>
      </c>
      <c r="W46" s="717">
        <f t="shared" si="22"/>
        <v>2048</v>
      </c>
      <c r="X46" s="717">
        <f t="shared" si="22"/>
        <v>2049</v>
      </c>
      <c r="Y46" s="717">
        <f t="shared" si="22"/>
        <v>2050</v>
      </c>
      <c r="Z46" s="717">
        <f t="shared" si="22"/>
        <v>2051</v>
      </c>
      <c r="AA46" s="717">
        <f t="shared" si="22"/>
        <v>2052</v>
      </c>
      <c r="AB46" s="717">
        <f t="shared" si="22"/>
        <v>2053</v>
      </c>
      <c r="AC46" s="717">
        <f t="shared" si="22"/>
        <v>2054</v>
      </c>
      <c r="AD46" s="717">
        <f t="shared" si="22"/>
        <v>2055</v>
      </c>
      <c r="AE46" s="717">
        <f t="shared" si="22"/>
        <v>2056</v>
      </c>
      <c r="AF46" s="717">
        <f t="shared" si="22"/>
        <v>2057</v>
      </c>
      <c r="AG46" s="717">
        <f t="shared" si="22"/>
        <v>2058</v>
      </c>
    </row>
    <row r="47" ht="22.05" customHeight="1" spans="2:50">
      <c r="B47" s="648"/>
      <c r="C47" s="718">
        <f>C45</f>
        <v>47362</v>
      </c>
      <c r="D47" s="719">
        <v>47483</v>
      </c>
      <c r="E47" s="719">
        <v>47848</v>
      </c>
      <c r="F47" s="719">
        <v>48213</v>
      </c>
      <c r="G47" s="719">
        <v>48579</v>
      </c>
      <c r="H47" s="719">
        <v>48944</v>
      </c>
      <c r="I47" s="719">
        <v>49309</v>
      </c>
      <c r="J47" s="719">
        <v>49674</v>
      </c>
      <c r="K47" s="719">
        <v>50040</v>
      </c>
      <c r="L47" s="719">
        <v>50405</v>
      </c>
      <c r="M47" s="719">
        <v>50770</v>
      </c>
      <c r="N47" s="719">
        <v>51135</v>
      </c>
      <c r="O47" s="719">
        <v>51501</v>
      </c>
      <c r="P47" s="719">
        <v>51866</v>
      </c>
      <c r="Q47" s="719">
        <v>52231</v>
      </c>
      <c r="R47" s="719">
        <v>52596</v>
      </c>
      <c r="S47" s="719">
        <v>52962</v>
      </c>
      <c r="T47" s="719">
        <v>53327</v>
      </c>
      <c r="U47" s="719">
        <v>53692</v>
      </c>
      <c r="V47" s="719">
        <v>54057</v>
      </c>
      <c r="W47" s="719">
        <v>54423</v>
      </c>
      <c r="X47" s="719">
        <v>54788</v>
      </c>
      <c r="Y47" s="719">
        <v>55153</v>
      </c>
      <c r="Z47" s="719">
        <v>55518</v>
      </c>
      <c r="AA47" s="719">
        <v>55884</v>
      </c>
      <c r="AB47" s="719">
        <v>56249</v>
      </c>
      <c r="AC47" s="719">
        <v>56614</v>
      </c>
      <c r="AD47" s="719">
        <v>56979</v>
      </c>
      <c r="AE47" s="719">
        <v>57345</v>
      </c>
      <c r="AF47" s="719">
        <v>57710</v>
      </c>
      <c r="AG47" s="720">
        <f>D45</f>
        <v>57954</v>
      </c>
    </row>
    <row r="48" ht="22.05" customHeight="1" spans="2:50">
      <c r="B48" s="29">
        <f>SUM(C48:AX48)</f>
        <v>348</v>
      </c>
      <c r="C48" s="29">
        <v>0</v>
      </c>
      <c r="D48" s="29">
        <f>ROUND((DATEDIF(C47,D47,"d"))/30,0)</f>
        <v>4</v>
      </c>
      <c r="E48" s="29">
        <f t="shared" ref="E48:AG48" si="23">ROUND((DATEDIF(D47,E47,"d"))/30,0)</f>
        <v>12</v>
      </c>
      <c r="F48" s="29">
        <f t="shared" si="23"/>
        <v>12</v>
      </c>
      <c r="G48" s="29">
        <f t="shared" si="23"/>
        <v>12</v>
      </c>
      <c r="H48" s="29">
        <f t="shared" si="23"/>
        <v>12</v>
      </c>
      <c r="I48" s="29">
        <f t="shared" si="23"/>
        <v>12</v>
      </c>
      <c r="J48" s="29">
        <f t="shared" si="23"/>
        <v>12</v>
      </c>
      <c r="K48" s="29">
        <f t="shared" si="23"/>
        <v>12</v>
      </c>
      <c r="L48" s="29">
        <f t="shared" si="23"/>
        <v>12</v>
      </c>
      <c r="M48" s="29">
        <f t="shared" si="23"/>
        <v>12</v>
      </c>
      <c r="N48" s="29">
        <f t="shared" si="23"/>
        <v>12</v>
      </c>
      <c r="O48" s="29">
        <f t="shared" si="23"/>
        <v>12</v>
      </c>
      <c r="P48" s="29">
        <f t="shared" si="23"/>
        <v>12</v>
      </c>
      <c r="Q48" s="29">
        <f t="shared" si="23"/>
        <v>12</v>
      </c>
      <c r="R48" s="29">
        <f t="shared" si="23"/>
        <v>12</v>
      </c>
      <c r="S48" s="29">
        <f t="shared" si="23"/>
        <v>12</v>
      </c>
      <c r="T48" s="29">
        <f t="shared" si="23"/>
        <v>12</v>
      </c>
      <c r="U48" s="29">
        <f t="shared" si="23"/>
        <v>12</v>
      </c>
      <c r="V48" s="29">
        <f t="shared" si="23"/>
        <v>12</v>
      </c>
      <c r="W48" s="29">
        <f t="shared" si="23"/>
        <v>12</v>
      </c>
      <c r="X48" s="29">
        <f t="shared" si="23"/>
        <v>12</v>
      </c>
      <c r="Y48" s="29">
        <f t="shared" si="23"/>
        <v>12</v>
      </c>
      <c r="Z48" s="29">
        <f t="shared" si="23"/>
        <v>12</v>
      </c>
      <c r="AA48" s="29">
        <f t="shared" si="23"/>
        <v>12</v>
      </c>
      <c r="AB48" s="29">
        <f t="shared" si="23"/>
        <v>12</v>
      </c>
      <c r="AC48" s="29">
        <f t="shared" si="23"/>
        <v>12</v>
      </c>
      <c r="AD48" s="29">
        <f t="shared" si="23"/>
        <v>12</v>
      </c>
      <c r="AE48" s="29">
        <f t="shared" si="23"/>
        <v>12</v>
      </c>
      <c r="AF48" s="29">
        <f t="shared" si="23"/>
        <v>12</v>
      </c>
      <c r="AG48" s="29">
        <f t="shared" si="23"/>
        <v>8</v>
      </c>
    </row>
    <row r="49" s="4" customFormat="1" ht="22.05" customHeight="1" spans="2:50">
      <c r="B49" s="76" t="s">
        <v>437</v>
      </c>
      <c r="C49" s="76">
        <v>2023</v>
      </c>
      <c r="D49" s="76">
        <v>2024</v>
      </c>
      <c r="E49" s="76">
        <v>2025</v>
      </c>
      <c r="F49" s="76">
        <v>2026</v>
      </c>
      <c r="G49" s="76">
        <v>2027</v>
      </c>
      <c r="H49" s="76">
        <v>2028</v>
      </c>
      <c r="I49" s="76">
        <v>2029</v>
      </c>
      <c r="J49" s="76">
        <v>2030</v>
      </c>
      <c r="K49" s="76">
        <v>2031</v>
      </c>
      <c r="L49" s="76">
        <v>2032</v>
      </c>
      <c r="M49" s="76">
        <v>2033</v>
      </c>
      <c r="N49" s="76">
        <v>2034</v>
      </c>
      <c r="O49" s="76">
        <v>2035</v>
      </c>
      <c r="P49" s="76">
        <v>2036</v>
      </c>
      <c r="Q49" s="76">
        <v>2037</v>
      </c>
      <c r="R49" s="76">
        <v>2038</v>
      </c>
      <c r="S49" s="76">
        <v>2039</v>
      </c>
      <c r="T49" s="76">
        <v>2040</v>
      </c>
      <c r="U49" s="76">
        <v>2041</v>
      </c>
      <c r="V49" s="76">
        <v>2042</v>
      </c>
      <c r="W49" s="76">
        <v>2043</v>
      </c>
      <c r="X49" s="76">
        <v>2044</v>
      </c>
      <c r="Y49" s="76">
        <v>2045</v>
      </c>
      <c r="Z49" s="76">
        <v>2046</v>
      </c>
      <c r="AA49" s="76">
        <v>2047</v>
      </c>
      <c r="AB49" s="76">
        <v>2048</v>
      </c>
      <c r="AC49" s="76">
        <v>2049</v>
      </c>
      <c r="AD49" s="76">
        <v>2050</v>
      </c>
      <c r="AE49" s="76">
        <v>2051</v>
      </c>
      <c r="AF49" s="76">
        <v>2052</v>
      </c>
      <c r="AG49" s="76">
        <v>2053</v>
      </c>
      <c r="AH49" s="76">
        <v>2054</v>
      </c>
      <c r="AI49" s="76">
        <v>2055</v>
      </c>
      <c r="AJ49" s="76">
        <v>2056</v>
      </c>
      <c r="AK49" s="76">
        <v>2057</v>
      </c>
      <c r="AL49" s="76">
        <v>2058</v>
      </c>
      <c r="AM49" s="76">
        <v>2059</v>
      </c>
      <c r="AN49" s="76">
        <v>2060</v>
      </c>
      <c r="AO49" s="76">
        <v>2061</v>
      </c>
      <c r="AP49" s="76">
        <v>2062</v>
      </c>
      <c r="AQ49" s="76">
        <v>2063</v>
      </c>
      <c r="AR49" s="76">
        <v>2064</v>
      </c>
      <c r="AS49" s="76">
        <v>2065</v>
      </c>
      <c r="AT49" s="76">
        <v>2066</v>
      </c>
      <c r="AU49" s="76">
        <v>2067</v>
      </c>
      <c r="AV49" s="76">
        <v>2068</v>
      </c>
      <c r="AW49" s="76">
        <v>2069</v>
      </c>
      <c r="AX49" s="76">
        <v>2070</v>
      </c>
    </row>
    <row r="50" s="4" customFormat="1" ht="22.05" customHeight="1" spans="2:50">
      <c r="B50" s="76" t="s">
        <v>443</v>
      </c>
      <c r="C50" s="76">
        <f>SUMIF($C$46:$AG$46,C49,$C$48:$AG$48)</f>
        <v>0</v>
      </c>
      <c r="D50" s="76">
        <f t="shared" ref="D50:AX50" si="24">SUMIF($C$46:$AG$46,D49,$C$48:$AG$48)</f>
        <v>0</v>
      </c>
      <c r="E50" s="76">
        <f t="shared" si="24"/>
        <v>0</v>
      </c>
      <c r="F50" s="76">
        <f t="shared" si="24"/>
        <v>0</v>
      </c>
      <c r="G50" s="76">
        <f t="shared" si="24"/>
        <v>0</v>
      </c>
      <c r="H50" s="76">
        <f t="shared" si="24"/>
        <v>0</v>
      </c>
      <c r="I50" s="76">
        <f t="shared" si="24"/>
        <v>4</v>
      </c>
      <c r="J50" s="76">
        <f t="shared" si="24"/>
        <v>12</v>
      </c>
      <c r="K50" s="76">
        <f t="shared" si="24"/>
        <v>12</v>
      </c>
      <c r="L50" s="76">
        <f t="shared" si="24"/>
        <v>12</v>
      </c>
      <c r="M50" s="76">
        <f t="shared" si="24"/>
        <v>12</v>
      </c>
      <c r="N50" s="76">
        <f t="shared" si="24"/>
        <v>12</v>
      </c>
      <c r="O50" s="76">
        <f t="shared" si="24"/>
        <v>12</v>
      </c>
      <c r="P50" s="76">
        <f t="shared" si="24"/>
        <v>12</v>
      </c>
      <c r="Q50" s="76">
        <f t="shared" si="24"/>
        <v>12</v>
      </c>
      <c r="R50" s="76">
        <f t="shared" si="24"/>
        <v>12</v>
      </c>
      <c r="S50" s="76">
        <f t="shared" si="24"/>
        <v>12</v>
      </c>
      <c r="T50" s="76">
        <f t="shared" si="24"/>
        <v>12</v>
      </c>
      <c r="U50" s="76">
        <f t="shared" si="24"/>
        <v>12</v>
      </c>
      <c r="V50" s="76">
        <f t="shared" si="24"/>
        <v>12</v>
      </c>
      <c r="W50" s="76">
        <f t="shared" si="24"/>
        <v>12</v>
      </c>
      <c r="X50" s="76">
        <f t="shared" si="24"/>
        <v>12</v>
      </c>
      <c r="Y50" s="76">
        <f t="shared" si="24"/>
        <v>12</v>
      </c>
      <c r="Z50" s="76">
        <f t="shared" si="24"/>
        <v>12</v>
      </c>
      <c r="AA50" s="76">
        <f t="shared" si="24"/>
        <v>12</v>
      </c>
      <c r="AB50" s="76">
        <f t="shared" si="24"/>
        <v>12</v>
      </c>
      <c r="AC50" s="76">
        <f t="shared" si="24"/>
        <v>12</v>
      </c>
      <c r="AD50" s="76">
        <f t="shared" si="24"/>
        <v>12</v>
      </c>
      <c r="AE50" s="76">
        <f t="shared" si="24"/>
        <v>12</v>
      </c>
      <c r="AF50" s="76">
        <f t="shared" si="24"/>
        <v>12</v>
      </c>
      <c r="AG50" s="76">
        <f t="shared" si="24"/>
        <v>12</v>
      </c>
      <c r="AH50" s="76">
        <f t="shared" si="24"/>
        <v>12</v>
      </c>
      <c r="AI50" s="76">
        <f t="shared" si="24"/>
        <v>12</v>
      </c>
      <c r="AJ50" s="76">
        <f t="shared" si="24"/>
        <v>12</v>
      </c>
      <c r="AK50" s="76">
        <f t="shared" si="24"/>
        <v>12</v>
      </c>
      <c r="AL50" s="76">
        <f t="shared" si="24"/>
        <v>8</v>
      </c>
      <c r="AM50" s="76">
        <f t="shared" si="24"/>
        <v>0</v>
      </c>
      <c r="AN50" s="76">
        <f t="shared" si="24"/>
        <v>0</v>
      </c>
      <c r="AO50" s="76">
        <f t="shared" si="24"/>
        <v>0</v>
      </c>
      <c r="AP50" s="76">
        <f t="shared" si="24"/>
        <v>0</v>
      </c>
      <c r="AQ50" s="76">
        <f t="shared" si="24"/>
        <v>0</v>
      </c>
      <c r="AR50" s="76">
        <f t="shared" si="24"/>
        <v>0</v>
      </c>
      <c r="AS50" s="76">
        <f t="shared" si="24"/>
        <v>0</v>
      </c>
      <c r="AT50" s="76">
        <f t="shared" si="24"/>
        <v>0</v>
      </c>
      <c r="AU50" s="76">
        <f t="shared" si="24"/>
        <v>0</v>
      </c>
      <c r="AV50" s="76">
        <f t="shared" si="24"/>
        <v>0</v>
      </c>
      <c r="AW50" s="76">
        <f t="shared" si="24"/>
        <v>0</v>
      </c>
      <c r="AX50" s="76">
        <f t="shared" si="24"/>
        <v>0</v>
      </c>
    </row>
    <row r="51" s="4" customFormat="1" ht="22" customHeight="1" spans="2:50">
      <c r="B51" s="714" t="s">
        <v>458</v>
      </c>
      <c r="C51" s="721">
        <f>参数输入表!$D$37</f>
        <v>47362</v>
      </c>
      <c r="D51" s="722">
        <f>参数输入表!$D$37+参数输入表!$I$638*365+INT(参数输入表!$I$638/4)</f>
        <v>53936</v>
      </c>
      <c r="E51" s="199"/>
      <c r="F51" s="199"/>
      <c r="G51" s="199"/>
      <c r="H51" s="199"/>
      <c r="I51" s="199"/>
      <c r="J51" s="199"/>
      <c r="K51" s="199"/>
      <c r="L51" s="199"/>
      <c r="M51" s="199"/>
      <c r="N51" s="199"/>
      <c r="O51" s="199"/>
      <c r="P51" s="199"/>
      <c r="Q51" s="199"/>
      <c r="R51" s="199"/>
      <c r="S51" s="199"/>
      <c r="T51" s="199"/>
      <c r="U51" s="199"/>
      <c r="V51" s="199"/>
      <c r="W51" s="199"/>
      <c r="X51" s="199"/>
      <c r="Y51" s="199"/>
      <c r="Z51" s="199"/>
      <c r="AA51" s="199"/>
      <c r="AB51" s="199"/>
      <c r="AC51" s="199"/>
      <c r="AD51" s="199"/>
      <c r="AE51" s="199"/>
      <c r="AF51" s="199"/>
      <c r="AG51" s="199"/>
      <c r="AH51" s="199"/>
      <c r="AI51" s="199"/>
      <c r="AJ51" s="199"/>
      <c r="AK51" s="199"/>
      <c r="AL51" s="199"/>
      <c r="AM51" s="199"/>
      <c r="AN51" s="199"/>
      <c r="AO51" s="199"/>
      <c r="AP51" s="199"/>
      <c r="AQ51" s="199"/>
      <c r="AR51" s="199"/>
      <c r="AS51" s="199"/>
      <c r="AT51" s="199"/>
      <c r="AU51" s="199"/>
      <c r="AV51" s="199"/>
      <c r="AW51" s="199"/>
      <c r="AX51" s="199"/>
    </row>
    <row r="52" s="4" customFormat="1" ht="22.05" customHeight="1" spans="2:50">
      <c r="B52" s="648" t="s">
        <v>445</v>
      </c>
      <c r="C52" s="717">
        <f t="shared" ref="C52:F52" si="25">YEAR(C53)</f>
        <v>2029</v>
      </c>
      <c r="D52" s="717">
        <f t="shared" si="25"/>
        <v>2029</v>
      </c>
      <c r="E52" s="717">
        <f t="shared" si="25"/>
        <v>2030</v>
      </c>
      <c r="F52" s="717">
        <f t="shared" si="25"/>
        <v>2031</v>
      </c>
      <c r="G52" s="717">
        <f t="shared" ref="G52:V52" si="26">YEAR(G53)</f>
        <v>2032</v>
      </c>
      <c r="H52" s="717">
        <f t="shared" si="26"/>
        <v>2033</v>
      </c>
      <c r="I52" s="717">
        <f t="shared" si="26"/>
        <v>2034</v>
      </c>
      <c r="J52" s="717">
        <f t="shared" si="26"/>
        <v>2035</v>
      </c>
      <c r="K52" s="717">
        <f t="shared" si="26"/>
        <v>2036</v>
      </c>
      <c r="L52" s="717">
        <f t="shared" si="26"/>
        <v>2037</v>
      </c>
      <c r="M52" s="717">
        <f t="shared" si="26"/>
        <v>2038</v>
      </c>
      <c r="N52" s="717">
        <f t="shared" si="26"/>
        <v>2039</v>
      </c>
      <c r="O52" s="717">
        <f t="shared" si="26"/>
        <v>2040</v>
      </c>
      <c r="P52" s="717">
        <f t="shared" si="26"/>
        <v>2041</v>
      </c>
      <c r="Q52" s="717">
        <f t="shared" si="26"/>
        <v>2042</v>
      </c>
      <c r="R52" s="717">
        <f t="shared" si="26"/>
        <v>2043</v>
      </c>
      <c r="S52" s="717">
        <f t="shared" si="26"/>
        <v>2044</v>
      </c>
      <c r="T52" s="717">
        <f t="shared" si="26"/>
        <v>2045</v>
      </c>
      <c r="U52" s="717">
        <f t="shared" si="26"/>
        <v>2046</v>
      </c>
      <c r="V52" s="717">
        <f t="shared" si="26"/>
        <v>2047</v>
      </c>
      <c r="W52" s="199"/>
      <c r="X52" s="199"/>
      <c r="Y52" s="199"/>
      <c r="Z52" s="199"/>
      <c r="AA52" s="199"/>
      <c r="AB52" s="199"/>
      <c r="AC52" s="199"/>
      <c r="AD52" s="199"/>
      <c r="AE52" s="199"/>
      <c r="AF52" s="199"/>
      <c r="AG52" s="199"/>
      <c r="AH52" s="199"/>
      <c r="AI52" s="199"/>
      <c r="AJ52" s="199"/>
      <c r="AK52" s="199"/>
      <c r="AL52" s="199"/>
      <c r="AM52" s="199"/>
      <c r="AN52" s="199"/>
      <c r="AO52" s="199"/>
      <c r="AP52" s="199"/>
      <c r="AQ52" s="199"/>
      <c r="AR52" s="199"/>
      <c r="AS52" s="199"/>
      <c r="AT52" s="199"/>
      <c r="AU52" s="199"/>
      <c r="AV52" s="199"/>
      <c r="AW52" s="199"/>
      <c r="AX52" s="199"/>
    </row>
    <row r="53" s="4" customFormat="1" ht="22.05" customHeight="1" spans="2:50">
      <c r="B53" s="648"/>
      <c r="C53" s="723">
        <f>C51</f>
        <v>47362</v>
      </c>
      <c r="D53" s="719">
        <v>47483</v>
      </c>
      <c r="E53" s="719">
        <v>47848</v>
      </c>
      <c r="F53" s="719">
        <v>48213</v>
      </c>
      <c r="G53" s="719">
        <v>48579</v>
      </c>
      <c r="H53" s="719">
        <v>48944</v>
      </c>
      <c r="I53" s="719">
        <v>49309</v>
      </c>
      <c r="J53" s="719">
        <v>49674</v>
      </c>
      <c r="K53" s="719">
        <v>50040</v>
      </c>
      <c r="L53" s="719">
        <v>50405</v>
      </c>
      <c r="M53" s="719">
        <v>50770</v>
      </c>
      <c r="N53" s="719">
        <v>51135</v>
      </c>
      <c r="O53" s="719">
        <v>51501</v>
      </c>
      <c r="P53" s="719">
        <v>51866</v>
      </c>
      <c r="Q53" s="719">
        <v>52231</v>
      </c>
      <c r="R53" s="719">
        <v>52596</v>
      </c>
      <c r="S53" s="719">
        <v>52962</v>
      </c>
      <c r="T53" s="719">
        <v>53327</v>
      </c>
      <c r="U53" s="719">
        <v>53692</v>
      </c>
      <c r="V53" s="724">
        <f>D51</f>
        <v>53936</v>
      </c>
      <c r="W53" s="199"/>
      <c r="X53" s="199"/>
      <c r="Y53" s="199"/>
      <c r="Z53" s="199"/>
      <c r="AA53" s="199"/>
      <c r="AB53" s="199"/>
      <c r="AC53" s="199"/>
      <c r="AD53" s="199"/>
      <c r="AE53" s="199"/>
      <c r="AF53" s="199"/>
      <c r="AG53" s="199"/>
      <c r="AH53" s="199"/>
      <c r="AI53" s="199"/>
      <c r="AJ53" s="199"/>
      <c r="AK53" s="199"/>
      <c r="AL53" s="199"/>
      <c r="AM53" s="199"/>
      <c r="AN53" s="199"/>
      <c r="AO53" s="199"/>
      <c r="AP53" s="199"/>
      <c r="AQ53" s="199"/>
      <c r="AR53" s="199"/>
      <c r="AS53" s="199"/>
      <c r="AT53" s="199"/>
      <c r="AU53" s="199"/>
      <c r="AV53" s="199"/>
      <c r="AW53" s="199"/>
      <c r="AX53" s="199"/>
    </row>
    <row r="54" s="4" customFormat="1" ht="22.05" customHeight="1" spans="2:50">
      <c r="B54" s="29">
        <f>SUM(C54:AX54)</f>
        <v>216</v>
      </c>
      <c r="C54" s="29">
        <v>0</v>
      </c>
      <c r="D54" s="29">
        <f>ROUND((DATEDIF(C53,D53,"d"))/30,0)</f>
        <v>4</v>
      </c>
      <c r="E54" s="29">
        <f t="shared" ref="E54:V54" si="27">ROUND((DATEDIF(D53,E53,"d"))/30,0)</f>
        <v>12</v>
      </c>
      <c r="F54" s="29">
        <f t="shared" si="27"/>
        <v>12</v>
      </c>
      <c r="G54" s="29">
        <f t="shared" si="27"/>
        <v>12</v>
      </c>
      <c r="H54" s="29">
        <f t="shared" si="27"/>
        <v>12</v>
      </c>
      <c r="I54" s="29">
        <f t="shared" si="27"/>
        <v>12</v>
      </c>
      <c r="J54" s="29">
        <f t="shared" si="27"/>
        <v>12</v>
      </c>
      <c r="K54" s="29">
        <f t="shared" si="27"/>
        <v>12</v>
      </c>
      <c r="L54" s="29">
        <f t="shared" si="27"/>
        <v>12</v>
      </c>
      <c r="M54" s="29">
        <f t="shared" si="27"/>
        <v>12</v>
      </c>
      <c r="N54" s="29">
        <f t="shared" si="27"/>
        <v>12</v>
      </c>
      <c r="O54" s="29">
        <f t="shared" si="27"/>
        <v>12</v>
      </c>
      <c r="P54" s="29">
        <f t="shared" si="27"/>
        <v>12</v>
      </c>
      <c r="Q54" s="29">
        <f t="shared" si="27"/>
        <v>12</v>
      </c>
      <c r="R54" s="29">
        <f t="shared" si="27"/>
        <v>12</v>
      </c>
      <c r="S54" s="29">
        <f t="shared" si="27"/>
        <v>12</v>
      </c>
      <c r="T54" s="29">
        <f t="shared" si="27"/>
        <v>12</v>
      </c>
      <c r="U54" s="29">
        <f t="shared" si="27"/>
        <v>12</v>
      </c>
      <c r="V54" s="29">
        <f t="shared" si="27"/>
        <v>8</v>
      </c>
      <c r="W54" s="199"/>
      <c r="X54" s="199"/>
      <c r="Y54" s="199"/>
      <c r="Z54" s="199"/>
      <c r="AA54" s="199"/>
      <c r="AB54" s="199"/>
      <c r="AC54" s="199"/>
      <c r="AD54" s="199"/>
      <c r="AE54" s="199"/>
      <c r="AF54" s="199"/>
      <c r="AG54" s="199"/>
      <c r="AH54" s="199"/>
      <c r="AI54" s="199"/>
      <c r="AJ54" s="199"/>
      <c r="AK54" s="199"/>
      <c r="AL54" s="199"/>
      <c r="AM54" s="199"/>
      <c r="AN54" s="199"/>
      <c r="AO54" s="199"/>
      <c r="AP54" s="199"/>
      <c r="AQ54" s="199"/>
      <c r="AR54" s="199"/>
      <c r="AS54" s="199"/>
      <c r="AT54" s="199"/>
      <c r="AU54" s="199"/>
      <c r="AV54" s="199"/>
      <c r="AW54" s="199"/>
      <c r="AX54" s="199"/>
    </row>
    <row r="55" s="4" customFormat="1" ht="22.05" customHeight="1" spans="2:50">
      <c r="B55" s="76" t="s">
        <v>437</v>
      </c>
      <c r="C55" s="76">
        <v>2023</v>
      </c>
      <c r="D55" s="76">
        <v>2024</v>
      </c>
      <c r="E55" s="76">
        <v>2025</v>
      </c>
      <c r="F55" s="76">
        <v>2026</v>
      </c>
      <c r="G55" s="76">
        <v>2027</v>
      </c>
      <c r="H55" s="76">
        <v>2028</v>
      </c>
      <c r="I55" s="76">
        <v>2029</v>
      </c>
      <c r="J55" s="76">
        <v>2030</v>
      </c>
      <c r="K55" s="76">
        <v>2031</v>
      </c>
      <c r="L55" s="76">
        <v>2032</v>
      </c>
      <c r="M55" s="76">
        <v>2033</v>
      </c>
      <c r="N55" s="76">
        <v>2034</v>
      </c>
      <c r="O55" s="76">
        <v>2035</v>
      </c>
      <c r="P55" s="76">
        <v>2036</v>
      </c>
      <c r="Q55" s="76">
        <v>2037</v>
      </c>
      <c r="R55" s="76">
        <v>2038</v>
      </c>
      <c r="S55" s="76">
        <v>2039</v>
      </c>
      <c r="T55" s="76">
        <v>2040</v>
      </c>
      <c r="U55" s="76">
        <v>2041</v>
      </c>
      <c r="V55" s="76">
        <v>2042</v>
      </c>
      <c r="W55" s="76">
        <v>2043</v>
      </c>
      <c r="X55" s="76">
        <v>2044</v>
      </c>
      <c r="Y55" s="76">
        <v>2045</v>
      </c>
      <c r="Z55" s="76">
        <v>2046</v>
      </c>
      <c r="AA55" s="76">
        <v>2047</v>
      </c>
      <c r="AB55" s="76">
        <v>2048</v>
      </c>
      <c r="AC55" s="76">
        <v>2049</v>
      </c>
      <c r="AD55" s="76">
        <v>2050</v>
      </c>
      <c r="AE55" s="76">
        <v>2051</v>
      </c>
      <c r="AF55" s="76">
        <v>2052</v>
      </c>
      <c r="AG55" s="76">
        <v>2053</v>
      </c>
      <c r="AH55" s="76">
        <v>2054</v>
      </c>
      <c r="AI55" s="76">
        <v>2055</v>
      </c>
      <c r="AJ55" s="76">
        <v>2056</v>
      </c>
      <c r="AK55" s="76">
        <v>2057</v>
      </c>
      <c r="AL55" s="76">
        <v>2058</v>
      </c>
      <c r="AM55" s="76">
        <v>2059</v>
      </c>
      <c r="AN55" s="76">
        <v>2060</v>
      </c>
      <c r="AO55" s="76">
        <v>2061</v>
      </c>
      <c r="AP55" s="76">
        <v>2062</v>
      </c>
      <c r="AQ55" s="76">
        <v>2063</v>
      </c>
      <c r="AR55" s="76">
        <v>2064</v>
      </c>
      <c r="AS55" s="76">
        <v>2065</v>
      </c>
      <c r="AT55" s="76">
        <v>2066</v>
      </c>
      <c r="AU55" s="76">
        <v>2067</v>
      </c>
      <c r="AV55" s="76">
        <v>2068</v>
      </c>
      <c r="AW55" s="76">
        <v>2069</v>
      </c>
      <c r="AX55" s="76">
        <v>2070</v>
      </c>
    </row>
    <row r="56" s="4" customFormat="1" ht="22.05" customHeight="1" spans="2:50">
      <c r="B56" s="76" t="s">
        <v>446</v>
      </c>
      <c r="C56" s="76">
        <f>SUMIF($C$52:$V$52,C55,$C$54:$V$54)</f>
        <v>0</v>
      </c>
      <c r="D56" s="76">
        <f t="shared" ref="D56:AX56" si="28">SUMIF($C$52:$V$52,D55,$C$54:$V$54)</f>
        <v>0</v>
      </c>
      <c r="E56" s="76">
        <f t="shared" si="28"/>
        <v>0</v>
      </c>
      <c r="F56" s="76">
        <f t="shared" si="28"/>
        <v>0</v>
      </c>
      <c r="G56" s="76">
        <f t="shared" si="28"/>
        <v>0</v>
      </c>
      <c r="H56" s="76">
        <f t="shared" si="28"/>
        <v>0</v>
      </c>
      <c r="I56" s="76">
        <f t="shared" si="28"/>
        <v>4</v>
      </c>
      <c r="J56" s="76">
        <f t="shared" si="28"/>
        <v>12</v>
      </c>
      <c r="K56" s="76">
        <f t="shared" si="28"/>
        <v>12</v>
      </c>
      <c r="L56" s="76">
        <f t="shared" si="28"/>
        <v>12</v>
      </c>
      <c r="M56" s="76">
        <f t="shared" si="28"/>
        <v>12</v>
      </c>
      <c r="N56" s="76">
        <f t="shared" si="28"/>
        <v>12</v>
      </c>
      <c r="O56" s="76">
        <f t="shared" si="28"/>
        <v>12</v>
      </c>
      <c r="P56" s="76">
        <f t="shared" si="28"/>
        <v>12</v>
      </c>
      <c r="Q56" s="76">
        <f t="shared" si="28"/>
        <v>12</v>
      </c>
      <c r="R56" s="76">
        <f t="shared" si="28"/>
        <v>12</v>
      </c>
      <c r="S56" s="76">
        <f t="shared" si="28"/>
        <v>12</v>
      </c>
      <c r="T56" s="76">
        <f t="shared" si="28"/>
        <v>12</v>
      </c>
      <c r="U56" s="76">
        <f t="shared" si="28"/>
        <v>12</v>
      </c>
      <c r="V56" s="76">
        <f t="shared" si="28"/>
        <v>12</v>
      </c>
      <c r="W56" s="76">
        <f t="shared" si="28"/>
        <v>12</v>
      </c>
      <c r="X56" s="76">
        <f t="shared" si="28"/>
        <v>12</v>
      </c>
      <c r="Y56" s="76">
        <f t="shared" si="28"/>
        <v>12</v>
      </c>
      <c r="Z56" s="76">
        <f t="shared" si="28"/>
        <v>12</v>
      </c>
      <c r="AA56" s="76">
        <f t="shared" si="28"/>
        <v>8</v>
      </c>
      <c r="AB56" s="76">
        <f t="shared" si="28"/>
        <v>0</v>
      </c>
      <c r="AC56" s="76">
        <f t="shared" si="28"/>
        <v>0</v>
      </c>
      <c r="AD56" s="76">
        <f t="shared" si="28"/>
        <v>0</v>
      </c>
      <c r="AE56" s="76">
        <f t="shared" si="28"/>
        <v>0</v>
      </c>
      <c r="AF56" s="76">
        <f t="shared" si="28"/>
        <v>0</v>
      </c>
      <c r="AG56" s="76">
        <f t="shared" si="28"/>
        <v>0</v>
      </c>
      <c r="AH56" s="76">
        <f t="shared" si="28"/>
        <v>0</v>
      </c>
      <c r="AI56" s="76">
        <f t="shared" si="28"/>
        <v>0</v>
      </c>
      <c r="AJ56" s="76">
        <f t="shared" si="28"/>
        <v>0</v>
      </c>
      <c r="AK56" s="76">
        <f t="shared" si="28"/>
        <v>0</v>
      </c>
      <c r="AL56" s="76">
        <f t="shared" si="28"/>
        <v>0</v>
      </c>
      <c r="AM56" s="76">
        <f t="shared" si="28"/>
        <v>0</v>
      </c>
      <c r="AN56" s="76">
        <f t="shared" si="28"/>
        <v>0</v>
      </c>
      <c r="AO56" s="76">
        <f t="shared" si="28"/>
        <v>0</v>
      </c>
      <c r="AP56" s="76">
        <f t="shared" si="28"/>
        <v>0</v>
      </c>
      <c r="AQ56" s="76">
        <f t="shared" si="28"/>
        <v>0</v>
      </c>
      <c r="AR56" s="76">
        <f t="shared" si="28"/>
        <v>0</v>
      </c>
      <c r="AS56" s="76">
        <f t="shared" si="28"/>
        <v>0</v>
      </c>
      <c r="AT56" s="76">
        <f t="shared" si="28"/>
        <v>0</v>
      </c>
      <c r="AU56" s="76">
        <f t="shared" si="28"/>
        <v>0</v>
      </c>
      <c r="AV56" s="76">
        <f t="shared" si="28"/>
        <v>0</v>
      </c>
      <c r="AW56" s="76">
        <f t="shared" si="28"/>
        <v>0</v>
      </c>
      <c r="AX56" s="76">
        <f t="shared" si="28"/>
        <v>0</v>
      </c>
    </row>
    <row r="57" s="4" customFormat="1" ht="22" customHeight="1" spans="2:50">
      <c r="B57" s="714" t="s">
        <v>459</v>
      </c>
      <c r="C57" s="721">
        <f>参数输入表!$D$37</f>
        <v>47362</v>
      </c>
      <c r="D57" s="725">
        <f>参数输入表!$D$37+参数输入表!$I$627*365+INT(参数输入表!$I$627/4)</f>
        <v>51745</v>
      </c>
      <c r="E57" s="199"/>
      <c r="F57" s="199"/>
      <c r="G57" s="199"/>
      <c r="H57" s="199"/>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c r="AS57" s="199"/>
      <c r="AT57" s="199"/>
      <c r="AU57" s="199"/>
      <c r="AV57" s="199"/>
      <c r="AW57" s="199"/>
      <c r="AX57" s="199"/>
    </row>
    <row r="58" s="4" customFormat="1" ht="22.05" customHeight="1" spans="2:50">
      <c r="B58" s="76" t="s">
        <v>448</v>
      </c>
      <c r="C58" s="717">
        <f>YEAR(C59)</f>
        <v>2029</v>
      </c>
      <c r="D58" s="717">
        <f>YEAR(D59)</f>
        <v>2029</v>
      </c>
      <c r="E58" s="717">
        <f>YEAR(E59)</f>
        <v>2030</v>
      </c>
      <c r="F58" s="717">
        <f t="shared" ref="F58:P58" si="29">YEAR(F59)</f>
        <v>2031</v>
      </c>
      <c r="G58" s="717">
        <f t="shared" si="29"/>
        <v>2032</v>
      </c>
      <c r="H58" s="717">
        <f t="shared" si="29"/>
        <v>2033</v>
      </c>
      <c r="I58" s="717">
        <f t="shared" si="29"/>
        <v>2034</v>
      </c>
      <c r="J58" s="717">
        <f t="shared" si="29"/>
        <v>2035</v>
      </c>
      <c r="K58" s="717">
        <f t="shared" si="29"/>
        <v>2036</v>
      </c>
      <c r="L58" s="717">
        <f t="shared" si="29"/>
        <v>2037</v>
      </c>
      <c r="M58" s="717">
        <f t="shared" si="29"/>
        <v>2038</v>
      </c>
      <c r="N58" s="717">
        <f t="shared" si="29"/>
        <v>2039</v>
      </c>
      <c r="O58" s="717">
        <f t="shared" si="29"/>
        <v>2040</v>
      </c>
      <c r="P58" s="717">
        <f t="shared" si="29"/>
        <v>2041</v>
      </c>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199"/>
      <c r="AR58" s="199"/>
      <c r="AS58" s="199"/>
      <c r="AT58" s="199"/>
      <c r="AU58" s="199"/>
      <c r="AV58" s="199"/>
      <c r="AW58" s="199"/>
      <c r="AX58" s="199"/>
    </row>
    <row r="59" s="4" customFormat="1" ht="22.05" customHeight="1" spans="2:50">
      <c r="B59" s="76"/>
      <c r="C59" s="723">
        <f>C57</f>
        <v>47362</v>
      </c>
      <c r="D59" s="719">
        <v>47483</v>
      </c>
      <c r="E59" s="719">
        <v>47848</v>
      </c>
      <c r="F59" s="719">
        <v>48213</v>
      </c>
      <c r="G59" s="719">
        <v>48579</v>
      </c>
      <c r="H59" s="719">
        <v>48944</v>
      </c>
      <c r="I59" s="719">
        <v>49309</v>
      </c>
      <c r="J59" s="719">
        <v>49674</v>
      </c>
      <c r="K59" s="719">
        <v>50040</v>
      </c>
      <c r="L59" s="719">
        <v>50405</v>
      </c>
      <c r="M59" s="719">
        <v>50770</v>
      </c>
      <c r="N59" s="719">
        <v>51135</v>
      </c>
      <c r="O59" s="719">
        <v>51501</v>
      </c>
      <c r="P59" s="726">
        <f>D57</f>
        <v>51745</v>
      </c>
      <c r="Q59" s="199"/>
      <c r="R59" s="199"/>
      <c r="S59" s="199"/>
      <c r="T59" s="199"/>
      <c r="U59" s="199"/>
      <c r="V59" s="199"/>
      <c r="W59" s="199"/>
      <c r="X59" s="199"/>
      <c r="Y59" s="199"/>
      <c r="Z59" s="199"/>
      <c r="AA59" s="199"/>
      <c r="AB59" s="199"/>
      <c r="AC59" s="199"/>
      <c r="AD59" s="199"/>
      <c r="AE59" s="199"/>
      <c r="AF59" s="199"/>
      <c r="AG59" s="199"/>
      <c r="AH59" s="199"/>
      <c r="AI59" s="199"/>
      <c r="AJ59" s="199"/>
      <c r="AK59" s="199"/>
      <c r="AL59" s="199"/>
      <c r="AM59" s="199"/>
      <c r="AN59" s="199"/>
      <c r="AO59" s="199"/>
      <c r="AP59" s="199"/>
      <c r="AQ59" s="199"/>
      <c r="AR59" s="199"/>
      <c r="AS59" s="199"/>
      <c r="AT59" s="199"/>
      <c r="AU59" s="199"/>
      <c r="AV59" s="199"/>
      <c r="AW59" s="199"/>
      <c r="AX59" s="199"/>
    </row>
    <row r="60" s="4" customFormat="1" ht="22.05" customHeight="1" spans="2:50">
      <c r="B60" s="50">
        <f>SUM(C60:AX60)</f>
        <v>144</v>
      </c>
      <c r="C60" s="29">
        <v>0</v>
      </c>
      <c r="D60" s="29">
        <f>ROUND((DATEDIF(C59,D59,"d"))/30,0)</f>
        <v>4</v>
      </c>
      <c r="E60" s="29">
        <f t="shared" ref="E60:P60" si="30">ROUND((DATEDIF(D59,E59,"d"))/30,0)</f>
        <v>12</v>
      </c>
      <c r="F60" s="29">
        <f t="shared" si="30"/>
        <v>12</v>
      </c>
      <c r="G60" s="29">
        <f t="shared" si="30"/>
        <v>12</v>
      </c>
      <c r="H60" s="29">
        <f t="shared" si="30"/>
        <v>12</v>
      </c>
      <c r="I60" s="29">
        <f t="shared" si="30"/>
        <v>12</v>
      </c>
      <c r="J60" s="29">
        <f t="shared" si="30"/>
        <v>12</v>
      </c>
      <c r="K60" s="29">
        <f t="shared" si="30"/>
        <v>12</v>
      </c>
      <c r="L60" s="29">
        <f t="shared" si="30"/>
        <v>12</v>
      </c>
      <c r="M60" s="29">
        <f t="shared" si="30"/>
        <v>12</v>
      </c>
      <c r="N60" s="29">
        <f t="shared" si="30"/>
        <v>12</v>
      </c>
      <c r="O60" s="29">
        <f t="shared" si="30"/>
        <v>12</v>
      </c>
      <c r="P60" s="29">
        <f t="shared" si="30"/>
        <v>8</v>
      </c>
      <c r="Q60" s="199"/>
      <c r="R60" s="199"/>
      <c r="S60" s="199"/>
      <c r="T60" s="199"/>
      <c r="U60" s="199"/>
      <c r="V60" s="199"/>
      <c r="W60" s="199"/>
      <c r="X60" s="199"/>
      <c r="Y60" s="199"/>
      <c r="Z60" s="199"/>
      <c r="AA60" s="199"/>
      <c r="AB60" s="199"/>
      <c r="AC60" s="199"/>
      <c r="AD60" s="199"/>
      <c r="AE60" s="199"/>
      <c r="AF60" s="199"/>
      <c r="AG60" s="199"/>
      <c r="AH60" s="199"/>
      <c r="AI60" s="199"/>
      <c r="AJ60" s="199"/>
      <c r="AK60" s="199"/>
      <c r="AL60" s="199"/>
      <c r="AM60" s="199"/>
      <c r="AN60" s="199"/>
      <c r="AO60" s="199"/>
      <c r="AP60" s="199"/>
      <c r="AQ60" s="199"/>
      <c r="AR60" s="199"/>
      <c r="AS60" s="199"/>
      <c r="AT60" s="199"/>
      <c r="AU60" s="199"/>
      <c r="AV60" s="199"/>
      <c r="AW60" s="199"/>
      <c r="AX60" s="199"/>
    </row>
    <row r="61" s="4" customFormat="1" ht="22.05" customHeight="1" spans="2:50">
      <c r="B61" s="76" t="s">
        <v>437</v>
      </c>
      <c r="C61" s="76">
        <v>2023</v>
      </c>
      <c r="D61" s="76">
        <v>2024</v>
      </c>
      <c r="E61" s="76">
        <v>2025</v>
      </c>
      <c r="F61" s="76">
        <v>2026</v>
      </c>
      <c r="G61" s="76">
        <v>2027</v>
      </c>
      <c r="H61" s="76">
        <v>2028</v>
      </c>
      <c r="I61" s="76">
        <v>2029</v>
      </c>
      <c r="J61" s="76">
        <v>2030</v>
      </c>
      <c r="K61" s="76">
        <v>2031</v>
      </c>
      <c r="L61" s="76">
        <v>2032</v>
      </c>
      <c r="M61" s="76">
        <v>2033</v>
      </c>
      <c r="N61" s="76">
        <v>2034</v>
      </c>
      <c r="O61" s="76">
        <v>2035</v>
      </c>
      <c r="P61" s="76">
        <v>2036</v>
      </c>
      <c r="Q61" s="76">
        <v>2037</v>
      </c>
      <c r="R61" s="76">
        <v>2038</v>
      </c>
      <c r="S61" s="76">
        <v>2039</v>
      </c>
      <c r="T61" s="76">
        <v>2040</v>
      </c>
      <c r="U61" s="76">
        <v>2041</v>
      </c>
      <c r="V61" s="76">
        <v>2042</v>
      </c>
      <c r="W61" s="76">
        <v>2043</v>
      </c>
      <c r="X61" s="76">
        <v>2044</v>
      </c>
      <c r="Y61" s="76">
        <v>2045</v>
      </c>
      <c r="Z61" s="76">
        <v>2046</v>
      </c>
      <c r="AA61" s="76">
        <v>2047</v>
      </c>
      <c r="AB61" s="76">
        <v>2048</v>
      </c>
      <c r="AC61" s="76">
        <v>2049</v>
      </c>
      <c r="AD61" s="76">
        <v>2050</v>
      </c>
      <c r="AE61" s="76">
        <v>2051</v>
      </c>
      <c r="AF61" s="76">
        <v>2052</v>
      </c>
      <c r="AG61" s="76">
        <v>2053</v>
      </c>
      <c r="AH61" s="76">
        <v>2054</v>
      </c>
      <c r="AI61" s="76">
        <v>2055</v>
      </c>
      <c r="AJ61" s="76">
        <v>2056</v>
      </c>
      <c r="AK61" s="76">
        <v>2057</v>
      </c>
      <c r="AL61" s="76">
        <v>2058</v>
      </c>
      <c r="AM61" s="76">
        <v>2059</v>
      </c>
      <c r="AN61" s="76">
        <v>2060</v>
      </c>
      <c r="AO61" s="76">
        <v>2061</v>
      </c>
      <c r="AP61" s="76">
        <v>2062</v>
      </c>
      <c r="AQ61" s="76">
        <v>2063</v>
      </c>
      <c r="AR61" s="76">
        <v>2064</v>
      </c>
      <c r="AS61" s="76">
        <v>2065</v>
      </c>
      <c r="AT61" s="76">
        <v>2066</v>
      </c>
      <c r="AU61" s="76">
        <v>2067</v>
      </c>
      <c r="AV61" s="76">
        <v>2068</v>
      </c>
      <c r="AW61" s="76">
        <v>2069</v>
      </c>
      <c r="AX61" s="76">
        <v>2070</v>
      </c>
    </row>
    <row r="62" s="4" customFormat="1" ht="22.05" customHeight="1" spans="2:50">
      <c r="B62" s="76" t="s">
        <v>449</v>
      </c>
      <c r="C62" s="76">
        <f>SUMIF($C$58:$P$58,C61,$C$60:$P$60)</f>
        <v>0</v>
      </c>
      <c r="D62" s="76">
        <f t="shared" ref="D62:AX62" si="31">SUMIF($C$58:$P$58,D61,$C$60:$P$60)</f>
        <v>0</v>
      </c>
      <c r="E62" s="76">
        <f t="shared" si="31"/>
        <v>0</v>
      </c>
      <c r="F62" s="76">
        <f t="shared" si="31"/>
        <v>0</v>
      </c>
      <c r="G62" s="76">
        <f t="shared" si="31"/>
        <v>0</v>
      </c>
      <c r="H62" s="76">
        <f t="shared" si="31"/>
        <v>0</v>
      </c>
      <c r="I62" s="76">
        <f t="shared" si="31"/>
        <v>4</v>
      </c>
      <c r="J62" s="76">
        <f t="shared" si="31"/>
        <v>12</v>
      </c>
      <c r="K62" s="76">
        <f t="shared" si="31"/>
        <v>12</v>
      </c>
      <c r="L62" s="76">
        <f t="shared" si="31"/>
        <v>12</v>
      </c>
      <c r="M62" s="76">
        <f t="shared" si="31"/>
        <v>12</v>
      </c>
      <c r="N62" s="76">
        <f t="shared" si="31"/>
        <v>12</v>
      </c>
      <c r="O62" s="76">
        <f t="shared" si="31"/>
        <v>12</v>
      </c>
      <c r="P62" s="76">
        <f t="shared" si="31"/>
        <v>12</v>
      </c>
      <c r="Q62" s="76">
        <f t="shared" si="31"/>
        <v>12</v>
      </c>
      <c r="R62" s="76">
        <f t="shared" si="31"/>
        <v>12</v>
      </c>
      <c r="S62" s="76">
        <f t="shared" si="31"/>
        <v>12</v>
      </c>
      <c r="T62" s="76">
        <f t="shared" si="31"/>
        <v>12</v>
      </c>
      <c r="U62" s="76">
        <f t="shared" si="31"/>
        <v>8</v>
      </c>
      <c r="V62" s="76">
        <f t="shared" si="31"/>
        <v>0</v>
      </c>
      <c r="W62" s="76">
        <f t="shared" si="31"/>
        <v>0</v>
      </c>
      <c r="X62" s="76">
        <f t="shared" si="31"/>
        <v>0</v>
      </c>
      <c r="Y62" s="76">
        <f t="shared" si="31"/>
        <v>0</v>
      </c>
      <c r="Z62" s="76">
        <f t="shared" si="31"/>
        <v>0</v>
      </c>
      <c r="AA62" s="76">
        <f t="shared" si="31"/>
        <v>0</v>
      </c>
      <c r="AB62" s="76">
        <f t="shared" si="31"/>
        <v>0</v>
      </c>
      <c r="AC62" s="76">
        <f t="shared" si="31"/>
        <v>0</v>
      </c>
      <c r="AD62" s="76">
        <f t="shared" si="31"/>
        <v>0</v>
      </c>
      <c r="AE62" s="76">
        <f t="shared" si="31"/>
        <v>0</v>
      </c>
      <c r="AF62" s="76">
        <f t="shared" si="31"/>
        <v>0</v>
      </c>
      <c r="AG62" s="76">
        <f t="shared" si="31"/>
        <v>0</v>
      </c>
      <c r="AH62" s="76">
        <f t="shared" si="31"/>
        <v>0</v>
      </c>
      <c r="AI62" s="76">
        <f t="shared" si="31"/>
        <v>0</v>
      </c>
      <c r="AJ62" s="76">
        <f t="shared" si="31"/>
        <v>0</v>
      </c>
      <c r="AK62" s="76">
        <f t="shared" si="31"/>
        <v>0</v>
      </c>
      <c r="AL62" s="76">
        <f t="shared" si="31"/>
        <v>0</v>
      </c>
      <c r="AM62" s="76">
        <f t="shared" si="31"/>
        <v>0</v>
      </c>
      <c r="AN62" s="76">
        <f t="shared" si="31"/>
        <v>0</v>
      </c>
      <c r="AO62" s="76">
        <f t="shared" si="31"/>
        <v>0</v>
      </c>
      <c r="AP62" s="76">
        <f t="shared" si="31"/>
        <v>0</v>
      </c>
      <c r="AQ62" s="76">
        <f t="shared" si="31"/>
        <v>0</v>
      </c>
      <c r="AR62" s="76">
        <f t="shared" si="31"/>
        <v>0</v>
      </c>
      <c r="AS62" s="76">
        <f t="shared" si="31"/>
        <v>0</v>
      </c>
      <c r="AT62" s="76">
        <f t="shared" si="31"/>
        <v>0</v>
      </c>
      <c r="AU62" s="76">
        <f t="shared" si="31"/>
        <v>0</v>
      </c>
      <c r="AV62" s="76">
        <f t="shared" si="31"/>
        <v>0</v>
      </c>
      <c r="AW62" s="76">
        <f t="shared" si="31"/>
        <v>0</v>
      </c>
      <c r="AX62" s="76">
        <f t="shared" si="31"/>
        <v>0</v>
      </c>
    </row>
    <row r="63" s="4" customFormat="1" ht="22" customHeight="1" spans="2:50">
      <c r="B63" s="714" t="s">
        <v>460</v>
      </c>
      <c r="C63" s="721">
        <f>参数输入表!$D$37</f>
        <v>47362</v>
      </c>
      <c r="D63" s="727">
        <f>参数输入表!$D$37+参数输入表!$I$632*365+INT(参数输入表!$I$632/4)</f>
        <v>54667</v>
      </c>
      <c r="E63" s="199"/>
      <c r="F63" s="199"/>
      <c r="G63" s="199"/>
      <c r="H63" s="199"/>
      <c r="I63" s="199"/>
      <c r="J63" s="199"/>
      <c r="K63" s="199"/>
      <c r="L63" s="199"/>
      <c r="M63" s="199"/>
      <c r="N63" s="199"/>
      <c r="O63" s="199"/>
      <c r="P63" s="199"/>
      <c r="Q63" s="199"/>
      <c r="R63" s="199"/>
      <c r="S63" s="199"/>
      <c r="T63" s="199"/>
      <c r="U63" s="199"/>
      <c r="V63" s="199"/>
      <c r="W63" s="199"/>
      <c r="X63" s="199"/>
      <c r="Y63" s="199"/>
      <c r="Z63" s="199"/>
      <c r="AA63" s="199"/>
      <c r="AB63" s="199"/>
      <c r="AC63" s="199"/>
      <c r="AD63" s="199"/>
      <c r="AE63" s="199"/>
      <c r="AF63" s="199"/>
      <c r="AG63" s="199"/>
      <c r="AH63" s="199"/>
      <c r="AI63" s="199"/>
      <c r="AJ63" s="199"/>
      <c r="AK63" s="199"/>
      <c r="AL63" s="199"/>
      <c r="AM63" s="199"/>
      <c r="AN63" s="199"/>
      <c r="AO63" s="199"/>
      <c r="AP63" s="199"/>
      <c r="AQ63" s="199"/>
      <c r="AR63" s="199"/>
      <c r="AS63" s="199"/>
      <c r="AT63" s="199"/>
      <c r="AU63" s="199"/>
      <c r="AV63" s="199"/>
      <c r="AW63" s="199"/>
      <c r="AX63" s="199"/>
    </row>
    <row r="64" s="4" customFormat="1" ht="22.05" customHeight="1" spans="2:50">
      <c r="B64" s="76" t="s">
        <v>451</v>
      </c>
      <c r="C64" s="717">
        <f>YEAR(C65)</f>
        <v>2029</v>
      </c>
      <c r="D64" s="717">
        <f>YEAR(D65)</f>
        <v>2029</v>
      </c>
      <c r="E64" s="717">
        <f t="shared" ref="E64:X64" si="32">YEAR(E65)</f>
        <v>2030</v>
      </c>
      <c r="F64" s="717">
        <f t="shared" si="32"/>
        <v>2031</v>
      </c>
      <c r="G64" s="717">
        <f t="shared" si="32"/>
        <v>2032</v>
      </c>
      <c r="H64" s="717">
        <f t="shared" si="32"/>
        <v>2033</v>
      </c>
      <c r="I64" s="717">
        <f t="shared" si="32"/>
        <v>2034</v>
      </c>
      <c r="J64" s="717">
        <f t="shared" si="32"/>
        <v>2035</v>
      </c>
      <c r="K64" s="717">
        <f t="shared" si="32"/>
        <v>2036</v>
      </c>
      <c r="L64" s="717">
        <f t="shared" si="32"/>
        <v>2037</v>
      </c>
      <c r="M64" s="717">
        <f t="shared" si="32"/>
        <v>2038</v>
      </c>
      <c r="N64" s="717">
        <f t="shared" si="32"/>
        <v>2039</v>
      </c>
      <c r="O64" s="717">
        <f t="shared" si="32"/>
        <v>2040</v>
      </c>
      <c r="P64" s="717">
        <f t="shared" si="32"/>
        <v>2041</v>
      </c>
      <c r="Q64" s="717">
        <f t="shared" si="32"/>
        <v>2042</v>
      </c>
      <c r="R64" s="717">
        <f t="shared" si="32"/>
        <v>2043</v>
      </c>
      <c r="S64" s="717">
        <f t="shared" si="32"/>
        <v>2044</v>
      </c>
      <c r="T64" s="717">
        <f t="shared" si="32"/>
        <v>2045</v>
      </c>
      <c r="U64" s="717">
        <f t="shared" si="32"/>
        <v>2046</v>
      </c>
      <c r="V64" s="717">
        <f t="shared" si="32"/>
        <v>2047</v>
      </c>
      <c r="W64" s="717">
        <f t="shared" si="32"/>
        <v>2048</v>
      </c>
      <c r="X64" s="717">
        <f t="shared" si="32"/>
        <v>2049</v>
      </c>
      <c r="Y64" s="199"/>
      <c r="Z64" s="199"/>
      <c r="AA64" s="199"/>
      <c r="AB64" s="199"/>
      <c r="AC64" s="199"/>
      <c r="AD64" s="199"/>
      <c r="AE64" s="199"/>
      <c r="AF64" s="199"/>
      <c r="AG64" s="199"/>
      <c r="AH64" s="199"/>
      <c r="AI64" s="199"/>
      <c r="AJ64" s="199"/>
      <c r="AK64" s="199"/>
      <c r="AL64" s="199"/>
      <c r="AM64" s="199"/>
      <c r="AN64" s="199"/>
      <c r="AO64" s="199"/>
      <c r="AP64" s="199"/>
      <c r="AQ64" s="199"/>
      <c r="AR64" s="199"/>
      <c r="AS64" s="199"/>
      <c r="AT64" s="199"/>
      <c r="AU64" s="199"/>
      <c r="AV64" s="199"/>
      <c r="AW64" s="199"/>
      <c r="AX64" s="199"/>
    </row>
    <row r="65" s="4" customFormat="1" ht="22.05" customHeight="1" spans="2:50">
      <c r="B65" s="76"/>
      <c r="C65" s="723">
        <f>C63</f>
        <v>47362</v>
      </c>
      <c r="D65" s="719">
        <v>47483</v>
      </c>
      <c r="E65" s="719">
        <v>47848</v>
      </c>
      <c r="F65" s="719">
        <v>48213</v>
      </c>
      <c r="G65" s="719">
        <v>48579</v>
      </c>
      <c r="H65" s="719">
        <v>48944</v>
      </c>
      <c r="I65" s="719">
        <v>49309</v>
      </c>
      <c r="J65" s="719">
        <v>49674</v>
      </c>
      <c r="K65" s="719">
        <v>50040</v>
      </c>
      <c r="L65" s="719">
        <v>50405</v>
      </c>
      <c r="M65" s="719">
        <v>50770</v>
      </c>
      <c r="N65" s="719">
        <v>51135</v>
      </c>
      <c r="O65" s="719">
        <v>51501</v>
      </c>
      <c r="P65" s="719">
        <v>51866</v>
      </c>
      <c r="Q65" s="719">
        <v>52231</v>
      </c>
      <c r="R65" s="719">
        <v>52596</v>
      </c>
      <c r="S65" s="719">
        <v>52962</v>
      </c>
      <c r="T65" s="719">
        <v>53327</v>
      </c>
      <c r="U65" s="719">
        <v>53692</v>
      </c>
      <c r="V65" s="719">
        <v>54057</v>
      </c>
      <c r="W65" s="719">
        <v>54423</v>
      </c>
      <c r="X65" s="728">
        <f>D63</f>
        <v>54667</v>
      </c>
      <c r="Y65" s="199"/>
      <c r="Z65" s="199"/>
      <c r="AA65" s="199"/>
      <c r="AB65" s="199"/>
      <c r="AC65" s="199"/>
      <c r="AD65" s="199"/>
      <c r="AE65" s="199"/>
      <c r="AF65" s="199"/>
      <c r="AG65" s="199"/>
      <c r="AH65" s="199"/>
      <c r="AI65" s="199"/>
      <c r="AJ65" s="199"/>
      <c r="AK65" s="199"/>
      <c r="AL65" s="199"/>
      <c r="AM65" s="199"/>
      <c r="AN65" s="199"/>
      <c r="AO65" s="199"/>
      <c r="AP65" s="199"/>
      <c r="AQ65" s="199"/>
      <c r="AR65" s="199"/>
      <c r="AS65" s="199"/>
      <c r="AT65" s="199"/>
      <c r="AU65" s="199"/>
      <c r="AV65" s="199"/>
      <c r="AW65" s="199"/>
      <c r="AX65" s="199"/>
    </row>
    <row r="66" s="4" customFormat="1" ht="22.05" customHeight="1" spans="2:50">
      <c r="B66" s="50">
        <f>SUM(C66:AX66)</f>
        <v>240</v>
      </c>
      <c r="C66" s="29">
        <v>0</v>
      </c>
      <c r="D66" s="29">
        <f>ROUND((DATEDIF(C65,D65,"d"))/30,0)</f>
        <v>4</v>
      </c>
      <c r="E66" s="29">
        <f t="shared" ref="E66:P66" si="33">ROUND((DATEDIF(D65,E65,"d"))/30,0)</f>
        <v>12</v>
      </c>
      <c r="F66" s="29">
        <f t="shared" si="33"/>
        <v>12</v>
      </c>
      <c r="G66" s="29">
        <f t="shared" si="33"/>
        <v>12</v>
      </c>
      <c r="H66" s="29">
        <f t="shared" si="33"/>
        <v>12</v>
      </c>
      <c r="I66" s="29">
        <f t="shared" si="33"/>
        <v>12</v>
      </c>
      <c r="J66" s="29">
        <f t="shared" si="33"/>
        <v>12</v>
      </c>
      <c r="K66" s="29">
        <f t="shared" si="33"/>
        <v>12</v>
      </c>
      <c r="L66" s="29">
        <f t="shared" si="33"/>
        <v>12</v>
      </c>
      <c r="M66" s="29">
        <f t="shared" si="33"/>
        <v>12</v>
      </c>
      <c r="N66" s="29">
        <f t="shared" si="33"/>
        <v>12</v>
      </c>
      <c r="O66" s="29">
        <f t="shared" si="33"/>
        <v>12</v>
      </c>
      <c r="P66" s="29">
        <f t="shared" si="33"/>
        <v>12</v>
      </c>
      <c r="Q66" s="29">
        <f t="shared" ref="Q66:X66" si="34">ROUND((DATEDIF(P65,Q65,"d"))/30,0)</f>
        <v>12</v>
      </c>
      <c r="R66" s="29">
        <f t="shared" si="34"/>
        <v>12</v>
      </c>
      <c r="S66" s="29">
        <f t="shared" si="34"/>
        <v>12</v>
      </c>
      <c r="T66" s="29">
        <f t="shared" si="34"/>
        <v>12</v>
      </c>
      <c r="U66" s="29">
        <f t="shared" si="34"/>
        <v>12</v>
      </c>
      <c r="V66" s="29">
        <f t="shared" si="34"/>
        <v>12</v>
      </c>
      <c r="W66" s="29">
        <f t="shared" si="34"/>
        <v>12</v>
      </c>
      <c r="X66" s="29">
        <f t="shared" si="34"/>
        <v>8</v>
      </c>
      <c r="Y66" s="199"/>
      <c r="Z66" s="199"/>
      <c r="AA66" s="199"/>
      <c r="AB66" s="199"/>
      <c r="AC66" s="199"/>
      <c r="AD66" s="199"/>
      <c r="AE66" s="199"/>
      <c r="AF66" s="199"/>
      <c r="AG66" s="199"/>
      <c r="AH66" s="199"/>
      <c r="AI66" s="199"/>
      <c r="AJ66" s="199"/>
      <c r="AK66" s="199"/>
      <c r="AL66" s="199"/>
      <c r="AM66" s="199"/>
      <c r="AN66" s="199"/>
      <c r="AO66" s="199"/>
      <c r="AP66" s="199"/>
      <c r="AQ66" s="199"/>
      <c r="AR66" s="199"/>
      <c r="AS66" s="199"/>
      <c r="AT66" s="199"/>
      <c r="AU66" s="199"/>
      <c r="AV66" s="199"/>
      <c r="AW66" s="199"/>
      <c r="AX66" s="199"/>
    </row>
    <row r="67" s="4" customFormat="1" ht="22.05" customHeight="1" spans="2:50">
      <c r="B67" s="76" t="s">
        <v>437</v>
      </c>
      <c r="C67" s="76">
        <v>2023</v>
      </c>
      <c r="D67" s="76">
        <v>2024</v>
      </c>
      <c r="E67" s="76">
        <v>2025</v>
      </c>
      <c r="F67" s="76">
        <v>2026</v>
      </c>
      <c r="G67" s="76">
        <v>2027</v>
      </c>
      <c r="H67" s="76">
        <v>2028</v>
      </c>
      <c r="I67" s="76">
        <v>2029</v>
      </c>
      <c r="J67" s="76">
        <v>2030</v>
      </c>
      <c r="K67" s="76">
        <v>2031</v>
      </c>
      <c r="L67" s="76">
        <v>2032</v>
      </c>
      <c r="M67" s="76">
        <v>2033</v>
      </c>
      <c r="N67" s="76">
        <v>2034</v>
      </c>
      <c r="O67" s="76">
        <v>2035</v>
      </c>
      <c r="P67" s="76">
        <v>2036</v>
      </c>
      <c r="Q67" s="76">
        <v>2037</v>
      </c>
      <c r="R67" s="76">
        <v>2038</v>
      </c>
      <c r="S67" s="76">
        <v>2039</v>
      </c>
      <c r="T67" s="76">
        <v>2040</v>
      </c>
      <c r="U67" s="76">
        <v>2041</v>
      </c>
      <c r="V67" s="76">
        <v>2042</v>
      </c>
      <c r="W67" s="76">
        <v>2043</v>
      </c>
      <c r="X67" s="76">
        <v>2044</v>
      </c>
      <c r="Y67" s="76">
        <v>2045</v>
      </c>
      <c r="Z67" s="76">
        <v>2046</v>
      </c>
      <c r="AA67" s="76">
        <v>2047</v>
      </c>
      <c r="AB67" s="76">
        <v>2048</v>
      </c>
      <c r="AC67" s="76">
        <v>2049</v>
      </c>
      <c r="AD67" s="76">
        <v>2050</v>
      </c>
      <c r="AE67" s="76">
        <v>2051</v>
      </c>
      <c r="AF67" s="76">
        <v>2052</v>
      </c>
      <c r="AG67" s="76">
        <v>2053</v>
      </c>
      <c r="AH67" s="76">
        <v>2054</v>
      </c>
      <c r="AI67" s="76">
        <v>2055</v>
      </c>
      <c r="AJ67" s="76">
        <v>2056</v>
      </c>
      <c r="AK67" s="76">
        <v>2057</v>
      </c>
      <c r="AL67" s="76">
        <v>2058</v>
      </c>
      <c r="AM67" s="76">
        <v>2059</v>
      </c>
      <c r="AN67" s="76">
        <v>2060</v>
      </c>
      <c r="AO67" s="76">
        <v>2061</v>
      </c>
      <c r="AP67" s="76">
        <v>2062</v>
      </c>
      <c r="AQ67" s="76">
        <v>2063</v>
      </c>
      <c r="AR67" s="76">
        <v>2064</v>
      </c>
      <c r="AS67" s="76">
        <v>2065</v>
      </c>
      <c r="AT67" s="76">
        <v>2066</v>
      </c>
      <c r="AU67" s="76">
        <v>2067</v>
      </c>
      <c r="AV67" s="76">
        <v>2068</v>
      </c>
      <c r="AW67" s="76">
        <v>2069</v>
      </c>
      <c r="AX67" s="76">
        <v>2070</v>
      </c>
    </row>
    <row r="68" s="4" customFormat="1" ht="22.05" customHeight="1" spans="2:50">
      <c r="B68" s="76" t="s">
        <v>452</v>
      </c>
      <c r="C68" s="76">
        <f>SUMIF($C$64:$X$64,C67,$C$66:$X$66)</f>
        <v>0</v>
      </c>
      <c r="D68" s="76">
        <f t="shared" ref="D68:AX68" si="35">SUMIF($C$64:$X$64,D67,$C$66:$X$66)</f>
        <v>0</v>
      </c>
      <c r="E68" s="76">
        <f t="shared" si="35"/>
        <v>0</v>
      </c>
      <c r="F68" s="76">
        <f t="shared" si="35"/>
        <v>0</v>
      </c>
      <c r="G68" s="76">
        <f t="shared" si="35"/>
        <v>0</v>
      </c>
      <c r="H68" s="76">
        <f t="shared" si="35"/>
        <v>0</v>
      </c>
      <c r="I68" s="76">
        <f t="shared" si="35"/>
        <v>4</v>
      </c>
      <c r="J68" s="76">
        <f t="shared" si="35"/>
        <v>12</v>
      </c>
      <c r="K68" s="76">
        <f t="shared" si="35"/>
        <v>12</v>
      </c>
      <c r="L68" s="76">
        <f t="shared" si="35"/>
        <v>12</v>
      </c>
      <c r="M68" s="76">
        <f t="shared" si="35"/>
        <v>12</v>
      </c>
      <c r="N68" s="76">
        <f t="shared" si="35"/>
        <v>12</v>
      </c>
      <c r="O68" s="76">
        <f t="shared" si="35"/>
        <v>12</v>
      </c>
      <c r="P68" s="76">
        <f t="shared" si="35"/>
        <v>12</v>
      </c>
      <c r="Q68" s="76">
        <f t="shared" si="35"/>
        <v>12</v>
      </c>
      <c r="R68" s="76">
        <f t="shared" si="35"/>
        <v>12</v>
      </c>
      <c r="S68" s="76">
        <f t="shared" si="35"/>
        <v>12</v>
      </c>
      <c r="T68" s="76">
        <f t="shared" si="35"/>
        <v>12</v>
      </c>
      <c r="U68" s="76">
        <f t="shared" si="35"/>
        <v>12</v>
      </c>
      <c r="V68" s="76">
        <f t="shared" si="35"/>
        <v>12</v>
      </c>
      <c r="W68" s="76">
        <f t="shared" si="35"/>
        <v>12</v>
      </c>
      <c r="X68" s="76">
        <f t="shared" si="35"/>
        <v>12</v>
      </c>
      <c r="Y68" s="76">
        <f t="shared" si="35"/>
        <v>12</v>
      </c>
      <c r="Z68" s="76">
        <f t="shared" si="35"/>
        <v>12</v>
      </c>
      <c r="AA68" s="76">
        <f t="shared" si="35"/>
        <v>12</v>
      </c>
      <c r="AB68" s="76">
        <f t="shared" si="35"/>
        <v>12</v>
      </c>
      <c r="AC68" s="76">
        <f t="shared" si="35"/>
        <v>8</v>
      </c>
      <c r="AD68" s="76">
        <f t="shared" si="35"/>
        <v>0</v>
      </c>
      <c r="AE68" s="76">
        <f t="shared" si="35"/>
        <v>0</v>
      </c>
      <c r="AF68" s="76">
        <f t="shared" si="35"/>
        <v>0</v>
      </c>
      <c r="AG68" s="76">
        <f t="shared" si="35"/>
        <v>0</v>
      </c>
      <c r="AH68" s="76">
        <f t="shared" si="35"/>
        <v>0</v>
      </c>
      <c r="AI68" s="76">
        <f t="shared" si="35"/>
        <v>0</v>
      </c>
      <c r="AJ68" s="76">
        <f t="shared" si="35"/>
        <v>0</v>
      </c>
      <c r="AK68" s="76">
        <f t="shared" si="35"/>
        <v>0</v>
      </c>
      <c r="AL68" s="76">
        <f t="shared" si="35"/>
        <v>0</v>
      </c>
      <c r="AM68" s="76">
        <f t="shared" si="35"/>
        <v>0</v>
      </c>
      <c r="AN68" s="76">
        <f t="shared" si="35"/>
        <v>0</v>
      </c>
      <c r="AO68" s="76">
        <f t="shared" si="35"/>
        <v>0</v>
      </c>
      <c r="AP68" s="76">
        <f t="shared" si="35"/>
        <v>0</v>
      </c>
      <c r="AQ68" s="76">
        <f t="shared" si="35"/>
        <v>0</v>
      </c>
      <c r="AR68" s="76">
        <f t="shared" si="35"/>
        <v>0</v>
      </c>
      <c r="AS68" s="76">
        <f t="shared" si="35"/>
        <v>0</v>
      </c>
      <c r="AT68" s="76">
        <f t="shared" si="35"/>
        <v>0</v>
      </c>
      <c r="AU68" s="76">
        <f t="shared" si="35"/>
        <v>0</v>
      </c>
      <c r="AV68" s="76">
        <f t="shared" si="35"/>
        <v>0</v>
      </c>
      <c r="AW68" s="76">
        <f t="shared" si="35"/>
        <v>0</v>
      </c>
      <c r="AX68" s="76">
        <f t="shared" si="35"/>
        <v>0</v>
      </c>
    </row>
    <row r="69" spans="2:50">
      <c r="B69" s="729" t="s">
        <v>453</v>
      </c>
      <c r="C69" s="729" t="b">
        <f>B48-参数输入表!$I$622*12=0</f>
        <v>1</v>
      </c>
      <c r="D69" s="729" t="b">
        <f>SUM(C50:AX50)-B48=0</f>
        <v>1</v>
      </c>
    </row>
    <row r="70" spans="2:50">
      <c r="B70" s="729" t="s">
        <v>454</v>
      </c>
      <c r="C70" s="729" t="b">
        <f>B54-参数输入表!$I$638*12=0</f>
        <v>1</v>
      </c>
      <c r="D70" s="729" t="b">
        <f>SUM(C56:AX56)-B54=0</f>
        <v>1</v>
      </c>
    </row>
    <row r="71" spans="2:50">
      <c r="B71" s="729" t="s">
        <v>455</v>
      </c>
      <c r="C71" s="729" t="b">
        <f>B60-参数输入表!$I$627*12=0</f>
        <v>1</v>
      </c>
      <c r="D71" s="729" t="b">
        <f>SUM(C62:AX62)-B60=0</f>
        <v>1</v>
      </c>
    </row>
    <row r="72" spans="2:50">
      <c r="B72" s="729" t="s">
        <v>456</v>
      </c>
      <c r="C72" s="729" t="b">
        <f>B66-参数输入表!$I$632*12=0</f>
        <v>1</v>
      </c>
      <c r="D72" s="729" t="b">
        <f>SUM(C68:AX68)-B66=0</f>
        <v>1</v>
      </c>
    </row>
    <row r="73" ht="22.05" customHeight="1" spans="2:50">
      <c r="B73" s="714" t="s">
        <v>461</v>
      </c>
      <c r="C73" s="730">
        <f>参数输入表!$D$38</f>
        <v>47543</v>
      </c>
      <c r="D73" s="716">
        <f>参数输入表!$D$38+参数输入表!$I$622*365+INT(参数输入表!$I$622/4)</f>
        <v>58135</v>
      </c>
    </row>
    <row r="74" ht="22.05" customHeight="1" spans="2:50">
      <c r="B74" s="648" t="s">
        <v>442</v>
      </c>
      <c r="C74" s="717">
        <f>YEAR(C75)</f>
        <v>2030</v>
      </c>
      <c r="D74" s="717">
        <f t="shared" ref="D74:AG74" si="36">YEAR(D75)</f>
        <v>2030</v>
      </c>
      <c r="E74" s="717">
        <f t="shared" si="36"/>
        <v>2031</v>
      </c>
      <c r="F74" s="717">
        <f t="shared" si="36"/>
        <v>2032</v>
      </c>
      <c r="G74" s="717">
        <f t="shared" si="36"/>
        <v>2033</v>
      </c>
      <c r="H74" s="717">
        <f t="shared" si="36"/>
        <v>2034</v>
      </c>
      <c r="I74" s="717">
        <f t="shared" si="36"/>
        <v>2035</v>
      </c>
      <c r="J74" s="717">
        <f t="shared" si="36"/>
        <v>2036</v>
      </c>
      <c r="K74" s="717">
        <f t="shared" si="36"/>
        <v>2037</v>
      </c>
      <c r="L74" s="717">
        <f t="shared" si="36"/>
        <v>2038</v>
      </c>
      <c r="M74" s="717">
        <f t="shared" si="36"/>
        <v>2039</v>
      </c>
      <c r="N74" s="717">
        <f t="shared" si="36"/>
        <v>2040</v>
      </c>
      <c r="O74" s="717">
        <f t="shared" si="36"/>
        <v>2041</v>
      </c>
      <c r="P74" s="717">
        <f t="shared" si="36"/>
        <v>2042</v>
      </c>
      <c r="Q74" s="717">
        <f t="shared" si="36"/>
        <v>2043</v>
      </c>
      <c r="R74" s="717">
        <f t="shared" si="36"/>
        <v>2044</v>
      </c>
      <c r="S74" s="717">
        <f t="shared" si="36"/>
        <v>2045</v>
      </c>
      <c r="T74" s="717">
        <f t="shared" si="36"/>
        <v>2046</v>
      </c>
      <c r="U74" s="717">
        <f t="shared" si="36"/>
        <v>2047</v>
      </c>
      <c r="V74" s="717">
        <f t="shared" si="36"/>
        <v>2048</v>
      </c>
      <c r="W74" s="717">
        <f t="shared" si="36"/>
        <v>2049</v>
      </c>
      <c r="X74" s="717">
        <f t="shared" si="36"/>
        <v>2050</v>
      </c>
      <c r="Y74" s="717">
        <f t="shared" si="36"/>
        <v>2051</v>
      </c>
      <c r="Z74" s="717">
        <f t="shared" si="36"/>
        <v>2052</v>
      </c>
      <c r="AA74" s="717">
        <f t="shared" si="36"/>
        <v>2053</v>
      </c>
      <c r="AB74" s="717">
        <f t="shared" si="36"/>
        <v>2054</v>
      </c>
      <c r="AC74" s="717">
        <f t="shared" si="36"/>
        <v>2055</v>
      </c>
      <c r="AD74" s="717">
        <f t="shared" si="36"/>
        <v>2056</v>
      </c>
      <c r="AE74" s="717">
        <f t="shared" si="36"/>
        <v>2057</v>
      </c>
      <c r="AF74" s="717">
        <f t="shared" si="36"/>
        <v>2058</v>
      </c>
      <c r="AG74" s="717">
        <f t="shared" si="36"/>
        <v>2059</v>
      </c>
    </row>
    <row r="75" ht="22.05" customHeight="1" spans="2:50">
      <c r="B75" s="648"/>
      <c r="C75" s="718">
        <f>C73</f>
        <v>47543</v>
      </c>
      <c r="D75" s="719">
        <v>47848</v>
      </c>
      <c r="E75" s="719">
        <v>48213</v>
      </c>
      <c r="F75" s="719">
        <v>48579</v>
      </c>
      <c r="G75" s="719">
        <v>48944</v>
      </c>
      <c r="H75" s="719">
        <v>49309</v>
      </c>
      <c r="I75" s="719">
        <v>49674</v>
      </c>
      <c r="J75" s="719">
        <v>50040</v>
      </c>
      <c r="K75" s="719">
        <v>50405</v>
      </c>
      <c r="L75" s="719">
        <v>50770</v>
      </c>
      <c r="M75" s="719">
        <v>51135</v>
      </c>
      <c r="N75" s="719">
        <v>51501</v>
      </c>
      <c r="O75" s="719">
        <v>51866</v>
      </c>
      <c r="P75" s="719">
        <v>52231</v>
      </c>
      <c r="Q75" s="719">
        <v>52596</v>
      </c>
      <c r="R75" s="719">
        <v>52962</v>
      </c>
      <c r="S75" s="719">
        <v>53327</v>
      </c>
      <c r="T75" s="719">
        <v>53692</v>
      </c>
      <c r="U75" s="719">
        <v>54057</v>
      </c>
      <c r="V75" s="719">
        <v>54423</v>
      </c>
      <c r="W75" s="719">
        <v>54788</v>
      </c>
      <c r="X75" s="719">
        <v>55153</v>
      </c>
      <c r="Y75" s="719">
        <v>55518</v>
      </c>
      <c r="Z75" s="719">
        <v>55884</v>
      </c>
      <c r="AA75" s="719">
        <v>56249</v>
      </c>
      <c r="AB75" s="719">
        <v>56614</v>
      </c>
      <c r="AC75" s="719">
        <v>56979</v>
      </c>
      <c r="AD75" s="719">
        <v>57345</v>
      </c>
      <c r="AE75" s="719">
        <v>57710</v>
      </c>
      <c r="AF75" s="719">
        <v>58075</v>
      </c>
      <c r="AG75" s="720">
        <f>D73</f>
        <v>58135</v>
      </c>
    </row>
    <row r="76" ht="22.05" customHeight="1" spans="2:50">
      <c r="B76" s="29">
        <f>SUM(C76:AX76)</f>
        <v>348</v>
      </c>
      <c r="C76" s="29">
        <v>0</v>
      </c>
      <c r="D76" s="29">
        <f>ROUND((DATEDIF(C75,D75,"d"))/30,0)</f>
        <v>10</v>
      </c>
      <c r="E76" s="29">
        <f t="shared" ref="E76:AG76" si="37">ROUND((DATEDIF(D75,E75,"d"))/30,0)</f>
        <v>12</v>
      </c>
      <c r="F76" s="29">
        <f t="shared" si="37"/>
        <v>12</v>
      </c>
      <c r="G76" s="29">
        <f t="shared" si="37"/>
        <v>12</v>
      </c>
      <c r="H76" s="29">
        <f t="shared" si="37"/>
        <v>12</v>
      </c>
      <c r="I76" s="29">
        <f t="shared" si="37"/>
        <v>12</v>
      </c>
      <c r="J76" s="29">
        <f t="shared" si="37"/>
        <v>12</v>
      </c>
      <c r="K76" s="29">
        <f t="shared" si="37"/>
        <v>12</v>
      </c>
      <c r="L76" s="29">
        <f t="shared" si="37"/>
        <v>12</v>
      </c>
      <c r="M76" s="29">
        <f t="shared" si="37"/>
        <v>12</v>
      </c>
      <c r="N76" s="29">
        <f t="shared" si="37"/>
        <v>12</v>
      </c>
      <c r="O76" s="29">
        <f t="shared" si="37"/>
        <v>12</v>
      </c>
      <c r="P76" s="29">
        <f t="shared" si="37"/>
        <v>12</v>
      </c>
      <c r="Q76" s="29">
        <f t="shared" si="37"/>
        <v>12</v>
      </c>
      <c r="R76" s="29">
        <f t="shared" si="37"/>
        <v>12</v>
      </c>
      <c r="S76" s="29">
        <f t="shared" si="37"/>
        <v>12</v>
      </c>
      <c r="T76" s="29">
        <f t="shared" si="37"/>
        <v>12</v>
      </c>
      <c r="U76" s="29">
        <f t="shared" si="37"/>
        <v>12</v>
      </c>
      <c r="V76" s="29">
        <f t="shared" si="37"/>
        <v>12</v>
      </c>
      <c r="W76" s="29">
        <f t="shared" si="37"/>
        <v>12</v>
      </c>
      <c r="X76" s="29">
        <f t="shared" si="37"/>
        <v>12</v>
      </c>
      <c r="Y76" s="29">
        <f t="shared" si="37"/>
        <v>12</v>
      </c>
      <c r="Z76" s="29">
        <f t="shared" si="37"/>
        <v>12</v>
      </c>
      <c r="AA76" s="29">
        <f t="shared" si="37"/>
        <v>12</v>
      </c>
      <c r="AB76" s="29">
        <f t="shared" si="37"/>
        <v>12</v>
      </c>
      <c r="AC76" s="29">
        <f t="shared" si="37"/>
        <v>12</v>
      </c>
      <c r="AD76" s="29">
        <f t="shared" si="37"/>
        <v>12</v>
      </c>
      <c r="AE76" s="29">
        <f t="shared" si="37"/>
        <v>12</v>
      </c>
      <c r="AF76" s="29">
        <f t="shared" si="37"/>
        <v>12</v>
      </c>
      <c r="AG76" s="29">
        <f t="shared" si="37"/>
        <v>2</v>
      </c>
    </row>
    <row r="77" s="4" customFormat="1" ht="22.05" customHeight="1" spans="2:50">
      <c r="B77" s="76" t="s">
        <v>437</v>
      </c>
      <c r="C77" s="76">
        <v>2023</v>
      </c>
      <c r="D77" s="76">
        <v>2024</v>
      </c>
      <c r="E77" s="76">
        <v>2025</v>
      </c>
      <c r="F77" s="76">
        <v>2026</v>
      </c>
      <c r="G77" s="76">
        <v>2027</v>
      </c>
      <c r="H77" s="76">
        <v>2028</v>
      </c>
      <c r="I77" s="76">
        <v>2029</v>
      </c>
      <c r="J77" s="76">
        <v>2030</v>
      </c>
      <c r="K77" s="76">
        <v>2031</v>
      </c>
      <c r="L77" s="76">
        <v>2032</v>
      </c>
      <c r="M77" s="76">
        <v>2033</v>
      </c>
      <c r="N77" s="76">
        <v>2034</v>
      </c>
      <c r="O77" s="76">
        <v>2035</v>
      </c>
      <c r="P77" s="76">
        <v>2036</v>
      </c>
      <c r="Q77" s="76">
        <v>2037</v>
      </c>
      <c r="R77" s="76">
        <v>2038</v>
      </c>
      <c r="S77" s="76">
        <v>2039</v>
      </c>
      <c r="T77" s="76">
        <v>2040</v>
      </c>
      <c r="U77" s="76">
        <v>2041</v>
      </c>
      <c r="V77" s="76">
        <v>2042</v>
      </c>
      <c r="W77" s="76">
        <v>2043</v>
      </c>
      <c r="X77" s="76">
        <v>2044</v>
      </c>
      <c r="Y77" s="76">
        <v>2045</v>
      </c>
      <c r="Z77" s="76">
        <v>2046</v>
      </c>
      <c r="AA77" s="76">
        <v>2047</v>
      </c>
      <c r="AB77" s="76">
        <v>2048</v>
      </c>
      <c r="AC77" s="76">
        <v>2049</v>
      </c>
      <c r="AD77" s="76">
        <v>2050</v>
      </c>
      <c r="AE77" s="76">
        <v>2051</v>
      </c>
      <c r="AF77" s="76">
        <v>2052</v>
      </c>
      <c r="AG77" s="76">
        <v>2053</v>
      </c>
      <c r="AH77" s="76">
        <v>2054</v>
      </c>
      <c r="AI77" s="76">
        <v>2055</v>
      </c>
      <c r="AJ77" s="76">
        <v>2056</v>
      </c>
      <c r="AK77" s="76">
        <v>2057</v>
      </c>
      <c r="AL77" s="76">
        <v>2058</v>
      </c>
      <c r="AM77" s="76">
        <v>2059</v>
      </c>
      <c r="AN77" s="76">
        <v>2060</v>
      </c>
      <c r="AO77" s="76">
        <v>2061</v>
      </c>
      <c r="AP77" s="76">
        <v>2062</v>
      </c>
      <c r="AQ77" s="76">
        <v>2063</v>
      </c>
      <c r="AR77" s="76">
        <v>2064</v>
      </c>
      <c r="AS77" s="76">
        <v>2065</v>
      </c>
      <c r="AT77" s="76">
        <v>2066</v>
      </c>
      <c r="AU77" s="76">
        <v>2067</v>
      </c>
      <c r="AV77" s="76">
        <v>2068</v>
      </c>
      <c r="AW77" s="76">
        <v>2069</v>
      </c>
      <c r="AX77" s="76">
        <v>2070</v>
      </c>
    </row>
    <row r="78" s="4" customFormat="1" ht="22.05" customHeight="1" spans="2:50">
      <c r="B78" s="76" t="s">
        <v>443</v>
      </c>
      <c r="C78" s="76">
        <f>SUMIF($C$74:$AG$74,C77,$C$76:$AG$76)</f>
        <v>0</v>
      </c>
      <c r="D78" s="76">
        <f t="shared" ref="D78:AX78" si="38">SUMIF($C$74:$AG$74,D77,$C$76:$AG$76)</f>
        <v>0</v>
      </c>
      <c r="E78" s="76">
        <f t="shared" si="38"/>
        <v>0</v>
      </c>
      <c r="F78" s="76">
        <f t="shared" si="38"/>
        <v>0</v>
      </c>
      <c r="G78" s="76">
        <f t="shared" si="38"/>
        <v>0</v>
      </c>
      <c r="H78" s="76">
        <f t="shared" si="38"/>
        <v>0</v>
      </c>
      <c r="I78" s="76">
        <f t="shared" si="38"/>
        <v>0</v>
      </c>
      <c r="J78" s="76">
        <f t="shared" si="38"/>
        <v>10</v>
      </c>
      <c r="K78" s="76">
        <f t="shared" si="38"/>
        <v>12</v>
      </c>
      <c r="L78" s="76">
        <f t="shared" si="38"/>
        <v>12</v>
      </c>
      <c r="M78" s="76">
        <f t="shared" si="38"/>
        <v>12</v>
      </c>
      <c r="N78" s="76">
        <f t="shared" si="38"/>
        <v>12</v>
      </c>
      <c r="O78" s="76">
        <f t="shared" si="38"/>
        <v>12</v>
      </c>
      <c r="P78" s="76">
        <f t="shared" si="38"/>
        <v>12</v>
      </c>
      <c r="Q78" s="76">
        <f t="shared" si="38"/>
        <v>12</v>
      </c>
      <c r="R78" s="76">
        <f t="shared" si="38"/>
        <v>12</v>
      </c>
      <c r="S78" s="76">
        <f t="shared" si="38"/>
        <v>12</v>
      </c>
      <c r="T78" s="76">
        <f t="shared" si="38"/>
        <v>12</v>
      </c>
      <c r="U78" s="76">
        <f t="shared" si="38"/>
        <v>12</v>
      </c>
      <c r="V78" s="76">
        <f t="shared" si="38"/>
        <v>12</v>
      </c>
      <c r="W78" s="76">
        <f t="shared" si="38"/>
        <v>12</v>
      </c>
      <c r="X78" s="76">
        <f t="shared" si="38"/>
        <v>12</v>
      </c>
      <c r="Y78" s="76">
        <f t="shared" si="38"/>
        <v>12</v>
      </c>
      <c r="Z78" s="76">
        <f t="shared" si="38"/>
        <v>12</v>
      </c>
      <c r="AA78" s="76">
        <f t="shared" si="38"/>
        <v>12</v>
      </c>
      <c r="AB78" s="76">
        <f t="shared" si="38"/>
        <v>12</v>
      </c>
      <c r="AC78" s="76">
        <f t="shared" si="38"/>
        <v>12</v>
      </c>
      <c r="AD78" s="76">
        <f t="shared" si="38"/>
        <v>12</v>
      </c>
      <c r="AE78" s="76">
        <f t="shared" si="38"/>
        <v>12</v>
      </c>
      <c r="AF78" s="76">
        <f t="shared" si="38"/>
        <v>12</v>
      </c>
      <c r="AG78" s="76">
        <f t="shared" si="38"/>
        <v>12</v>
      </c>
      <c r="AH78" s="76">
        <f t="shared" si="38"/>
        <v>12</v>
      </c>
      <c r="AI78" s="76">
        <f t="shared" si="38"/>
        <v>12</v>
      </c>
      <c r="AJ78" s="76">
        <f t="shared" si="38"/>
        <v>12</v>
      </c>
      <c r="AK78" s="76">
        <f t="shared" si="38"/>
        <v>12</v>
      </c>
      <c r="AL78" s="76">
        <f t="shared" si="38"/>
        <v>12</v>
      </c>
      <c r="AM78" s="76">
        <f t="shared" si="38"/>
        <v>2</v>
      </c>
      <c r="AN78" s="76">
        <f t="shared" si="38"/>
        <v>0</v>
      </c>
      <c r="AO78" s="76">
        <f t="shared" si="38"/>
        <v>0</v>
      </c>
      <c r="AP78" s="76">
        <f t="shared" si="38"/>
        <v>0</v>
      </c>
      <c r="AQ78" s="76">
        <f t="shared" si="38"/>
        <v>0</v>
      </c>
      <c r="AR78" s="76">
        <f t="shared" si="38"/>
        <v>0</v>
      </c>
      <c r="AS78" s="76">
        <f t="shared" si="38"/>
        <v>0</v>
      </c>
      <c r="AT78" s="76">
        <f t="shared" si="38"/>
        <v>0</v>
      </c>
      <c r="AU78" s="76">
        <f t="shared" si="38"/>
        <v>0</v>
      </c>
      <c r="AV78" s="76">
        <f t="shared" si="38"/>
        <v>0</v>
      </c>
      <c r="AW78" s="76">
        <f t="shared" si="38"/>
        <v>0</v>
      </c>
      <c r="AX78" s="76">
        <f t="shared" si="38"/>
        <v>0</v>
      </c>
    </row>
    <row r="79" s="4" customFormat="1" ht="22.05" customHeight="1" spans="2:50">
      <c r="B79" s="714" t="s">
        <v>462</v>
      </c>
      <c r="C79" s="730">
        <f>参数输入表!$D$38</f>
        <v>47543</v>
      </c>
      <c r="D79" s="722">
        <f>参数输入表!$D$38+参数输入表!$I$638*365+INT(参数输入表!$I$638/4)</f>
        <v>54117</v>
      </c>
      <c r="E79" s="199"/>
      <c r="F79" s="199"/>
      <c r="G79" s="199"/>
      <c r="H79" s="199"/>
      <c r="I79" s="199"/>
      <c r="J79" s="199"/>
      <c r="K79" s="199"/>
      <c r="L79" s="199"/>
      <c r="M79" s="199"/>
      <c r="N79" s="199"/>
      <c r="O79" s="199"/>
      <c r="P79" s="199"/>
      <c r="Q79" s="199"/>
      <c r="R79" s="199"/>
      <c r="S79" s="199"/>
      <c r="T79" s="199"/>
      <c r="U79" s="199"/>
      <c r="V79" s="199"/>
      <c r="W79" s="199"/>
      <c r="X79" s="199"/>
      <c r="Y79" s="199"/>
      <c r="Z79" s="199"/>
      <c r="AA79" s="199"/>
      <c r="AB79" s="199"/>
      <c r="AC79" s="199"/>
      <c r="AD79" s="199"/>
      <c r="AE79" s="199"/>
      <c r="AF79" s="199"/>
      <c r="AG79" s="199"/>
      <c r="AH79" s="199"/>
      <c r="AI79" s="199"/>
      <c r="AJ79" s="199"/>
      <c r="AK79" s="199"/>
      <c r="AL79" s="199"/>
      <c r="AM79" s="199"/>
      <c r="AN79" s="199"/>
      <c r="AO79" s="199"/>
      <c r="AP79" s="199"/>
      <c r="AQ79" s="199"/>
      <c r="AR79" s="199"/>
      <c r="AS79" s="199"/>
      <c r="AT79" s="199"/>
      <c r="AU79" s="199"/>
      <c r="AV79" s="199"/>
      <c r="AW79" s="199"/>
      <c r="AX79" s="199"/>
    </row>
    <row r="80" s="4" customFormat="1" ht="22.05" customHeight="1" spans="2:50">
      <c r="B80" s="648" t="s">
        <v>445</v>
      </c>
      <c r="C80" s="717">
        <f>YEAR(C81)</f>
        <v>2030</v>
      </c>
      <c r="D80" s="717">
        <f>YEAR(D81)</f>
        <v>2030</v>
      </c>
      <c r="E80" s="717">
        <f t="shared" ref="E80:V80" si="39">YEAR(E81)</f>
        <v>2031</v>
      </c>
      <c r="F80" s="717">
        <f t="shared" si="39"/>
        <v>2032</v>
      </c>
      <c r="G80" s="717">
        <f t="shared" si="39"/>
        <v>2033</v>
      </c>
      <c r="H80" s="717">
        <f t="shared" si="39"/>
        <v>2034</v>
      </c>
      <c r="I80" s="717">
        <f t="shared" si="39"/>
        <v>2035</v>
      </c>
      <c r="J80" s="717">
        <f t="shared" si="39"/>
        <v>2036</v>
      </c>
      <c r="K80" s="717">
        <f t="shared" si="39"/>
        <v>2037</v>
      </c>
      <c r="L80" s="717">
        <f t="shared" si="39"/>
        <v>2038</v>
      </c>
      <c r="M80" s="717">
        <f t="shared" si="39"/>
        <v>2039</v>
      </c>
      <c r="N80" s="717">
        <f t="shared" si="39"/>
        <v>2040</v>
      </c>
      <c r="O80" s="717">
        <f t="shared" si="39"/>
        <v>2041</v>
      </c>
      <c r="P80" s="717">
        <f t="shared" si="39"/>
        <v>2042</v>
      </c>
      <c r="Q80" s="717">
        <f t="shared" si="39"/>
        <v>2043</v>
      </c>
      <c r="R80" s="717">
        <f t="shared" si="39"/>
        <v>2044</v>
      </c>
      <c r="S80" s="717">
        <f t="shared" si="39"/>
        <v>2045</v>
      </c>
      <c r="T80" s="717">
        <f t="shared" si="39"/>
        <v>2046</v>
      </c>
      <c r="U80" s="717">
        <f t="shared" si="39"/>
        <v>2047</v>
      </c>
      <c r="V80" s="717">
        <f t="shared" si="39"/>
        <v>2048</v>
      </c>
      <c r="X80" s="199"/>
      <c r="Y80" s="199"/>
      <c r="Z80" s="199"/>
      <c r="AA80" s="199"/>
      <c r="AB80" s="199"/>
      <c r="AC80" s="199"/>
      <c r="AD80" s="199"/>
      <c r="AE80" s="199"/>
      <c r="AF80" s="199"/>
      <c r="AG80" s="199"/>
      <c r="AH80" s="199"/>
      <c r="AI80" s="199"/>
      <c r="AJ80" s="199"/>
      <c r="AK80" s="199"/>
      <c r="AL80" s="199"/>
      <c r="AM80" s="199"/>
      <c r="AN80" s="199"/>
      <c r="AO80" s="199"/>
      <c r="AP80" s="199"/>
      <c r="AQ80" s="199"/>
      <c r="AR80" s="199"/>
      <c r="AS80" s="199"/>
      <c r="AT80" s="199"/>
      <c r="AU80" s="199"/>
      <c r="AV80" s="199"/>
      <c r="AW80" s="199"/>
      <c r="AX80" s="199"/>
    </row>
    <row r="81" s="4" customFormat="1" ht="22.05" customHeight="1" spans="2:50">
      <c r="B81" s="648"/>
      <c r="C81" s="718">
        <f>C79</f>
        <v>47543</v>
      </c>
      <c r="D81" s="719">
        <v>47848</v>
      </c>
      <c r="E81" s="719">
        <v>48213</v>
      </c>
      <c r="F81" s="719">
        <v>48579</v>
      </c>
      <c r="G81" s="719">
        <v>48944</v>
      </c>
      <c r="H81" s="719">
        <v>49309</v>
      </c>
      <c r="I81" s="719">
        <v>49674</v>
      </c>
      <c r="J81" s="719">
        <v>50040</v>
      </c>
      <c r="K81" s="719">
        <v>50405</v>
      </c>
      <c r="L81" s="719">
        <v>50770</v>
      </c>
      <c r="M81" s="719">
        <v>51135</v>
      </c>
      <c r="N81" s="719">
        <v>51501</v>
      </c>
      <c r="O81" s="719">
        <v>51866</v>
      </c>
      <c r="P81" s="719">
        <v>52231</v>
      </c>
      <c r="Q81" s="719">
        <v>52596</v>
      </c>
      <c r="R81" s="719">
        <v>52962</v>
      </c>
      <c r="S81" s="719">
        <v>53327</v>
      </c>
      <c r="T81" s="719">
        <v>53692</v>
      </c>
      <c r="U81" s="719">
        <v>54057</v>
      </c>
      <c r="V81" s="724">
        <f>D79</f>
        <v>54117</v>
      </c>
      <c r="X81" s="199"/>
      <c r="Y81" s="199"/>
      <c r="Z81" s="199"/>
      <c r="AA81" s="199"/>
      <c r="AB81" s="199"/>
      <c r="AC81" s="199"/>
      <c r="AD81" s="199"/>
      <c r="AE81" s="199"/>
      <c r="AF81" s="199"/>
      <c r="AG81" s="199"/>
      <c r="AH81" s="199"/>
      <c r="AI81" s="199"/>
      <c r="AJ81" s="199"/>
      <c r="AK81" s="199"/>
      <c r="AL81" s="199"/>
      <c r="AM81" s="199"/>
      <c r="AN81" s="199"/>
      <c r="AO81" s="199"/>
      <c r="AP81" s="199"/>
      <c r="AQ81" s="199"/>
      <c r="AR81" s="199"/>
      <c r="AS81" s="199"/>
      <c r="AT81" s="199"/>
      <c r="AU81" s="199"/>
      <c r="AV81" s="199"/>
      <c r="AW81" s="199"/>
      <c r="AX81" s="199"/>
    </row>
    <row r="82" s="4" customFormat="1" ht="22.05" customHeight="1" spans="2:50">
      <c r="B82" s="29">
        <f>SUM(C82:AX82)</f>
        <v>216</v>
      </c>
      <c r="C82" s="29">
        <v>0</v>
      </c>
      <c r="D82" s="29">
        <f>ROUND((DATEDIF(C81,D81,"d"))/30,0)</f>
        <v>10</v>
      </c>
      <c r="E82" s="29">
        <f t="shared" ref="E82:V82" si="40">ROUND((DATEDIF(D81,E81,"d"))/30,0)</f>
        <v>12</v>
      </c>
      <c r="F82" s="29">
        <f t="shared" si="40"/>
        <v>12</v>
      </c>
      <c r="G82" s="29">
        <f t="shared" si="40"/>
        <v>12</v>
      </c>
      <c r="H82" s="29">
        <f t="shared" si="40"/>
        <v>12</v>
      </c>
      <c r="I82" s="29">
        <f t="shared" si="40"/>
        <v>12</v>
      </c>
      <c r="J82" s="29">
        <f t="shared" si="40"/>
        <v>12</v>
      </c>
      <c r="K82" s="29">
        <f t="shared" si="40"/>
        <v>12</v>
      </c>
      <c r="L82" s="29">
        <f t="shared" si="40"/>
        <v>12</v>
      </c>
      <c r="M82" s="29">
        <f t="shared" si="40"/>
        <v>12</v>
      </c>
      <c r="N82" s="29">
        <f t="shared" si="40"/>
        <v>12</v>
      </c>
      <c r="O82" s="29">
        <f t="shared" si="40"/>
        <v>12</v>
      </c>
      <c r="P82" s="29">
        <f t="shared" si="40"/>
        <v>12</v>
      </c>
      <c r="Q82" s="29">
        <f t="shared" si="40"/>
        <v>12</v>
      </c>
      <c r="R82" s="29">
        <f t="shared" si="40"/>
        <v>12</v>
      </c>
      <c r="S82" s="29">
        <f t="shared" si="40"/>
        <v>12</v>
      </c>
      <c r="T82" s="29">
        <f t="shared" si="40"/>
        <v>12</v>
      </c>
      <c r="U82" s="29">
        <f t="shared" si="40"/>
        <v>12</v>
      </c>
      <c r="V82" s="29">
        <f t="shared" si="40"/>
        <v>2</v>
      </c>
      <c r="W82" s="199"/>
      <c r="X82" s="199"/>
      <c r="Y82" s="199"/>
      <c r="Z82" s="199"/>
      <c r="AA82" s="199"/>
      <c r="AB82" s="199"/>
      <c r="AC82" s="199"/>
      <c r="AD82" s="199"/>
      <c r="AE82" s="199"/>
      <c r="AF82" s="199"/>
      <c r="AG82" s="199"/>
      <c r="AH82" s="199"/>
      <c r="AI82" s="199"/>
      <c r="AJ82" s="199"/>
      <c r="AK82" s="199"/>
      <c r="AL82" s="199"/>
      <c r="AM82" s="199"/>
      <c r="AN82" s="199"/>
      <c r="AO82" s="199"/>
      <c r="AP82" s="199"/>
      <c r="AQ82" s="199"/>
      <c r="AR82" s="199"/>
      <c r="AS82" s="199"/>
      <c r="AT82" s="199"/>
      <c r="AU82" s="199"/>
      <c r="AV82" s="199"/>
      <c r="AW82" s="199"/>
      <c r="AX82" s="199"/>
    </row>
    <row r="83" s="4" customFormat="1" ht="22.05" customHeight="1" spans="2:50">
      <c r="B83" s="76" t="s">
        <v>437</v>
      </c>
      <c r="C83" s="76">
        <v>2023</v>
      </c>
      <c r="D83" s="76">
        <v>2024</v>
      </c>
      <c r="E83" s="76">
        <v>2025</v>
      </c>
      <c r="F83" s="76">
        <v>2026</v>
      </c>
      <c r="G83" s="76">
        <v>2027</v>
      </c>
      <c r="H83" s="76">
        <v>2028</v>
      </c>
      <c r="I83" s="76">
        <v>2029</v>
      </c>
      <c r="J83" s="76">
        <v>2030</v>
      </c>
      <c r="K83" s="76">
        <v>2031</v>
      </c>
      <c r="L83" s="76">
        <v>2032</v>
      </c>
      <c r="M83" s="76">
        <v>2033</v>
      </c>
      <c r="N83" s="76">
        <v>2034</v>
      </c>
      <c r="O83" s="76">
        <v>2035</v>
      </c>
      <c r="P83" s="76">
        <v>2036</v>
      </c>
      <c r="Q83" s="76">
        <v>2037</v>
      </c>
      <c r="R83" s="76">
        <v>2038</v>
      </c>
      <c r="S83" s="76">
        <v>2039</v>
      </c>
      <c r="T83" s="76">
        <v>2040</v>
      </c>
      <c r="U83" s="76">
        <v>2041</v>
      </c>
      <c r="V83" s="76">
        <v>2042</v>
      </c>
      <c r="W83" s="76">
        <v>2043</v>
      </c>
      <c r="X83" s="76">
        <v>2044</v>
      </c>
      <c r="Y83" s="76">
        <v>2045</v>
      </c>
      <c r="Z83" s="76">
        <v>2046</v>
      </c>
      <c r="AA83" s="76">
        <v>2047</v>
      </c>
      <c r="AB83" s="76">
        <v>2048</v>
      </c>
      <c r="AC83" s="76">
        <v>2049</v>
      </c>
      <c r="AD83" s="76">
        <v>2050</v>
      </c>
      <c r="AE83" s="76">
        <v>2051</v>
      </c>
      <c r="AF83" s="76">
        <v>2052</v>
      </c>
      <c r="AG83" s="76">
        <v>2053</v>
      </c>
      <c r="AH83" s="76">
        <v>2054</v>
      </c>
      <c r="AI83" s="76">
        <v>2055</v>
      </c>
      <c r="AJ83" s="76">
        <v>2056</v>
      </c>
      <c r="AK83" s="76">
        <v>2057</v>
      </c>
      <c r="AL83" s="76">
        <v>2058</v>
      </c>
      <c r="AM83" s="76">
        <v>2059</v>
      </c>
      <c r="AN83" s="76">
        <v>2060</v>
      </c>
      <c r="AO83" s="76">
        <v>2061</v>
      </c>
      <c r="AP83" s="76">
        <v>2062</v>
      </c>
      <c r="AQ83" s="76">
        <v>2063</v>
      </c>
      <c r="AR83" s="76">
        <v>2064</v>
      </c>
      <c r="AS83" s="76">
        <v>2065</v>
      </c>
      <c r="AT83" s="76">
        <v>2066</v>
      </c>
      <c r="AU83" s="76">
        <v>2067</v>
      </c>
      <c r="AV83" s="76">
        <v>2068</v>
      </c>
      <c r="AW83" s="76">
        <v>2069</v>
      </c>
      <c r="AX83" s="76">
        <v>2070</v>
      </c>
    </row>
    <row r="84" s="4" customFormat="1" ht="22.05" customHeight="1" spans="2:50">
      <c r="B84" s="76" t="s">
        <v>446</v>
      </c>
      <c r="C84" s="76">
        <f>SUMIF($C$80:$V$80,C83,$C$82:$V$82)</f>
        <v>0</v>
      </c>
      <c r="D84" s="76">
        <f t="shared" ref="D84:AX84" si="41">SUMIF($C$80:$V$80,D83,$C$82:$V$82)</f>
        <v>0</v>
      </c>
      <c r="E84" s="76">
        <f t="shared" si="41"/>
        <v>0</v>
      </c>
      <c r="F84" s="76">
        <f t="shared" si="41"/>
        <v>0</v>
      </c>
      <c r="G84" s="76">
        <f t="shared" si="41"/>
        <v>0</v>
      </c>
      <c r="H84" s="76">
        <f t="shared" si="41"/>
        <v>0</v>
      </c>
      <c r="I84" s="76">
        <f t="shared" si="41"/>
        <v>0</v>
      </c>
      <c r="J84" s="76">
        <f t="shared" si="41"/>
        <v>10</v>
      </c>
      <c r="K84" s="76">
        <f t="shared" si="41"/>
        <v>12</v>
      </c>
      <c r="L84" s="76">
        <f t="shared" si="41"/>
        <v>12</v>
      </c>
      <c r="M84" s="76">
        <f t="shared" si="41"/>
        <v>12</v>
      </c>
      <c r="N84" s="76">
        <f t="shared" si="41"/>
        <v>12</v>
      </c>
      <c r="O84" s="76">
        <f t="shared" si="41"/>
        <v>12</v>
      </c>
      <c r="P84" s="76">
        <f t="shared" si="41"/>
        <v>12</v>
      </c>
      <c r="Q84" s="76">
        <f t="shared" si="41"/>
        <v>12</v>
      </c>
      <c r="R84" s="76">
        <f t="shared" si="41"/>
        <v>12</v>
      </c>
      <c r="S84" s="76">
        <f t="shared" si="41"/>
        <v>12</v>
      </c>
      <c r="T84" s="76">
        <f t="shared" si="41"/>
        <v>12</v>
      </c>
      <c r="U84" s="76">
        <f t="shared" si="41"/>
        <v>12</v>
      </c>
      <c r="V84" s="76">
        <f t="shared" si="41"/>
        <v>12</v>
      </c>
      <c r="W84" s="76">
        <f t="shared" si="41"/>
        <v>12</v>
      </c>
      <c r="X84" s="76">
        <f t="shared" si="41"/>
        <v>12</v>
      </c>
      <c r="Y84" s="76">
        <f t="shared" si="41"/>
        <v>12</v>
      </c>
      <c r="Z84" s="76">
        <f t="shared" si="41"/>
        <v>12</v>
      </c>
      <c r="AA84" s="76">
        <f t="shared" si="41"/>
        <v>12</v>
      </c>
      <c r="AB84" s="76">
        <f t="shared" si="41"/>
        <v>2</v>
      </c>
      <c r="AC84" s="76">
        <f t="shared" si="41"/>
        <v>0</v>
      </c>
      <c r="AD84" s="76">
        <f t="shared" si="41"/>
        <v>0</v>
      </c>
      <c r="AE84" s="76">
        <f t="shared" si="41"/>
        <v>0</v>
      </c>
      <c r="AF84" s="76">
        <f t="shared" si="41"/>
        <v>0</v>
      </c>
      <c r="AG84" s="76">
        <f t="shared" si="41"/>
        <v>0</v>
      </c>
      <c r="AH84" s="76">
        <f t="shared" si="41"/>
        <v>0</v>
      </c>
      <c r="AI84" s="76">
        <f t="shared" si="41"/>
        <v>0</v>
      </c>
      <c r="AJ84" s="76">
        <f t="shared" si="41"/>
        <v>0</v>
      </c>
      <c r="AK84" s="76">
        <f t="shared" si="41"/>
        <v>0</v>
      </c>
      <c r="AL84" s="76">
        <f t="shared" si="41"/>
        <v>0</v>
      </c>
      <c r="AM84" s="76">
        <f t="shared" si="41"/>
        <v>0</v>
      </c>
      <c r="AN84" s="76">
        <f t="shared" si="41"/>
        <v>0</v>
      </c>
      <c r="AO84" s="76">
        <f t="shared" si="41"/>
        <v>0</v>
      </c>
      <c r="AP84" s="76">
        <f t="shared" si="41"/>
        <v>0</v>
      </c>
      <c r="AQ84" s="76">
        <f t="shared" si="41"/>
        <v>0</v>
      </c>
      <c r="AR84" s="76">
        <f t="shared" si="41"/>
        <v>0</v>
      </c>
      <c r="AS84" s="76">
        <f t="shared" si="41"/>
        <v>0</v>
      </c>
      <c r="AT84" s="76">
        <f t="shared" si="41"/>
        <v>0</v>
      </c>
      <c r="AU84" s="76">
        <f t="shared" si="41"/>
        <v>0</v>
      </c>
      <c r="AV84" s="76">
        <f t="shared" si="41"/>
        <v>0</v>
      </c>
      <c r="AW84" s="76">
        <f t="shared" si="41"/>
        <v>0</v>
      </c>
      <c r="AX84" s="76">
        <f t="shared" si="41"/>
        <v>0</v>
      </c>
    </row>
    <row r="85" s="4" customFormat="1" ht="22.05" customHeight="1" spans="2:50">
      <c r="B85" s="714" t="s">
        <v>463</v>
      </c>
      <c r="C85" s="730">
        <f>参数输入表!$D$38</f>
        <v>47543</v>
      </c>
      <c r="D85" s="725">
        <f>参数输入表!$D$38+参数输入表!$I$627*365+INT(参数输入表!$I$627/4)</f>
        <v>51926</v>
      </c>
      <c r="E85" s="199"/>
      <c r="F85" s="199"/>
      <c r="G85" s="199"/>
      <c r="H85" s="199"/>
      <c r="I85" s="199"/>
      <c r="J85" s="199"/>
      <c r="K85" s="199"/>
      <c r="L85" s="199"/>
      <c r="M85" s="199"/>
      <c r="N85" s="199"/>
      <c r="O85" s="199"/>
      <c r="P85" s="199"/>
      <c r="Q85" s="199"/>
      <c r="R85" s="199"/>
      <c r="S85" s="199"/>
      <c r="T85" s="199"/>
      <c r="U85" s="199"/>
      <c r="V85" s="199"/>
      <c r="W85" s="199"/>
      <c r="X85" s="199"/>
      <c r="Y85" s="199"/>
      <c r="Z85" s="199"/>
      <c r="AA85" s="199"/>
      <c r="AB85" s="199"/>
      <c r="AC85" s="199"/>
      <c r="AD85" s="199"/>
      <c r="AE85" s="199"/>
      <c r="AF85" s="199"/>
      <c r="AG85" s="199"/>
      <c r="AH85" s="199"/>
      <c r="AI85" s="199"/>
      <c r="AJ85" s="199"/>
      <c r="AK85" s="199"/>
      <c r="AL85" s="199"/>
      <c r="AM85" s="199"/>
      <c r="AN85" s="199"/>
      <c r="AO85" s="199"/>
      <c r="AP85" s="199"/>
      <c r="AQ85" s="199"/>
      <c r="AR85" s="199"/>
      <c r="AS85" s="199"/>
      <c r="AT85" s="199"/>
      <c r="AU85" s="199"/>
      <c r="AV85" s="199"/>
      <c r="AW85" s="199"/>
      <c r="AX85" s="199"/>
    </row>
    <row r="86" s="4" customFormat="1" ht="22.05" customHeight="1" spans="2:50">
      <c r="B86" s="76" t="s">
        <v>448</v>
      </c>
      <c r="C86" s="717">
        <f>YEAR(C87)</f>
        <v>2030</v>
      </c>
      <c r="D86" s="717">
        <f>YEAR(D87)</f>
        <v>2030</v>
      </c>
      <c r="E86" s="717">
        <f>YEAR(E87)</f>
        <v>2031</v>
      </c>
      <c r="F86" s="717">
        <f t="shared" ref="F86:P86" si="42">YEAR(F87)</f>
        <v>2032</v>
      </c>
      <c r="G86" s="717">
        <f t="shared" si="42"/>
        <v>2033</v>
      </c>
      <c r="H86" s="717">
        <f t="shared" si="42"/>
        <v>2034</v>
      </c>
      <c r="I86" s="717">
        <f t="shared" si="42"/>
        <v>2035</v>
      </c>
      <c r="J86" s="717">
        <f t="shared" si="42"/>
        <v>2036</v>
      </c>
      <c r="K86" s="717">
        <f t="shared" si="42"/>
        <v>2037</v>
      </c>
      <c r="L86" s="717">
        <f t="shared" si="42"/>
        <v>2038</v>
      </c>
      <c r="M86" s="717">
        <f t="shared" si="42"/>
        <v>2039</v>
      </c>
      <c r="N86" s="717">
        <f t="shared" si="42"/>
        <v>2040</v>
      </c>
      <c r="O86" s="717">
        <f t="shared" si="42"/>
        <v>2041</v>
      </c>
      <c r="P86" s="717">
        <f t="shared" si="42"/>
        <v>2042</v>
      </c>
      <c r="Q86" s="199"/>
      <c r="R86" s="199"/>
      <c r="S86" s="199"/>
      <c r="T86" s="199"/>
      <c r="U86" s="199"/>
      <c r="V86" s="199"/>
      <c r="W86" s="199"/>
      <c r="X86" s="199"/>
      <c r="Y86" s="199"/>
      <c r="Z86" s="199"/>
      <c r="AA86" s="199"/>
      <c r="AB86" s="199"/>
      <c r="AC86" s="199"/>
      <c r="AD86" s="199"/>
      <c r="AE86" s="199"/>
      <c r="AF86" s="199"/>
      <c r="AG86" s="199"/>
      <c r="AH86" s="199"/>
      <c r="AI86" s="199"/>
      <c r="AJ86" s="199"/>
      <c r="AK86" s="199"/>
      <c r="AL86" s="199"/>
      <c r="AM86" s="199"/>
      <c r="AN86" s="199"/>
      <c r="AO86" s="199"/>
      <c r="AP86" s="199"/>
      <c r="AQ86" s="199"/>
      <c r="AR86" s="199"/>
      <c r="AS86" s="199"/>
      <c r="AT86" s="199"/>
      <c r="AU86" s="199"/>
      <c r="AV86" s="199"/>
      <c r="AW86" s="199"/>
      <c r="AX86" s="199"/>
    </row>
    <row r="87" s="4" customFormat="1" ht="22.05" customHeight="1" spans="2:50">
      <c r="B87" s="76"/>
      <c r="C87" s="718">
        <f>C85</f>
        <v>47543</v>
      </c>
      <c r="D87" s="719">
        <v>47848</v>
      </c>
      <c r="E87" s="719">
        <v>48213</v>
      </c>
      <c r="F87" s="719">
        <v>48579</v>
      </c>
      <c r="G87" s="719">
        <v>48944</v>
      </c>
      <c r="H87" s="719">
        <v>49309</v>
      </c>
      <c r="I87" s="719">
        <v>49674</v>
      </c>
      <c r="J87" s="719">
        <v>50040</v>
      </c>
      <c r="K87" s="719">
        <v>50405</v>
      </c>
      <c r="L87" s="719">
        <v>50770</v>
      </c>
      <c r="M87" s="719">
        <v>51135</v>
      </c>
      <c r="N87" s="719">
        <v>51501</v>
      </c>
      <c r="O87" s="719">
        <v>51866</v>
      </c>
      <c r="P87" s="726">
        <f>D85</f>
        <v>51926</v>
      </c>
      <c r="Q87" s="199"/>
      <c r="R87" s="199"/>
      <c r="S87" s="199"/>
      <c r="T87" s="199"/>
      <c r="U87" s="199"/>
      <c r="V87" s="199"/>
      <c r="W87" s="199"/>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row>
    <row r="88" s="4" customFormat="1" ht="22.05" customHeight="1" spans="2:50">
      <c r="B88" s="50">
        <f>SUM(C88:AX88)</f>
        <v>144</v>
      </c>
      <c r="C88" s="29">
        <v>0</v>
      </c>
      <c r="D88" s="29">
        <f>ROUND((DATEDIF(C87,D87,"d"))/30,0)</f>
        <v>10</v>
      </c>
      <c r="E88" s="29">
        <f t="shared" ref="E88:P88" si="43">ROUND((DATEDIF(D87,E87,"d"))/30,0)</f>
        <v>12</v>
      </c>
      <c r="F88" s="29">
        <f t="shared" si="43"/>
        <v>12</v>
      </c>
      <c r="G88" s="29">
        <f t="shared" si="43"/>
        <v>12</v>
      </c>
      <c r="H88" s="29">
        <f t="shared" si="43"/>
        <v>12</v>
      </c>
      <c r="I88" s="29">
        <f t="shared" si="43"/>
        <v>12</v>
      </c>
      <c r="J88" s="29">
        <f t="shared" si="43"/>
        <v>12</v>
      </c>
      <c r="K88" s="29">
        <f t="shared" si="43"/>
        <v>12</v>
      </c>
      <c r="L88" s="29">
        <f t="shared" si="43"/>
        <v>12</v>
      </c>
      <c r="M88" s="29">
        <f t="shared" si="43"/>
        <v>12</v>
      </c>
      <c r="N88" s="29">
        <f t="shared" si="43"/>
        <v>12</v>
      </c>
      <c r="O88" s="29">
        <f t="shared" si="43"/>
        <v>12</v>
      </c>
      <c r="P88" s="29">
        <f t="shared" si="43"/>
        <v>2</v>
      </c>
      <c r="Q88" s="199"/>
      <c r="R88" s="199"/>
      <c r="S88" s="199"/>
      <c r="T88" s="199"/>
      <c r="U88" s="199"/>
      <c r="V88" s="199"/>
      <c r="W88" s="199"/>
      <c r="X88" s="199"/>
      <c r="Y88" s="199"/>
      <c r="Z88" s="199"/>
      <c r="AA88" s="199"/>
      <c r="AB88" s="199"/>
      <c r="AC88" s="199"/>
      <c r="AD88" s="199"/>
      <c r="AE88" s="199"/>
      <c r="AF88" s="199"/>
      <c r="AG88" s="199"/>
      <c r="AH88" s="199"/>
      <c r="AI88" s="199"/>
      <c r="AJ88" s="199"/>
      <c r="AK88" s="199"/>
      <c r="AL88" s="199"/>
      <c r="AM88" s="199"/>
      <c r="AN88" s="199"/>
      <c r="AO88" s="199"/>
      <c r="AP88" s="199"/>
      <c r="AQ88" s="199"/>
      <c r="AR88" s="199"/>
      <c r="AS88" s="199"/>
      <c r="AT88" s="199"/>
      <c r="AU88" s="199"/>
      <c r="AV88" s="199"/>
      <c r="AW88" s="199"/>
      <c r="AX88" s="199"/>
    </row>
    <row r="89" s="4" customFormat="1" ht="22.05" customHeight="1" spans="2:50">
      <c r="B89" s="76" t="s">
        <v>437</v>
      </c>
      <c r="C89" s="76">
        <v>2023</v>
      </c>
      <c r="D89" s="76">
        <v>2024</v>
      </c>
      <c r="E89" s="76">
        <v>2025</v>
      </c>
      <c r="F89" s="76">
        <v>2026</v>
      </c>
      <c r="G89" s="76">
        <v>2027</v>
      </c>
      <c r="H89" s="76">
        <v>2028</v>
      </c>
      <c r="I89" s="76">
        <v>2029</v>
      </c>
      <c r="J89" s="76">
        <v>2030</v>
      </c>
      <c r="K89" s="76">
        <v>2031</v>
      </c>
      <c r="L89" s="76">
        <v>2032</v>
      </c>
      <c r="M89" s="76">
        <v>2033</v>
      </c>
      <c r="N89" s="76">
        <v>2034</v>
      </c>
      <c r="O89" s="76">
        <v>2035</v>
      </c>
      <c r="P89" s="76">
        <v>2036</v>
      </c>
      <c r="Q89" s="76">
        <v>2037</v>
      </c>
      <c r="R89" s="76">
        <v>2038</v>
      </c>
      <c r="S89" s="76">
        <v>2039</v>
      </c>
      <c r="T89" s="76">
        <v>2040</v>
      </c>
      <c r="U89" s="76">
        <v>2041</v>
      </c>
      <c r="V89" s="76">
        <v>2042</v>
      </c>
      <c r="W89" s="76">
        <v>2043</v>
      </c>
      <c r="X89" s="76">
        <v>2044</v>
      </c>
      <c r="Y89" s="76">
        <v>2045</v>
      </c>
      <c r="Z89" s="76">
        <v>2046</v>
      </c>
      <c r="AA89" s="76">
        <v>2047</v>
      </c>
      <c r="AB89" s="76">
        <v>2048</v>
      </c>
      <c r="AC89" s="76">
        <v>2049</v>
      </c>
      <c r="AD89" s="76">
        <v>2050</v>
      </c>
      <c r="AE89" s="76">
        <v>2051</v>
      </c>
      <c r="AF89" s="76">
        <v>2052</v>
      </c>
      <c r="AG89" s="76">
        <v>2053</v>
      </c>
      <c r="AH89" s="76">
        <v>2054</v>
      </c>
      <c r="AI89" s="76">
        <v>2055</v>
      </c>
      <c r="AJ89" s="76">
        <v>2056</v>
      </c>
      <c r="AK89" s="76">
        <v>2057</v>
      </c>
      <c r="AL89" s="76">
        <v>2058</v>
      </c>
      <c r="AM89" s="76">
        <v>2059</v>
      </c>
      <c r="AN89" s="76">
        <v>2060</v>
      </c>
      <c r="AO89" s="76">
        <v>2061</v>
      </c>
      <c r="AP89" s="76">
        <v>2062</v>
      </c>
      <c r="AQ89" s="76">
        <v>2063</v>
      </c>
      <c r="AR89" s="76">
        <v>2064</v>
      </c>
      <c r="AS89" s="76">
        <v>2065</v>
      </c>
      <c r="AT89" s="76">
        <v>2066</v>
      </c>
      <c r="AU89" s="76">
        <v>2067</v>
      </c>
      <c r="AV89" s="76">
        <v>2068</v>
      </c>
      <c r="AW89" s="76">
        <v>2069</v>
      </c>
      <c r="AX89" s="76">
        <v>2070</v>
      </c>
    </row>
    <row r="90" s="4" customFormat="1" ht="22.05" customHeight="1" spans="2:50">
      <c r="B90" s="76" t="s">
        <v>449</v>
      </c>
      <c r="C90" s="76">
        <f>SUMIF($C$86:$P$86,C89,$C$88:$P$88)</f>
        <v>0</v>
      </c>
      <c r="D90" s="76">
        <f t="shared" ref="D90:AX90" si="44">SUMIF($C$86:$P$86,D89,$C$88:$P$88)</f>
        <v>0</v>
      </c>
      <c r="E90" s="76">
        <f t="shared" si="44"/>
        <v>0</v>
      </c>
      <c r="F90" s="76">
        <f t="shared" si="44"/>
        <v>0</v>
      </c>
      <c r="G90" s="76">
        <f t="shared" si="44"/>
        <v>0</v>
      </c>
      <c r="H90" s="76">
        <f t="shared" si="44"/>
        <v>0</v>
      </c>
      <c r="I90" s="76">
        <f t="shared" si="44"/>
        <v>0</v>
      </c>
      <c r="J90" s="76">
        <f t="shared" si="44"/>
        <v>10</v>
      </c>
      <c r="K90" s="76">
        <f t="shared" si="44"/>
        <v>12</v>
      </c>
      <c r="L90" s="76">
        <f t="shared" si="44"/>
        <v>12</v>
      </c>
      <c r="M90" s="76">
        <f t="shared" si="44"/>
        <v>12</v>
      </c>
      <c r="N90" s="76">
        <f t="shared" si="44"/>
        <v>12</v>
      </c>
      <c r="O90" s="76">
        <f t="shared" si="44"/>
        <v>12</v>
      </c>
      <c r="P90" s="76">
        <f t="shared" si="44"/>
        <v>12</v>
      </c>
      <c r="Q90" s="76">
        <f t="shared" si="44"/>
        <v>12</v>
      </c>
      <c r="R90" s="76">
        <f t="shared" si="44"/>
        <v>12</v>
      </c>
      <c r="S90" s="76">
        <f t="shared" si="44"/>
        <v>12</v>
      </c>
      <c r="T90" s="76">
        <f t="shared" si="44"/>
        <v>12</v>
      </c>
      <c r="U90" s="76">
        <f t="shared" si="44"/>
        <v>12</v>
      </c>
      <c r="V90" s="76">
        <f t="shared" si="44"/>
        <v>2</v>
      </c>
      <c r="W90" s="76">
        <f t="shared" si="44"/>
        <v>0</v>
      </c>
      <c r="X90" s="76">
        <f t="shared" si="44"/>
        <v>0</v>
      </c>
      <c r="Y90" s="76">
        <f t="shared" si="44"/>
        <v>0</v>
      </c>
      <c r="Z90" s="76">
        <f t="shared" si="44"/>
        <v>0</v>
      </c>
      <c r="AA90" s="76">
        <f t="shared" si="44"/>
        <v>0</v>
      </c>
      <c r="AB90" s="76">
        <f t="shared" si="44"/>
        <v>0</v>
      </c>
      <c r="AC90" s="76">
        <f t="shared" si="44"/>
        <v>0</v>
      </c>
      <c r="AD90" s="76">
        <f t="shared" si="44"/>
        <v>0</v>
      </c>
      <c r="AE90" s="76">
        <f t="shared" si="44"/>
        <v>0</v>
      </c>
      <c r="AF90" s="76">
        <f t="shared" si="44"/>
        <v>0</v>
      </c>
      <c r="AG90" s="76">
        <f t="shared" si="44"/>
        <v>0</v>
      </c>
      <c r="AH90" s="76">
        <f t="shared" si="44"/>
        <v>0</v>
      </c>
      <c r="AI90" s="76">
        <f t="shared" si="44"/>
        <v>0</v>
      </c>
      <c r="AJ90" s="76">
        <f t="shared" si="44"/>
        <v>0</v>
      </c>
      <c r="AK90" s="76">
        <f t="shared" si="44"/>
        <v>0</v>
      </c>
      <c r="AL90" s="76">
        <f t="shared" si="44"/>
        <v>0</v>
      </c>
      <c r="AM90" s="76">
        <f t="shared" si="44"/>
        <v>0</v>
      </c>
      <c r="AN90" s="76">
        <f t="shared" si="44"/>
        <v>0</v>
      </c>
      <c r="AO90" s="76">
        <f t="shared" si="44"/>
        <v>0</v>
      </c>
      <c r="AP90" s="76">
        <f t="shared" si="44"/>
        <v>0</v>
      </c>
      <c r="AQ90" s="76">
        <f t="shared" si="44"/>
        <v>0</v>
      </c>
      <c r="AR90" s="76">
        <f t="shared" si="44"/>
        <v>0</v>
      </c>
      <c r="AS90" s="76">
        <f t="shared" si="44"/>
        <v>0</v>
      </c>
      <c r="AT90" s="76">
        <f t="shared" si="44"/>
        <v>0</v>
      </c>
      <c r="AU90" s="76">
        <f t="shared" si="44"/>
        <v>0</v>
      </c>
      <c r="AV90" s="76">
        <f t="shared" si="44"/>
        <v>0</v>
      </c>
      <c r="AW90" s="76">
        <f t="shared" si="44"/>
        <v>0</v>
      </c>
      <c r="AX90" s="76">
        <f t="shared" si="44"/>
        <v>0</v>
      </c>
    </row>
    <row r="91" s="4" customFormat="1" ht="22.05" customHeight="1" spans="2:50">
      <c r="B91" s="714" t="s">
        <v>464</v>
      </c>
      <c r="C91" s="730">
        <f>参数输入表!$D$38</f>
        <v>47543</v>
      </c>
      <c r="D91" s="727">
        <f>参数输入表!$D$38+参数输入表!$I$632*365+INT(参数输入表!$I$632/4)</f>
        <v>54848</v>
      </c>
      <c r="E91" s="199"/>
      <c r="F91" s="199"/>
      <c r="G91" s="199"/>
      <c r="H91" s="199"/>
      <c r="I91" s="199"/>
      <c r="J91" s="199"/>
      <c r="K91" s="199"/>
      <c r="L91" s="199"/>
      <c r="M91" s="199"/>
      <c r="N91" s="199"/>
      <c r="O91" s="199"/>
      <c r="P91" s="199"/>
      <c r="Q91" s="199"/>
      <c r="R91" s="199"/>
      <c r="S91" s="199"/>
      <c r="T91" s="199"/>
      <c r="U91" s="199"/>
      <c r="V91" s="199"/>
      <c r="W91" s="199"/>
      <c r="X91" s="199"/>
      <c r="Y91" s="199"/>
      <c r="Z91" s="199"/>
      <c r="AA91" s="199"/>
      <c r="AB91" s="199"/>
      <c r="AC91" s="199"/>
      <c r="AD91" s="199"/>
      <c r="AE91" s="199"/>
      <c r="AF91" s="199"/>
      <c r="AG91" s="199"/>
      <c r="AH91" s="199"/>
      <c r="AI91" s="199"/>
      <c r="AJ91" s="199"/>
      <c r="AK91" s="199"/>
      <c r="AL91" s="199"/>
      <c r="AM91" s="199"/>
      <c r="AN91" s="199"/>
      <c r="AO91" s="199"/>
      <c r="AP91" s="199"/>
      <c r="AQ91" s="199"/>
      <c r="AR91" s="199"/>
      <c r="AS91" s="199"/>
      <c r="AT91" s="199"/>
      <c r="AU91" s="199"/>
      <c r="AV91" s="199"/>
      <c r="AW91" s="199"/>
      <c r="AX91" s="199"/>
    </row>
    <row r="92" s="4" customFormat="1" ht="22.05" customHeight="1" spans="2:50">
      <c r="B92" s="76" t="s">
        <v>451</v>
      </c>
      <c r="C92" s="717">
        <f>YEAR(C93)</f>
        <v>2030</v>
      </c>
      <c r="D92" s="717">
        <f>YEAR(D93)</f>
        <v>2030</v>
      </c>
      <c r="E92" s="717">
        <f>YEAR(E93)</f>
        <v>2031</v>
      </c>
      <c r="F92" s="717">
        <f t="shared" ref="F92:X92" si="45">YEAR(F93)</f>
        <v>2032</v>
      </c>
      <c r="G92" s="717">
        <f t="shared" si="45"/>
        <v>2033</v>
      </c>
      <c r="H92" s="717">
        <f t="shared" si="45"/>
        <v>2034</v>
      </c>
      <c r="I92" s="717">
        <f t="shared" si="45"/>
        <v>2035</v>
      </c>
      <c r="J92" s="717">
        <f t="shared" si="45"/>
        <v>2036</v>
      </c>
      <c r="K92" s="717">
        <f t="shared" si="45"/>
        <v>2037</v>
      </c>
      <c r="L92" s="717">
        <f t="shared" si="45"/>
        <v>2038</v>
      </c>
      <c r="M92" s="717">
        <f t="shared" si="45"/>
        <v>2039</v>
      </c>
      <c r="N92" s="717">
        <f t="shared" si="45"/>
        <v>2040</v>
      </c>
      <c r="O92" s="717">
        <f t="shared" si="45"/>
        <v>2041</v>
      </c>
      <c r="P92" s="717">
        <f t="shared" si="45"/>
        <v>2042</v>
      </c>
      <c r="Q92" s="717">
        <f t="shared" si="45"/>
        <v>2043</v>
      </c>
      <c r="R92" s="717">
        <f t="shared" si="45"/>
        <v>2044</v>
      </c>
      <c r="S92" s="717">
        <f t="shared" si="45"/>
        <v>2045</v>
      </c>
      <c r="T92" s="717">
        <f t="shared" si="45"/>
        <v>2046</v>
      </c>
      <c r="U92" s="717">
        <f t="shared" si="45"/>
        <v>2047</v>
      </c>
      <c r="V92" s="717">
        <f t="shared" si="45"/>
        <v>2048</v>
      </c>
      <c r="W92" s="717">
        <f t="shared" si="45"/>
        <v>2049</v>
      </c>
      <c r="X92" s="717">
        <f t="shared" si="45"/>
        <v>2050</v>
      </c>
      <c r="Y92" s="199"/>
      <c r="Z92" s="199"/>
      <c r="AA92" s="199"/>
      <c r="AB92" s="199"/>
      <c r="AC92" s="199"/>
      <c r="AD92" s="199"/>
      <c r="AE92" s="199"/>
      <c r="AF92" s="199"/>
      <c r="AG92" s="199"/>
      <c r="AH92" s="199"/>
      <c r="AI92" s="199"/>
      <c r="AJ92" s="199"/>
      <c r="AK92" s="199"/>
      <c r="AL92" s="199"/>
      <c r="AM92" s="199"/>
      <c r="AN92" s="199"/>
      <c r="AO92" s="199"/>
      <c r="AP92" s="199"/>
      <c r="AQ92" s="199"/>
      <c r="AR92" s="199"/>
      <c r="AS92" s="199"/>
      <c r="AT92" s="199"/>
      <c r="AU92" s="199"/>
      <c r="AV92" s="199"/>
      <c r="AW92" s="199"/>
      <c r="AX92" s="199"/>
    </row>
    <row r="93" s="4" customFormat="1" ht="22.05" customHeight="1" spans="2:50">
      <c r="B93" s="76"/>
      <c r="C93" s="718">
        <f>C91</f>
        <v>47543</v>
      </c>
      <c r="D93" s="719">
        <v>47848</v>
      </c>
      <c r="E93" s="719">
        <v>48213</v>
      </c>
      <c r="F93" s="719">
        <v>48579</v>
      </c>
      <c r="G93" s="719">
        <v>48944</v>
      </c>
      <c r="H93" s="719">
        <v>49309</v>
      </c>
      <c r="I93" s="719">
        <v>49674</v>
      </c>
      <c r="J93" s="719">
        <v>50040</v>
      </c>
      <c r="K93" s="719">
        <v>50405</v>
      </c>
      <c r="L93" s="719">
        <v>50770</v>
      </c>
      <c r="M93" s="719">
        <v>51135</v>
      </c>
      <c r="N93" s="719">
        <v>51501</v>
      </c>
      <c r="O93" s="719">
        <v>51866</v>
      </c>
      <c r="P93" s="719">
        <v>52231</v>
      </c>
      <c r="Q93" s="719">
        <v>52596</v>
      </c>
      <c r="R93" s="719">
        <v>52962</v>
      </c>
      <c r="S93" s="719">
        <v>53327</v>
      </c>
      <c r="T93" s="719">
        <v>53692</v>
      </c>
      <c r="U93" s="719">
        <v>54057</v>
      </c>
      <c r="V93" s="719">
        <v>54423</v>
      </c>
      <c r="W93" s="719">
        <v>54788</v>
      </c>
      <c r="X93" s="728">
        <f>D91</f>
        <v>54848</v>
      </c>
      <c r="Y93" s="199"/>
      <c r="Z93" s="199"/>
      <c r="AA93" s="199"/>
      <c r="AB93" s="199"/>
      <c r="AC93" s="199"/>
      <c r="AD93" s="199"/>
      <c r="AE93" s="199"/>
      <c r="AF93" s="199"/>
      <c r="AG93" s="199"/>
      <c r="AH93" s="199"/>
      <c r="AI93" s="199"/>
      <c r="AJ93" s="199"/>
      <c r="AK93" s="199"/>
      <c r="AL93" s="199"/>
      <c r="AM93" s="199"/>
      <c r="AN93" s="199"/>
      <c r="AO93" s="199"/>
      <c r="AP93" s="199"/>
      <c r="AQ93" s="199"/>
      <c r="AR93" s="199"/>
      <c r="AS93" s="199"/>
      <c r="AT93" s="199"/>
      <c r="AU93" s="199"/>
      <c r="AV93" s="199"/>
      <c r="AW93" s="199"/>
      <c r="AX93" s="199"/>
    </row>
    <row r="94" s="4" customFormat="1" ht="22.05" customHeight="1" spans="2:50">
      <c r="B94" s="50">
        <f>SUM(C94:AX94)</f>
        <v>240</v>
      </c>
      <c r="C94" s="29">
        <v>0</v>
      </c>
      <c r="D94" s="29">
        <f>ROUND((DATEDIF(C93,D93,"d"))/30,0)</f>
        <v>10</v>
      </c>
      <c r="E94" s="29">
        <f t="shared" ref="E94:X94" si="46">ROUND((DATEDIF(D93,E93,"d"))/30,0)</f>
        <v>12</v>
      </c>
      <c r="F94" s="29">
        <f t="shared" si="46"/>
        <v>12</v>
      </c>
      <c r="G94" s="29">
        <f t="shared" si="46"/>
        <v>12</v>
      </c>
      <c r="H94" s="29">
        <f t="shared" si="46"/>
        <v>12</v>
      </c>
      <c r="I94" s="29">
        <f t="shared" si="46"/>
        <v>12</v>
      </c>
      <c r="J94" s="29">
        <f t="shared" si="46"/>
        <v>12</v>
      </c>
      <c r="K94" s="29">
        <f t="shared" si="46"/>
        <v>12</v>
      </c>
      <c r="L94" s="29">
        <f t="shared" si="46"/>
        <v>12</v>
      </c>
      <c r="M94" s="29">
        <f t="shared" si="46"/>
        <v>12</v>
      </c>
      <c r="N94" s="29">
        <f t="shared" si="46"/>
        <v>12</v>
      </c>
      <c r="O94" s="29">
        <f t="shared" si="46"/>
        <v>12</v>
      </c>
      <c r="P94" s="29">
        <f t="shared" si="46"/>
        <v>12</v>
      </c>
      <c r="Q94" s="29">
        <f t="shared" si="46"/>
        <v>12</v>
      </c>
      <c r="R94" s="29">
        <f t="shared" si="46"/>
        <v>12</v>
      </c>
      <c r="S94" s="29">
        <f t="shared" si="46"/>
        <v>12</v>
      </c>
      <c r="T94" s="29">
        <f t="shared" si="46"/>
        <v>12</v>
      </c>
      <c r="U94" s="29">
        <f t="shared" si="46"/>
        <v>12</v>
      </c>
      <c r="V94" s="29">
        <f t="shared" si="46"/>
        <v>12</v>
      </c>
      <c r="W94" s="29">
        <f t="shared" si="46"/>
        <v>12</v>
      </c>
      <c r="X94" s="29">
        <f t="shared" si="46"/>
        <v>2</v>
      </c>
      <c r="Y94" s="199"/>
      <c r="Z94" s="199"/>
      <c r="AA94" s="199"/>
      <c r="AB94" s="199"/>
      <c r="AC94" s="199"/>
      <c r="AD94" s="199"/>
      <c r="AE94" s="199"/>
      <c r="AF94" s="199"/>
      <c r="AG94" s="199"/>
      <c r="AH94" s="199"/>
      <c r="AI94" s="199"/>
      <c r="AJ94" s="199"/>
      <c r="AK94" s="199"/>
      <c r="AL94" s="199"/>
      <c r="AM94" s="199"/>
      <c r="AN94" s="199"/>
      <c r="AO94" s="199"/>
      <c r="AP94" s="199"/>
      <c r="AQ94" s="199"/>
      <c r="AR94" s="199"/>
      <c r="AS94" s="199"/>
      <c r="AT94" s="199"/>
      <c r="AU94" s="199"/>
      <c r="AV94" s="199"/>
      <c r="AW94" s="199"/>
      <c r="AX94" s="199"/>
    </row>
    <row r="95" s="4" customFormat="1" ht="22.05" customHeight="1" spans="2:50">
      <c r="B95" s="76" t="s">
        <v>437</v>
      </c>
      <c r="C95" s="76">
        <v>2023</v>
      </c>
      <c r="D95" s="76">
        <v>2024</v>
      </c>
      <c r="E95" s="76">
        <v>2025</v>
      </c>
      <c r="F95" s="76">
        <v>2026</v>
      </c>
      <c r="G95" s="76">
        <v>2027</v>
      </c>
      <c r="H95" s="76">
        <v>2028</v>
      </c>
      <c r="I95" s="76">
        <v>2029</v>
      </c>
      <c r="J95" s="76">
        <v>2030</v>
      </c>
      <c r="K95" s="76">
        <v>2031</v>
      </c>
      <c r="L95" s="76">
        <v>2032</v>
      </c>
      <c r="M95" s="76">
        <v>2033</v>
      </c>
      <c r="N95" s="76">
        <v>2034</v>
      </c>
      <c r="O95" s="76">
        <v>2035</v>
      </c>
      <c r="P95" s="76">
        <v>2036</v>
      </c>
      <c r="Q95" s="76">
        <v>2037</v>
      </c>
      <c r="R95" s="76">
        <v>2038</v>
      </c>
      <c r="S95" s="76">
        <v>2039</v>
      </c>
      <c r="T95" s="76">
        <v>2040</v>
      </c>
      <c r="U95" s="76">
        <v>2041</v>
      </c>
      <c r="V95" s="76">
        <v>2042</v>
      </c>
      <c r="W95" s="76">
        <v>2043</v>
      </c>
      <c r="X95" s="76">
        <v>2044</v>
      </c>
      <c r="Y95" s="76">
        <v>2045</v>
      </c>
      <c r="Z95" s="76">
        <v>2046</v>
      </c>
      <c r="AA95" s="76">
        <v>2047</v>
      </c>
      <c r="AB95" s="76">
        <v>2048</v>
      </c>
      <c r="AC95" s="76">
        <v>2049</v>
      </c>
      <c r="AD95" s="76">
        <v>2050</v>
      </c>
      <c r="AE95" s="76">
        <v>2051</v>
      </c>
      <c r="AF95" s="76">
        <v>2052</v>
      </c>
      <c r="AG95" s="76">
        <v>2053</v>
      </c>
      <c r="AH95" s="76">
        <v>2054</v>
      </c>
      <c r="AI95" s="76">
        <v>2055</v>
      </c>
      <c r="AJ95" s="76">
        <v>2056</v>
      </c>
      <c r="AK95" s="76">
        <v>2057</v>
      </c>
      <c r="AL95" s="76">
        <v>2058</v>
      </c>
      <c r="AM95" s="76">
        <v>2059</v>
      </c>
      <c r="AN95" s="76">
        <v>2060</v>
      </c>
      <c r="AO95" s="76">
        <v>2061</v>
      </c>
      <c r="AP95" s="76">
        <v>2062</v>
      </c>
      <c r="AQ95" s="76">
        <v>2063</v>
      </c>
      <c r="AR95" s="76">
        <v>2064</v>
      </c>
      <c r="AS95" s="76">
        <v>2065</v>
      </c>
      <c r="AT95" s="76">
        <v>2066</v>
      </c>
      <c r="AU95" s="76">
        <v>2067</v>
      </c>
      <c r="AV95" s="76">
        <v>2068</v>
      </c>
      <c r="AW95" s="76">
        <v>2069</v>
      </c>
      <c r="AX95" s="76">
        <v>2070</v>
      </c>
    </row>
    <row r="96" s="4" customFormat="1" ht="22.05" customHeight="1" spans="2:50">
      <c r="B96" s="76" t="s">
        <v>452</v>
      </c>
      <c r="C96" s="76">
        <f>SUMIF($C$92:$X$92,C95,$C$94:$X$94)</f>
        <v>0</v>
      </c>
      <c r="D96" s="76">
        <f t="shared" ref="D96:AX96" si="47">SUMIF($C$92:$X$92,D95,$C$94:$X$94)</f>
        <v>0</v>
      </c>
      <c r="E96" s="76">
        <f t="shared" si="47"/>
        <v>0</v>
      </c>
      <c r="F96" s="76">
        <f t="shared" si="47"/>
        <v>0</v>
      </c>
      <c r="G96" s="76">
        <f t="shared" si="47"/>
        <v>0</v>
      </c>
      <c r="H96" s="76">
        <f t="shared" si="47"/>
        <v>0</v>
      </c>
      <c r="I96" s="76">
        <f t="shared" si="47"/>
        <v>0</v>
      </c>
      <c r="J96" s="76">
        <f t="shared" si="47"/>
        <v>10</v>
      </c>
      <c r="K96" s="76">
        <f t="shared" si="47"/>
        <v>12</v>
      </c>
      <c r="L96" s="76">
        <f t="shared" si="47"/>
        <v>12</v>
      </c>
      <c r="M96" s="76">
        <f t="shared" si="47"/>
        <v>12</v>
      </c>
      <c r="N96" s="76">
        <f t="shared" si="47"/>
        <v>12</v>
      </c>
      <c r="O96" s="76">
        <f t="shared" si="47"/>
        <v>12</v>
      </c>
      <c r="P96" s="76">
        <f t="shared" si="47"/>
        <v>12</v>
      </c>
      <c r="Q96" s="76">
        <f t="shared" si="47"/>
        <v>12</v>
      </c>
      <c r="R96" s="76">
        <f t="shared" si="47"/>
        <v>12</v>
      </c>
      <c r="S96" s="76">
        <f t="shared" si="47"/>
        <v>12</v>
      </c>
      <c r="T96" s="76">
        <f t="shared" si="47"/>
        <v>12</v>
      </c>
      <c r="U96" s="76">
        <f t="shared" si="47"/>
        <v>12</v>
      </c>
      <c r="V96" s="76">
        <f t="shared" si="47"/>
        <v>12</v>
      </c>
      <c r="W96" s="76">
        <f t="shared" si="47"/>
        <v>12</v>
      </c>
      <c r="X96" s="76">
        <f t="shared" si="47"/>
        <v>12</v>
      </c>
      <c r="Y96" s="76">
        <f t="shared" si="47"/>
        <v>12</v>
      </c>
      <c r="Z96" s="76">
        <f t="shared" si="47"/>
        <v>12</v>
      </c>
      <c r="AA96" s="76">
        <f t="shared" si="47"/>
        <v>12</v>
      </c>
      <c r="AB96" s="76">
        <f t="shared" si="47"/>
        <v>12</v>
      </c>
      <c r="AC96" s="76">
        <f t="shared" si="47"/>
        <v>12</v>
      </c>
      <c r="AD96" s="76">
        <f t="shared" si="47"/>
        <v>2</v>
      </c>
      <c r="AE96" s="76">
        <f t="shared" si="47"/>
        <v>0</v>
      </c>
      <c r="AF96" s="76">
        <f t="shared" si="47"/>
        <v>0</v>
      </c>
      <c r="AG96" s="76">
        <f t="shared" si="47"/>
        <v>0</v>
      </c>
      <c r="AH96" s="76">
        <f t="shared" si="47"/>
        <v>0</v>
      </c>
      <c r="AI96" s="76">
        <f t="shared" si="47"/>
        <v>0</v>
      </c>
      <c r="AJ96" s="76">
        <f t="shared" si="47"/>
        <v>0</v>
      </c>
      <c r="AK96" s="76">
        <f t="shared" si="47"/>
        <v>0</v>
      </c>
      <c r="AL96" s="76">
        <f t="shared" si="47"/>
        <v>0</v>
      </c>
      <c r="AM96" s="76">
        <f t="shared" si="47"/>
        <v>0</v>
      </c>
      <c r="AN96" s="76">
        <f t="shared" si="47"/>
        <v>0</v>
      </c>
      <c r="AO96" s="76">
        <f t="shared" si="47"/>
        <v>0</v>
      </c>
      <c r="AP96" s="76">
        <f t="shared" si="47"/>
        <v>0</v>
      </c>
      <c r="AQ96" s="76">
        <f t="shared" si="47"/>
        <v>0</v>
      </c>
      <c r="AR96" s="76">
        <f t="shared" si="47"/>
        <v>0</v>
      </c>
      <c r="AS96" s="76">
        <f t="shared" si="47"/>
        <v>0</v>
      </c>
      <c r="AT96" s="76">
        <f t="shared" si="47"/>
        <v>0</v>
      </c>
      <c r="AU96" s="76">
        <f t="shared" si="47"/>
        <v>0</v>
      </c>
      <c r="AV96" s="76">
        <f t="shared" si="47"/>
        <v>0</v>
      </c>
      <c r="AW96" s="76">
        <f t="shared" si="47"/>
        <v>0</v>
      </c>
      <c r="AX96" s="76">
        <f t="shared" si="47"/>
        <v>0</v>
      </c>
    </row>
    <row r="97" spans="2:50">
      <c r="B97" s="729" t="s">
        <v>453</v>
      </c>
      <c r="C97" s="729" t="b">
        <f>B76-参数输入表!$I$622*12=0</f>
        <v>1</v>
      </c>
      <c r="D97" s="729" t="b">
        <f>SUM(C78:AX78)-B76=0</f>
        <v>1</v>
      </c>
    </row>
    <row r="98" spans="2:50">
      <c r="B98" s="729" t="s">
        <v>454</v>
      </c>
      <c r="C98" s="729" t="b">
        <f>B82-参数输入表!$I$638*12=0</f>
        <v>1</v>
      </c>
      <c r="D98" s="729" t="b">
        <f>SUM(C84:AX84)-B82=0</f>
        <v>1</v>
      </c>
    </row>
    <row r="99" spans="2:50">
      <c r="B99" s="729" t="s">
        <v>455</v>
      </c>
      <c r="C99" s="729" t="b">
        <f>B88-参数输入表!$I$627*12=0</f>
        <v>1</v>
      </c>
      <c r="D99" s="729" t="b">
        <f>SUM(C90:AX90)-B88=0</f>
        <v>1</v>
      </c>
    </row>
    <row r="100" spans="2:50">
      <c r="B100" s="729" t="s">
        <v>456</v>
      </c>
      <c r="C100" s="729" t="b">
        <f>B94-参数输入表!$I$632*12=0</f>
        <v>1</v>
      </c>
      <c r="D100" s="729" t="b">
        <f>SUM(C96:AX96)-B94=0</f>
        <v>1</v>
      </c>
    </row>
    <row r="101" ht="22.05" customHeight="1" spans="2:50">
      <c r="B101" s="714" t="s">
        <v>465</v>
      </c>
      <c r="C101" s="730">
        <f>参数输入表!$D$39</f>
        <v>47696</v>
      </c>
      <c r="D101" s="716">
        <f>参数输入表!$D$39+参数输入表!$I$622*365+INT(参数输入表!$I$622/4)</f>
        <v>58288</v>
      </c>
    </row>
    <row r="102" ht="22.05" customHeight="1" spans="2:50">
      <c r="B102" s="648" t="s">
        <v>442</v>
      </c>
      <c r="C102" s="717">
        <f t="shared" ref="C102:AG102" si="48">YEAR(C103)</f>
        <v>2030</v>
      </c>
      <c r="D102" s="717">
        <f t="shared" si="48"/>
        <v>2030</v>
      </c>
      <c r="E102" s="717">
        <f t="shared" si="48"/>
        <v>2031</v>
      </c>
      <c r="F102" s="717">
        <f t="shared" si="48"/>
        <v>2032</v>
      </c>
      <c r="G102" s="717">
        <f t="shared" si="48"/>
        <v>2033</v>
      </c>
      <c r="H102" s="717">
        <f t="shared" si="48"/>
        <v>2034</v>
      </c>
      <c r="I102" s="717">
        <f t="shared" si="48"/>
        <v>2035</v>
      </c>
      <c r="J102" s="717">
        <f t="shared" si="48"/>
        <v>2036</v>
      </c>
      <c r="K102" s="717">
        <f t="shared" si="48"/>
        <v>2037</v>
      </c>
      <c r="L102" s="717">
        <f t="shared" si="48"/>
        <v>2038</v>
      </c>
      <c r="M102" s="717">
        <f t="shared" si="48"/>
        <v>2039</v>
      </c>
      <c r="N102" s="717">
        <f t="shared" si="48"/>
        <v>2040</v>
      </c>
      <c r="O102" s="717">
        <f t="shared" si="48"/>
        <v>2041</v>
      </c>
      <c r="P102" s="717">
        <f t="shared" si="48"/>
        <v>2042</v>
      </c>
      <c r="Q102" s="717">
        <f t="shared" si="48"/>
        <v>2043</v>
      </c>
      <c r="R102" s="717">
        <f t="shared" si="48"/>
        <v>2044</v>
      </c>
      <c r="S102" s="717">
        <f t="shared" si="48"/>
        <v>2045</v>
      </c>
      <c r="T102" s="717">
        <f t="shared" si="48"/>
        <v>2046</v>
      </c>
      <c r="U102" s="717">
        <f t="shared" si="48"/>
        <v>2047</v>
      </c>
      <c r="V102" s="717">
        <f t="shared" si="48"/>
        <v>2048</v>
      </c>
      <c r="W102" s="717">
        <f t="shared" si="48"/>
        <v>2049</v>
      </c>
      <c r="X102" s="717">
        <f t="shared" si="48"/>
        <v>2050</v>
      </c>
      <c r="Y102" s="717">
        <f t="shared" si="48"/>
        <v>2051</v>
      </c>
      <c r="Z102" s="717">
        <f t="shared" si="48"/>
        <v>2052</v>
      </c>
      <c r="AA102" s="717">
        <f t="shared" si="48"/>
        <v>2053</v>
      </c>
      <c r="AB102" s="717">
        <f t="shared" si="48"/>
        <v>2054</v>
      </c>
      <c r="AC102" s="717">
        <f t="shared" si="48"/>
        <v>2055</v>
      </c>
      <c r="AD102" s="717">
        <f t="shared" si="48"/>
        <v>2056</v>
      </c>
      <c r="AE102" s="717">
        <f t="shared" si="48"/>
        <v>2057</v>
      </c>
      <c r="AF102" s="717">
        <f t="shared" si="48"/>
        <v>2058</v>
      </c>
      <c r="AG102" s="717">
        <f t="shared" si="48"/>
        <v>2059</v>
      </c>
    </row>
    <row r="103" ht="22.05" customHeight="1" spans="2:50">
      <c r="B103" s="648"/>
      <c r="C103" s="718">
        <f>C101</f>
        <v>47696</v>
      </c>
      <c r="D103" s="719">
        <v>47848</v>
      </c>
      <c r="E103" s="719">
        <v>48213</v>
      </c>
      <c r="F103" s="719">
        <v>48579</v>
      </c>
      <c r="G103" s="719">
        <v>48944</v>
      </c>
      <c r="H103" s="719">
        <v>49309</v>
      </c>
      <c r="I103" s="719">
        <v>49674</v>
      </c>
      <c r="J103" s="719">
        <v>50040</v>
      </c>
      <c r="K103" s="719">
        <v>50405</v>
      </c>
      <c r="L103" s="719">
        <v>50770</v>
      </c>
      <c r="M103" s="719">
        <v>51135</v>
      </c>
      <c r="N103" s="719">
        <v>51501</v>
      </c>
      <c r="O103" s="719">
        <v>51866</v>
      </c>
      <c r="P103" s="719">
        <v>52231</v>
      </c>
      <c r="Q103" s="719">
        <v>52596</v>
      </c>
      <c r="R103" s="719">
        <v>52962</v>
      </c>
      <c r="S103" s="719">
        <v>53327</v>
      </c>
      <c r="T103" s="719">
        <v>53692</v>
      </c>
      <c r="U103" s="719">
        <v>54057</v>
      </c>
      <c r="V103" s="719">
        <v>54423</v>
      </c>
      <c r="W103" s="719">
        <v>54788</v>
      </c>
      <c r="X103" s="719">
        <v>55153</v>
      </c>
      <c r="Y103" s="719">
        <v>55518</v>
      </c>
      <c r="Z103" s="719">
        <v>55884</v>
      </c>
      <c r="AA103" s="719">
        <v>56249</v>
      </c>
      <c r="AB103" s="719">
        <v>56614</v>
      </c>
      <c r="AC103" s="719">
        <v>56979</v>
      </c>
      <c r="AD103" s="719">
        <v>57345</v>
      </c>
      <c r="AE103" s="719">
        <v>57710</v>
      </c>
      <c r="AF103" s="719">
        <v>58075</v>
      </c>
      <c r="AG103" s="720">
        <f>D101</f>
        <v>58288</v>
      </c>
    </row>
    <row r="104" ht="22.05" customHeight="1" spans="2:50">
      <c r="B104" s="29">
        <f>SUM(C104:AX104)</f>
        <v>348</v>
      </c>
      <c r="C104" s="29">
        <v>0</v>
      </c>
      <c r="D104" s="29">
        <f t="shared" ref="D104:AG104" si="49">ROUND((DATEDIF(C103,D103,"d"))/30,0)</f>
        <v>5</v>
      </c>
      <c r="E104" s="29">
        <f t="shared" si="49"/>
        <v>12</v>
      </c>
      <c r="F104" s="29">
        <f t="shared" si="49"/>
        <v>12</v>
      </c>
      <c r="G104" s="29">
        <f t="shared" si="49"/>
        <v>12</v>
      </c>
      <c r="H104" s="29">
        <f t="shared" si="49"/>
        <v>12</v>
      </c>
      <c r="I104" s="29">
        <f t="shared" si="49"/>
        <v>12</v>
      </c>
      <c r="J104" s="29">
        <f t="shared" si="49"/>
        <v>12</v>
      </c>
      <c r="K104" s="29">
        <f t="shared" si="49"/>
        <v>12</v>
      </c>
      <c r="L104" s="29">
        <f t="shared" si="49"/>
        <v>12</v>
      </c>
      <c r="M104" s="29">
        <f t="shared" si="49"/>
        <v>12</v>
      </c>
      <c r="N104" s="29">
        <f t="shared" si="49"/>
        <v>12</v>
      </c>
      <c r="O104" s="29">
        <f t="shared" si="49"/>
        <v>12</v>
      </c>
      <c r="P104" s="29">
        <f t="shared" si="49"/>
        <v>12</v>
      </c>
      <c r="Q104" s="29">
        <f t="shared" si="49"/>
        <v>12</v>
      </c>
      <c r="R104" s="29">
        <f t="shared" si="49"/>
        <v>12</v>
      </c>
      <c r="S104" s="29">
        <f t="shared" si="49"/>
        <v>12</v>
      </c>
      <c r="T104" s="29">
        <f t="shared" si="49"/>
        <v>12</v>
      </c>
      <c r="U104" s="29">
        <f t="shared" si="49"/>
        <v>12</v>
      </c>
      <c r="V104" s="29">
        <f t="shared" si="49"/>
        <v>12</v>
      </c>
      <c r="W104" s="29">
        <f t="shared" si="49"/>
        <v>12</v>
      </c>
      <c r="X104" s="29">
        <f t="shared" si="49"/>
        <v>12</v>
      </c>
      <c r="Y104" s="29">
        <f t="shared" si="49"/>
        <v>12</v>
      </c>
      <c r="Z104" s="29">
        <f t="shared" si="49"/>
        <v>12</v>
      </c>
      <c r="AA104" s="29">
        <f t="shared" si="49"/>
        <v>12</v>
      </c>
      <c r="AB104" s="29">
        <f t="shared" si="49"/>
        <v>12</v>
      </c>
      <c r="AC104" s="29">
        <f t="shared" si="49"/>
        <v>12</v>
      </c>
      <c r="AD104" s="29">
        <f t="shared" si="49"/>
        <v>12</v>
      </c>
      <c r="AE104" s="29">
        <f t="shared" si="49"/>
        <v>12</v>
      </c>
      <c r="AF104" s="29">
        <f t="shared" si="49"/>
        <v>12</v>
      </c>
      <c r="AG104" s="29">
        <f t="shared" si="49"/>
        <v>7</v>
      </c>
    </row>
    <row r="105" s="4" customFormat="1" ht="22.05" customHeight="1" spans="2:50">
      <c r="B105" s="76" t="s">
        <v>437</v>
      </c>
      <c r="C105" s="76">
        <v>2023</v>
      </c>
      <c r="D105" s="76">
        <v>2024</v>
      </c>
      <c r="E105" s="76">
        <v>2025</v>
      </c>
      <c r="F105" s="76">
        <v>2026</v>
      </c>
      <c r="G105" s="76">
        <v>2027</v>
      </c>
      <c r="H105" s="76">
        <v>2028</v>
      </c>
      <c r="I105" s="76">
        <v>2029</v>
      </c>
      <c r="J105" s="76">
        <v>2030</v>
      </c>
      <c r="K105" s="76">
        <v>2031</v>
      </c>
      <c r="L105" s="76">
        <v>2032</v>
      </c>
      <c r="M105" s="76">
        <v>2033</v>
      </c>
      <c r="N105" s="76">
        <v>2034</v>
      </c>
      <c r="O105" s="76">
        <v>2035</v>
      </c>
      <c r="P105" s="76">
        <v>2036</v>
      </c>
      <c r="Q105" s="76">
        <v>2037</v>
      </c>
      <c r="R105" s="76">
        <v>2038</v>
      </c>
      <c r="S105" s="76">
        <v>2039</v>
      </c>
      <c r="T105" s="76">
        <v>2040</v>
      </c>
      <c r="U105" s="76">
        <v>2041</v>
      </c>
      <c r="V105" s="76">
        <v>2042</v>
      </c>
      <c r="W105" s="76">
        <v>2043</v>
      </c>
      <c r="X105" s="76">
        <v>2044</v>
      </c>
      <c r="Y105" s="76">
        <v>2045</v>
      </c>
      <c r="Z105" s="76">
        <v>2046</v>
      </c>
      <c r="AA105" s="76">
        <v>2047</v>
      </c>
      <c r="AB105" s="76">
        <v>2048</v>
      </c>
      <c r="AC105" s="76">
        <v>2049</v>
      </c>
      <c r="AD105" s="76">
        <v>2050</v>
      </c>
      <c r="AE105" s="76">
        <v>2051</v>
      </c>
      <c r="AF105" s="76">
        <v>2052</v>
      </c>
      <c r="AG105" s="76">
        <v>2053</v>
      </c>
      <c r="AH105" s="76">
        <v>2054</v>
      </c>
      <c r="AI105" s="76">
        <v>2055</v>
      </c>
      <c r="AJ105" s="76">
        <v>2056</v>
      </c>
      <c r="AK105" s="76">
        <v>2057</v>
      </c>
      <c r="AL105" s="76">
        <v>2058</v>
      </c>
      <c r="AM105" s="76">
        <v>2059</v>
      </c>
      <c r="AN105" s="76">
        <v>2060</v>
      </c>
      <c r="AO105" s="76">
        <v>2061</v>
      </c>
      <c r="AP105" s="76">
        <v>2062</v>
      </c>
      <c r="AQ105" s="76">
        <v>2063</v>
      </c>
      <c r="AR105" s="76">
        <v>2064</v>
      </c>
      <c r="AS105" s="76">
        <v>2065</v>
      </c>
      <c r="AT105" s="76">
        <v>2066</v>
      </c>
      <c r="AU105" s="76">
        <v>2067</v>
      </c>
      <c r="AV105" s="76">
        <v>2068</v>
      </c>
      <c r="AW105" s="76">
        <v>2069</v>
      </c>
      <c r="AX105" s="76">
        <v>2070</v>
      </c>
    </row>
    <row r="106" s="4" customFormat="1" ht="22.05" customHeight="1" spans="2:50">
      <c r="B106" s="76" t="s">
        <v>443</v>
      </c>
      <c r="C106" s="76">
        <f>SUMIF($C$102:$AG$102,C105,$C$104:$AG$104)</f>
        <v>0</v>
      </c>
      <c r="D106" s="76">
        <f>SUMIF($C$102:$AG$102,D105,$C$104:$AG$104)</f>
        <v>0</v>
      </c>
      <c r="E106" s="76">
        <f t="shared" ref="E106:AX106" si="50">SUMIF($C$102:$AG$102,E105,$C$104:$AG$104)</f>
        <v>0</v>
      </c>
      <c r="F106" s="76">
        <f t="shared" si="50"/>
        <v>0</v>
      </c>
      <c r="G106" s="76">
        <f t="shared" si="50"/>
        <v>0</v>
      </c>
      <c r="H106" s="76">
        <f t="shared" si="50"/>
        <v>0</v>
      </c>
      <c r="I106" s="76">
        <f t="shared" si="50"/>
        <v>0</v>
      </c>
      <c r="J106" s="76">
        <f t="shared" si="50"/>
        <v>5</v>
      </c>
      <c r="K106" s="76">
        <f t="shared" si="50"/>
        <v>12</v>
      </c>
      <c r="L106" s="76">
        <f t="shared" si="50"/>
        <v>12</v>
      </c>
      <c r="M106" s="76">
        <f t="shared" si="50"/>
        <v>12</v>
      </c>
      <c r="N106" s="76">
        <f t="shared" si="50"/>
        <v>12</v>
      </c>
      <c r="O106" s="76">
        <f t="shared" si="50"/>
        <v>12</v>
      </c>
      <c r="P106" s="76">
        <f t="shared" si="50"/>
        <v>12</v>
      </c>
      <c r="Q106" s="76">
        <f t="shared" si="50"/>
        <v>12</v>
      </c>
      <c r="R106" s="76">
        <f t="shared" si="50"/>
        <v>12</v>
      </c>
      <c r="S106" s="76">
        <f t="shared" si="50"/>
        <v>12</v>
      </c>
      <c r="T106" s="76">
        <f t="shared" si="50"/>
        <v>12</v>
      </c>
      <c r="U106" s="76">
        <f t="shared" si="50"/>
        <v>12</v>
      </c>
      <c r="V106" s="76">
        <f t="shared" si="50"/>
        <v>12</v>
      </c>
      <c r="W106" s="76">
        <f t="shared" si="50"/>
        <v>12</v>
      </c>
      <c r="X106" s="76">
        <f t="shared" si="50"/>
        <v>12</v>
      </c>
      <c r="Y106" s="76">
        <f t="shared" si="50"/>
        <v>12</v>
      </c>
      <c r="Z106" s="76">
        <f t="shared" si="50"/>
        <v>12</v>
      </c>
      <c r="AA106" s="76">
        <f t="shared" si="50"/>
        <v>12</v>
      </c>
      <c r="AB106" s="76">
        <f t="shared" si="50"/>
        <v>12</v>
      </c>
      <c r="AC106" s="76">
        <f t="shared" si="50"/>
        <v>12</v>
      </c>
      <c r="AD106" s="76">
        <f t="shared" si="50"/>
        <v>12</v>
      </c>
      <c r="AE106" s="76">
        <f t="shared" si="50"/>
        <v>12</v>
      </c>
      <c r="AF106" s="76">
        <f t="shared" si="50"/>
        <v>12</v>
      </c>
      <c r="AG106" s="76">
        <f t="shared" si="50"/>
        <v>12</v>
      </c>
      <c r="AH106" s="76">
        <f t="shared" si="50"/>
        <v>12</v>
      </c>
      <c r="AI106" s="76">
        <f t="shared" si="50"/>
        <v>12</v>
      </c>
      <c r="AJ106" s="76">
        <f t="shared" si="50"/>
        <v>12</v>
      </c>
      <c r="AK106" s="76">
        <f t="shared" si="50"/>
        <v>12</v>
      </c>
      <c r="AL106" s="76">
        <f t="shared" si="50"/>
        <v>12</v>
      </c>
      <c r="AM106" s="76">
        <f t="shared" si="50"/>
        <v>7</v>
      </c>
      <c r="AN106" s="76">
        <f t="shared" si="50"/>
        <v>0</v>
      </c>
      <c r="AO106" s="76">
        <f t="shared" si="50"/>
        <v>0</v>
      </c>
      <c r="AP106" s="76">
        <f t="shared" si="50"/>
        <v>0</v>
      </c>
      <c r="AQ106" s="76">
        <f t="shared" si="50"/>
        <v>0</v>
      </c>
      <c r="AR106" s="76">
        <f t="shared" si="50"/>
        <v>0</v>
      </c>
      <c r="AS106" s="76">
        <f t="shared" si="50"/>
        <v>0</v>
      </c>
      <c r="AT106" s="76">
        <f t="shared" si="50"/>
        <v>0</v>
      </c>
      <c r="AU106" s="76">
        <f t="shared" si="50"/>
        <v>0</v>
      </c>
      <c r="AV106" s="76">
        <f t="shared" si="50"/>
        <v>0</v>
      </c>
      <c r="AW106" s="76">
        <f t="shared" si="50"/>
        <v>0</v>
      </c>
      <c r="AX106" s="76">
        <f t="shared" si="50"/>
        <v>0</v>
      </c>
    </row>
    <row r="107" s="1" customFormat="1" ht="22.05" customHeight="1" spans="2:50">
      <c r="B107" s="714" t="s">
        <v>466</v>
      </c>
      <c r="C107" s="730">
        <f>参数输入表!$D$39</f>
        <v>47696</v>
      </c>
      <c r="D107" s="722">
        <f>参数输入表!$D$39+参数输入表!$I$638*365+INT(参数输入表!$I$638/4)</f>
        <v>54270</v>
      </c>
      <c r="E107" s="731"/>
      <c r="F107" s="731"/>
      <c r="G107" s="731"/>
      <c r="H107" s="731"/>
      <c r="I107" s="731"/>
      <c r="J107" s="731"/>
      <c r="K107" s="731"/>
      <c r="L107" s="731"/>
      <c r="M107" s="731"/>
      <c r="N107" s="731"/>
      <c r="O107" s="731"/>
      <c r="P107" s="731"/>
      <c r="Q107" s="731"/>
      <c r="R107" s="731"/>
      <c r="S107" s="731"/>
      <c r="T107" s="731"/>
      <c r="U107" s="731"/>
      <c r="V107" s="731"/>
      <c r="W107" s="731"/>
      <c r="X107" s="731"/>
      <c r="Y107" s="731"/>
      <c r="Z107" s="731"/>
      <c r="AA107" s="731"/>
      <c r="AB107" s="731"/>
      <c r="AC107" s="731"/>
      <c r="AD107" s="731"/>
      <c r="AE107" s="731"/>
      <c r="AF107" s="731"/>
      <c r="AG107" s="731"/>
      <c r="AH107" s="731"/>
      <c r="AI107" s="731"/>
      <c r="AJ107" s="731"/>
      <c r="AK107" s="731"/>
      <c r="AL107" s="731"/>
      <c r="AM107" s="731"/>
      <c r="AN107" s="731"/>
      <c r="AO107" s="731"/>
      <c r="AP107" s="731"/>
      <c r="AQ107" s="731"/>
      <c r="AR107" s="731"/>
      <c r="AS107" s="731"/>
      <c r="AT107" s="731"/>
      <c r="AU107" s="731"/>
      <c r="AV107" s="731"/>
      <c r="AW107" s="731"/>
      <c r="AX107" s="731"/>
    </row>
    <row r="108" s="1" customFormat="1" ht="22.05" customHeight="1" spans="2:50">
      <c r="B108" s="648" t="s">
        <v>445</v>
      </c>
      <c r="C108" s="717">
        <f>YEAR(C109)</f>
        <v>2030</v>
      </c>
      <c r="D108" s="717">
        <f>YEAR(D109)</f>
        <v>2030</v>
      </c>
      <c r="E108" s="717">
        <f>YEAR(E109)</f>
        <v>2031</v>
      </c>
      <c r="F108" s="717">
        <f t="shared" ref="F108:V108" si="51">YEAR(F109)</f>
        <v>2032</v>
      </c>
      <c r="G108" s="717">
        <f t="shared" si="51"/>
        <v>2033</v>
      </c>
      <c r="H108" s="717">
        <f t="shared" si="51"/>
        <v>2034</v>
      </c>
      <c r="I108" s="717">
        <f t="shared" si="51"/>
        <v>2035</v>
      </c>
      <c r="J108" s="717">
        <f t="shared" si="51"/>
        <v>2036</v>
      </c>
      <c r="K108" s="717">
        <f t="shared" si="51"/>
        <v>2037</v>
      </c>
      <c r="L108" s="717">
        <f t="shared" si="51"/>
        <v>2038</v>
      </c>
      <c r="M108" s="717">
        <f t="shared" si="51"/>
        <v>2039</v>
      </c>
      <c r="N108" s="717">
        <f t="shared" si="51"/>
        <v>2040</v>
      </c>
      <c r="O108" s="717">
        <f t="shared" si="51"/>
        <v>2041</v>
      </c>
      <c r="P108" s="717">
        <f t="shared" si="51"/>
        <v>2042</v>
      </c>
      <c r="Q108" s="717">
        <f t="shared" si="51"/>
        <v>2043</v>
      </c>
      <c r="R108" s="717">
        <f t="shared" si="51"/>
        <v>2044</v>
      </c>
      <c r="S108" s="717">
        <f t="shared" si="51"/>
        <v>2045</v>
      </c>
      <c r="T108" s="717">
        <f t="shared" si="51"/>
        <v>2046</v>
      </c>
      <c r="U108" s="717">
        <f t="shared" si="51"/>
        <v>2047</v>
      </c>
      <c r="V108" s="717">
        <f t="shared" si="51"/>
        <v>2048</v>
      </c>
      <c r="W108" s="731"/>
      <c r="X108" s="731"/>
      <c r="Y108" s="731"/>
      <c r="Z108" s="731"/>
      <c r="AA108" s="731"/>
      <c r="AB108" s="731"/>
      <c r="AC108" s="731"/>
      <c r="AD108" s="731"/>
      <c r="AE108" s="731"/>
      <c r="AF108" s="731"/>
      <c r="AG108" s="731"/>
      <c r="AH108" s="731"/>
      <c r="AI108" s="731"/>
      <c r="AJ108" s="731"/>
      <c r="AK108" s="731"/>
      <c r="AL108" s="731"/>
      <c r="AM108" s="731"/>
      <c r="AN108" s="731"/>
      <c r="AO108" s="731"/>
      <c r="AP108" s="731"/>
      <c r="AQ108" s="731"/>
      <c r="AR108" s="731"/>
      <c r="AS108" s="731"/>
      <c r="AT108" s="731"/>
      <c r="AU108" s="731"/>
      <c r="AV108" s="731"/>
      <c r="AW108" s="731"/>
      <c r="AX108" s="731"/>
    </row>
    <row r="109" s="1" customFormat="1" ht="22.05" customHeight="1" spans="2:50">
      <c r="B109" s="648"/>
      <c r="C109" s="718">
        <f>C107</f>
        <v>47696</v>
      </c>
      <c r="D109" s="719">
        <v>47848</v>
      </c>
      <c r="E109" s="719">
        <v>48213</v>
      </c>
      <c r="F109" s="719">
        <v>48579</v>
      </c>
      <c r="G109" s="719">
        <v>48944</v>
      </c>
      <c r="H109" s="719">
        <v>49309</v>
      </c>
      <c r="I109" s="719">
        <v>49674</v>
      </c>
      <c r="J109" s="719">
        <v>50040</v>
      </c>
      <c r="K109" s="719">
        <v>50405</v>
      </c>
      <c r="L109" s="719">
        <v>50770</v>
      </c>
      <c r="M109" s="719">
        <v>51135</v>
      </c>
      <c r="N109" s="719">
        <v>51501</v>
      </c>
      <c r="O109" s="719">
        <v>51866</v>
      </c>
      <c r="P109" s="719">
        <v>52231</v>
      </c>
      <c r="Q109" s="719">
        <v>52596</v>
      </c>
      <c r="R109" s="719">
        <v>52962</v>
      </c>
      <c r="S109" s="719">
        <v>53327</v>
      </c>
      <c r="T109" s="719">
        <v>53692</v>
      </c>
      <c r="U109" s="719">
        <v>54057</v>
      </c>
      <c r="V109" s="724">
        <f>D107</f>
        <v>54270</v>
      </c>
      <c r="W109" s="731"/>
      <c r="X109" s="731"/>
      <c r="Y109" s="731"/>
      <c r="Z109" s="731"/>
      <c r="AA109" s="731"/>
      <c r="AB109" s="731"/>
      <c r="AC109" s="731"/>
      <c r="AD109" s="731"/>
      <c r="AE109" s="731"/>
      <c r="AF109" s="731"/>
      <c r="AG109" s="731"/>
      <c r="AH109" s="731"/>
      <c r="AI109" s="731"/>
      <c r="AJ109" s="731"/>
      <c r="AK109" s="731"/>
      <c r="AL109" s="731"/>
      <c r="AM109" s="731"/>
      <c r="AN109" s="731"/>
      <c r="AO109" s="731"/>
      <c r="AP109" s="731"/>
      <c r="AQ109" s="731"/>
      <c r="AR109" s="731"/>
      <c r="AS109" s="731"/>
      <c r="AT109" s="731"/>
      <c r="AU109" s="731"/>
      <c r="AV109" s="731"/>
      <c r="AW109" s="731"/>
      <c r="AX109" s="731"/>
    </row>
    <row r="110" s="1" customFormat="1" ht="22.05" customHeight="1" spans="2:50">
      <c r="B110" s="29">
        <f>SUM(C110:AX110)</f>
        <v>216</v>
      </c>
      <c r="C110" s="29">
        <v>0</v>
      </c>
      <c r="D110" s="29">
        <f t="shared" ref="D110:V110" si="52">ROUND((DATEDIF(C109,D109,"d"))/30,0)</f>
        <v>5</v>
      </c>
      <c r="E110" s="29">
        <f t="shared" si="52"/>
        <v>12</v>
      </c>
      <c r="F110" s="29">
        <f t="shared" si="52"/>
        <v>12</v>
      </c>
      <c r="G110" s="29">
        <f t="shared" si="52"/>
        <v>12</v>
      </c>
      <c r="H110" s="29">
        <f t="shared" si="52"/>
        <v>12</v>
      </c>
      <c r="I110" s="29">
        <f t="shared" si="52"/>
        <v>12</v>
      </c>
      <c r="J110" s="29">
        <f t="shared" si="52"/>
        <v>12</v>
      </c>
      <c r="K110" s="29">
        <f t="shared" si="52"/>
        <v>12</v>
      </c>
      <c r="L110" s="29">
        <f t="shared" si="52"/>
        <v>12</v>
      </c>
      <c r="M110" s="29">
        <f t="shared" si="52"/>
        <v>12</v>
      </c>
      <c r="N110" s="29">
        <f t="shared" si="52"/>
        <v>12</v>
      </c>
      <c r="O110" s="29">
        <f t="shared" si="52"/>
        <v>12</v>
      </c>
      <c r="P110" s="29">
        <f t="shared" si="52"/>
        <v>12</v>
      </c>
      <c r="Q110" s="29">
        <f t="shared" si="52"/>
        <v>12</v>
      </c>
      <c r="R110" s="29">
        <f t="shared" si="52"/>
        <v>12</v>
      </c>
      <c r="S110" s="29">
        <f t="shared" si="52"/>
        <v>12</v>
      </c>
      <c r="T110" s="29">
        <f t="shared" si="52"/>
        <v>12</v>
      </c>
      <c r="U110" s="29">
        <f t="shared" si="52"/>
        <v>12</v>
      </c>
      <c r="V110" s="29">
        <f t="shared" si="52"/>
        <v>7</v>
      </c>
      <c r="W110" s="731"/>
      <c r="X110" s="731"/>
      <c r="Y110" s="731"/>
      <c r="Z110" s="731"/>
      <c r="AA110" s="731"/>
      <c r="AB110" s="731"/>
      <c r="AC110" s="731"/>
      <c r="AD110" s="731"/>
      <c r="AE110" s="731"/>
      <c r="AF110" s="731"/>
      <c r="AG110" s="731"/>
      <c r="AH110" s="731"/>
      <c r="AI110" s="731"/>
      <c r="AJ110" s="731"/>
      <c r="AK110" s="731"/>
      <c r="AL110" s="731"/>
      <c r="AM110" s="731"/>
      <c r="AN110" s="731"/>
      <c r="AO110" s="731"/>
      <c r="AP110" s="731"/>
      <c r="AQ110" s="731"/>
      <c r="AR110" s="731"/>
      <c r="AS110" s="731"/>
      <c r="AT110" s="731"/>
      <c r="AU110" s="731"/>
      <c r="AV110" s="731"/>
      <c r="AW110" s="731"/>
      <c r="AX110" s="731"/>
    </row>
    <row r="111" s="1" customFormat="1" ht="22.05" customHeight="1" spans="2:50">
      <c r="B111" s="76" t="s">
        <v>437</v>
      </c>
      <c r="C111" s="76">
        <v>2023</v>
      </c>
      <c r="D111" s="76">
        <v>2024</v>
      </c>
      <c r="E111" s="76">
        <v>2025</v>
      </c>
      <c r="F111" s="76">
        <v>2026</v>
      </c>
      <c r="G111" s="76">
        <v>2027</v>
      </c>
      <c r="H111" s="76">
        <v>2028</v>
      </c>
      <c r="I111" s="76">
        <v>2029</v>
      </c>
      <c r="J111" s="76">
        <v>2030</v>
      </c>
      <c r="K111" s="76">
        <v>2031</v>
      </c>
      <c r="L111" s="76">
        <v>2032</v>
      </c>
      <c r="M111" s="76">
        <v>2033</v>
      </c>
      <c r="N111" s="76">
        <v>2034</v>
      </c>
      <c r="O111" s="76">
        <v>2035</v>
      </c>
      <c r="P111" s="76">
        <v>2036</v>
      </c>
      <c r="Q111" s="76">
        <v>2037</v>
      </c>
      <c r="R111" s="76">
        <v>2038</v>
      </c>
      <c r="S111" s="76">
        <v>2039</v>
      </c>
      <c r="T111" s="76">
        <v>2040</v>
      </c>
      <c r="U111" s="76">
        <v>2041</v>
      </c>
      <c r="V111" s="76">
        <v>2042</v>
      </c>
      <c r="W111" s="76">
        <v>2043</v>
      </c>
      <c r="X111" s="76">
        <v>2044</v>
      </c>
      <c r="Y111" s="76">
        <v>2045</v>
      </c>
      <c r="Z111" s="76">
        <v>2046</v>
      </c>
      <c r="AA111" s="76">
        <v>2047</v>
      </c>
      <c r="AB111" s="76">
        <v>2048</v>
      </c>
      <c r="AC111" s="76">
        <v>2049</v>
      </c>
      <c r="AD111" s="76">
        <v>2050</v>
      </c>
      <c r="AE111" s="76">
        <v>2051</v>
      </c>
      <c r="AF111" s="76">
        <v>2052</v>
      </c>
      <c r="AG111" s="76">
        <v>2053</v>
      </c>
      <c r="AH111" s="76">
        <v>2054</v>
      </c>
      <c r="AI111" s="76">
        <v>2055</v>
      </c>
      <c r="AJ111" s="76">
        <v>2056</v>
      </c>
      <c r="AK111" s="76">
        <v>2057</v>
      </c>
      <c r="AL111" s="76">
        <v>2058</v>
      </c>
      <c r="AM111" s="76">
        <v>2059</v>
      </c>
      <c r="AN111" s="76">
        <v>2060</v>
      </c>
      <c r="AO111" s="76">
        <v>2061</v>
      </c>
      <c r="AP111" s="76">
        <v>2062</v>
      </c>
      <c r="AQ111" s="76">
        <v>2063</v>
      </c>
      <c r="AR111" s="76">
        <v>2064</v>
      </c>
      <c r="AS111" s="76">
        <v>2065</v>
      </c>
      <c r="AT111" s="76">
        <v>2066</v>
      </c>
      <c r="AU111" s="76">
        <v>2067</v>
      </c>
      <c r="AV111" s="76">
        <v>2068</v>
      </c>
      <c r="AW111" s="76">
        <v>2069</v>
      </c>
      <c r="AX111" s="76">
        <v>2070</v>
      </c>
    </row>
    <row r="112" s="1" customFormat="1" ht="22.05" customHeight="1" spans="2:50">
      <c r="B112" s="76" t="s">
        <v>446</v>
      </c>
      <c r="C112" s="76">
        <f ca="1">SUMIF($C$108:$V$108,C111,$C$110:$U$110)</f>
        <v>0</v>
      </c>
      <c r="D112" s="76">
        <f ca="1" t="shared" ref="D112:AX112" si="53">SUMIF($C$108:$V$108,D111,$C$110:$U$110)</f>
        <v>0</v>
      </c>
      <c r="E112" s="76">
        <f ca="1" t="shared" si="53"/>
        <v>0</v>
      </c>
      <c r="F112" s="76">
        <f ca="1" t="shared" si="53"/>
        <v>0</v>
      </c>
      <c r="G112" s="76">
        <f ca="1" t="shared" si="53"/>
        <v>0</v>
      </c>
      <c r="H112" s="76">
        <f ca="1" t="shared" si="53"/>
        <v>0</v>
      </c>
      <c r="I112" s="76">
        <f ca="1" t="shared" si="53"/>
        <v>0</v>
      </c>
      <c r="J112" s="76">
        <f ca="1" t="shared" si="53"/>
        <v>5</v>
      </c>
      <c r="K112" s="76">
        <f ca="1" t="shared" si="53"/>
        <v>12</v>
      </c>
      <c r="L112" s="76">
        <f ca="1" t="shared" si="53"/>
        <v>12</v>
      </c>
      <c r="M112" s="76">
        <f ca="1" t="shared" si="53"/>
        <v>12</v>
      </c>
      <c r="N112" s="76">
        <f ca="1" t="shared" si="53"/>
        <v>12</v>
      </c>
      <c r="O112" s="76">
        <f ca="1" t="shared" si="53"/>
        <v>12</v>
      </c>
      <c r="P112" s="76">
        <f ca="1" t="shared" si="53"/>
        <v>12</v>
      </c>
      <c r="Q112" s="76">
        <f ca="1" t="shared" si="53"/>
        <v>12</v>
      </c>
      <c r="R112" s="76">
        <f ca="1" t="shared" si="53"/>
        <v>12</v>
      </c>
      <c r="S112" s="76">
        <f ca="1" t="shared" si="53"/>
        <v>12</v>
      </c>
      <c r="T112" s="76">
        <f ca="1" t="shared" si="53"/>
        <v>12</v>
      </c>
      <c r="U112" s="76">
        <f ca="1" t="shared" si="53"/>
        <v>12</v>
      </c>
      <c r="V112" s="76">
        <f ca="1" t="shared" si="53"/>
        <v>12</v>
      </c>
      <c r="W112" s="76">
        <f ca="1" t="shared" si="53"/>
        <v>12</v>
      </c>
      <c r="X112" s="76">
        <f ca="1" t="shared" si="53"/>
        <v>12</v>
      </c>
      <c r="Y112" s="76">
        <f ca="1" t="shared" si="53"/>
        <v>12</v>
      </c>
      <c r="Z112" s="76">
        <f ca="1" t="shared" si="53"/>
        <v>12</v>
      </c>
      <c r="AA112" s="76">
        <f ca="1" t="shared" si="53"/>
        <v>12</v>
      </c>
      <c r="AB112" s="76">
        <f ca="1" t="shared" si="53"/>
        <v>7</v>
      </c>
      <c r="AC112" s="76">
        <f ca="1" t="shared" si="53"/>
        <v>0</v>
      </c>
      <c r="AD112" s="76">
        <f ca="1" t="shared" si="53"/>
        <v>0</v>
      </c>
      <c r="AE112" s="76">
        <f ca="1" t="shared" si="53"/>
        <v>0</v>
      </c>
      <c r="AF112" s="76">
        <f ca="1" t="shared" si="53"/>
        <v>0</v>
      </c>
      <c r="AG112" s="76">
        <f ca="1" t="shared" si="53"/>
        <v>0</v>
      </c>
      <c r="AH112" s="76">
        <f ca="1" t="shared" si="53"/>
        <v>0</v>
      </c>
      <c r="AI112" s="76">
        <f ca="1" t="shared" si="53"/>
        <v>0</v>
      </c>
      <c r="AJ112" s="76">
        <f ca="1" t="shared" si="53"/>
        <v>0</v>
      </c>
      <c r="AK112" s="76">
        <f ca="1" t="shared" si="53"/>
        <v>0</v>
      </c>
      <c r="AL112" s="76">
        <f ca="1" t="shared" si="53"/>
        <v>0</v>
      </c>
      <c r="AM112" s="76">
        <f ca="1" t="shared" si="53"/>
        <v>0</v>
      </c>
      <c r="AN112" s="76">
        <f ca="1" t="shared" si="53"/>
        <v>0</v>
      </c>
      <c r="AO112" s="76">
        <f ca="1" t="shared" si="53"/>
        <v>0</v>
      </c>
      <c r="AP112" s="76">
        <f ca="1" t="shared" si="53"/>
        <v>0</v>
      </c>
      <c r="AQ112" s="76">
        <f ca="1" t="shared" si="53"/>
        <v>0</v>
      </c>
      <c r="AR112" s="76">
        <f ca="1" t="shared" si="53"/>
        <v>0</v>
      </c>
      <c r="AS112" s="76">
        <f ca="1" t="shared" si="53"/>
        <v>0</v>
      </c>
      <c r="AT112" s="76">
        <f ca="1" t="shared" si="53"/>
        <v>0</v>
      </c>
      <c r="AU112" s="76">
        <f ca="1" t="shared" si="53"/>
        <v>0</v>
      </c>
      <c r="AV112" s="76">
        <f ca="1" t="shared" si="53"/>
        <v>0</v>
      </c>
      <c r="AW112" s="76">
        <f ca="1" t="shared" si="53"/>
        <v>0</v>
      </c>
      <c r="AX112" s="76">
        <f ca="1" t="shared" si="53"/>
        <v>0</v>
      </c>
    </row>
    <row r="113" s="1" customFormat="1" ht="22.05" customHeight="1" spans="2:50">
      <c r="B113" s="714" t="s">
        <v>467</v>
      </c>
      <c r="C113" s="730">
        <f>参数输入表!$D$39</f>
        <v>47696</v>
      </c>
      <c r="D113" s="725">
        <f>参数输入表!$D$39+参数输入表!$I$627*365+INT(参数输入表!$I$627/4)</f>
        <v>52079</v>
      </c>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c r="AG113" s="199"/>
      <c r="AH113" s="199"/>
      <c r="AI113" s="199"/>
      <c r="AJ113" s="199"/>
      <c r="AK113" s="199"/>
      <c r="AL113" s="199"/>
      <c r="AM113" s="199"/>
      <c r="AN113" s="199"/>
      <c r="AO113" s="199"/>
      <c r="AP113" s="199"/>
      <c r="AQ113" s="199"/>
      <c r="AR113" s="199"/>
      <c r="AS113" s="199"/>
      <c r="AT113" s="199"/>
      <c r="AU113" s="199"/>
      <c r="AV113" s="199"/>
      <c r="AW113" s="199"/>
      <c r="AX113" s="199"/>
    </row>
    <row r="114" s="1" customFormat="1" ht="22.05" customHeight="1" spans="2:50">
      <c r="B114" s="76" t="s">
        <v>448</v>
      </c>
      <c r="C114" s="717">
        <f>YEAR(C115)</f>
        <v>2030</v>
      </c>
      <c r="D114" s="717">
        <f>YEAR(D115)</f>
        <v>2031</v>
      </c>
      <c r="E114" s="717">
        <f>YEAR(E115)</f>
        <v>2032</v>
      </c>
      <c r="F114" s="717">
        <f t="shared" ref="F114:P114" si="54">YEAR(F115)</f>
        <v>2033</v>
      </c>
      <c r="G114" s="717">
        <f t="shared" si="54"/>
        <v>2034</v>
      </c>
      <c r="H114" s="717">
        <f t="shared" si="54"/>
        <v>2035</v>
      </c>
      <c r="I114" s="717">
        <f t="shared" si="54"/>
        <v>2036</v>
      </c>
      <c r="J114" s="717">
        <f t="shared" si="54"/>
        <v>2037</v>
      </c>
      <c r="K114" s="717">
        <f t="shared" si="54"/>
        <v>2038</v>
      </c>
      <c r="L114" s="717">
        <f t="shared" si="54"/>
        <v>2039</v>
      </c>
      <c r="M114" s="717">
        <f t="shared" si="54"/>
        <v>2040</v>
      </c>
      <c r="N114" s="717">
        <f t="shared" si="54"/>
        <v>2041</v>
      </c>
      <c r="O114" s="717">
        <f t="shared" si="54"/>
        <v>2042</v>
      </c>
      <c r="P114" s="717">
        <f t="shared" si="54"/>
        <v>2042</v>
      </c>
      <c r="Q114" s="199"/>
      <c r="R114" s="199"/>
      <c r="S114" s="199"/>
      <c r="T114" s="199"/>
      <c r="U114" s="199"/>
      <c r="V114" s="199"/>
      <c r="W114" s="199"/>
      <c r="X114" s="199"/>
      <c r="Y114" s="199"/>
      <c r="Z114" s="199"/>
      <c r="AA114" s="199"/>
      <c r="AB114" s="199"/>
      <c r="AC114" s="199"/>
      <c r="AD114" s="199"/>
      <c r="AE114" s="199"/>
      <c r="AF114" s="199"/>
      <c r="AG114" s="199"/>
      <c r="AH114" s="199"/>
      <c r="AI114" s="199"/>
      <c r="AJ114" s="199"/>
      <c r="AK114" s="199"/>
      <c r="AL114" s="199"/>
      <c r="AM114" s="199"/>
      <c r="AN114" s="199"/>
      <c r="AO114" s="199"/>
      <c r="AP114" s="199"/>
      <c r="AQ114" s="199"/>
      <c r="AR114" s="199"/>
      <c r="AS114" s="199"/>
      <c r="AT114" s="199"/>
      <c r="AU114" s="199"/>
      <c r="AV114" s="199"/>
      <c r="AW114" s="199"/>
      <c r="AX114" s="199"/>
    </row>
    <row r="115" s="1" customFormat="1" ht="22.05" customHeight="1" spans="2:50">
      <c r="B115" s="76"/>
      <c r="C115" s="718">
        <f>C113</f>
        <v>47696</v>
      </c>
      <c r="D115" s="719">
        <v>48213</v>
      </c>
      <c r="E115" s="719">
        <v>48579</v>
      </c>
      <c r="F115" s="719">
        <v>48944</v>
      </c>
      <c r="G115" s="719">
        <v>49309</v>
      </c>
      <c r="H115" s="719">
        <v>49674</v>
      </c>
      <c r="I115" s="719">
        <v>50040</v>
      </c>
      <c r="J115" s="719">
        <v>50405</v>
      </c>
      <c r="K115" s="719">
        <v>50770</v>
      </c>
      <c r="L115" s="719">
        <v>51135</v>
      </c>
      <c r="M115" s="719">
        <v>51501</v>
      </c>
      <c r="N115" s="719">
        <v>51866</v>
      </c>
      <c r="O115" s="719">
        <v>52231</v>
      </c>
      <c r="P115" s="726">
        <f>D113</f>
        <v>52079</v>
      </c>
      <c r="Q115" s="199"/>
      <c r="R115" s="199"/>
      <c r="S115" s="199"/>
      <c r="T115" s="199"/>
      <c r="U115" s="199"/>
      <c r="V115" s="199"/>
      <c r="W115" s="199"/>
      <c r="X115" s="199"/>
      <c r="Y115" s="199"/>
      <c r="Z115" s="199"/>
      <c r="AA115" s="199"/>
      <c r="AB115" s="199"/>
      <c r="AC115" s="199"/>
      <c r="AD115" s="199"/>
      <c r="AE115" s="199"/>
      <c r="AF115" s="199"/>
      <c r="AG115" s="199"/>
      <c r="AH115" s="199"/>
      <c r="AI115" s="199"/>
      <c r="AJ115" s="199"/>
      <c r="AK115" s="199"/>
      <c r="AL115" s="199"/>
      <c r="AM115" s="199"/>
      <c r="AN115" s="199"/>
      <c r="AO115" s="199"/>
      <c r="AP115" s="199"/>
      <c r="AQ115" s="199"/>
      <c r="AR115" s="199"/>
      <c r="AS115" s="199"/>
      <c r="AT115" s="199"/>
      <c r="AU115" s="199"/>
      <c r="AV115" s="199"/>
      <c r="AW115" s="199"/>
      <c r="AX115" s="199"/>
    </row>
    <row r="116" s="1" customFormat="1" ht="22.05" customHeight="1" spans="2:50">
      <c r="B116" s="50">
        <f>SUM(C116:AX116)</f>
        <v>144</v>
      </c>
      <c r="C116" s="29">
        <v>0</v>
      </c>
      <c r="D116" s="29">
        <f>ROUND((DATEDIF(C115,D115,"d"))/30,0)</f>
        <v>17</v>
      </c>
      <c r="E116" s="29">
        <f t="shared" ref="E116:P116" si="55">ROUND((DATEDIF(D115,E115,"d"))/30,0)</f>
        <v>12</v>
      </c>
      <c r="F116" s="29">
        <f t="shared" si="55"/>
        <v>12</v>
      </c>
      <c r="G116" s="29">
        <f t="shared" si="55"/>
        <v>12</v>
      </c>
      <c r="H116" s="29">
        <f t="shared" si="55"/>
        <v>12</v>
      </c>
      <c r="I116" s="29">
        <f t="shared" si="55"/>
        <v>12</v>
      </c>
      <c r="J116" s="29">
        <f t="shared" si="55"/>
        <v>12</v>
      </c>
      <c r="K116" s="29">
        <f t="shared" si="55"/>
        <v>12</v>
      </c>
      <c r="L116" s="29">
        <f t="shared" si="55"/>
        <v>12</v>
      </c>
      <c r="M116" s="29">
        <f t="shared" si="55"/>
        <v>12</v>
      </c>
      <c r="N116" s="29">
        <f t="shared" si="55"/>
        <v>12</v>
      </c>
      <c r="O116" s="29">
        <f t="shared" si="55"/>
        <v>12</v>
      </c>
      <c r="P116" s="29">
        <f t="shared" si="55"/>
        <v>-5</v>
      </c>
      <c r="Q116" s="199"/>
      <c r="R116" s="199"/>
      <c r="S116" s="199"/>
      <c r="T116" s="199"/>
      <c r="U116" s="199"/>
      <c r="V116" s="199"/>
      <c r="W116" s="199"/>
      <c r="X116" s="199"/>
      <c r="Y116" s="199"/>
      <c r="Z116" s="199"/>
      <c r="AA116" s="199"/>
      <c r="AB116" s="199"/>
      <c r="AC116" s="199"/>
      <c r="AD116" s="199"/>
      <c r="AE116" s="199"/>
      <c r="AF116" s="199"/>
      <c r="AG116" s="199"/>
      <c r="AH116" s="199"/>
      <c r="AI116" s="199"/>
      <c r="AJ116" s="199"/>
      <c r="AK116" s="199"/>
      <c r="AL116" s="199"/>
      <c r="AM116" s="199"/>
      <c r="AN116" s="199"/>
      <c r="AO116" s="199"/>
      <c r="AP116" s="199"/>
      <c r="AQ116" s="199"/>
      <c r="AR116" s="199"/>
      <c r="AS116" s="199"/>
      <c r="AT116" s="199"/>
      <c r="AU116" s="199"/>
      <c r="AV116" s="199"/>
      <c r="AW116" s="199"/>
      <c r="AX116" s="199"/>
    </row>
    <row r="117" s="1" customFormat="1" ht="22.05" customHeight="1" spans="2:50">
      <c r="B117" s="76" t="s">
        <v>437</v>
      </c>
      <c r="C117" s="76">
        <v>2023</v>
      </c>
      <c r="D117" s="76">
        <v>2024</v>
      </c>
      <c r="E117" s="76">
        <v>2025</v>
      </c>
      <c r="F117" s="76">
        <v>2026</v>
      </c>
      <c r="G117" s="76">
        <v>2027</v>
      </c>
      <c r="H117" s="76">
        <v>2028</v>
      </c>
      <c r="I117" s="76">
        <v>2029</v>
      </c>
      <c r="J117" s="76">
        <v>2030</v>
      </c>
      <c r="K117" s="76">
        <v>2031</v>
      </c>
      <c r="L117" s="76">
        <v>2032</v>
      </c>
      <c r="M117" s="76">
        <v>2033</v>
      </c>
      <c r="N117" s="76">
        <v>2034</v>
      </c>
      <c r="O117" s="76">
        <v>2035</v>
      </c>
      <c r="P117" s="76">
        <v>2036</v>
      </c>
      <c r="Q117" s="76">
        <v>2037</v>
      </c>
      <c r="R117" s="76">
        <v>2038</v>
      </c>
      <c r="S117" s="76">
        <v>2039</v>
      </c>
      <c r="T117" s="76">
        <v>2040</v>
      </c>
      <c r="U117" s="76">
        <v>2041</v>
      </c>
      <c r="V117" s="76">
        <v>2042</v>
      </c>
      <c r="W117" s="76">
        <v>2043</v>
      </c>
      <c r="X117" s="76">
        <v>2044</v>
      </c>
      <c r="Y117" s="76">
        <v>2045</v>
      </c>
      <c r="Z117" s="76">
        <v>2046</v>
      </c>
      <c r="AA117" s="76">
        <v>2047</v>
      </c>
      <c r="AB117" s="76">
        <v>2048</v>
      </c>
      <c r="AC117" s="76">
        <v>2049</v>
      </c>
      <c r="AD117" s="76">
        <v>2050</v>
      </c>
      <c r="AE117" s="76">
        <v>2051</v>
      </c>
      <c r="AF117" s="76">
        <v>2052</v>
      </c>
      <c r="AG117" s="76">
        <v>2053</v>
      </c>
      <c r="AH117" s="76">
        <v>2054</v>
      </c>
      <c r="AI117" s="76">
        <v>2055</v>
      </c>
      <c r="AJ117" s="76">
        <v>2056</v>
      </c>
      <c r="AK117" s="76">
        <v>2057</v>
      </c>
      <c r="AL117" s="76">
        <v>2058</v>
      </c>
      <c r="AM117" s="76">
        <v>2059</v>
      </c>
      <c r="AN117" s="76">
        <v>2060</v>
      </c>
      <c r="AO117" s="76">
        <v>2061</v>
      </c>
      <c r="AP117" s="76">
        <v>2062</v>
      </c>
      <c r="AQ117" s="76">
        <v>2063</v>
      </c>
      <c r="AR117" s="76">
        <v>2064</v>
      </c>
      <c r="AS117" s="76">
        <v>2065</v>
      </c>
      <c r="AT117" s="76">
        <v>2066</v>
      </c>
      <c r="AU117" s="76">
        <v>2067</v>
      </c>
      <c r="AV117" s="76">
        <v>2068</v>
      </c>
      <c r="AW117" s="76">
        <v>2069</v>
      </c>
      <c r="AX117" s="76">
        <v>2070</v>
      </c>
    </row>
    <row r="118" s="1" customFormat="1" ht="22.05" customHeight="1" spans="2:50">
      <c r="B118" s="76" t="s">
        <v>449</v>
      </c>
      <c r="C118" s="76">
        <f>SUMIF($C$114:$P$114,C117,$C$116:$P$116)</f>
        <v>0</v>
      </c>
      <c r="D118" s="76">
        <f t="shared" ref="D118:AX118" si="56">SUMIF($C$114:$P$114,D117,$C$116:$P$116)</f>
        <v>0</v>
      </c>
      <c r="E118" s="76">
        <f t="shared" si="56"/>
        <v>0</v>
      </c>
      <c r="F118" s="76">
        <f t="shared" si="56"/>
        <v>0</v>
      </c>
      <c r="G118" s="76">
        <f t="shared" si="56"/>
        <v>0</v>
      </c>
      <c r="H118" s="76">
        <f t="shared" si="56"/>
        <v>0</v>
      </c>
      <c r="I118" s="76">
        <f t="shared" si="56"/>
        <v>0</v>
      </c>
      <c r="J118" s="76">
        <f t="shared" si="56"/>
        <v>0</v>
      </c>
      <c r="K118" s="76">
        <f t="shared" si="56"/>
        <v>17</v>
      </c>
      <c r="L118" s="76">
        <f t="shared" si="56"/>
        <v>12</v>
      </c>
      <c r="M118" s="76">
        <f t="shared" si="56"/>
        <v>12</v>
      </c>
      <c r="N118" s="76">
        <f t="shared" si="56"/>
        <v>12</v>
      </c>
      <c r="O118" s="76">
        <f t="shared" si="56"/>
        <v>12</v>
      </c>
      <c r="P118" s="76">
        <f t="shared" si="56"/>
        <v>12</v>
      </c>
      <c r="Q118" s="76">
        <f t="shared" si="56"/>
        <v>12</v>
      </c>
      <c r="R118" s="76">
        <f t="shared" si="56"/>
        <v>12</v>
      </c>
      <c r="S118" s="76">
        <f t="shared" si="56"/>
        <v>12</v>
      </c>
      <c r="T118" s="76">
        <f t="shared" si="56"/>
        <v>12</v>
      </c>
      <c r="U118" s="76">
        <f t="shared" si="56"/>
        <v>12</v>
      </c>
      <c r="V118" s="76">
        <f t="shared" si="56"/>
        <v>7</v>
      </c>
      <c r="W118" s="76">
        <f t="shared" si="56"/>
        <v>0</v>
      </c>
      <c r="X118" s="76">
        <f t="shared" si="56"/>
        <v>0</v>
      </c>
      <c r="Y118" s="76">
        <f t="shared" si="56"/>
        <v>0</v>
      </c>
      <c r="Z118" s="76">
        <f t="shared" si="56"/>
        <v>0</v>
      </c>
      <c r="AA118" s="76">
        <f t="shared" si="56"/>
        <v>0</v>
      </c>
      <c r="AB118" s="76">
        <f t="shared" si="56"/>
        <v>0</v>
      </c>
      <c r="AC118" s="76">
        <f t="shared" si="56"/>
        <v>0</v>
      </c>
      <c r="AD118" s="76">
        <f t="shared" si="56"/>
        <v>0</v>
      </c>
      <c r="AE118" s="76">
        <f t="shared" si="56"/>
        <v>0</v>
      </c>
      <c r="AF118" s="76">
        <f t="shared" si="56"/>
        <v>0</v>
      </c>
      <c r="AG118" s="76">
        <f t="shared" si="56"/>
        <v>0</v>
      </c>
      <c r="AH118" s="76">
        <f t="shared" si="56"/>
        <v>0</v>
      </c>
      <c r="AI118" s="76">
        <f t="shared" si="56"/>
        <v>0</v>
      </c>
      <c r="AJ118" s="76">
        <f t="shared" si="56"/>
        <v>0</v>
      </c>
      <c r="AK118" s="76">
        <f t="shared" si="56"/>
        <v>0</v>
      </c>
      <c r="AL118" s="76">
        <f t="shared" si="56"/>
        <v>0</v>
      </c>
      <c r="AM118" s="76">
        <f t="shared" si="56"/>
        <v>0</v>
      </c>
      <c r="AN118" s="76">
        <f t="shared" si="56"/>
        <v>0</v>
      </c>
      <c r="AO118" s="76">
        <f t="shared" si="56"/>
        <v>0</v>
      </c>
      <c r="AP118" s="76">
        <f t="shared" si="56"/>
        <v>0</v>
      </c>
      <c r="AQ118" s="76">
        <f t="shared" si="56"/>
        <v>0</v>
      </c>
      <c r="AR118" s="76">
        <f t="shared" si="56"/>
        <v>0</v>
      </c>
      <c r="AS118" s="76">
        <f t="shared" si="56"/>
        <v>0</v>
      </c>
      <c r="AT118" s="76">
        <f t="shared" si="56"/>
        <v>0</v>
      </c>
      <c r="AU118" s="76">
        <f t="shared" si="56"/>
        <v>0</v>
      </c>
      <c r="AV118" s="76">
        <f t="shared" si="56"/>
        <v>0</v>
      </c>
      <c r="AW118" s="76">
        <f t="shared" si="56"/>
        <v>0</v>
      </c>
      <c r="AX118" s="76">
        <f t="shared" si="56"/>
        <v>0</v>
      </c>
    </row>
    <row r="119" s="1" customFormat="1" ht="22.05" customHeight="1" spans="2:50">
      <c r="B119" s="714" t="s">
        <v>468</v>
      </c>
      <c r="C119" s="730">
        <f>参数输入表!$D$39</f>
        <v>47696</v>
      </c>
      <c r="D119" s="727">
        <f>参数输入表!$D$39+参数输入表!$I$632*365+INT(参数输入表!$I$632/4)</f>
        <v>55001</v>
      </c>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199"/>
      <c r="AF119" s="199"/>
      <c r="AG119" s="199"/>
      <c r="AH119" s="199"/>
      <c r="AI119" s="199"/>
      <c r="AJ119" s="199"/>
      <c r="AK119" s="199"/>
      <c r="AL119" s="199"/>
      <c r="AM119" s="199"/>
      <c r="AN119" s="199"/>
      <c r="AO119" s="199"/>
      <c r="AP119" s="199"/>
      <c r="AQ119" s="199"/>
      <c r="AR119" s="199"/>
      <c r="AS119" s="199"/>
      <c r="AT119" s="199"/>
      <c r="AU119" s="199"/>
      <c r="AV119" s="199"/>
      <c r="AW119" s="199"/>
      <c r="AX119" s="199"/>
    </row>
    <row r="120" s="1" customFormat="1" ht="22.05" customHeight="1" spans="2:50">
      <c r="B120" s="76" t="s">
        <v>451</v>
      </c>
      <c r="C120" s="717">
        <f>YEAR(C121)</f>
        <v>2030</v>
      </c>
      <c r="D120" s="717">
        <f>YEAR(D121)</f>
        <v>2031</v>
      </c>
      <c r="E120" s="717">
        <f>YEAR(E121)</f>
        <v>2032</v>
      </c>
      <c r="F120" s="717">
        <f t="shared" ref="F120:X120" si="57">YEAR(F121)</f>
        <v>2033</v>
      </c>
      <c r="G120" s="717">
        <f t="shared" si="57"/>
        <v>2034</v>
      </c>
      <c r="H120" s="717">
        <f t="shared" si="57"/>
        <v>2035</v>
      </c>
      <c r="I120" s="717">
        <f t="shared" si="57"/>
        <v>2036</v>
      </c>
      <c r="J120" s="717">
        <f t="shared" si="57"/>
        <v>2037</v>
      </c>
      <c r="K120" s="717">
        <f t="shared" si="57"/>
        <v>2038</v>
      </c>
      <c r="L120" s="717">
        <f t="shared" si="57"/>
        <v>2039</v>
      </c>
      <c r="M120" s="717">
        <f t="shared" si="57"/>
        <v>2040</v>
      </c>
      <c r="N120" s="717">
        <f t="shared" si="57"/>
        <v>2041</v>
      </c>
      <c r="O120" s="717">
        <f t="shared" si="57"/>
        <v>2042</v>
      </c>
      <c r="P120" s="717">
        <f t="shared" si="57"/>
        <v>2043</v>
      </c>
      <c r="Q120" s="717">
        <f t="shared" si="57"/>
        <v>2044</v>
      </c>
      <c r="R120" s="717">
        <f t="shared" si="57"/>
        <v>2045</v>
      </c>
      <c r="S120" s="717">
        <f t="shared" si="57"/>
        <v>2046</v>
      </c>
      <c r="T120" s="717">
        <f t="shared" si="57"/>
        <v>2047</v>
      </c>
      <c r="U120" s="717">
        <f t="shared" si="57"/>
        <v>2048</v>
      </c>
      <c r="V120" s="717">
        <f t="shared" si="57"/>
        <v>2049</v>
      </c>
      <c r="W120" s="717">
        <f t="shared" si="57"/>
        <v>2050</v>
      </c>
      <c r="X120" s="717">
        <f t="shared" si="57"/>
        <v>2050</v>
      </c>
      <c r="Y120" s="199"/>
      <c r="Z120" s="199"/>
      <c r="AA120" s="199"/>
      <c r="AB120" s="199"/>
      <c r="AC120" s="199"/>
      <c r="AD120" s="199"/>
      <c r="AE120" s="199"/>
      <c r="AF120" s="199"/>
      <c r="AG120" s="199"/>
      <c r="AH120" s="199"/>
      <c r="AI120" s="199"/>
      <c r="AJ120" s="199"/>
      <c r="AK120" s="199"/>
      <c r="AL120" s="199"/>
      <c r="AM120" s="199"/>
      <c r="AN120" s="199"/>
      <c r="AO120" s="199"/>
      <c r="AP120" s="199"/>
      <c r="AQ120" s="199"/>
      <c r="AR120" s="199"/>
      <c r="AS120" s="199"/>
      <c r="AT120" s="199"/>
      <c r="AU120" s="199"/>
      <c r="AV120" s="199"/>
      <c r="AW120" s="199"/>
      <c r="AX120" s="199"/>
    </row>
    <row r="121" s="1" customFormat="1" ht="22.05" customHeight="1" spans="2:50">
      <c r="B121" s="76"/>
      <c r="C121" s="718">
        <f>C119</f>
        <v>47696</v>
      </c>
      <c r="D121" s="719">
        <v>48213</v>
      </c>
      <c r="E121" s="719">
        <v>48579</v>
      </c>
      <c r="F121" s="719">
        <v>48944</v>
      </c>
      <c r="G121" s="719">
        <v>49309</v>
      </c>
      <c r="H121" s="719">
        <v>49674</v>
      </c>
      <c r="I121" s="719">
        <v>50040</v>
      </c>
      <c r="J121" s="719">
        <v>50405</v>
      </c>
      <c r="K121" s="719">
        <v>50770</v>
      </c>
      <c r="L121" s="719">
        <v>51135</v>
      </c>
      <c r="M121" s="719">
        <v>51501</v>
      </c>
      <c r="N121" s="719">
        <v>51866</v>
      </c>
      <c r="O121" s="719">
        <v>52231</v>
      </c>
      <c r="P121" s="719">
        <v>52596</v>
      </c>
      <c r="Q121" s="719">
        <v>52962</v>
      </c>
      <c r="R121" s="719">
        <v>53327</v>
      </c>
      <c r="S121" s="719">
        <v>53692</v>
      </c>
      <c r="T121" s="719">
        <v>54057</v>
      </c>
      <c r="U121" s="719">
        <v>54423</v>
      </c>
      <c r="V121" s="719">
        <v>54788</v>
      </c>
      <c r="W121" s="719">
        <v>55153</v>
      </c>
      <c r="X121" s="728">
        <f>D119</f>
        <v>55001</v>
      </c>
      <c r="Y121" s="199"/>
      <c r="Z121" s="199"/>
      <c r="AA121" s="199"/>
      <c r="AB121" s="199"/>
      <c r="AC121" s="199"/>
      <c r="AD121" s="199"/>
      <c r="AE121" s="199"/>
      <c r="AF121" s="199"/>
      <c r="AG121" s="199"/>
      <c r="AH121" s="199"/>
      <c r="AI121" s="199"/>
      <c r="AJ121" s="199"/>
      <c r="AK121" s="199"/>
      <c r="AL121" s="199"/>
      <c r="AM121" s="199"/>
      <c r="AN121" s="199"/>
      <c r="AO121" s="199"/>
      <c r="AP121" s="199"/>
      <c r="AQ121" s="199"/>
      <c r="AR121" s="199"/>
      <c r="AS121" s="199"/>
      <c r="AT121" s="199"/>
      <c r="AU121" s="199"/>
      <c r="AV121" s="199"/>
      <c r="AW121" s="199"/>
      <c r="AX121" s="199"/>
    </row>
    <row r="122" s="1" customFormat="1" ht="22.05" customHeight="1" spans="2:50">
      <c r="B122" s="50">
        <f>SUM(C122:AX122)</f>
        <v>240</v>
      </c>
      <c r="C122" s="29">
        <v>0</v>
      </c>
      <c r="D122" s="29">
        <f>ROUND((DATEDIF(C121,D121,"d"))/30,0)</f>
        <v>17</v>
      </c>
      <c r="E122" s="29">
        <f t="shared" ref="E122:X122" si="58">ROUND((DATEDIF(D121,E121,"d"))/30,0)</f>
        <v>12</v>
      </c>
      <c r="F122" s="29">
        <f t="shared" si="58"/>
        <v>12</v>
      </c>
      <c r="G122" s="29">
        <f t="shared" si="58"/>
        <v>12</v>
      </c>
      <c r="H122" s="29">
        <f t="shared" si="58"/>
        <v>12</v>
      </c>
      <c r="I122" s="29">
        <f t="shared" si="58"/>
        <v>12</v>
      </c>
      <c r="J122" s="29">
        <f t="shared" si="58"/>
        <v>12</v>
      </c>
      <c r="K122" s="29">
        <f t="shared" si="58"/>
        <v>12</v>
      </c>
      <c r="L122" s="29">
        <f t="shared" si="58"/>
        <v>12</v>
      </c>
      <c r="M122" s="29">
        <f t="shared" si="58"/>
        <v>12</v>
      </c>
      <c r="N122" s="29">
        <f t="shared" si="58"/>
        <v>12</v>
      </c>
      <c r="O122" s="29">
        <f t="shared" si="58"/>
        <v>12</v>
      </c>
      <c r="P122" s="29">
        <f t="shared" si="58"/>
        <v>12</v>
      </c>
      <c r="Q122" s="29">
        <f t="shared" si="58"/>
        <v>12</v>
      </c>
      <c r="R122" s="29">
        <f t="shared" si="58"/>
        <v>12</v>
      </c>
      <c r="S122" s="29">
        <f t="shared" si="58"/>
        <v>12</v>
      </c>
      <c r="T122" s="29">
        <f t="shared" si="58"/>
        <v>12</v>
      </c>
      <c r="U122" s="29">
        <f t="shared" si="58"/>
        <v>12</v>
      </c>
      <c r="V122" s="29">
        <f t="shared" si="58"/>
        <v>12</v>
      </c>
      <c r="W122" s="29">
        <f t="shared" si="58"/>
        <v>12</v>
      </c>
      <c r="X122" s="29">
        <f t="shared" si="58"/>
        <v>-5</v>
      </c>
      <c r="Y122" s="199"/>
      <c r="Z122" s="199"/>
      <c r="AA122" s="199"/>
      <c r="AB122" s="199"/>
      <c r="AC122" s="199"/>
      <c r="AD122" s="199"/>
      <c r="AE122" s="199"/>
      <c r="AF122" s="199"/>
      <c r="AG122" s="199"/>
      <c r="AH122" s="199"/>
      <c r="AI122" s="199"/>
      <c r="AJ122" s="199"/>
      <c r="AK122" s="199"/>
      <c r="AL122" s="199"/>
      <c r="AM122" s="199"/>
      <c r="AN122" s="199"/>
      <c r="AO122" s="199"/>
      <c r="AP122" s="199"/>
      <c r="AQ122" s="199"/>
      <c r="AR122" s="199"/>
      <c r="AS122" s="199"/>
      <c r="AT122" s="199"/>
      <c r="AU122" s="199"/>
      <c r="AV122" s="199"/>
      <c r="AW122" s="199"/>
      <c r="AX122" s="199"/>
    </row>
    <row r="123" s="1" customFormat="1" ht="22.05" customHeight="1" spans="2:50">
      <c r="B123" s="76" t="s">
        <v>437</v>
      </c>
      <c r="C123" s="76">
        <v>2023</v>
      </c>
      <c r="D123" s="76">
        <v>2024</v>
      </c>
      <c r="E123" s="76">
        <v>2025</v>
      </c>
      <c r="F123" s="76">
        <v>2026</v>
      </c>
      <c r="G123" s="76">
        <v>2027</v>
      </c>
      <c r="H123" s="76">
        <v>2028</v>
      </c>
      <c r="I123" s="76">
        <v>2029</v>
      </c>
      <c r="J123" s="76">
        <v>2030</v>
      </c>
      <c r="K123" s="76">
        <v>2031</v>
      </c>
      <c r="L123" s="76">
        <v>2032</v>
      </c>
      <c r="M123" s="76">
        <v>2033</v>
      </c>
      <c r="N123" s="76">
        <v>2034</v>
      </c>
      <c r="O123" s="76">
        <v>2035</v>
      </c>
      <c r="P123" s="76">
        <v>2036</v>
      </c>
      <c r="Q123" s="76">
        <v>2037</v>
      </c>
      <c r="R123" s="76">
        <v>2038</v>
      </c>
      <c r="S123" s="76">
        <v>2039</v>
      </c>
      <c r="T123" s="76">
        <v>2040</v>
      </c>
      <c r="U123" s="76">
        <v>2041</v>
      </c>
      <c r="V123" s="76">
        <v>2042</v>
      </c>
      <c r="W123" s="76">
        <v>2043</v>
      </c>
      <c r="X123" s="76">
        <v>2044</v>
      </c>
      <c r="Y123" s="76">
        <v>2045</v>
      </c>
      <c r="Z123" s="76">
        <v>2046</v>
      </c>
      <c r="AA123" s="76">
        <v>2047</v>
      </c>
      <c r="AB123" s="76">
        <v>2048</v>
      </c>
      <c r="AC123" s="76">
        <v>2049</v>
      </c>
      <c r="AD123" s="76">
        <v>2050</v>
      </c>
      <c r="AE123" s="76">
        <v>2051</v>
      </c>
      <c r="AF123" s="76">
        <v>2052</v>
      </c>
      <c r="AG123" s="76">
        <v>2053</v>
      </c>
      <c r="AH123" s="76">
        <v>2054</v>
      </c>
      <c r="AI123" s="76">
        <v>2055</v>
      </c>
      <c r="AJ123" s="76">
        <v>2056</v>
      </c>
      <c r="AK123" s="76">
        <v>2057</v>
      </c>
      <c r="AL123" s="76">
        <v>2058</v>
      </c>
      <c r="AM123" s="76">
        <v>2059</v>
      </c>
      <c r="AN123" s="76">
        <v>2060</v>
      </c>
      <c r="AO123" s="76">
        <v>2061</v>
      </c>
      <c r="AP123" s="76">
        <v>2062</v>
      </c>
      <c r="AQ123" s="76">
        <v>2063</v>
      </c>
      <c r="AR123" s="76">
        <v>2064</v>
      </c>
      <c r="AS123" s="76">
        <v>2065</v>
      </c>
      <c r="AT123" s="76">
        <v>2066</v>
      </c>
      <c r="AU123" s="76">
        <v>2067</v>
      </c>
      <c r="AV123" s="76">
        <v>2068</v>
      </c>
      <c r="AW123" s="76">
        <v>2069</v>
      </c>
      <c r="AX123" s="76">
        <v>2070</v>
      </c>
    </row>
    <row r="124" s="1" customFormat="1" ht="22.05" customHeight="1" spans="2:50">
      <c r="B124" s="76" t="s">
        <v>452</v>
      </c>
      <c r="C124" s="76">
        <f>SUMIF($C$120:$X$120,C123,$C$122:$X$122)</f>
        <v>0</v>
      </c>
      <c r="D124" s="76">
        <f t="shared" ref="D124:AX124" si="59">SUMIF($C$120:$X$120,D123,$C$122:$X$122)</f>
        <v>0</v>
      </c>
      <c r="E124" s="76">
        <f t="shared" si="59"/>
        <v>0</v>
      </c>
      <c r="F124" s="76">
        <f t="shared" si="59"/>
        <v>0</v>
      </c>
      <c r="G124" s="76">
        <f t="shared" si="59"/>
        <v>0</v>
      </c>
      <c r="H124" s="76">
        <f t="shared" si="59"/>
        <v>0</v>
      </c>
      <c r="I124" s="76">
        <f t="shared" si="59"/>
        <v>0</v>
      </c>
      <c r="J124" s="76">
        <f t="shared" si="59"/>
        <v>0</v>
      </c>
      <c r="K124" s="76">
        <f t="shared" si="59"/>
        <v>17</v>
      </c>
      <c r="L124" s="76">
        <f t="shared" si="59"/>
        <v>12</v>
      </c>
      <c r="M124" s="76">
        <f t="shared" si="59"/>
        <v>12</v>
      </c>
      <c r="N124" s="76">
        <f t="shared" si="59"/>
        <v>12</v>
      </c>
      <c r="O124" s="76">
        <f t="shared" si="59"/>
        <v>12</v>
      </c>
      <c r="P124" s="76">
        <f t="shared" si="59"/>
        <v>12</v>
      </c>
      <c r="Q124" s="76">
        <f t="shared" si="59"/>
        <v>12</v>
      </c>
      <c r="R124" s="76">
        <f t="shared" si="59"/>
        <v>12</v>
      </c>
      <c r="S124" s="76">
        <f t="shared" si="59"/>
        <v>12</v>
      </c>
      <c r="T124" s="76">
        <f t="shared" si="59"/>
        <v>12</v>
      </c>
      <c r="U124" s="76">
        <f t="shared" si="59"/>
        <v>12</v>
      </c>
      <c r="V124" s="76">
        <f t="shared" si="59"/>
        <v>12</v>
      </c>
      <c r="W124" s="76">
        <f t="shared" si="59"/>
        <v>12</v>
      </c>
      <c r="X124" s="76">
        <f t="shared" si="59"/>
        <v>12</v>
      </c>
      <c r="Y124" s="76">
        <f t="shared" si="59"/>
        <v>12</v>
      </c>
      <c r="Z124" s="76">
        <f t="shared" si="59"/>
        <v>12</v>
      </c>
      <c r="AA124" s="76">
        <f t="shared" si="59"/>
        <v>12</v>
      </c>
      <c r="AB124" s="76">
        <f t="shared" si="59"/>
        <v>12</v>
      </c>
      <c r="AC124" s="76">
        <f t="shared" si="59"/>
        <v>12</v>
      </c>
      <c r="AD124" s="76">
        <f t="shared" si="59"/>
        <v>7</v>
      </c>
      <c r="AE124" s="76">
        <f t="shared" si="59"/>
        <v>0</v>
      </c>
      <c r="AF124" s="76">
        <f t="shared" si="59"/>
        <v>0</v>
      </c>
      <c r="AG124" s="76">
        <f t="shared" si="59"/>
        <v>0</v>
      </c>
      <c r="AH124" s="76">
        <f t="shared" si="59"/>
        <v>0</v>
      </c>
      <c r="AI124" s="76">
        <f t="shared" si="59"/>
        <v>0</v>
      </c>
      <c r="AJ124" s="76">
        <f t="shared" si="59"/>
        <v>0</v>
      </c>
      <c r="AK124" s="76">
        <f t="shared" si="59"/>
        <v>0</v>
      </c>
      <c r="AL124" s="76">
        <f t="shared" si="59"/>
        <v>0</v>
      </c>
      <c r="AM124" s="76">
        <f t="shared" si="59"/>
        <v>0</v>
      </c>
      <c r="AN124" s="76">
        <f t="shared" si="59"/>
        <v>0</v>
      </c>
      <c r="AO124" s="76">
        <f t="shared" si="59"/>
        <v>0</v>
      </c>
      <c r="AP124" s="76">
        <f t="shared" si="59"/>
        <v>0</v>
      </c>
      <c r="AQ124" s="76">
        <f t="shared" si="59"/>
        <v>0</v>
      </c>
      <c r="AR124" s="76">
        <f t="shared" si="59"/>
        <v>0</v>
      </c>
      <c r="AS124" s="76">
        <f t="shared" si="59"/>
        <v>0</v>
      </c>
      <c r="AT124" s="76">
        <f t="shared" si="59"/>
        <v>0</v>
      </c>
      <c r="AU124" s="76">
        <f t="shared" si="59"/>
        <v>0</v>
      </c>
      <c r="AV124" s="76">
        <f t="shared" si="59"/>
        <v>0</v>
      </c>
      <c r="AW124" s="76">
        <f t="shared" si="59"/>
        <v>0</v>
      </c>
      <c r="AX124" s="76">
        <f t="shared" si="59"/>
        <v>0</v>
      </c>
    </row>
    <row r="125" spans="2:50">
      <c r="B125" s="729" t="s">
        <v>453</v>
      </c>
      <c r="C125" s="729" t="b">
        <f>B104-参数输入表!$I$622*12=0</f>
        <v>1</v>
      </c>
      <c r="D125" s="729" t="b">
        <f>SUM(C106:AX106)-B104=0</f>
        <v>1</v>
      </c>
    </row>
    <row r="126" spans="2:50">
      <c r="B126" s="729" t="s">
        <v>454</v>
      </c>
      <c r="C126" s="729" t="b">
        <f>B110-参数输入表!$I$638*12=0</f>
        <v>1</v>
      </c>
      <c r="D126" s="729" t="b">
        <f ca="1">SUM(C112:AX112)-B110=0</f>
        <v>1</v>
      </c>
    </row>
    <row r="127" spans="2:50">
      <c r="B127" s="729" t="s">
        <v>455</v>
      </c>
      <c r="C127" s="729" t="b">
        <f>B116-参数输入表!$I$627*12=0</f>
        <v>1</v>
      </c>
      <c r="D127" s="729" t="b">
        <f>SUM(C118:AX118)-B116=0</f>
        <v>1</v>
      </c>
    </row>
    <row r="128" spans="2:50">
      <c r="B128" s="729" t="s">
        <v>456</v>
      </c>
      <c r="C128" s="729" t="b">
        <f>B122-参数输入表!$I$632*12=0</f>
        <v>1</v>
      </c>
      <c r="D128" s="729" t="b">
        <f>SUM(C124:AX124)-B122=0</f>
        <v>1</v>
      </c>
    </row>
  </sheetData>
  <mergeCells count="17">
    <mergeCell ref="D10:AR10"/>
    <mergeCell ref="B18:B19"/>
    <mergeCell ref="B24:B25"/>
    <mergeCell ref="B30:B31"/>
    <mergeCell ref="B36:B37"/>
    <mergeCell ref="B46:B47"/>
    <mergeCell ref="B52:B53"/>
    <mergeCell ref="B58:B59"/>
    <mergeCell ref="B64:B65"/>
    <mergeCell ref="B74:B75"/>
    <mergeCell ref="B80:B81"/>
    <mergeCell ref="B86:B87"/>
    <mergeCell ref="B92:B93"/>
    <mergeCell ref="B102:B103"/>
    <mergeCell ref="B108:B109"/>
    <mergeCell ref="B114:B115"/>
    <mergeCell ref="B120:B121"/>
  </mergeCell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Z579"/>
  <sheetViews>
    <sheetView showGridLines="0" workbookViewId="0">
      <selection activeCell="W83" sqref="W83"/>
    </sheetView>
  </sheetViews>
  <sheetFormatPr defaultColWidth="8.89090909090909" defaultRowHeight="14.5"/>
  <cols>
    <col min="1" max="1" width="1.78181818181818" style="660" customWidth="1"/>
    <col min="2" max="2" width="7.55454545454545" style="660" customWidth="1"/>
    <col min="3" max="3" width="17.3363636363636" style="660" customWidth="1"/>
    <col min="4" max="4" width="8.21818181818182" style="660" customWidth="1"/>
    <col min="5" max="5" width="3" style="660" customWidth="1"/>
    <col min="6" max="6" width="9.10909090909091" style="660" customWidth="1"/>
    <col min="7" max="7" width="20" style="660" customWidth="1"/>
    <col min="8" max="8" width="6.78181818181818" style="660" customWidth="1"/>
    <col min="9" max="9" width="1.44545454545455" style="660" customWidth="1"/>
    <col min="10" max="10" width="7.21818181818182" style="660" customWidth="1"/>
    <col min="11" max="11" width="12.7818181818182" style="660" customWidth="1"/>
    <col min="12" max="12" width="7.44545454545455" style="660" customWidth="1"/>
    <col min="13" max="13" width="1.21818181818182" style="660" customWidth="1"/>
    <col min="14" max="14" width="6.78181818181818" style="660" customWidth="1"/>
    <col min="15" max="15" width="13.2181818181818" style="660" customWidth="1"/>
    <col min="16" max="16" width="8.44545454545455" style="660" customWidth="1"/>
    <col min="17" max="17" width="4.44545454545455" style="660" customWidth="1"/>
    <col min="18" max="18" width="6.66363636363636" style="660" customWidth="1"/>
    <col min="19" max="19" width="10.3363636363636" style="660" customWidth="1"/>
    <col min="20" max="20" width="11.4454545454545" style="660" customWidth="1"/>
    <col min="21" max="21" width="9.89090909090909" style="660" customWidth="1"/>
    <col min="22" max="22" width="2" style="660" customWidth="1"/>
    <col min="23" max="23" width="8.44545454545455" style="660" customWidth="1"/>
    <col min="24" max="24" width="9" style="660" customWidth="1"/>
    <col min="25" max="25" width="9.66363636363636" style="660" customWidth="1"/>
    <col min="26" max="26" width="10.1090909090909" style="660" customWidth="1"/>
    <col min="27" max="16384" width="8.89090909090909" style="660"/>
  </cols>
  <sheetData>
    <row r="1" ht="10.2" customHeight="1"/>
    <row r="2" ht="45" customHeight="1" spans="2:26">
      <c r="C2" s="661" t="s">
        <v>469</v>
      </c>
      <c r="D2" s="661"/>
      <c r="G2" s="661" t="s">
        <v>470</v>
      </c>
      <c r="H2" s="661"/>
    </row>
    <row r="3" spans="2:26">
      <c r="C3" s="662">
        <f>参数输入表!I5</f>
        <v>44958</v>
      </c>
      <c r="D3" s="663">
        <v>0</v>
      </c>
      <c r="E3" s="664"/>
      <c r="F3" s="664"/>
      <c r="G3" s="662">
        <f>参数输入表!I5</f>
        <v>44958</v>
      </c>
      <c r="H3" s="663">
        <v>0</v>
      </c>
      <c r="I3" s="664"/>
      <c r="J3" s="664"/>
      <c r="K3" s="664"/>
      <c r="L3" s="664"/>
      <c r="M3" s="664"/>
      <c r="N3" s="665"/>
      <c r="O3" s="664"/>
      <c r="P3" s="664"/>
      <c r="Q3" s="664"/>
      <c r="R3" s="664"/>
      <c r="S3" s="664"/>
      <c r="T3" s="664"/>
      <c r="U3" s="664"/>
      <c r="V3" s="664"/>
      <c r="W3" s="664"/>
    </row>
    <row r="4" hidden="1" spans="2:26">
      <c r="C4" s="662">
        <f>参数输入表!D42</f>
        <v>47150</v>
      </c>
      <c r="D4" s="663">
        <f>参数输入表!I42</f>
        <v>0</v>
      </c>
      <c r="E4" s="664"/>
      <c r="F4" s="666" t="s">
        <v>471</v>
      </c>
      <c r="G4" s="662">
        <f>参数输入表!D36</f>
        <v>47150</v>
      </c>
      <c r="H4" s="663">
        <f>H3+参数输入表!I36</f>
        <v>0</v>
      </c>
      <c r="I4" s="664"/>
      <c r="J4" s="664"/>
      <c r="K4" s="664"/>
      <c r="L4" s="664"/>
      <c r="M4" s="664"/>
      <c r="N4" s="664"/>
      <c r="O4" s="664"/>
      <c r="P4" s="664"/>
      <c r="Q4" s="664"/>
      <c r="R4" s="664"/>
      <c r="S4" s="664"/>
      <c r="T4" s="664"/>
      <c r="U4" s="664"/>
      <c r="V4" s="664"/>
      <c r="W4" s="664"/>
    </row>
    <row r="5" hidden="1" spans="2:26">
      <c r="C5" s="662">
        <f>参数输入表!D43</f>
        <v>47362</v>
      </c>
      <c r="D5" s="663">
        <f>参数输入表!I43</f>
        <v>0</v>
      </c>
      <c r="E5" s="664"/>
      <c r="F5" s="666" t="s">
        <v>472</v>
      </c>
      <c r="G5" s="662">
        <f>参数输入表!D37</f>
        <v>47362</v>
      </c>
      <c r="H5" s="663">
        <f>H4+参数输入表!I37</f>
        <v>0</v>
      </c>
      <c r="I5" s="664"/>
      <c r="J5" s="664"/>
      <c r="K5" s="664"/>
      <c r="L5" s="664"/>
      <c r="M5" s="664"/>
      <c r="N5" s="664"/>
      <c r="O5" s="664"/>
      <c r="P5" s="664"/>
      <c r="Q5" s="664"/>
      <c r="R5" s="664"/>
      <c r="S5" s="664"/>
      <c r="T5" s="664"/>
      <c r="U5" s="664"/>
      <c r="V5" s="664"/>
      <c r="W5" s="664"/>
    </row>
    <row r="6" hidden="1" spans="2:26">
      <c r="C6" s="662">
        <f>参数输入表!D44</f>
        <v>47543</v>
      </c>
      <c r="D6" s="663">
        <f>参数输入表!I44</f>
        <v>0</v>
      </c>
      <c r="E6" s="664"/>
      <c r="F6" s="666" t="s">
        <v>473</v>
      </c>
      <c r="G6" s="662">
        <f>参数输入表!D38</f>
        <v>47543</v>
      </c>
      <c r="H6" s="663">
        <f>H5+参数输入表!I38</f>
        <v>0</v>
      </c>
      <c r="I6" s="664"/>
      <c r="J6" s="664"/>
      <c r="K6" s="664"/>
      <c r="L6" s="664"/>
      <c r="M6" s="664"/>
      <c r="N6" s="664"/>
      <c r="O6" s="664"/>
      <c r="P6" s="664"/>
      <c r="Q6" s="664"/>
      <c r="R6" s="664"/>
      <c r="S6" s="664"/>
      <c r="T6" s="664"/>
      <c r="U6" s="664"/>
      <c r="V6" s="664"/>
      <c r="W6" s="664"/>
    </row>
    <row r="7" spans="2:26">
      <c r="C7" s="662">
        <f>参数输入表!D45</f>
        <v>47696</v>
      </c>
      <c r="D7" s="663">
        <f>参数输入表!I45</f>
        <v>1</v>
      </c>
      <c r="E7" s="664"/>
      <c r="F7" s="666" t="s">
        <v>474</v>
      </c>
      <c r="G7" s="662">
        <f>参数输入表!D39</f>
        <v>47696</v>
      </c>
      <c r="H7" s="663">
        <f>H6+参数输入表!I39</f>
        <v>1</v>
      </c>
      <c r="I7" s="664"/>
      <c r="J7" s="664"/>
      <c r="K7" s="664"/>
      <c r="L7" s="664"/>
      <c r="M7" s="664"/>
      <c r="N7" s="664"/>
      <c r="O7" s="664"/>
      <c r="P7" s="664"/>
      <c r="Q7" s="664"/>
      <c r="R7" s="664"/>
      <c r="S7" s="664"/>
      <c r="T7" s="664"/>
      <c r="U7" s="664"/>
      <c r="V7" s="664"/>
      <c r="W7" s="664"/>
    </row>
    <row r="8" ht="15.25" spans="2:26">
      <c r="D8" s="664"/>
      <c r="E8" s="664"/>
      <c r="F8" s="664"/>
      <c r="G8" s="664"/>
      <c r="H8" s="664"/>
      <c r="I8" s="664"/>
      <c r="J8" s="664"/>
      <c r="K8" s="664"/>
      <c r="L8" s="664"/>
      <c r="M8" s="664"/>
      <c r="N8" s="664"/>
      <c r="O8" s="664"/>
      <c r="P8" s="664"/>
      <c r="Q8" s="664"/>
      <c r="R8" s="664"/>
      <c r="S8" s="664"/>
      <c r="T8" s="664"/>
      <c r="U8" s="664"/>
      <c r="V8" s="664"/>
      <c r="W8" s="664"/>
    </row>
    <row r="9" ht="15.25" spans="2:26">
      <c r="C9" s="667" t="s">
        <v>475</v>
      </c>
      <c r="D9" s="668"/>
      <c r="G9" s="667" t="s">
        <v>476</v>
      </c>
      <c r="H9" s="668"/>
      <c r="K9" s="669" t="s">
        <v>477</v>
      </c>
      <c r="L9" s="670"/>
      <c r="O9" s="667" t="s">
        <v>478</v>
      </c>
      <c r="P9" s="668"/>
    </row>
    <row r="10" spans="2:26">
      <c r="B10" s="671">
        <f>YEAR(C10)</f>
        <v>2023</v>
      </c>
      <c r="C10" s="672">
        <v>44985</v>
      </c>
      <c r="D10" s="673">
        <f>D3</f>
        <v>0</v>
      </c>
      <c r="F10" s="671">
        <f t="shared" ref="F10:F74" si="0">YEAR(G10)</f>
        <v>2023</v>
      </c>
      <c r="G10" s="672">
        <v>44985</v>
      </c>
      <c r="H10" s="674">
        <f>H3</f>
        <v>0</v>
      </c>
      <c r="J10" s="671">
        <f t="shared" ref="J10:J73" si="1">YEAR(K10)</f>
        <v>2023</v>
      </c>
      <c r="K10" s="675">
        <f>G3</f>
        <v>44958</v>
      </c>
      <c r="L10" s="676">
        <f>IF(K10=参数输入表!$I$7,100%,H10)</f>
        <v>0</v>
      </c>
      <c r="N10" s="671">
        <f t="shared" ref="N10:N74" si="2">YEAR(O10)</f>
        <v>2023</v>
      </c>
      <c r="O10" s="677">
        <v>44985</v>
      </c>
      <c r="P10" s="678">
        <f t="shared" ref="P10:P73" si="3">D10*H10</f>
        <v>0</v>
      </c>
      <c r="T10" s="679" t="s">
        <v>479</v>
      </c>
      <c r="U10" s="679"/>
      <c r="Y10" s="680" t="s">
        <v>480</v>
      </c>
      <c r="Z10" s="680"/>
    </row>
    <row r="11" spans="2:26">
      <c r="B11" s="671">
        <f>YEAR(C11)</f>
        <v>2023</v>
      </c>
      <c r="C11" s="681">
        <v>45016</v>
      </c>
      <c r="D11" s="682">
        <f>$D$10</f>
        <v>0</v>
      </c>
      <c r="F11" s="671">
        <f t="shared" si="0"/>
        <v>2023</v>
      </c>
      <c r="G11" s="681">
        <v>45016</v>
      </c>
      <c r="H11" s="682">
        <f>$H$10</f>
        <v>0</v>
      </c>
      <c r="J11" s="671">
        <f t="shared" si="1"/>
        <v>2023</v>
      </c>
      <c r="K11" s="683">
        <v>45016</v>
      </c>
      <c r="L11" s="684">
        <f>IF(K11=参数输入表!$I$7,100%,H11)</f>
        <v>0</v>
      </c>
      <c r="N11" s="671">
        <f t="shared" si="2"/>
        <v>2023</v>
      </c>
      <c r="O11" s="681">
        <v>45016</v>
      </c>
      <c r="P11" s="678">
        <f t="shared" si="3"/>
        <v>0</v>
      </c>
      <c r="R11" s="685" t="s">
        <v>481</v>
      </c>
      <c r="S11" s="685" t="s">
        <v>74</v>
      </c>
      <c r="T11" s="686">
        <v>2023</v>
      </c>
      <c r="U11" s="687">
        <f>L20</f>
        <v>0</v>
      </c>
      <c r="W11" s="685" t="s">
        <v>481</v>
      </c>
      <c r="X11" s="685" t="s">
        <v>74</v>
      </c>
      <c r="Y11" s="686">
        <v>2023</v>
      </c>
      <c r="Z11" s="687">
        <f>SUMIF($N$10:$N$579,Y11,$P$10:$P$579)/12</f>
        <v>0</v>
      </c>
    </row>
    <row r="12" spans="2:26">
      <c r="B12" s="671">
        <f t="shared" ref="B12:B75" si="4">YEAR(C12)</f>
        <v>2023</v>
      </c>
      <c r="C12" s="681">
        <v>45046</v>
      </c>
      <c r="D12" s="682">
        <f t="shared" ref="D12:D75" si="5">$D$10</f>
        <v>0</v>
      </c>
      <c r="F12" s="671">
        <f t="shared" si="0"/>
        <v>2023</v>
      </c>
      <c r="G12" s="681">
        <v>45046</v>
      </c>
      <c r="H12" s="682">
        <f t="shared" ref="H12:H75" si="6">$H$10</f>
        <v>0</v>
      </c>
      <c r="J12" s="671">
        <f t="shared" si="1"/>
        <v>2023</v>
      </c>
      <c r="K12" s="683">
        <v>45046</v>
      </c>
      <c r="L12" s="684">
        <f>IF(K12=参数输入表!$I$7,100%,H12)</f>
        <v>0</v>
      </c>
      <c r="N12" s="671">
        <f t="shared" si="2"/>
        <v>2023</v>
      </c>
      <c r="O12" s="681">
        <v>45046</v>
      </c>
      <c r="P12" s="678">
        <f t="shared" si="3"/>
        <v>0</v>
      </c>
      <c r="R12" s="685" t="s">
        <v>482</v>
      </c>
      <c r="S12" s="685" t="s">
        <v>75</v>
      </c>
      <c r="T12" s="686">
        <v>2024</v>
      </c>
      <c r="U12" s="687">
        <f>L32</f>
        <v>0</v>
      </c>
      <c r="W12" s="685" t="s">
        <v>482</v>
      </c>
      <c r="X12" s="685" t="s">
        <v>75</v>
      </c>
      <c r="Y12" s="686">
        <v>2024</v>
      </c>
      <c r="Z12" s="687">
        <f>SUMIF($N$10:$N$579,Y12,$P$10:$P$579)/12</f>
        <v>0</v>
      </c>
    </row>
    <row r="13" spans="2:26">
      <c r="B13" s="671">
        <f t="shared" si="4"/>
        <v>2023</v>
      </c>
      <c r="C13" s="681">
        <v>45077</v>
      </c>
      <c r="D13" s="682">
        <f t="shared" si="5"/>
        <v>0</v>
      </c>
      <c r="F13" s="671">
        <f t="shared" si="0"/>
        <v>2023</v>
      </c>
      <c r="G13" s="681">
        <v>45077</v>
      </c>
      <c r="H13" s="682">
        <f t="shared" si="6"/>
        <v>0</v>
      </c>
      <c r="J13" s="671">
        <f t="shared" si="1"/>
        <v>2023</v>
      </c>
      <c r="K13" s="683">
        <v>45077</v>
      </c>
      <c r="L13" s="684">
        <f>IF(K13=参数输入表!$I$7,100%,H13)</f>
        <v>0</v>
      </c>
      <c r="N13" s="671">
        <f t="shared" si="2"/>
        <v>2023</v>
      </c>
      <c r="O13" s="681">
        <v>45077</v>
      </c>
      <c r="P13" s="678">
        <f t="shared" si="3"/>
        <v>0</v>
      </c>
      <c r="R13" s="685" t="s">
        <v>483</v>
      </c>
      <c r="S13" s="685" t="s">
        <v>76</v>
      </c>
      <c r="T13" s="686">
        <v>2025</v>
      </c>
      <c r="U13" s="687">
        <f>L44</f>
        <v>0</v>
      </c>
      <c r="W13" s="685" t="s">
        <v>483</v>
      </c>
      <c r="X13" s="685" t="s">
        <v>76</v>
      </c>
      <c r="Y13" s="686">
        <v>2025</v>
      </c>
      <c r="Z13" s="687">
        <f t="shared" ref="Z13:Z19" si="7">SUMIF($N$10:$N$579,Y13,$P$10:$P$579)/12</f>
        <v>0</v>
      </c>
    </row>
    <row r="14" spans="2:26">
      <c r="B14" s="671">
        <f t="shared" si="4"/>
        <v>2023</v>
      </c>
      <c r="C14" s="681">
        <v>45107</v>
      </c>
      <c r="D14" s="682">
        <f t="shared" si="5"/>
        <v>0</v>
      </c>
      <c r="F14" s="671">
        <f t="shared" si="0"/>
        <v>2023</v>
      </c>
      <c r="G14" s="681">
        <v>45107</v>
      </c>
      <c r="H14" s="682">
        <f t="shared" si="6"/>
        <v>0</v>
      </c>
      <c r="J14" s="671">
        <f t="shared" si="1"/>
        <v>2023</v>
      </c>
      <c r="K14" s="683">
        <v>45107</v>
      </c>
      <c r="L14" s="684">
        <f>IF(K14=参数输入表!$I$7,100%,H14)</f>
        <v>0</v>
      </c>
      <c r="N14" s="671">
        <f t="shared" si="2"/>
        <v>2023</v>
      </c>
      <c r="O14" s="681">
        <v>45107</v>
      </c>
      <c r="P14" s="678">
        <f t="shared" si="3"/>
        <v>0</v>
      </c>
      <c r="R14" s="685" t="s">
        <v>484</v>
      </c>
      <c r="S14" s="685" t="s">
        <v>77</v>
      </c>
      <c r="T14" s="686">
        <v>2026</v>
      </c>
      <c r="U14" s="687">
        <f>L56</f>
        <v>0</v>
      </c>
      <c r="W14" s="685" t="s">
        <v>484</v>
      </c>
      <c r="X14" s="685" t="s">
        <v>77</v>
      </c>
      <c r="Y14" s="686">
        <v>2026</v>
      </c>
      <c r="Z14" s="687">
        <f t="shared" si="7"/>
        <v>0</v>
      </c>
    </row>
    <row r="15" spans="2:26">
      <c r="B15" s="671">
        <f t="shared" si="4"/>
        <v>2023</v>
      </c>
      <c r="C15" s="681">
        <v>45138</v>
      </c>
      <c r="D15" s="682">
        <f t="shared" si="5"/>
        <v>0</v>
      </c>
      <c r="F15" s="671">
        <f t="shared" si="0"/>
        <v>2023</v>
      </c>
      <c r="G15" s="681">
        <v>45138</v>
      </c>
      <c r="H15" s="682">
        <f t="shared" si="6"/>
        <v>0</v>
      </c>
      <c r="J15" s="671">
        <f t="shared" si="1"/>
        <v>2023</v>
      </c>
      <c r="K15" s="683">
        <v>45138</v>
      </c>
      <c r="L15" s="684">
        <f>IF(K15=参数输入表!$I$7,100%,H15)</f>
        <v>0</v>
      </c>
      <c r="N15" s="671">
        <f t="shared" si="2"/>
        <v>2023</v>
      </c>
      <c r="O15" s="681">
        <v>45138</v>
      </c>
      <c r="P15" s="678">
        <f t="shared" si="3"/>
        <v>0</v>
      </c>
      <c r="R15" s="685" t="s">
        <v>485</v>
      </c>
      <c r="S15" s="685" t="s">
        <v>78</v>
      </c>
      <c r="T15" s="686">
        <v>2027</v>
      </c>
      <c r="U15" s="687">
        <f>L68</f>
        <v>0</v>
      </c>
      <c r="W15" s="685" t="s">
        <v>485</v>
      </c>
      <c r="X15" s="685" t="s">
        <v>78</v>
      </c>
      <c r="Y15" s="686">
        <v>2027</v>
      </c>
      <c r="Z15" s="687">
        <f t="shared" si="7"/>
        <v>0</v>
      </c>
    </row>
    <row r="16" spans="2:26">
      <c r="B16" s="671">
        <f t="shared" si="4"/>
        <v>2023</v>
      </c>
      <c r="C16" s="681">
        <v>45169</v>
      </c>
      <c r="D16" s="682">
        <f t="shared" si="5"/>
        <v>0</v>
      </c>
      <c r="F16" s="671">
        <f t="shared" si="0"/>
        <v>2023</v>
      </c>
      <c r="G16" s="681">
        <v>45169</v>
      </c>
      <c r="H16" s="682">
        <f t="shared" si="6"/>
        <v>0</v>
      </c>
      <c r="J16" s="671">
        <f t="shared" si="1"/>
        <v>2023</v>
      </c>
      <c r="K16" s="683">
        <v>45169</v>
      </c>
      <c r="L16" s="684">
        <f>IF(K16=参数输入表!$I$7,100%,H16)</f>
        <v>0</v>
      </c>
      <c r="N16" s="671">
        <f t="shared" si="2"/>
        <v>2023</v>
      </c>
      <c r="O16" s="681">
        <v>45169</v>
      </c>
      <c r="P16" s="678">
        <f t="shared" si="3"/>
        <v>0</v>
      </c>
      <c r="R16" s="685" t="s">
        <v>486</v>
      </c>
      <c r="S16" s="685" t="s">
        <v>79</v>
      </c>
      <c r="T16" s="686">
        <v>2028</v>
      </c>
      <c r="U16" s="687">
        <f>L80</f>
        <v>0</v>
      </c>
      <c r="W16" s="685" t="s">
        <v>486</v>
      </c>
      <c r="X16" s="685" t="s">
        <v>79</v>
      </c>
      <c r="Y16" s="686">
        <v>2028</v>
      </c>
      <c r="Z16" s="687">
        <f t="shared" si="7"/>
        <v>0</v>
      </c>
    </row>
    <row r="17" spans="2:26">
      <c r="B17" s="671">
        <f t="shared" si="4"/>
        <v>2023</v>
      </c>
      <c r="C17" s="681">
        <v>45199</v>
      </c>
      <c r="D17" s="682">
        <f t="shared" si="5"/>
        <v>0</v>
      </c>
      <c r="F17" s="671">
        <f t="shared" si="0"/>
        <v>2023</v>
      </c>
      <c r="G17" s="681">
        <v>45199</v>
      </c>
      <c r="H17" s="682">
        <f t="shared" si="6"/>
        <v>0</v>
      </c>
      <c r="J17" s="671">
        <f t="shared" si="1"/>
        <v>2023</v>
      </c>
      <c r="K17" s="683">
        <v>45199</v>
      </c>
      <c r="L17" s="684">
        <f>IF(K17=参数输入表!$I$7,100%,H17)</f>
        <v>0</v>
      </c>
      <c r="N17" s="671">
        <f t="shared" si="2"/>
        <v>2023</v>
      </c>
      <c r="O17" s="681">
        <v>45199</v>
      </c>
      <c r="P17" s="678">
        <f t="shared" si="3"/>
        <v>0</v>
      </c>
      <c r="R17" s="685" t="s">
        <v>487</v>
      </c>
      <c r="S17" s="685" t="s">
        <v>80</v>
      </c>
      <c r="T17" s="686">
        <v>2029</v>
      </c>
      <c r="U17" s="687">
        <f>L92</f>
        <v>0</v>
      </c>
      <c r="W17" s="685" t="s">
        <v>487</v>
      </c>
      <c r="X17" s="685" t="s">
        <v>80</v>
      </c>
      <c r="Y17" s="686">
        <v>2029</v>
      </c>
      <c r="Z17" s="687">
        <f t="shared" si="7"/>
        <v>0</v>
      </c>
    </row>
    <row r="18" spans="2:26">
      <c r="B18" s="671">
        <f t="shared" si="4"/>
        <v>2023</v>
      </c>
      <c r="C18" s="681">
        <v>45230</v>
      </c>
      <c r="D18" s="682">
        <f t="shared" si="5"/>
        <v>0</v>
      </c>
      <c r="F18" s="671">
        <f t="shared" si="0"/>
        <v>2023</v>
      </c>
      <c r="G18" s="681">
        <v>45230</v>
      </c>
      <c r="H18" s="682">
        <f t="shared" si="6"/>
        <v>0</v>
      </c>
      <c r="J18" s="671">
        <f t="shared" si="1"/>
        <v>2023</v>
      </c>
      <c r="K18" s="683">
        <v>45230</v>
      </c>
      <c r="L18" s="684">
        <f>IF(K18=参数输入表!$I$7,100%,H18)</f>
        <v>0</v>
      </c>
      <c r="N18" s="671">
        <f t="shared" si="2"/>
        <v>2023</v>
      </c>
      <c r="O18" s="681">
        <v>45230</v>
      </c>
      <c r="P18" s="678">
        <f t="shared" si="3"/>
        <v>0</v>
      </c>
      <c r="R18" s="685" t="s">
        <v>488</v>
      </c>
      <c r="S18" s="685" t="s">
        <v>81</v>
      </c>
      <c r="T18" s="688">
        <v>2030</v>
      </c>
      <c r="U18" s="689">
        <f>L104</f>
        <v>1</v>
      </c>
      <c r="W18" s="685" t="s">
        <v>488</v>
      </c>
      <c r="X18" s="685" t="s">
        <v>81</v>
      </c>
      <c r="Y18" s="688">
        <v>2030</v>
      </c>
      <c r="Z18" s="689">
        <f t="shared" si="7"/>
        <v>0.416666666666667</v>
      </c>
    </row>
    <row r="19" spans="2:26">
      <c r="B19" s="671">
        <f t="shared" si="4"/>
        <v>2023</v>
      </c>
      <c r="C19" s="681">
        <v>45260</v>
      </c>
      <c r="D19" s="682">
        <f t="shared" si="5"/>
        <v>0</v>
      </c>
      <c r="F19" s="671">
        <f t="shared" si="0"/>
        <v>2023</v>
      </c>
      <c r="G19" s="681">
        <v>45260</v>
      </c>
      <c r="H19" s="682">
        <f t="shared" si="6"/>
        <v>0</v>
      </c>
      <c r="J19" s="671">
        <f t="shared" si="1"/>
        <v>2023</v>
      </c>
      <c r="K19" s="683">
        <v>45260</v>
      </c>
      <c r="L19" s="684">
        <f>IF(K19=参数输入表!$I$7,100%,H19)</f>
        <v>0</v>
      </c>
      <c r="N19" s="671">
        <f t="shared" si="2"/>
        <v>2023</v>
      </c>
      <c r="O19" s="681">
        <v>45260</v>
      </c>
      <c r="P19" s="678">
        <f t="shared" si="3"/>
        <v>0</v>
      </c>
      <c r="S19" s="685" t="s">
        <v>82</v>
      </c>
      <c r="T19" s="690">
        <v>2031</v>
      </c>
      <c r="U19" s="691">
        <f>L116</f>
        <v>1</v>
      </c>
      <c r="X19" s="685" t="s">
        <v>82</v>
      </c>
      <c r="Y19" s="690">
        <v>2031</v>
      </c>
      <c r="Z19" s="691">
        <f t="shared" si="7"/>
        <v>1</v>
      </c>
    </row>
    <row r="20" ht="15.25" spans="2:26">
      <c r="B20" s="671">
        <f t="shared" si="4"/>
        <v>2023</v>
      </c>
      <c r="C20" s="692">
        <v>45291</v>
      </c>
      <c r="D20" s="682">
        <f t="shared" si="5"/>
        <v>0</v>
      </c>
      <c r="F20" s="671">
        <f t="shared" si="0"/>
        <v>2023</v>
      </c>
      <c r="G20" s="692">
        <v>45291</v>
      </c>
      <c r="H20" s="682">
        <f t="shared" si="6"/>
        <v>0</v>
      </c>
      <c r="J20" s="671">
        <f t="shared" si="1"/>
        <v>2023</v>
      </c>
      <c r="K20" s="693">
        <v>45291</v>
      </c>
      <c r="L20" s="684">
        <f>IF(K20=参数输入表!$I$7,100%,H20)</f>
        <v>0</v>
      </c>
      <c r="N20" s="671">
        <f t="shared" si="2"/>
        <v>2023</v>
      </c>
      <c r="O20" s="692">
        <v>45291</v>
      </c>
      <c r="P20" s="678">
        <f t="shared" si="3"/>
        <v>0</v>
      </c>
      <c r="S20" s="685" t="s">
        <v>83</v>
      </c>
      <c r="T20" s="690">
        <v>2032</v>
      </c>
      <c r="U20" s="691">
        <f>L128</f>
        <v>1</v>
      </c>
      <c r="X20" s="685" t="s">
        <v>83</v>
      </c>
      <c r="Y20" s="690">
        <v>2032</v>
      </c>
      <c r="Z20" s="691">
        <f t="shared" ref="Z20:Z58" si="8">SUMIF($N$10:$N$579,Y20,$P$10:$P$579)/12</f>
        <v>1</v>
      </c>
    </row>
    <row r="21" spans="2:26">
      <c r="B21" s="671">
        <f t="shared" si="4"/>
        <v>2024</v>
      </c>
      <c r="C21" s="694">
        <v>45322</v>
      </c>
      <c r="D21" s="682">
        <f t="shared" si="5"/>
        <v>0</v>
      </c>
      <c r="F21" s="671">
        <f t="shared" si="0"/>
        <v>2024</v>
      </c>
      <c r="G21" s="694">
        <v>45322</v>
      </c>
      <c r="H21" s="682">
        <f t="shared" si="6"/>
        <v>0</v>
      </c>
      <c r="J21" s="671">
        <f t="shared" si="1"/>
        <v>2024</v>
      </c>
      <c r="K21" s="695">
        <v>45322</v>
      </c>
      <c r="L21" s="684">
        <f>IF(K21=参数输入表!$I$7,100%,H21)</f>
        <v>0</v>
      </c>
      <c r="N21" s="671">
        <f t="shared" si="2"/>
        <v>2024</v>
      </c>
      <c r="O21" s="677">
        <v>45322</v>
      </c>
      <c r="P21" s="678">
        <f t="shared" si="3"/>
        <v>0</v>
      </c>
      <c r="S21" s="685" t="s">
        <v>84</v>
      </c>
      <c r="T21" s="690">
        <v>2033</v>
      </c>
      <c r="U21" s="691">
        <f>L140</f>
        <v>1</v>
      </c>
      <c r="X21" s="685" t="s">
        <v>84</v>
      </c>
      <c r="Y21" s="690">
        <v>2033</v>
      </c>
      <c r="Z21" s="691">
        <f t="shared" si="8"/>
        <v>1</v>
      </c>
    </row>
    <row r="22" spans="2:26">
      <c r="B22" s="671">
        <f t="shared" si="4"/>
        <v>2024</v>
      </c>
      <c r="C22" s="681">
        <v>45351</v>
      </c>
      <c r="D22" s="682">
        <f t="shared" si="5"/>
        <v>0</v>
      </c>
      <c r="F22" s="671">
        <f t="shared" si="0"/>
        <v>2024</v>
      </c>
      <c r="G22" s="681">
        <v>45351</v>
      </c>
      <c r="H22" s="682">
        <f t="shared" si="6"/>
        <v>0</v>
      </c>
      <c r="J22" s="671">
        <f t="shared" si="1"/>
        <v>2024</v>
      </c>
      <c r="K22" s="683">
        <v>45351</v>
      </c>
      <c r="L22" s="684">
        <f>IF(K22=参数输入表!$I$7,100%,H22)</f>
        <v>0</v>
      </c>
      <c r="N22" s="671">
        <f t="shared" si="2"/>
        <v>2024</v>
      </c>
      <c r="O22" s="681">
        <v>45351</v>
      </c>
      <c r="P22" s="678">
        <f t="shared" si="3"/>
        <v>0</v>
      </c>
      <c r="S22" s="685" t="s">
        <v>85</v>
      </c>
      <c r="T22" s="690">
        <v>2034</v>
      </c>
      <c r="U22" s="691">
        <f>L152</f>
        <v>1</v>
      </c>
      <c r="X22" s="685" t="s">
        <v>85</v>
      </c>
      <c r="Y22" s="690">
        <v>2034</v>
      </c>
      <c r="Z22" s="691">
        <f t="shared" si="8"/>
        <v>1</v>
      </c>
    </row>
    <row r="23" spans="2:26">
      <c r="B23" s="671">
        <f t="shared" si="4"/>
        <v>2024</v>
      </c>
      <c r="C23" s="681">
        <v>45382</v>
      </c>
      <c r="D23" s="682">
        <f t="shared" si="5"/>
        <v>0</v>
      </c>
      <c r="F23" s="671">
        <f t="shared" si="0"/>
        <v>2024</v>
      </c>
      <c r="G23" s="681">
        <v>45382</v>
      </c>
      <c r="H23" s="682">
        <f t="shared" si="6"/>
        <v>0</v>
      </c>
      <c r="J23" s="671">
        <f t="shared" si="1"/>
        <v>2024</v>
      </c>
      <c r="K23" s="683">
        <v>45382</v>
      </c>
      <c r="L23" s="684">
        <f>IF(K23=参数输入表!$I$7,100%,H23)</f>
        <v>0</v>
      </c>
      <c r="N23" s="671">
        <f t="shared" si="2"/>
        <v>2024</v>
      </c>
      <c r="O23" s="681">
        <v>45382</v>
      </c>
      <c r="P23" s="678">
        <f t="shared" si="3"/>
        <v>0</v>
      </c>
      <c r="S23" s="685" t="s">
        <v>86</v>
      </c>
      <c r="T23" s="690">
        <v>2035</v>
      </c>
      <c r="U23" s="691">
        <f>L164</f>
        <v>1</v>
      </c>
      <c r="X23" s="685" t="s">
        <v>86</v>
      </c>
      <c r="Y23" s="690">
        <v>2035</v>
      </c>
      <c r="Z23" s="691">
        <f t="shared" si="8"/>
        <v>1</v>
      </c>
    </row>
    <row r="24" spans="2:26">
      <c r="B24" s="671">
        <f t="shared" si="4"/>
        <v>2024</v>
      </c>
      <c r="C24" s="681">
        <v>45412</v>
      </c>
      <c r="D24" s="682">
        <f t="shared" si="5"/>
        <v>0</v>
      </c>
      <c r="F24" s="671">
        <f t="shared" si="0"/>
        <v>2024</v>
      </c>
      <c r="G24" s="681">
        <v>45412</v>
      </c>
      <c r="H24" s="682">
        <f t="shared" si="6"/>
        <v>0</v>
      </c>
      <c r="J24" s="671">
        <f t="shared" si="1"/>
        <v>2024</v>
      </c>
      <c r="K24" s="683">
        <v>45412</v>
      </c>
      <c r="L24" s="684">
        <f>IF(K24=参数输入表!$I$7,100%,H24)</f>
        <v>0</v>
      </c>
      <c r="N24" s="671">
        <f t="shared" si="2"/>
        <v>2024</v>
      </c>
      <c r="O24" s="681">
        <v>45412</v>
      </c>
      <c r="P24" s="678">
        <f t="shared" si="3"/>
        <v>0</v>
      </c>
      <c r="S24" s="685" t="s">
        <v>87</v>
      </c>
      <c r="T24" s="690">
        <v>2036</v>
      </c>
      <c r="U24" s="691">
        <f>L176</f>
        <v>1</v>
      </c>
      <c r="X24" s="685" t="s">
        <v>87</v>
      </c>
      <c r="Y24" s="690">
        <v>2036</v>
      </c>
      <c r="Z24" s="691">
        <f t="shared" si="8"/>
        <v>1</v>
      </c>
    </row>
    <row r="25" spans="2:26">
      <c r="B25" s="671">
        <f t="shared" si="4"/>
        <v>2024</v>
      </c>
      <c r="C25" s="681">
        <v>45443</v>
      </c>
      <c r="D25" s="682">
        <f t="shared" si="5"/>
        <v>0</v>
      </c>
      <c r="F25" s="671">
        <f t="shared" si="0"/>
        <v>2024</v>
      </c>
      <c r="G25" s="681">
        <v>45443</v>
      </c>
      <c r="H25" s="682">
        <f t="shared" si="6"/>
        <v>0</v>
      </c>
      <c r="J25" s="671">
        <f t="shared" si="1"/>
        <v>2024</v>
      </c>
      <c r="K25" s="683">
        <v>45443</v>
      </c>
      <c r="L25" s="684">
        <f>IF(K25=参数输入表!$I$7,100%,H25)</f>
        <v>0</v>
      </c>
      <c r="N25" s="671">
        <f t="shared" si="2"/>
        <v>2024</v>
      </c>
      <c r="O25" s="681">
        <v>45443</v>
      </c>
      <c r="P25" s="678">
        <f t="shared" si="3"/>
        <v>0</v>
      </c>
      <c r="S25" s="685" t="s">
        <v>88</v>
      </c>
      <c r="T25" s="690">
        <v>2037</v>
      </c>
      <c r="U25" s="691">
        <f>L188</f>
        <v>1</v>
      </c>
      <c r="X25" s="685" t="s">
        <v>88</v>
      </c>
      <c r="Y25" s="690">
        <v>2037</v>
      </c>
      <c r="Z25" s="691">
        <f t="shared" si="8"/>
        <v>1</v>
      </c>
    </row>
    <row r="26" spans="2:26">
      <c r="B26" s="671">
        <f t="shared" si="4"/>
        <v>2024</v>
      </c>
      <c r="C26" s="681">
        <v>45473</v>
      </c>
      <c r="D26" s="682">
        <f t="shared" si="5"/>
        <v>0</v>
      </c>
      <c r="F26" s="671">
        <f t="shared" si="0"/>
        <v>2024</v>
      </c>
      <c r="G26" s="681">
        <v>45473</v>
      </c>
      <c r="H26" s="682">
        <f t="shared" si="6"/>
        <v>0</v>
      </c>
      <c r="J26" s="671">
        <f t="shared" si="1"/>
        <v>2024</v>
      </c>
      <c r="K26" s="683">
        <v>45473</v>
      </c>
      <c r="L26" s="684">
        <f>IF(K26=参数输入表!$I$7,100%,H26)</f>
        <v>0</v>
      </c>
      <c r="N26" s="671">
        <f t="shared" si="2"/>
        <v>2024</v>
      </c>
      <c r="O26" s="681">
        <v>45473</v>
      </c>
      <c r="P26" s="678">
        <f t="shared" si="3"/>
        <v>0</v>
      </c>
      <c r="S26" s="685" t="s">
        <v>89</v>
      </c>
      <c r="T26" s="690">
        <v>2038</v>
      </c>
      <c r="U26" s="691">
        <f>L200</f>
        <v>1</v>
      </c>
      <c r="X26" s="685" t="s">
        <v>89</v>
      </c>
      <c r="Y26" s="690">
        <v>2038</v>
      </c>
      <c r="Z26" s="691">
        <f t="shared" si="8"/>
        <v>1</v>
      </c>
    </row>
    <row r="27" spans="2:26">
      <c r="B27" s="671">
        <f t="shared" si="4"/>
        <v>2024</v>
      </c>
      <c r="C27" s="681">
        <v>45504</v>
      </c>
      <c r="D27" s="682">
        <f t="shared" si="5"/>
        <v>0</v>
      </c>
      <c r="F27" s="671">
        <f t="shared" si="0"/>
        <v>2024</v>
      </c>
      <c r="G27" s="681">
        <v>45504</v>
      </c>
      <c r="H27" s="682">
        <f t="shared" si="6"/>
        <v>0</v>
      </c>
      <c r="J27" s="671">
        <f t="shared" si="1"/>
        <v>2024</v>
      </c>
      <c r="K27" s="683">
        <v>45504</v>
      </c>
      <c r="L27" s="684">
        <f>IF(K27=参数输入表!$I$7,100%,H27)</f>
        <v>0</v>
      </c>
      <c r="N27" s="671">
        <f t="shared" si="2"/>
        <v>2024</v>
      </c>
      <c r="O27" s="681">
        <v>45504</v>
      </c>
      <c r="P27" s="678">
        <f t="shared" si="3"/>
        <v>0</v>
      </c>
      <c r="S27" s="685" t="s">
        <v>90</v>
      </c>
      <c r="T27" s="690">
        <v>2039</v>
      </c>
      <c r="U27" s="691">
        <f>L212</f>
        <v>1</v>
      </c>
      <c r="X27" s="685" t="s">
        <v>90</v>
      </c>
      <c r="Y27" s="690">
        <v>2039</v>
      </c>
      <c r="Z27" s="691">
        <f t="shared" si="8"/>
        <v>1</v>
      </c>
    </row>
    <row r="28" spans="2:26">
      <c r="B28" s="671">
        <f t="shared" si="4"/>
        <v>2024</v>
      </c>
      <c r="C28" s="681">
        <v>45535</v>
      </c>
      <c r="D28" s="682">
        <f t="shared" si="5"/>
        <v>0</v>
      </c>
      <c r="F28" s="671">
        <f t="shared" si="0"/>
        <v>2024</v>
      </c>
      <c r="G28" s="681">
        <v>45535</v>
      </c>
      <c r="H28" s="682">
        <f t="shared" si="6"/>
        <v>0</v>
      </c>
      <c r="J28" s="671">
        <f t="shared" si="1"/>
        <v>2024</v>
      </c>
      <c r="K28" s="683">
        <v>45535</v>
      </c>
      <c r="L28" s="684">
        <f>IF(K28=参数输入表!$I$7,100%,H28)</f>
        <v>0</v>
      </c>
      <c r="N28" s="671">
        <f t="shared" si="2"/>
        <v>2024</v>
      </c>
      <c r="O28" s="681">
        <v>45535</v>
      </c>
      <c r="P28" s="678">
        <f t="shared" si="3"/>
        <v>0</v>
      </c>
      <c r="S28" s="685" t="s">
        <v>91</v>
      </c>
      <c r="T28" s="690">
        <v>2040</v>
      </c>
      <c r="U28" s="691">
        <f>L224</f>
        <v>1</v>
      </c>
      <c r="X28" s="685" t="s">
        <v>91</v>
      </c>
      <c r="Y28" s="690">
        <v>2040</v>
      </c>
      <c r="Z28" s="691">
        <f t="shared" si="8"/>
        <v>1</v>
      </c>
    </row>
    <row r="29" spans="2:26">
      <c r="B29" s="671">
        <f t="shared" si="4"/>
        <v>2024</v>
      </c>
      <c r="C29" s="681">
        <v>45565</v>
      </c>
      <c r="D29" s="682">
        <f t="shared" si="5"/>
        <v>0</v>
      </c>
      <c r="F29" s="671">
        <f t="shared" si="0"/>
        <v>2024</v>
      </c>
      <c r="G29" s="681">
        <v>45565</v>
      </c>
      <c r="H29" s="682">
        <f t="shared" si="6"/>
        <v>0</v>
      </c>
      <c r="J29" s="671">
        <f t="shared" si="1"/>
        <v>2024</v>
      </c>
      <c r="K29" s="683">
        <v>45565</v>
      </c>
      <c r="L29" s="684">
        <f>IF(K29=参数输入表!$I$7,100%,H29)</f>
        <v>0</v>
      </c>
      <c r="N29" s="671">
        <f t="shared" si="2"/>
        <v>2024</v>
      </c>
      <c r="O29" s="681">
        <v>45565</v>
      </c>
      <c r="P29" s="678">
        <f t="shared" si="3"/>
        <v>0</v>
      </c>
      <c r="S29" s="685" t="s">
        <v>92</v>
      </c>
      <c r="T29" s="690">
        <v>2041</v>
      </c>
      <c r="U29" s="691">
        <f>L236</f>
        <v>1</v>
      </c>
      <c r="X29" s="685" t="s">
        <v>92</v>
      </c>
      <c r="Y29" s="690">
        <v>2041</v>
      </c>
      <c r="Z29" s="691">
        <f t="shared" si="8"/>
        <v>1</v>
      </c>
    </row>
    <row r="30" spans="2:26">
      <c r="B30" s="671">
        <f t="shared" si="4"/>
        <v>2024</v>
      </c>
      <c r="C30" s="681">
        <v>45596</v>
      </c>
      <c r="D30" s="682">
        <f t="shared" si="5"/>
        <v>0</v>
      </c>
      <c r="F30" s="671">
        <f t="shared" si="0"/>
        <v>2024</v>
      </c>
      <c r="G30" s="681">
        <v>45596</v>
      </c>
      <c r="H30" s="682">
        <f t="shared" si="6"/>
        <v>0</v>
      </c>
      <c r="J30" s="671">
        <f t="shared" si="1"/>
        <v>2024</v>
      </c>
      <c r="K30" s="683">
        <v>45596</v>
      </c>
      <c r="L30" s="684">
        <f>IF(K30=参数输入表!$I$7,100%,H30)</f>
        <v>0</v>
      </c>
      <c r="N30" s="671">
        <f t="shared" si="2"/>
        <v>2024</v>
      </c>
      <c r="O30" s="681">
        <v>45596</v>
      </c>
      <c r="P30" s="678">
        <f t="shared" si="3"/>
        <v>0</v>
      </c>
      <c r="S30" s="685" t="s">
        <v>93</v>
      </c>
      <c r="T30" s="690">
        <v>2042</v>
      </c>
      <c r="U30" s="691">
        <f>L248</f>
        <v>1</v>
      </c>
      <c r="X30" s="685" t="s">
        <v>93</v>
      </c>
      <c r="Y30" s="690">
        <v>2042</v>
      </c>
      <c r="Z30" s="691">
        <f t="shared" si="8"/>
        <v>1</v>
      </c>
    </row>
    <row r="31" spans="2:26">
      <c r="B31" s="671">
        <f t="shared" si="4"/>
        <v>2024</v>
      </c>
      <c r="C31" s="681">
        <v>45626</v>
      </c>
      <c r="D31" s="682">
        <f t="shared" si="5"/>
        <v>0</v>
      </c>
      <c r="F31" s="671">
        <f t="shared" si="0"/>
        <v>2024</v>
      </c>
      <c r="G31" s="681">
        <v>45626</v>
      </c>
      <c r="H31" s="682">
        <f t="shared" si="6"/>
        <v>0</v>
      </c>
      <c r="J31" s="671">
        <f t="shared" si="1"/>
        <v>2024</v>
      </c>
      <c r="K31" s="683">
        <v>45626</v>
      </c>
      <c r="L31" s="684">
        <f>IF(K31=参数输入表!$I$7,100%,H31)</f>
        <v>0</v>
      </c>
      <c r="N31" s="671">
        <f t="shared" si="2"/>
        <v>2024</v>
      </c>
      <c r="O31" s="681">
        <v>45626</v>
      </c>
      <c r="P31" s="678">
        <f t="shared" si="3"/>
        <v>0</v>
      </c>
      <c r="S31" s="685" t="s">
        <v>94</v>
      </c>
      <c r="T31" s="690">
        <v>2043</v>
      </c>
      <c r="U31" s="691">
        <f>L260</f>
        <v>1</v>
      </c>
      <c r="X31" s="685" t="s">
        <v>94</v>
      </c>
      <c r="Y31" s="690">
        <v>2043</v>
      </c>
      <c r="Z31" s="691">
        <f t="shared" si="8"/>
        <v>1</v>
      </c>
    </row>
    <row r="32" ht="15.25" spans="2:26">
      <c r="B32" s="671">
        <f t="shared" si="4"/>
        <v>2024</v>
      </c>
      <c r="C32" s="692">
        <v>45657</v>
      </c>
      <c r="D32" s="682">
        <f t="shared" si="5"/>
        <v>0</v>
      </c>
      <c r="F32" s="671">
        <f t="shared" si="0"/>
        <v>2024</v>
      </c>
      <c r="G32" s="692">
        <v>45657</v>
      </c>
      <c r="H32" s="682">
        <f t="shared" si="6"/>
        <v>0</v>
      </c>
      <c r="J32" s="671">
        <f t="shared" si="1"/>
        <v>2024</v>
      </c>
      <c r="K32" s="693">
        <v>45657</v>
      </c>
      <c r="L32" s="684">
        <f>IF(K32=参数输入表!$I$7,100%,H32)</f>
        <v>0</v>
      </c>
      <c r="N32" s="671">
        <f t="shared" si="2"/>
        <v>2024</v>
      </c>
      <c r="O32" s="692">
        <v>45657</v>
      </c>
      <c r="P32" s="678">
        <f t="shared" si="3"/>
        <v>0</v>
      </c>
      <c r="S32" s="685" t="s">
        <v>95</v>
      </c>
      <c r="T32" s="690">
        <v>2044</v>
      </c>
      <c r="U32" s="691">
        <f>L272</f>
        <v>1</v>
      </c>
      <c r="X32" s="685" t="s">
        <v>95</v>
      </c>
      <c r="Y32" s="690">
        <v>2044</v>
      </c>
      <c r="Z32" s="691">
        <f t="shared" si="8"/>
        <v>1</v>
      </c>
    </row>
    <row r="33" spans="2:26">
      <c r="B33" s="671">
        <f t="shared" si="4"/>
        <v>2025</v>
      </c>
      <c r="C33" s="694">
        <v>45688</v>
      </c>
      <c r="D33" s="682">
        <f t="shared" si="5"/>
        <v>0</v>
      </c>
      <c r="F33" s="671">
        <f t="shared" si="0"/>
        <v>2025</v>
      </c>
      <c r="G33" s="694">
        <v>45688</v>
      </c>
      <c r="H33" s="682">
        <f t="shared" si="6"/>
        <v>0</v>
      </c>
      <c r="J33" s="671">
        <f t="shared" si="1"/>
        <v>2025</v>
      </c>
      <c r="K33" s="695">
        <v>45688</v>
      </c>
      <c r="L33" s="684">
        <f>IF(K33=参数输入表!$I$7,100%,H33)</f>
        <v>0</v>
      </c>
      <c r="N33" s="671">
        <f t="shared" si="2"/>
        <v>2025</v>
      </c>
      <c r="O33" s="694">
        <v>45688</v>
      </c>
      <c r="P33" s="678">
        <f t="shared" si="3"/>
        <v>0</v>
      </c>
      <c r="S33" s="685" t="s">
        <v>96</v>
      </c>
      <c r="T33" s="690">
        <v>2045</v>
      </c>
      <c r="U33" s="691">
        <f>L284</f>
        <v>1</v>
      </c>
      <c r="X33" s="685" t="s">
        <v>96</v>
      </c>
      <c r="Y33" s="690">
        <v>2045</v>
      </c>
      <c r="Z33" s="691">
        <f t="shared" si="8"/>
        <v>1</v>
      </c>
    </row>
    <row r="34" spans="2:26">
      <c r="B34" s="671">
        <f t="shared" si="4"/>
        <v>2025</v>
      </c>
      <c r="C34" s="681">
        <v>45716</v>
      </c>
      <c r="D34" s="682">
        <f t="shared" si="5"/>
        <v>0</v>
      </c>
      <c r="F34" s="671">
        <f t="shared" si="0"/>
        <v>2025</v>
      </c>
      <c r="G34" s="681">
        <v>45716</v>
      </c>
      <c r="H34" s="682">
        <f t="shared" si="6"/>
        <v>0</v>
      </c>
      <c r="J34" s="671">
        <f t="shared" si="1"/>
        <v>2025</v>
      </c>
      <c r="K34" s="683">
        <v>45716</v>
      </c>
      <c r="L34" s="684">
        <f>IF(K34=参数输入表!$I$7,100%,H34)</f>
        <v>0</v>
      </c>
      <c r="N34" s="671">
        <f t="shared" si="2"/>
        <v>2025</v>
      </c>
      <c r="O34" s="681">
        <v>45716</v>
      </c>
      <c r="P34" s="678">
        <f t="shared" si="3"/>
        <v>0</v>
      </c>
      <c r="S34" s="685" t="s">
        <v>97</v>
      </c>
      <c r="T34" s="690">
        <v>2046</v>
      </c>
      <c r="U34" s="691">
        <f>L296</f>
        <v>1</v>
      </c>
      <c r="X34" s="685" t="s">
        <v>97</v>
      </c>
      <c r="Y34" s="690">
        <v>2046</v>
      </c>
      <c r="Z34" s="691">
        <f t="shared" si="8"/>
        <v>1</v>
      </c>
    </row>
    <row r="35" spans="2:26">
      <c r="B35" s="671">
        <f t="shared" si="4"/>
        <v>2025</v>
      </c>
      <c r="C35" s="681">
        <v>45747</v>
      </c>
      <c r="D35" s="682">
        <f t="shared" si="5"/>
        <v>0</v>
      </c>
      <c r="F35" s="671">
        <f t="shared" si="0"/>
        <v>2025</v>
      </c>
      <c r="G35" s="681">
        <v>45747</v>
      </c>
      <c r="H35" s="682">
        <f t="shared" si="6"/>
        <v>0</v>
      </c>
      <c r="J35" s="671">
        <f t="shared" si="1"/>
        <v>2025</v>
      </c>
      <c r="K35" s="683">
        <v>45747</v>
      </c>
      <c r="L35" s="684">
        <f>IF(K35=参数输入表!$I$7,100%,H35)</f>
        <v>0</v>
      </c>
      <c r="N35" s="671">
        <f t="shared" si="2"/>
        <v>2025</v>
      </c>
      <c r="O35" s="681">
        <v>45747</v>
      </c>
      <c r="P35" s="678">
        <f t="shared" si="3"/>
        <v>0</v>
      </c>
      <c r="S35" s="685" t="s">
        <v>98</v>
      </c>
      <c r="T35" s="690">
        <v>2047</v>
      </c>
      <c r="U35" s="691">
        <f>L308</f>
        <v>1</v>
      </c>
      <c r="X35" s="685" t="s">
        <v>98</v>
      </c>
      <c r="Y35" s="690">
        <v>2047</v>
      </c>
      <c r="Z35" s="691">
        <f t="shared" si="8"/>
        <v>1</v>
      </c>
    </row>
    <row r="36" spans="2:26">
      <c r="B36" s="671">
        <f t="shared" si="4"/>
        <v>2025</v>
      </c>
      <c r="C36" s="681">
        <v>45777</v>
      </c>
      <c r="D36" s="682">
        <f t="shared" si="5"/>
        <v>0</v>
      </c>
      <c r="F36" s="671">
        <f t="shared" si="0"/>
        <v>2025</v>
      </c>
      <c r="G36" s="681">
        <v>45777</v>
      </c>
      <c r="H36" s="682">
        <f t="shared" si="6"/>
        <v>0</v>
      </c>
      <c r="J36" s="671">
        <f t="shared" si="1"/>
        <v>2025</v>
      </c>
      <c r="K36" s="683">
        <v>45777</v>
      </c>
      <c r="L36" s="684">
        <f>IF(K36=参数输入表!$I$7,100%,H36)</f>
        <v>0</v>
      </c>
      <c r="N36" s="671">
        <f t="shared" si="2"/>
        <v>2025</v>
      </c>
      <c r="O36" s="681">
        <v>45777</v>
      </c>
      <c r="P36" s="678">
        <f t="shared" si="3"/>
        <v>0</v>
      </c>
      <c r="S36" s="685" t="s">
        <v>99</v>
      </c>
      <c r="T36" s="690">
        <v>2048</v>
      </c>
      <c r="U36" s="691">
        <f>L320</f>
        <v>1</v>
      </c>
      <c r="X36" s="685" t="s">
        <v>99</v>
      </c>
      <c r="Y36" s="690">
        <v>2048</v>
      </c>
      <c r="Z36" s="691">
        <f t="shared" si="8"/>
        <v>1</v>
      </c>
    </row>
    <row r="37" spans="2:26">
      <c r="B37" s="671">
        <f t="shared" si="4"/>
        <v>2025</v>
      </c>
      <c r="C37" s="681">
        <v>45808</v>
      </c>
      <c r="D37" s="682">
        <f t="shared" si="5"/>
        <v>0</v>
      </c>
      <c r="F37" s="671">
        <f t="shared" si="0"/>
        <v>2025</v>
      </c>
      <c r="G37" s="681">
        <v>45808</v>
      </c>
      <c r="H37" s="682">
        <f t="shared" si="6"/>
        <v>0</v>
      </c>
      <c r="J37" s="671">
        <f t="shared" si="1"/>
        <v>2025</v>
      </c>
      <c r="K37" s="683">
        <v>45808</v>
      </c>
      <c r="L37" s="684">
        <f>IF(K37=参数输入表!$I$7,100%,H37)</f>
        <v>0</v>
      </c>
      <c r="N37" s="671">
        <f t="shared" si="2"/>
        <v>2025</v>
      </c>
      <c r="O37" s="681">
        <v>45808</v>
      </c>
      <c r="P37" s="678">
        <f t="shared" si="3"/>
        <v>0</v>
      </c>
      <c r="S37" s="685" t="s">
        <v>100</v>
      </c>
      <c r="T37" s="690">
        <v>2049</v>
      </c>
      <c r="U37" s="691">
        <f>L332</f>
        <v>1</v>
      </c>
      <c r="X37" s="685" t="s">
        <v>100</v>
      </c>
      <c r="Y37" s="690">
        <v>2049</v>
      </c>
      <c r="Z37" s="691">
        <f t="shared" si="8"/>
        <v>1</v>
      </c>
    </row>
    <row r="38" spans="2:26">
      <c r="B38" s="671">
        <f t="shared" si="4"/>
        <v>2025</v>
      </c>
      <c r="C38" s="681">
        <v>45838</v>
      </c>
      <c r="D38" s="682">
        <f t="shared" si="5"/>
        <v>0</v>
      </c>
      <c r="F38" s="671">
        <f t="shared" si="0"/>
        <v>2025</v>
      </c>
      <c r="G38" s="681">
        <v>45838</v>
      </c>
      <c r="H38" s="682">
        <f t="shared" si="6"/>
        <v>0</v>
      </c>
      <c r="J38" s="671">
        <f t="shared" si="1"/>
        <v>2025</v>
      </c>
      <c r="K38" s="683">
        <v>45838</v>
      </c>
      <c r="L38" s="684">
        <f>IF(K38=参数输入表!$I$7,100%,H38)</f>
        <v>0</v>
      </c>
      <c r="N38" s="671">
        <f t="shared" si="2"/>
        <v>2025</v>
      </c>
      <c r="O38" s="681">
        <v>45838</v>
      </c>
      <c r="P38" s="678">
        <f t="shared" si="3"/>
        <v>0</v>
      </c>
      <c r="S38" s="685" t="s">
        <v>101</v>
      </c>
      <c r="T38" s="690">
        <v>2050</v>
      </c>
      <c r="U38" s="691">
        <f>L344</f>
        <v>1</v>
      </c>
      <c r="X38" s="685" t="s">
        <v>101</v>
      </c>
      <c r="Y38" s="690">
        <v>2050</v>
      </c>
      <c r="Z38" s="691">
        <f t="shared" si="8"/>
        <v>1</v>
      </c>
    </row>
    <row r="39" spans="2:26">
      <c r="B39" s="671">
        <f t="shared" si="4"/>
        <v>2025</v>
      </c>
      <c r="C39" s="681">
        <v>45869</v>
      </c>
      <c r="D39" s="682">
        <f t="shared" si="5"/>
        <v>0</v>
      </c>
      <c r="F39" s="671">
        <f t="shared" si="0"/>
        <v>2025</v>
      </c>
      <c r="G39" s="681">
        <v>45869</v>
      </c>
      <c r="H39" s="682">
        <f t="shared" si="6"/>
        <v>0</v>
      </c>
      <c r="J39" s="671">
        <f t="shared" si="1"/>
        <v>2025</v>
      </c>
      <c r="K39" s="683">
        <v>45869</v>
      </c>
      <c r="L39" s="684">
        <f>IF(K39=参数输入表!$I$7,100%,H39)</f>
        <v>0</v>
      </c>
      <c r="N39" s="671">
        <f t="shared" si="2"/>
        <v>2025</v>
      </c>
      <c r="O39" s="681">
        <v>45869</v>
      </c>
      <c r="P39" s="678">
        <f t="shared" si="3"/>
        <v>0</v>
      </c>
      <c r="S39" s="685" t="s">
        <v>102</v>
      </c>
      <c r="T39" s="690">
        <v>2051</v>
      </c>
      <c r="U39" s="691">
        <f>L356</f>
        <v>1</v>
      </c>
      <c r="X39" s="685" t="s">
        <v>102</v>
      </c>
      <c r="Y39" s="690">
        <v>2051</v>
      </c>
      <c r="Z39" s="691">
        <f t="shared" si="8"/>
        <v>1</v>
      </c>
    </row>
    <row r="40" spans="2:26">
      <c r="B40" s="671">
        <f t="shared" si="4"/>
        <v>2025</v>
      </c>
      <c r="C40" s="681">
        <v>45900</v>
      </c>
      <c r="D40" s="682">
        <f t="shared" si="5"/>
        <v>0</v>
      </c>
      <c r="F40" s="671">
        <f t="shared" si="0"/>
        <v>2025</v>
      </c>
      <c r="G40" s="681">
        <v>45900</v>
      </c>
      <c r="H40" s="682">
        <f t="shared" si="6"/>
        <v>0</v>
      </c>
      <c r="J40" s="671">
        <f t="shared" si="1"/>
        <v>2025</v>
      </c>
      <c r="K40" s="683">
        <v>45900</v>
      </c>
      <c r="L40" s="684">
        <f>IF(K40=参数输入表!$I$7,100%,H40)</f>
        <v>0</v>
      </c>
      <c r="N40" s="671">
        <f t="shared" si="2"/>
        <v>2025</v>
      </c>
      <c r="O40" s="681">
        <v>45900</v>
      </c>
      <c r="P40" s="678">
        <f t="shared" si="3"/>
        <v>0</v>
      </c>
      <c r="S40" s="685" t="s">
        <v>103</v>
      </c>
      <c r="T40" s="690">
        <v>2052</v>
      </c>
      <c r="U40" s="691">
        <f>L368</f>
        <v>1</v>
      </c>
      <c r="X40" s="685" t="s">
        <v>103</v>
      </c>
      <c r="Y40" s="690">
        <v>2052</v>
      </c>
      <c r="Z40" s="691">
        <f t="shared" si="8"/>
        <v>1</v>
      </c>
    </row>
    <row r="41" spans="2:26">
      <c r="B41" s="671">
        <f t="shared" si="4"/>
        <v>2025</v>
      </c>
      <c r="C41" s="681">
        <v>45930</v>
      </c>
      <c r="D41" s="682">
        <f t="shared" si="5"/>
        <v>0</v>
      </c>
      <c r="F41" s="671">
        <f t="shared" si="0"/>
        <v>2025</v>
      </c>
      <c r="G41" s="681">
        <v>45930</v>
      </c>
      <c r="H41" s="682">
        <f t="shared" si="6"/>
        <v>0</v>
      </c>
      <c r="J41" s="671">
        <f t="shared" si="1"/>
        <v>2025</v>
      </c>
      <c r="K41" s="683">
        <v>45930</v>
      </c>
      <c r="L41" s="684">
        <f>IF(K41=参数输入表!$I$7,100%,H41)</f>
        <v>0</v>
      </c>
      <c r="N41" s="671">
        <f t="shared" si="2"/>
        <v>2025</v>
      </c>
      <c r="O41" s="681">
        <v>45930</v>
      </c>
      <c r="P41" s="678">
        <f t="shared" si="3"/>
        <v>0</v>
      </c>
      <c r="S41" s="685" t="s">
        <v>104</v>
      </c>
      <c r="T41" s="690">
        <v>2053</v>
      </c>
      <c r="U41" s="691">
        <f>L380</f>
        <v>1</v>
      </c>
      <c r="X41" s="685" t="s">
        <v>104</v>
      </c>
      <c r="Y41" s="690">
        <v>2053</v>
      </c>
      <c r="Z41" s="691">
        <f t="shared" si="8"/>
        <v>1</v>
      </c>
    </row>
    <row r="42" spans="2:26">
      <c r="B42" s="671">
        <f t="shared" si="4"/>
        <v>2025</v>
      </c>
      <c r="C42" s="681">
        <v>45961</v>
      </c>
      <c r="D42" s="682">
        <f t="shared" si="5"/>
        <v>0</v>
      </c>
      <c r="F42" s="671">
        <f t="shared" si="0"/>
        <v>2025</v>
      </c>
      <c r="G42" s="681">
        <v>45961</v>
      </c>
      <c r="H42" s="682">
        <f t="shared" si="6"/>
        <v>0</v>
      </c>
      <c r="J42" s="671">
        <f t="shared" si="1"/>
        <v>2025</v>
      </c>
      <c r="K42" s="683">
        <v>45961</v>
      </c>
      <c r="L42" s="684">
        <f>IF(K42=参数输入表!$I$7,100%,H42)</f>
        <v>0</v>
      </c>
      <c r="N42" s="671">
        <f t="shared" si="2"/>
        <v>2025</v>
      </c>
      <c r="O42" s="681">
        <v>45961</v>
      </c>
      <c r="P42" s="678">
        <f t="shared" si="3"/>
        <v>0</v>
      </c>
      <c r="S42" s="685" t="s">
        <v>105</v>
      </c>
      <c r="T42" s="690">
        <v>2054</v>
      </c>
      <c r="U42" s="691">
        <f>L392</f>
        <v>1</v>
      </c>
      <c r="X42" s="685" t="s">
        <v>105</v>
      </c>
      <c r="Y42" s="690">
        <v>2054</v>
      </c>
      <c r="Z42" s="691">
        <f t="shared" si="8"/>
        <v>1</v>
      </c>
    </row>
    <row r="43" spans="2:26">
      <c r="B43" s="671">
        <f t="shared" si="4"/>
        <v>2025</v>
      </c>
      <c r="C43" s="681">
        <v>45991</v>
      </c>
      <c r="D43" s="682">
        <f t="shared" si="5"/>
        <v>0</v>
      </c>
      <c r="F43" s="671">
        <f t="shared" si="0"/>
        <v>2025</v>
      </c>
      <c r="G43" s="681">
        <v>45991</v>
      </c>
      <c r="H43" s="682">
        <f t="shared" si="6"/>
        <v>0</v>
      </c>
      <c r="J43" s="671">
        <f t="shared" si="1"/>
        <v>2025</v>
      </c>
      <c r="K43" s="683">
        <v>45991</v>
      </c>
      <c r="L43" s="684">
        <f>IF(K43=参数输入表!$I$7,100%,H43)</f>
        <v>0</v>
      </c>
      <c r="N43" s="671">
        <f t="shared" si="2"/>
        <v>2025</v>
      </c>
      <c r="O43" s="681">
        <v>45991</v>
      </c>
      <c r="P43" s="678">
        <f t="shared" si="3"/>
        <v>0</v>
      </c>
      <c r="S43" s="685" t="s">
        <v>106</v>
      </c>
      <c r="T43" s="690">
        <v>2055</v>
      </c>
      <c r="U43" s="691">
        <f>L404</f>
        <v>1</v>
      </c>
      <c r="X43" s="685" t="s">
        <v>106</v>
      </c>
      <c r="Y43" s="690">
        <v>2055</v>
      </c>
      <c r="Z43" s="691">
        <f t="shared" si="8"/>
        <v>1</v>
      </c>
    </row>
    <row r="44" ht="15.25" spans="2:26">
      <c r="B44" s="671">
        <f t="shared" si="4"/>
        <v>2025</v>
      </c>
      <c r="C44" s="692">
        <v>46022</v>
      </c>
      <c r="D44" s="682">
        <f t="shared" si="5"/>
        <v>0</v>
      </c>
      <c r="F44" s="671">
        <f t="shared" si="0"/>
        <v>2025</v>
      </c>
      <c r="G44" s="692">
        <v>46022</v>
      </c>
      <c r="H44" s="682">
        <f t="shared" si="6"/>
        <v>0</v>
      </c>
      <c r="J44" s="671">
        <f t="shared" si="1"/>
        <v>2025</v>
      </c>
      <c r="K44" s="693">
        <v>46022</v>
      </c>
      <c r="L44" s="684">
        <f>IF(K44=参数输入表!$I$7,100%,H44)</f>
        <v>0</v>
      </c>
      <c r="N44" s="671">
        <f t="shared" si="2"/>
        <v>2025</v>
      </c>
      <c r="O44" s="692">
        <v>46022</v>
      </c>
      <c r="P44" s="678">
        <f t="shared" si="3"/>
        <v>0</v>
      </c>
      <c r="S44" s="685" t="s">
        <v>107</v>
      </c>
      <c r="T44" s="690">
        <v>2056</v>
      </c>
      <c r="U44" s="691">
        <f>L416</f>
        <v>1</v>
      </c>
      <c r="X44" s="685" t="s">
        <v>107</v>
      </c>
      <c r="Y44" s="690">
        <v>2056</v>
      </c>
      <c r="Z44" s="691">
        <f t="shared" si="8"/>
        <v>1</v>
      </c>
    </row>
    <row r="45" spans="2:26">
      <c r="B45" s="671">
        <f t="shared" si="4"/>
        <v>2026</v>
      </c>
      <c r="C45" s="694">
        <v>46053</v>
      </c>
      <c r="D45" s="682">
        <f t="shared" si="5"/>
        <v>0</v>
      </c>
      <c r="F45" s="671">
        <f t="shared" si="0"/>
        <v>2026</v>
      </c>
      <c r="G45" s="694">
        <v>46053</v>
      </c>
      <c r="H45" s="682">
        <f t="shared" si="6"/>
        <v>0</v>
      </c>
      <c r="J45" s="671">
        <f t="shared" si="1"/>
        <v>2026</v>
      </c>
      <c r="K45" s="695">
        <v>46053</v>
      </c>
      <c r="L45" s="684">
        <f>IF(K45=参数输入表!$I$7,100%,H45)</f>
        <v>0</v>
      </c>
      <c r="N45" s="671">
        <f t="shared" si="2"/>
        <v>2026</v>
      </c>
      <c r="O45" s="694">
        <v>46053</v>
      </c>
      <c r="P45" s="678">
        <f t="shared" si="3"/>
        <v>0</v>
      </c>
      <c r="S45" s="685" t="s">
        <v>108</v>
      </c>
      <c r="T45" s="690">
        <v>2057</v>
      </c>
      <c r="U45" s="691">
        <f>L428</f>
        <v>1</v>
      </c>
      <c r="X45" s="685" t="s">
        <v>108</v>
      </c>
      <c r="Y45" s="690">
        <v>2057</v>
      </c>
      <c r="Z45" s="691">
        <f t="shared" si="8"/>
        <v>1</v>
      </c>
    </row>
    <row r="46" spans="2:26">
      <c r="B46" s="671">
        <f t="shared" si="4"/>
        <v>2026</v>
      </c>
      <c r="C46" s="681">
        <v>46081</v>
      </c>
      <c r="D46" s="682">
        <f t="shared" si="5"/>
        <v>0</v>
      </c>
      <c r="F46" s="671">
        <f t="shared" si="0"/>
        <v>2026</v>
      </c>
      <c r="G46" s="681">
        <v>46081</v>
      </c>
      <c r="H46" s="682">
        <f t="shared" si="6"/>
        <v>0</v>
      </c>
      <c r="J46" s="671">
        <f t="shared" si="1"/>
        <v>2026</v>
      </c>
      <c r="K46" s="683">
        <v>46081</v>
      </c>
      <c r="L46" s="684">
        <f>IF(K46=参数输入表!$I$7,100%,H46)</f>
        <v>0</v>
      </c>
      <c r="N46" s="671">
        <f t="shared" si="2"/>
        <v>2026</v>
      </c>
      <c r="O46" s="681">
        <v>46081</v>
      </c>
      <c r="P46" s="678">
        <f t="shared" si="3"/>
        <v>0</v>
      </c>
      <c r="S46" s="685" t="s">
        <v>109</v>
      </c>
      <c r="T46" s="690">
        <v>2058</v>
      </c>
      <c r="U46" s="691">
        <f>L440</f>
        <v>1</v>
      </c>
      <c r="X46" s="685" t="s">
        <v>109</v>
      </c>
      <c r="Y46" s="690">
        <v>2058</v>
      </c>
      <c r="Z46" s="691">
        <f t="shared" si="8"/>
        <v>1</v>
      </c>
    </row>
    <row r="47" spans="2:26">
      <c r="B47" s="671">
        <f t="shared" si="4"/>
        <v>2026</v>
      </c>
      <c r="C47" s="681">
        <v>46112</v>
      </c>
      <c r="D47" s="682">
        <f t="shared" si="5"/>
        <v>0</v>
      </c>
      <c r="F47" s="671">
        <f t="shared" si="0"/>
        <v>2026</v>
      </c>
      <c r="G47" s="681">
        <v>46112</v>
      </c>
      <c r="H47" s="682">
        <f t="shared" si="6"/>
        <v>0</v>
      </c>
      <c r="J47" s="671">
        <f t="shared" si="1"/>
        <v>2026</v>
      </c>
      <c r="K47" s="683">
        <v>46112</v>
      </c>
      <c r="L47" s="684">
        <f>IF(K47=参数输入表!$I$7,100%,H47)</f>
        <v>0</v>
      </c>
      <c r="N47" s="671">
        <f t="shared" si="2"/>
        <v>2026</v>
      </c>
      <c r="O47" s="681">
        <v>46112</v>
      </c>
      <c r="P47" s="678">
        <f t="shared" si="3"/>
        <v>0</v>
      </c>
      <c r="S47" s="685" t="s">
        <v>110</v>
      </c>
      <c r="T47" s="690">
        <v>2059</v>
      </c>
      <c r="U47" s="691">
        <f>L452</f>
        <v>1</v>
      </c>
      <c r="X47" s="685" t="s">
        <v>110</v>
      </c>
      <c r="Y47" s="690">
        <v>2059</v>
      </c>
      <c r="Z47" s="691">
        <f t="shared" si="8"/>
        <v>1</v>
      </c>
    </row>
    <row r="48" spans="2:26">
      <c r="B48" s="671">
        <f t="shared" si="4"/>
        <v>2026</v>
      </c>
      <c r="C48" s="681">
        <v>46142</v>
      </c>
      <c r="D48" s="682">
        <f t="shared" si="5"/>
        <v>0</v>
      </c>
      <c r="F48" s="671">
        <f t="shared" si="0"/>
        <v>2026</v>
      </c>
      <c r="G48" s="681">
        <v>46142</v>
      </c>
      <c r="H48" s="682">
        <f t="shared" si="6"/>
        <v>0</v>
      </c>
      <c r="J48" s="671">
        <f t="shared" si="1"/>
        <v>2026</v>
      </c>
      <c r="K48" s="683">
        <v>46142</v>
      </c>
      <c r="L48" s="684">
        <f>IF(K48=参数输入表!$I$7,100%,H48)</f>
        <v>0</v>
      </c>
      <c r="N48" s="671">
        <f t="shared" si="2"/>
        <v>2026</v>
      </c>
      <c r="O48" s="681">
        <v>46142</v>
      </c>
      <c r="P48" s="678">
        <f t="shared" si="3"/>
        <v>0</v>
      </c>
      <c r="S48" s="685" t="s">
        <v>111</v>
      </c>
      <c r="T48" s="690">
        <v>2060</v>
      </c>
      <c r="U48" s="691">
        <f>L464</f>
        <v>1</v>
      </c>
      <c r="X48" s="685" t="s">
        <v>111</v>
      </c>
      <c r="Y48" s="690">
        <v>2060</v>
      </c>
      <c r="Z48" s="691">
        <f t="shared" si="8"/>
        <v>1</v>
      </c>
    </row>
    <row r="49" spans="2:26">
      <c r="B49" s="671">
        <f t="shared" si="4"/>
        <v>2026</v>
      </c>
      <c r="C49" s="681">
        <v>46173</v>
      </c>
      <c r="D49" s="682">
        <f t="shared" si="5"/>
        <v>0</v>
      </c>
      <c r="F49" s="671">
        <f t="shared" si="0"/>
        <v>2026</v>
      </c>
      <c r="G49" s="681">
        <v>46173</v>
      </c>
      <c r="H49" s="682">
        <f t="shared" si="6"/>
        <v>0</v>
      </c>
      <c r="J49" s="671">
        <f t="shared" si="1"/>
        <v>2026</v>
      </c>
      <c r="K49" s="683">
        <v>46173</v>
      </c>
      <c r="L49" s="684">
        <f>IF(K49=参数输入表!$I$7,100%,H49)</f>
        <v>0</v>
      </c>
      <c r="N49" s="671">
        <f t="shared" si="2"/>
        <v>2026</v>
      </c>
      <c r="O49" s="681">
        <v>46173</v>
      </c>
      <c r="P49" s="678">
        <f t="shared" si="3"/>
        <v>0</v>
      </c>
      <c r="S49" s="685" t="s">
        <v>112</v>
      </c>
      <c r="T49" s="690">
        <v>2061</v>
      </c>
      <c r="U49" s="691">
        <f>L476</f>
        <v>1</v>
      </c>
      <c r="X49" s="685" t="s">
        <v>112</v>
      </c>
      <c r="Y49" s="690">
        <v>2061</v>
      </c>
      <c r="Z49" s="691">
        <f t="shared" si="8"/>
        <v>1</v>
      </c>
    </row>
    <row r="50" spans="2:26">
      <c r="B50" s="671">
        <f t="shared" si="4"/>
        <v>2026</v>
      </c>
      <c r="C50" s="681">
        <v>46203</v>
      </c>
      <c r="D50" s="682">
        <f t="shared" si="5"/>
        <v>0</v>
      </c>
      <c r="F50" s="671">
        <f t="shared" si="0"/>
        <v>2026</v>
      </c>
      <c r="G50" s="681">
        <v>46203</v>
      </c>
      <c r="H50" s="682">
        <f t="shared" si="6"/>
        <v>0</v>
      </c>
      <c r="J50" s="671">
        <f t="shared" si="1"/>
        <v>2026</v>
      </c>
      <c r="K50" s="683">
        <v>46203</v>
      </c>
      <c r="L50" s="684">
        <f>IF(K50=参数输入表!$I$7,100%,H50)</f>
        <v>0</v>
      </c>
      <c r="N50" s="671">
        <f t="shared" si="2"/>
        <v>2026</v>
      </c>
      <c r="O50" s="681">
        <v>46203</v>
      </c>
      <c r="P50" s="678">
        <f t="shared" si="3"/>
        <v>0</v>
      </c>
      <c r="S50" s="685" t="s">
        <v>113</v>
      </c>
      <c r="T50" s="690">
        <v>2062</v>
      </c>
      <c r="U50" s="691">
        <f>L488</f>
        <v>1</v>
      </c>
      <c r="X50" s="685" t="s">
        <v>113</v>
      </c>
      <c r="Y50" s="690">
        <v>2062</v>
      </c>
      <c r="Z50" s="691">
        <f t="shared" si="8"/>
        <v>1</v>
      </c>
    </row>
    <row r="51" spans="2:26">
      <c r="B51" s="671">
        <f t="shared" si="4"/>
        <v>2026</v>
      </c>
      <c r="C51" s="681">
        <v>46234</v>
      </c>
      <c r="D51" s="682">
        <f t="shared" si="5"/>
        <v>0</v>
      </c>
      <c r="F51" s="671">
        <f t="shared" si="0"/>
        <v>2026</v>
      </c>
      <c r="G51" s="681">
        <v>46234</v>
      </c>
      <c r="H51" s="682">
        <f t="shared" si="6"/>
        <v>0</v>
      </c>
      <c r="J51" s="671">
        <f t="shared" si="1"/>
        <v>2026</v>
      </c>
      <c r="K51" s="683">
        <v>46234</v>
      </c>
      <c r="L51" s="684">
        <f>IF(K51=参数输入表!$I$7,100%,H51)</f>
        <v>0</v>
      </c>
      <c r="N51" s="671">
        <f t="shared" si="2"/>
        <v>2026</v>
      </c>
      <c r="O51" s="681">
        <v>46234</v>
      </c>
      <c r="P51" s="678">
        <f t="shared" si="3"/>
        <v>0</v>
      </c>
      <c r="S51" s="685" t="s">
        <v>114</v>
      </c>
      <c r="T51" s="690">
        <v>2063</v>
      </c>
      <c r="U51" s="691">
        <f>L500</f>
        <v>1</v>
      </c>
      <c r="X51" s="685" t="s">
        <v>114</v>
      </c>
      <c r="Y51" s="690">
        <v>2063</v>
      </c>
      <c r="Z51" s="691">
        <f t="shared" si="8"/>
        <v>1</v>
      </c>
    </row>
    <row r="52" spans="2:26">
      <c r="B52" s="671">
        <f t="shared" si="4"/>
        <v>2026</v>
      </c>
      <c r="C52" s="681">
        <v>46265</v>
      </c>
      <c r="D52" s="682">
        <f t="shared" si="5"/>
        <v>0</v>
      </c>
      <c r="F52" s="671">
        <f t="shared" si="0"/>
        <v>2026</v>
      </c>
      <c r="G52" s="681">
        <v>46265</v>
      </c>
      <c r="H52" s="682">
        <f t="shared" si="6"/>
        <v>0</v>
      </c>
      <c r="J52" s="671">
        <f t="shared" si="1"/>
        <v>2026</v>
      </c>
      <c r="K52" s="683">
        <v>46265</v>
      </c>
      <c r="L52" s="684">
        <f>IF(K52=参数输入表!$I$7,100%,H52)</f>
        <v>0</v>
      </c>
      <c r="N52" s="671">
        <f t="shared" si="2"/>
        <v>2026</v>
      </c>
      <c r="O52" s="681">
        <v>46265</v>
      </c>
      <c r="P52" s="678">
        <f t="shared" si="3"/>
        <v>0</v>
      </c>
      <c r="S52" s="685" t="s">
        <v>115</v>
      </c>
      <c r="T52" s="690">
        <v>2064</v>
      </c>
      <c r="U52" s="691">
        <f>L512</f>
        <v>1</v>
      </c>
      <c r="X52" s="685" t="s">
        <v>115</v>
      </c>
      <c r="Y52" s="690">
        <v>2064</v>
      </c>
      <c r="Z52" s="691">
        <f t="shared" si="8"/>
        <v>1</v>
      </c>
    </row>
    <row r="53" spans="2:26">
      <c r="B53" s="671">
        <f t="shared" si="4"/>
        <v>2026</v>
      </c>
      <c r="C53" s="681">
        <v>46295</v>
      </c>
      <c r="D53" s="682">
        <f t="shared" si="5"/>
        <v>0</v>
      </c>
      <c r="F53" s="671">
        <f t="shared" si="0"/>
        <v>2026</v>
      </c>
      <c r="G53" s="681">
        <v>46295</v>
      </c>
      <c r="H53" s="682">
        <f t="shared" si="6"/>
        <v>0</v>
      </c>
      <c r="J53" s="671">
        <f t="shared" si="1"/>
        <v>2026</v>
      </c>
      <c r="K53" s="683">
        <v>46295</v>
      </c>
      <c r="L53" s="684">
        <f>IF(K53=参数输入表!$I$7,100%,H53)</f>
        <v>0</v>
      </c>
      <c r="N53" s="671">
        <f t="shared" si="2"/>
        <v>2026</v>
      </c>
      <c r="O53" s="681">
        <v>46295</v>
      </c>
      <c r="P53" s="678">
        <f t="shared" si="3"/>
        <v>0</v>
      </c>
      <c r="S53" s="685" t="s">
        <v>116</v>
      </c>
      <c r="T53" s="690">
        <v>2065</v>
      </c>
      <c r="U53" s="691">
        <f>L524</f>
        <v>1</v>
      </c>
      <c r="X53" s="685" t="s">
        <v>116</v>
      </c>
      <c r="Y53" s="690">
        <v>2065</v>
      </c>
      <c r="Z53" s="691">
        <f t="shared" si="8"/>
        <v>1</v>
      </c>
    </row>
    <row r="54" spans="2:26">
      <c r="B54" s="671">
        <f t="shared" si="4"/>
        <v>2026</v>
      </c>
      <c r="C54" s="681">
        <v>46326</v>
      </c>
      <c r="D54" s="682">
        <f t="shared" si="5"/>
        <v>0</v>
      </c>
      <c r="F54" s="671">
        <f t="shared" si="0"/>
        <v>2026</v>
      </c>
      <c r="G54" s="681">
        <v>46326</v>
      </c>
      <c r="H54" s="682">
        <f t="shared" si="6"/>
        <v>0</v>
      </c>
      <c r="J54" s="671">
        <f t="shared" si="1"/>
        <v>2026</v>
      </c>
      <c r="K54" s="683">
        <v>46326</v>
      </c>
      <c r="L54" s="684">
        <f>IF(K54=参数输入表!$I$7,100%,H54)</f>
        <v>0</v>
      </c>
      <c r="N54" s="671">
        <f t="shared" si="2"/>
        <v>2026</v>
      </c>
      <c r="O54" s="681">
        <v>46326</v>
      </c>
      <c r="P54" s="678">
        <f t="shared" si="3"/>
        <v>0</v>
      </c>
      <c r="S54" s="685" t="s">
        <v>117</v>
      </c>
      <c r="T54" s="690">
        <v>2066</v>
      </c>
      <c r="U54" s="691">
        <f>L536</f>
        <v>1</v>
      </c>
      <c r="X54" s="685" t="s">
        <v>117</v>
      </c>
      <c r="Y54" s="690">
        <v>2066</v>
      </c>
      <c r="Z54" s="691">
        <f t="shared" si="8"/>
        <v>1</v>
      </c>
    </row>
    <row r="55" spans="2:26">
      <c r="B55" s="671">
        <f t="shared" si="4"/>
        <v>2026</v>
      </c>
      <c r="C55" s="681">
        <v>46356</v>
      </c>
      <c r="D55" s="682">
        <f t="shared" si="5"/>
        <v>0</v>
      </c>
      <c r="F55" s="671">
        <f t="shared" si="0"/>
        <v>2026</v>
      </c>
      <c r="G55" s="681">
        <v>46356</v>
      </c>
      <c r="H55" s="682">
        <f t="shared" si="6"/>
        <v>0</v>
      </c>
      <c r="J55" s="671">
        <f t="shared" si="1"/>
        <v>2026</v>
      </c>
      <c r="K55" s="683">
        <v>46356</v>
      </c>
      <c r="L55" s="684">
        <f>IF(K55=参数输入表!$I$7,100%,H55)</f>
        <v>0</v>
      </c>
      <c r="N55" s="671">
        <f t="shared" si="2"/>
        <v>2026</v>
      </c>
      <c r="O55" s="681">
        <v>46356</v>
      </c>
      <c r="P55" s="678">
        <f t="shared" si="3"/>
        <v>0</v>
      </c>
      <c r="S55" s="685" t="s">
        <v>118</v>
      </c>
      <c r="T55" s="690">
        <v>2067</v>
      </c>
      <c r="U55" s="691">
        <f>L548</f>
        <v>1</v>
      </c>
      <c r="X55" s="685" t="s">
        <v>118</v>
      </c>
      <c r="Y55" s="690">
        <v>2067</v>
      </c>
      <c r="Z55" s="691">
        <f t="shared" si="8"/>
        <v>1</v>
      </c>
    </row>
    <row r="56" ht="15.25" spans="2:26">
      <c r="B56" s="671">
        <f t="shared" si="4"/>
        <v>2026</v>
      </c>
      <c r="C56" s="692">
        <v>46387</v>
      </c>
      <c r="D56" s="682">
        <f t="shared" si="5"/>
        <v>0</v>
      </c>
      <c r="F56" s="671">
        <f t="shared" si="0"/>
        <v>2026</v>
      </c>
      <c r="G56" s="692">
        <v>46387</v>
      </c>
      <c r="H56" s="682">
        <f t="shared" si="6"/>
        <v>0</v>
      </c>
      <c r="J56" s="671">
        <f t="shared" si="1"/>
        <v>2026</v>
      </c>
      <c r="K56" s="693">
        <v>46387</v>
      </c>
      <c r="L56" s="684">
        <f>IF(K56=参数输入表!$I$7,100%,H56)</f>
        <v>0</v>
      </c>
      <c r="N56" s="671">
        <f t="shared" si="2"/>
        <v>2026</v>
      </c>
      <c r="O56" s="692">
        <v>46387</v>
      </c>
      <c r="P56" s="678">
        <f t="shared" si="3"/>
        <v>0</v>
      </c>
      <c r="S56" s="685" t="s">
        <v>119</v>
      </c>
      <c r="T56" s="690">
        <v>2068</v>
      </c>
      <c r="U56" s="691">
        <f>L560</f>
        <v>1</v>
      </c>
      <c r="X56" s="685" t="s">
        <v>119</v>
      </c>
      <c r="Y56" s="690">
        <v>2068</v>
      </c>
      <c r="Z56" s="691">
        <f t="shared" si="8"/>
        <v>1</v>
      </c>
    </row>
    <row r="57" spans="2:26">
      <c r="B57" s="671">
        <f t="shared" si="4"/>
        <v>2027</v>
      </c>
      <c r="C57" s="694">
        <v>46418</v>
      </c>
      <c r="D57" s="682">
        <f t="shared" si="5"/>
        <v>0</v>
      </c>
      <c r="F57" s="671">
        <f t="shared" si="0"/>
        <v>2027</v>
      </c>
      <c r="G57" s="694">
        <v>46418</v>
      </c>
      <c r="H57" s="682">
        <f t="shared" si="6"/>
        <v>0</v>
      </c>
      <c r="J57" s="671">
        <f t="shared" si="1"/>
        <v>2027</v>
      </c>
      <c r="K57" s="695">
        <v>46418</v>
      </c>
      <c r="L57" s="684">
        <f>IF(K57=参数输入表!$I$7,100%,H57)</f>
        <v>0</v>
      </c>
      <c r="N57" s="671">
        <f t="shared" si="2"/>
        <v>2027</v>
      </c>
      <c r="O57" s="694">
        <v>46418</v>
      </c>
      <c r="P57" s="678">
        <f t="shared" si="3"/>
        <v>0</v>
      </c>
      <c r="S57" s="685" t="s">
        <v>120</v>
      </c>
      <c r="T57" s="690">
        <v>2069</v>
      </c>
      <c r="U57" s="691">
        <f>L572</f>
        <v>1</v>
      </c>
      <c r="X57" s="685" t="s">
        <v>120</v>
      </c>
      <c r="Y57" s="690">
        <v>2069</v>
      </c>
      <c r="Z57" s="691">
        <f t="shared" si="8"/>
        <v>1</v>
      </c>
    </row>
    <row r="58" spans="2:26">
      <c r="B58" s="671">
        <f t="shared" si="4"/>
        <v>2027</v>
      </c>
      <c r="C58" s="681">
        <v>46446</v>
      </c>
      <c r="D58" s="682">
        <f t="shared" si="5"/>
        <v>0</v>
      </c>
      <c r="F58" s="671">
        <f t="shared" si="0"/>
        <v>2027</v>
      </c>
      <c r="G58" s="681">
        <v>46446</v>
      </c>
      <c r="H58" s="682">
        <f t="shared" si="6"/>
        <v>0</v>
      </c>
      <c r="J58" s="671">
        <f t="shared" si="1"/>
        <v>2027</v>
      </c>
      <c r="K58" s="683">
        <v>46446</v>
      </c>
      <c r="L58" s="684">
        <f>IF(K58=参数输入表!$I$7,100%,H58)</f>
        <v>0</v>
      </c>
      <c r="N58" s="671">
        <f t="shared" si="2"/>
        <v>2027</v>
      </c>
      <c r="O58" s="681">
        <v>46446</v>
      </c>
      <c r="P58" s="678">
        <f t="shared" si="3"/>
        <v>0</v>
      </c>
      <c r="S58" s="685" t="s">
        <v>121</v>
      </c>
      <c r="T58" s="690">
        <v>2070</v>
      </c>
      <c r="U58" s="691">
        <f>L579</f>
        <v>1</v>
      </c>
      <c r="X58" s="685" t="s">
        <v>121</v>
      </c>
      <c r="Y58" s="690">
        <v>2070</v>
      </c>
      <c r="Z58" s="691">
        <f t="shared" si="8"/>
        <v>0.583333333333333</v>
      </c>
    </row>
    <row r="59" spans="2:26">
      <c r="B59" s="671">
        <f t="shared" si="4"/>
        <v>2027</v>
      </c>
      <c r="C59" s="681">
        <v>46477</v>
      </c>
      <c r="D59" s="682">
        <f t="shared" si="5"/>
        <v>0</v>
      </c>
      <c r="F59" s="671">
        <f t="shared" si="0"/>
        <v>2027</v>
      </c>
      <c r="G59" s="681">
        <v>46477</v>
      </c>
      <c r="H59" s="682">
        <f t="shared" si="6"/>
        <v>0</v>
      </c>
      <c r="J59" s="671">
        <f t="shared" si="1"/>
        <v>2027</v>
      </c>
      <c r="K59" s="683">
        <v>46477</v>
      </c>
      <c r="L59" s="684">
        <f>IF(K59=参数输入表!$I$7,100%,H59)</f>
        <v>0</v>
      </c>
      <c r="N59" s="671">
        <f t="shared" si="2"/>
        <v>2027</v>
      </c>
      <c r="O59" s="681">
        <v>46477</v>
      </c>
      <c r="P59" s="678">
        <f t="shared" si="3"/>
        <v>0</v>
      </c>
    </row>
    <row r="60" spans="2:26">
      <c r="B60" s="671">
        <f t="shared" si="4"/>
        <v>2027</v>
      </c>
      <c r="C60" s="681">
        <v>46507</v>
      </c>
      <c r="D60" s="682">
        <f t="shared" si="5"/>
        <v>0</v>
      </c>
      <c r="F60" s="671">
        <f t="shared" si="0"/>
        <v>2027</v>
      </c>
      <c r="G60" s="681">
        <v>46507</v>
      </c>
      <c r="H60" s="682">
        <f t="shared" si="6"/>
        <v>0</v>
      </c>
      <c r="J60" s="671">
        <f t="shared" si="1"/>
        <v>2027</v>
      </c>
      <c r="K60" s="683">
        <v>46507</v>
      </c>
      <c r="L60" s="684">
        <f>IF(K60=参数输入表!$I$7,100%,H60)</f>
        <v>0</v>
      </c>
      <c r="N60" s="671">
        <f t="shared" si="2"/>
        <v>2027</v>
      </c>
      <c r="O60" s="681">
        <v>46507</v>
      </c>
      <c r="P60" s="678">
        <f t="shared" si="3"/>
        <v>0</v>
      </c>
    </row>
    <row r="61" spans="2:26">
      <c r="B61" s="671">
        <f t="shared" si="4"/>
        <v>2027</v>
      </c>
      <c r="C61" s="681">
        <v>46538</v>
      </c>
      <c r="D61" s="682">
        <f t="shared" si="5"/>
        <v>0</v>
      </c>
      <c r="F61" s="671">
        <f t="shared" si="0"/>
        <v>2027</v>
      </c>
      <c r="G61" s="681">
        <v>46538</v>
      </c>
      <c r="H61" s="682">
        <f t="shared" si="6"/>
        <v>0</v>
      </c>
      <c r="J61" s="671">
        <f t="shared" si="1"/>
        <v>2027</v>
      </c>
      <c r="K61" s="683">
        <v>46538</v>
      </c>
      <c r="L61" s="684">
        <f>IF(K61=参数输入表!$I$7,100%,H61)</f>
        <v>0</v>
      </c>
      <c r="N61" s="671">
        <f t="shared" si="2"/>
        <v>2027</v>
      </c>
      <c r="O61" s="681">
        <v>46538</v>
      </c>
      <c r="P61" s="678">
        <f t="shared" si="3"/>
        <v>0</v>
      </c>
    </row>
    <row r="62" spans="2:26">
      <c r="B62" s="671">
        <f t="shared" si="4"/>
        <v>2027</v>
      </c>
      <c r="C62" s="681">
        <v>46568</v>
      </c>
      <c r="D62" s="682">
        <f t="shared" si="5"/>
        <v>0</v>
      </c>
      <c r="F62" s="671">
        <f t="shared" si="0"/>
        <v>2027</v>
      </c>
      <c r="G62" s="681">
        <v>46568</v>
      </c>
      <c r="H62" s="682">
        <f t="shared" si="6"/>
        <v>0</v>
      </c>
      <c r="J62" s="671">
        <f t="shared" si="1"/>
        <v>2027</v>
      </c>
      <c r="K62" s="683">
        <v>46568</v>
      </c>
      <c r="L62" s="684">
        <f>IF(K62=参数输入表!$I$7,100%,H62)</f>
        <v>0</v>
      </c>
      <c r="N62" s="671">
        <f t="shared" si="2"/>
        <v>2027</v>
      </c>
      <c r="O62" s="681">
        <v>46568</v>
      </c>
      <c r="P62" s="678">
        <f t="shared" si="3"/>
        <v>0</v>
      </c>
    </row>
    <row r="63" spans="2:26">
      <c r="B63" s="671">
        <f t="shared" si="4"/>
        <v>2027</v>
      </c>
      <c r="C63" s="681">
        <v>46599</v>
      </c>
      <c r="D63" s="682">
        <f t="shared" si="5"/>
        <v>0</v>
      </c>
      <c r="F63" s="671">
        <f t="shared" si="0"/>
        <v>2027</v>
      </c>
      <c r="G63" s="681">
        <v>46599</v>
      </c>
      <c r="H63" s="682">
        <f t="shared" si="6"/>
        <v>0</v>
      </c>
      <c r="J63" s="671">
        <f t="shared" si="1"/>
        <v>2027</v>
      </c>
      <c r="K63" s="683">
        <v>46599</v>
      </c>
      <c r="L63" s="684">
        <f>IF(K63=参数输入表!$I$7,100%,H63)</f>
        <v>0</v>
      </c>
      <c r="N63" s="671">
        <f t="shared" si="2"/>
        <v>2027</v>
      </c>
      <c r="O63" s="681">
        <v>46599</v>
      </c>
      <c r="P63" s="678">
        <f t="shared" si="3"/>
        <v>0</v>
      </c>
    </row>
    <row r="64" spans="2:26">
      <c r="B64" s="671">
        <f t="shared" si="4"/>
        <v>2027</v>
      </c>
      <c r="C64" s="681">
        <v>46630</v>
      </c>
      <c r="D64" s="682">
        <f t="shared" si="5"/>
        <v>0</v>
      </c>
      <c r="F64" s="671">
        <f t="shared" si="0"/>
        <v>2027</v>
      </c>
      <c r="G64" s="681">
        <v>46630</v>
      </c>
      <c r="H64" s="682">
        <f t="shared" si="6"/>
        <v>0</v>
      </c>
      <c r="J64" s="671">
        <f t="shared" si="1"/>
        <v>2027</v>
      </c>
      <c r="K64" s="683">
        <v>46630</v>
      </c>
      <c r="L64" s="684">
        <f>IF(K64=参数输入表!$I$7,100%,H64)</f>
        <v>0</v>
      </c>
      <c r="N64" s="671">
        <f t="shared" si="2"/>
        <v>2027</v>
      </c>
      <c r="O64" s="681">
        <v>46630</v>
      </c>
      <c r="P64" s="678">
        <f t="shared" si="3"/>
        <v>0</v>
      </c>
    </row>
    <row r="65" spans="2:16">
      <c r="B65" s="671">
        <f t="shared" si="4"/>
        <v>2027</v>
      </c>
      <c r="C65" s="681">
        <v>46660</v>
      </c>
      <c r="D65" s="682">
        <f t="shared" si="5"/>
        <v>0</v>
      </c>
      <c r="F65" s="671">
        <f t="shared" si="0"/>
        <v>2027</v>
      </c>
      <c r="G65" s="681">
        <v>46660</v>
      </c>
      <c r="H65" s="682">
        <f t="shared" si="6"/>
        <v>0</v>
      </c>
      <c r="J65" s="671">
        <f t="shared" si="1"/>
        <v>2027</v>
      </c>
      <c r="K65" s="683">
        <v>46660</v>
      </c>
      <c r="L65" s="684">
        <f>IF(K65=参数输入表!$I$7,100%,H65)</f>
        <v>0</v>
      </c>
      <c r="N65" s="671">
        <f t="shared" si="2"/>
        <v>2027</v>
      </c>
      <c r="O65" s="681">
        <v>46660</v>
      </c>
      <c r="P65" s="678">
        <f t="shared" si="3"/>
        <v>0</v>
      </c>
    </row>
    <row r="66" spans="2:16">
      <c r="B66" s="671">
        <f t="shared" si="4"/>
        <v>2027</v>
      </c>
      <c r="C66" s="681">
        <v>46691</v>
      </c>
      <c r="D66" s="682">
        <f t="shared" si="5"/>
        <v>0</v>
      </c>
      <c r="F66" s="671">
        <f t="shared" si="0"/>
        <v>2027</v>
      </c>
      <c r="G66" s="681">
        <v>46691</v>
      </c>
      <c r="H66" s="682">
        <f t="shared" si="6"/>
        <v>0</v>
      </c>
      <c r="J66" s="671">
        <f t="shared" si="1"/>
        <v>2027</v>
      </c>
      <c r="K66" s="683">
        <v>46691</v>
      </c>
      <c r="L66" s="684">
        <f>IF(K66=参数输入表!$I$7,100%,H66)</f>
        <v>0</v>
      </c>
      <c r="N66" s="671">
        <f t="shared" si="2"/>
        <v>2027</v>
      </c>
      <c r="O66" s="681">
        <v>46691</v>
      </c>
      <c r="P66" s="678">
        <f t="shared" si="3"/>
        <v>0</v>
      </c>
    </row>
    <row r="67" spans="2:16">
      <c r="B67" s="671">
        <f t="shared" si="4"/>
        <v>2027</v>
      </c>
      <c r="C67" s="681">
        <v>46721</v>
      </c>
      <c r="D67" s="682">
        <f t="shared" si="5"/>
        <v>0</v>
      </c>
      <c r="F67" s="671">
        <f t="shared" si="0"/>
        <v>2027</v>
      </c>
      <c r="G67" s="681">
        <v>46721</v>
      </c>
      <c r="H67" s="682">
        <f t="shared" si="6"/>
        <v>0</v>
      </c>
      <c r="J67" s="671">
        <f t="shared" si="1"/>
        <v>2027</v>
      </c>
      <c r="K67" s="683">
        <v>46721</v>
      </c>
      <c r="L67" s="684">
        <f>IF(K67=参数输入表!$I$7,100%,H67)</f>
        <v>0</v>
      </c>
      <c r="N67" s="671">
        <f t="shared" si="2"/>
        <v>2027</v>
      </c>
      <c r="O67" s="681">
        <v>46721</v>
      </c>
      <c r="P67" s="678">
        <f t="shared" si="3"/>
        <v>0</v>
      </c>
    </row>
    <row r="68" ht="15.25" spans="2:16">
      <c r="B68" s="671">
        <f t="shared" si="4"/>
        <v>2027</v>
      </c>
      <c r="C68" s="692">
        <v>46752</v>
      </c>
      <c r="D68" s="682">
        <f t="shared" si="5"/>
        <v>0</v>
      </c>
      <c r="F68" s="671">
        <f t="shared" si="0"/>
        <v>2027</v>
      </c>
      <c r="G68" s="692">
        <v>46752</v>
      </c>
      <c r="H68" s="682">
        <f t="shared" si="6"/>
        <v>0</v>
      </c>
      <c r="J68" s="671">
        <f t="shared" si="1"/>
        <v>2027</v>
      </c>
      <c r="K68" s="693">
        <v>46752</v>
      </c>
      <c r="L68" s="684">
        <f>IF(K68=参数输入表!$I$7,100%,H68)</f>
        <v>0</v>
      </c>
      <c r="N68" s="671">
        <f t="shared" si="2"/>
        <v>2027</v>
      </c>
      <c r="O68" s="692">
        <v>46752</v>
      </c>
      <c r="P68" s="678">
        <f t="shared" si="3"/>
        <v>0</v>
      </c>
    </row>
    <row r="69" spans="2:16">
      <c r="B69" s="671">
        <f t="shared" si="4"/>
        <v>2028</v>
      </c>
      <c r="C69" s="694">
        <v>46783</v>
      </c>
      <c r="D69" s="682">
        <f t="shared" si="5"/>
        <v>0</v>
      </c>
      <c r="F69" s="671">
        <f t="shared" si="0"/>
        <v>2028</v>
      </c>
      <c r="G69" s="694">
        <v>46783</v>
      </c>
      <c r="H69" s="682">
        <f t="shared" si="6"/>
        <v>0</v>
      </c>
      <c r="J69" s="671">
        <f t="shared" si="1"/>
        <v>2028</v>
      </c>
      <c r="K69" s="695">
        <v>46783</v>
      </c>
      <c r="L69" s="684">
        <f>IF(K69=参数输入表!$I$7,100%,H69)</f>
        <v>0</v>
      </c>
      <c r="N69" s="671">
        <f t="shared" si="2"/>
        <v>2028</v>
      </c>
      <c r="O69" s="694">
        <v>46783</v>
      </c>
      <c r="P69" s="678">
        <f t="shared" si="3"/>
        <v>0</v>
      </c>
    </row>
    <row r="70" spans="2:16">
      <c r="B70" s="671">
        <f t="shared" si="4"/>
        <v>2028</v>
      </c>
      <c r="C70" s="681">
        <v>46812</v>
      </c>
      <c r="D70" s="682">
        <f t="shared" si="5"/>
        <v>0</v>
      </c>
      <c r="F70" s="671">
        <f t="shared" si="0"/>
        <v>2028</v>
      </c>
      <c r="G70" s="681">
        <v>46812</v>
      </c>
      <c r="H70" s="682">
        <f t="shared" si="6"/>
        <v>0</v>
      </c>
      <c r="J70" s="671">
        <f t="shared" si="1"/>
        <v>2028</v>
      </c>
      <c r="K70" s="683">
        <v>46812</v>
      </c>
      <c r="L70" s="684">
        <f>IF(K70=参数输入表!$I$7,100%,H70)</f>
        <v>0</v>
      </c>
      <c r="N70" s="671">
        <f t="shared" si="2"/>
        <v>2028</v>
      </c>
      <c r="O70" s="681">
        <v>46812</v>
      </c>
      <c r="P70" s="678">
        <f t="shared" si="3"/>
        <v>0</v>
      </c>
    </row>
    <row r="71" spans="2:16">
      <c r="B71" s="671">
        <f t="shared" si="4"/>
        <v>2028</v>
      </c>
      <c r="C71" s="681">
        <v>46843</v>
      </c>
      <c r="D71" s="682">
        <f t="shared" si="5"/>
        <v>0</v>
      </c>
      <c r="F71" s="671">
        <f t="shared" si="0"/>
        <v>2028</v>
      </c>
      <c r="G71" s="681">
        <v>46843</v>
      </c>
      <c r="H71" s="682">
        <f t="shared" si="6"/>
        <v>0</v>
      </c>
      <c r="J71" s="671">
        <f t="shared" si="1"/>
        <v>2028</v>
      </c>
      <c r="K71" s="683">
        <v>46843</v>
      </c>
      <c r="L71" s="684">
        <f>IF(K71=参数输入表!$I$7,100%,H71)</f>
        <v>0</v>
      </c>
      <c r="N71" s="671">
        <f t="shared" si="2"/>
        <v>2028</v>
      </c>
      <c r="O71" s="681">
        <v>46843</v>
      </c>
      <c r="P71" s="678">
        <f t="shared" si="3"/>
        <v>0</v>
      </c>
    </row>
    <row r="72" spans="2:16">
      <c r="B72" s="671">
        <f t="shared" si="4"/>
        <v>2028</v>
      </c>
      <c r="C72" s="681">
        <v>46873</v>
      </c>
      <c r="D72" s="682">
        <f t="shared" si="5"/>
        <v>0</v>
      </c>
      <c r="F72" s="671">
        <f t="shared" si="0"/>
        <v>2028</v>
      </c>
      <c r="G72" s="681">
        <v>46873</v>
      </c>
      <c r="H72" s="682">
        <f t="shared" si="6"/>
        <v>0</v>
      </c>
      <c r="J72" s="671">
        <f t="shared" si="1"/>
        <v>2028</v>
      </c>
      <c r="K72" s="683">
        <v>46873</v>
      </c>
      <c r="L72" s="684">
        <f>IF(K72=参数输入表!$I$7,100%,H72)</f>
        <v>0</v>
      </c>
      <c r="N72" s="671">
        <f t="shared" si="2"/>
        <v>2028</v>
      </c>
      <c r="O72" s="681">
        <v>46873</v>
      </c>
      <c r="P72" s="678">
        <f t="shared" si="3"/>
        <v>0</v>
      </c>
    </row>
    <row r="73" spans="2:16">
      <c r="B73" s="671">
        <f t="shared" si="4"/>
        <v>2028</v>
      </c>
      <c r="C73" s="681">
        <v>46904</v>
      </c>
      <c r="D73" s="682">
        <f t="shared" si="5"/>
        <v>0</v>
      </c>
      <c r="F73" s="671">
        <f t="shared" si="0"/>
        <v>2028</v>
      </c>
      <c r="G73" s="681">
        <v>46904</v>
      </c>
      <c r="H73" s="682">
        <f t="shared" si="6"/>
        <v>0</v>
      </c>
      <c r="J73" s="671">
        <f t="shared" si="1"/>
        <v>2028</v>
      </c>
      <c r="K73" s="683">
        <v>46904</v>
      </c>
      <c r="L73" s="684">
        <f>IF(K73=参数输入表!$I$7,100%,H73)</f>
        <v>0</v>
      </c>
      <c r="N73" s="671">
        <f t="shared" si="2"/>
        <v>2028</v>
      </c>
      <c r="O73" s="681">
        <v>46904</v>
      </c>
      <c r="P73" s="678">
        <f t="shared" si="3"/>
        <v>0</v>
      </c>
    </row>
    <row r="74" spans="2:16">
      <c r="B74" s="671">
        <f t="shared" si="4"/>
        <v>2028</v>
      </c>
      <c r="C74" s="681">
        <v>46934</v>
      </c>
      <c r="D74" s="682">
        <f t="shared" si="5"/>
        <v>0</v>
      </c>
      <c r="F74" s="671">
        <f t="shared" si="0"/>
        <v>2028</v>
      </c>
      <c r="G74" s="681">
        <v>46934</v>
      </c>
      <c r="H74" s="682">
        <f t="shared" si="6"/>
        <v>0</v>
      </c>
      <c r="J74" s="671">
        <f t="shared" ref="J74:J137" si="9">YEAR(K74)</f>
        <v>2028</v>
      </c>
      <c r="K74" s="683">
        <v>46934</v>
      </c>
      <c r="L74" s="684">
        <f>IF(K74=参数输入表!$I$7,100%,H74)</f>
        <v>0</v>
      </c>
      <c r="N74" s="671">
        <f t="shared" si="2"/>
        <v>2028</v>
      </c>
      <c r="O74" s="681">
        <v>46934</v>
      </c>
      <c r="P74" s="678">
        <f t="shared" ref="P74:P137" si="10">D74*H74</f>
        <v>0</v>
      </c>
    </row>
    <row r="75" spans="2:16">
      <c r="B75" s="671">
        <f t="shared" si="4"/>
        <v>2028</v>
      </c>
      <c r="C75" s="681">
        <v>46965</v>
      </c>
      <c r="D75" s="682">
        <f t="shared" si="5"/>
        <v>0</v>
      </c>
      <c r="F75" s="671">
        <f t="shared" ref="F75:F138" si="11">YEAR(G75)</f>
        <v>2028</v>
      </c>
      <c r="G75" s="681">
        <v>46965</v>
      </c>
      <c r="H75" s="682">
        <f t="shared" si="6"/>
        <v>0</v>
      </c>
      <c r="J75" s="671">
        <f t="shared" si="9"/>
        <v>2028</v>
      </c>
      <c r="K75" s="683">
        <v>46965</v>
      </c>
      <c r="L75" s="684">
        <f>IF(K75=参数输入表!$I$7,100%,H75)</f>
        <v>0</v>
      </c>
      <c r="N75" s="671">
        <f t="shared" ref="N75:N138" si="12">YEAR(O75)</f>
        <v>2028</v>
      </c>
      <c r="O75" s="681">
        <v>46965</v>
      </c>
      <c r="P75" s="678">
        <f t="shared" si="10"/>
        <v>0</v>
      </c>
    </row>
    <row r="76" spans="2:16">
      <c r="B76" s="671">
        <f t="shared" ref="B76:B139" si="13">YEAR(C76)</f>
        <v>2028</v>
      </c>
      <c r="C76" s="681">
        <v>46996</v>
      </c>
      <c r="D76" s="682">
        <f t="shared" ref="D76:D104" si="14">$D$10</f>
        <v>0</v>
      </c>
      <c r="F76" s="671">
        <f t="shared" si="11"/>
        <v>2028</v>
      </c>
      <c r="G76" s="681">
        <v>46996</v>
      </c>
      <c r="H76" s="682">
        <f t="shared" ref="H76:H100" si="15">$H$10</f>
        <v>0</v>
      </c>
      <c r="J76" s="671">
        <f t="shared" si="9"/>
        <v>2028</v>
      </c>
      <c r="K76" s="683">
        <v>46996</v>
      </c>
      <c r="L76" s="684">
        <f>IF(K76=参数输入表!$I$7,100%,H76)</f>
        <v>0</v>
      </c>
      <c r="N76" s="671">
        <f t="shared" si="12"/>
        <v>2028</v>
      </c>
      <c r="O76" s="681">
        <v>46996</v>
      </c>
      <c r="P76" s="678">
        <f t="shared" si="10"/>
        <v>0</v>
      </c>
    </row>
    <row r="77" spans="2:16">
      <c r="B77" s="671">
        <f t="shared" si="13"/>
        <v>2028</v>
      </c>
      <c r="C77" s="681">
        <v>47026</v>
      </c>
      <c r="D77" s="682">
        <f t="shared" si="14"/>
        <v>0</v>
      </c>
      <c r="F77" s="671">
        <f t="shared" si="11"/>
        <v>2028</v>
      </c>
      <c r="G77" s="681">
        <v>47026</v>
      </c>
      <c r="H77" s="682">
        <f t="shared" si="15"/>
        <v>0</v>
      </c>
      <c r="J77" s="671">
        <f t="shared" si="9"/>
        <v>2028</v>
      </c>
      <c r="K77" s="683">
        <v>47026</v>
      </c>
      <c r="L77" s="684">
        <f>IF(K77=参数输入表!$I$7,100%,H77)</f>
        <v>0</v>
      </c>
      <c r="N77" s="671">
        <f t="shared" si="12"/>
        <v>2028</v>
      </c>
      <c r="O77" s="681">
        <v>47026</v>
      </c>
      <c r="P77" s="678">
        <f t="shared" si="10"/>
        <v>0</v>
      </c>
    </row>
    <row r="78" spans="2:16">
      <c r="B78" s="671">
        <f t="shared" si="13"/>
        <v>2028</v>
      </c>
      <c r="C78" s="681">
        <v>47057</v>
      </c>
      <c r="D78" s="682">
        <f t="shared" si="14"/>
        <v>0</v>
      </c>
      <c r="F78" s="671">
        <f t="shared" si="11"/>
        <v>2028</v>
      </c>
      <c r="G78" s="681">
        <v>47057</v>
      </c>
      <c r="H78" s="682">
        <f t="shared" si="15"/>
        <v>0</v>
      </c>
      <c r="J78" s="671">
        <f t="shared" si="9"/>
        <v>2028</v>
      </c>
      <c r="K78" s="683">
        <v>47057</v>
      </c>
      <c r="L78" s="684">
        <f>IF(K78=参数输入表!$I$7,100%,H78)</f>
        <v>0</v>
      </c>
      <c r="N78" s="671">
        <f t="shared" si="12"/>
        <v>2028</v>
      </c>
      <c r="O78" s="681">
        <v>47057</v>
      </c>
      <c r="P78" s="678">
        <f t="shared" si="10"/>
        <v>0</v>
      </c>
    </row>
    <row r="79" spans="2:16">
      <c r="B79" s="671">
        <f t="shared" si="13"/>
        <v>2028</v>
      </c>
      <c r="C79" s="681">
        <v>47087</v>
      </c>
      <c r="D79" s="682">
        <f t="shared" si="14"/>
        <v>0</v>
      </c>
      <c r="F79" s="671">
        <f t="shared" si="11"/>
        <v>2028</v>
      </c>
      <c r="G79" s="681">
        <v>47087</v>
      </c>
      <c r="H79" s="682">
        <f t="shared" si="15"/>
        <v>0</v>
      </c>
      <c r="J79" s="671">
        <f t="shared" si="9"/>
        <v>2028</v>
      </c>
      <c r="K79" s="683">
        <v>47087</v>
      </c>
      <c r="L79" s="684">
        <f>IF(K79=参数输入表!$I$7,100%,H79)</f>
        <v>0</v>
      </c>
      <c r="N79" s="671">
        <f t="shared" si="12"/>
        <v>2028</v>
      </c>
      <c r="O79" s="681">
        <v>47087</v>
      </c>
      <c r="P79" s="678">
        <f t="shared" si="10"/>
        <v>0</v>
      </c>
    </row>
    <row r="80" ht="15.25" spans="2:16">
      <c r="B80" s="671">
        <f t="shared" si="13"/>
        <v>2028</v>
      </c>
      <c r="C80" s="692">
        <v>47118</v>
      </c>
      <c r="D80" s="682">
        <f t="shared" si="14"/>
        <v>0</v>
      </c>
      <c r="F80" s="671">
        <f t="shared" si="11"/>
        <v>2028</v>
      </c>
      <c r="G80" s="692">
        <v>47118</v>
      </c>
      <c r="H80" s="682">
        <f t="shared" si="15"/>
        <v>0</v>
      </c>
      <c r="J80" s="671">
        <f t="shared" si="9"/>
        <v>2028</v>
      </c>
      <c r="K80" s="693">
        <v>47118</v>
      </c>
      <c r="L80" s="684">
        <f>IF(K80=参数输入表!$I$7,100%,H80)</f>
        <v>0</v>
      </c>
      <c r="N80" s="671">
        <f t="shared" si="12"/>
        <v>2028</v>
      </c>
      <c r="O80" s="692">
        <v>47118</v>
      </c>
      <c r="P80" s="678">
        <f t="shared" si="10"/>
        <v>0</v>
      </c>
    </row>
    <row r="81" spans="2:16">
      <c r="B81" s="671">
        <f t="shared" si="13"/>
        <v>2029</v>
      </c>
      <c r="C81" s="694">
        <v>47149</v>
      </c>
      <c r="D81" s="682">
        <f t="shared" si="14"/>
        <v>0</v>
      </c>
      <c r="F81" s="671">
        <f t="shared" si="11"/>
        <v>2029</v>
      </c>
      <c r="G81" s="694">
        <v>47149</v>
      </c>
      <c r="H81" s="682">
        <f t="shared" si="15"/>
        <v>0</v>
      </c>
      <c r="J81" s="671">
        <f t="shared" si="9"/>
        <v>2029</v>
      </c>
      <c r="K81" s="695">
        <v>47149</v>
      </c>
      <c r="L81" s="684">
        <f>IF(K81=参数输入表!$I$7,100%,H81)</f>
        <v>0</v>
      </c>
      <c r="N81" s="671">
        <f t="shared" si="12"/>
        <v>2029</v>
      </c>
      <c r="O81" s="694">
        <v>47149</v>
      </c>
      <c r="P81" s="678">
        <f t="shared" si="10"/>
        <v>0</v>
      </c>
    </row>
    <row r="82" spans="2:16">
      <c r="B82" s="671">
        <f t="shared" si="13"/>
        <v>2029</v>
      </c>
      <c r="C82" s="681">
        <v>47177</v>
      </c>
      <c r="D82" s="682">
        <f t="shared" si="14"/>
        <v>0</v>
      </c>
      <c r="F82" s="671">
        <f t="shared" si="11"/>
        <v>2029</v>
      </c>
      <c r="G82" s="681">
        <v>47177</v>
      </c>
      <c r="H82" s="682">
        <f t="shared" si="15"/>
        <v>0</v>
      </c>
      <c r="J82" s="671">
        <f t="shared" si="9"/>
        <v>2029</v>
      </c>
      <c r="K82" s="681">
        <v>47177</v>
      </c>
      <c r="L82" s="684">
        <f>IF(K82=参数输入表!$I$7,100%,H82)</f>
        <v>0</v>
      </c>
      <c r="N82" s="671">
        <f t="shared" si="12"/>
        <v>2029</v>
      </c>
      <c r="O82" s="681">
        <v>47177</v>
      </c>
      <c r="P82" s="678">
        <f t="shared" si="10"/>
        <v>0</v>
      </c>
    </row>
    <row r="83" spans="2:16">
      <c r="B83" s="671">
        <f t="shared" si="13"/>
        <v>2029</v>
      </c>
      <c r="C83" s="681">
        <v>47208</v>
      </c>
      <c r="D83" s="682">
        <f t="shared" si="14"/>
        <v>0</v>
      </c>
      <c r="F83" s="671">
        <f t="shared" si="11"/>
        <v>2029</v>
      </c>
      <c r="G83" s="681">
        <v>47208</v>
      </c>
      <c r="H83" s="682">
        <f t="shared" si="15"/>
        <v>0</v>
      </c>
      <c r="J83" s="671">
        <f t="shared" si="9"/>
        <v>2029</v>
      </c>
      <c r="K83" s="683">
        <v>47208</v>
      </c>
      <c r="L83" s="684">
        <f>IF(K83=参数输入表!$I$7,100%,H83)</f>
        <v>0</v>
      </c>
      <c r="N83" s="671">
        <f t="shared" si="12"/>
        <v>2029</v>
      </c>
      <c r="O83" s="681">
        <v>47208</v>
      </c>
      <c r="P83" s="678">
        <f t="shared" si="10"/>
        <v>0</v>
      </c>
    </row>
    <row r="84" spans="2:16">
      <c r="B84" s="671">
        <f t="shared" si="13"/>
        <v>2029</v>
      </c>
      <c r="C84" s="681">
        <v>47238</v>
      </c>
      <c r="D84" s="682">
        <f t="shared" si="14"/>
        <v>0</v>
      </c>
      <c r="F84" s="671">
        <f t="shared" si="11"/>
        <v>2029</v>
      </c>
      <c r="G84" s="681">
        <v>47238</v>
      </c>
      <c r="H84" s="682">
        <f t="shared" si="15"/>
        <v>0</v>
      </c>
      <c r="J84" s="671">
        <f t="shared" si="9"/>
        <v>2029</v>
      </c>
      <c r="K84" s="683">
        <v>47238</v>
      </c>
      <c r="L84" s="684">
        <f>IF(K84=参数输入表!$I$7,100%,H84)</f>
        <v>0</v>
      </c>
      <c r="N84" s="671">
        <f t="shared" si="12"/>
        <v>2029</v>
      </c>
      <c r="O84" s="681">
        <v>47238</v>
      </c>
      <c r="P84" s="678">
        <f t="shared" si="10"/>
        <v>0</v>
      </c>
    </row>
    <row r="85" spans="2:16">
      <c r="B85" s="671">
        <f t="shared" si="13"/>
        <v>2029</v>
      </c>
      <c r="C85" s="681">
        <v>47269</v>
      </c>
      <c r="D85" s="682">
        <f t="shared" si="14"/>
        <v>0</v>
      </c>
      <c r="F85" s="671">
        <f t="shared" si="11"/>
        <v>2029</v>
      </c>
      <c r="G85" s="681">
        <v>47269</v>
      </c>
      <c r="H85" s="682">
        <f t="shared" si="15"/>
        <v>0</v>
      </c>
      <c r="J85" s="671">
        <f t="shared" si="9"/>
        <v>2029</v>
      </c>
      <c r="K85" s="683">
        <v>47269</v>
      </c>
      <c r="L85" s="684">
        <f>IF(K85=参数输入表!$I$7,100%,H85)</f>
        <v>0</v>
      </c>
      <c r="N85" s="671">
        <f t="shared" si="12"/>
        <v>2029</v>
      </c>
      <c r="O85" s="681">
        <v>47269</v>
      </c>
      <c r="P85" s="678">
        <f t="shared" si="10"/>
        <v>0</v>
      </c>
    </row>
    <row r="86" spans="2:16">
      <c r="B86" s="671">
        <f t="shared" si="13"/>
        <v>2029</v>
      </c>
      <c r="C86" s="681">
        <v>47299</v>
      </c>
      <c r="D86" s="682">
        <f t="shared" si="14"/>
        <v>0</v>
      </c>
      <c r="F86" s="671">
        <f t="shared" si="11"/>
        <v>2029</v>
      </c>
      <c r="G86" s="681">
        <v>47299</v>
      </c>
      <c r="H86" s="682">
        <f t="shared" si="15"/>
        <v>0</v>
      </c>
      <c r="J86" s="671">
        <f t="shared" si="9"/>
        <v>2029</v>
      </c>
      <c r="K86" s="683">
        <v>47299</v>
      </c>
      <c r="L86" s="684">
        <f>IF(K86=参数输入表!$I$7,100%,H86)</f>
        <v>0</v>
      </c>
      <c r="N86" s="671">
        <f t="shared" si="12"/>
        <v>2029</v>
      </c>
      <c r="O86" s="681">
        <v>47299</v>
      </c>
      <c r="P86" s="678">
        <f t="shared" si="10"/>
        <v>0</v>
      </c>
    </row>
    <row r="87" spans="2:16">
      <c r="B87" s="671">
        <f t="shared" si="13"/>
        <v>2029</v>
      </c>
      <c r="C87" s="681">
        <v>47330</v>
      </c>
      <c r="D87" s="682">
        <f t="shared" si="14"/>
        <v>0</v>
      </c>
      <c r="F87" s="671">
        <f t="shared" si="11"/>
        <v>2029</v>
      </c>
      <c r="G87" s="681">
        <v>47330</v>
      </c>
      <c r="H87" s="682">
        <f t="shared" si="15"/>
        <v>0</v>
      </c>
      <c r="J87" s="671">
        <f t="shared" si="9"/>
        <v>2029</v>
      </c>
      <c r="K87" s="683">
        <v>47330</v>
      </c>
      <c r="L87" s="684">
        <f>IF(K87=参数输入表!$I$7,100%,H87)</f>
        <v>0</v>
      </c>
      <c r="N87" s="671">
        <f t="shared" si="12"/>
        <v>2029</v>
      </c>
      <c r="O87" s="681">
        <v>47330</v>
      </c>
      <c r="P87" s="678">
        <f t="shared" si="10"/>
        <v>0</v>
      </c>
    </row>
    <row r="88" spans="2:16">
      <c r="B88" s="671">
        <f t="shared" si="13"/>
        <v>2029</v>
      </c>
      <c r="C88" s="681">
        <v>47361</v>
      </c>
      <c r="D88" s="682">
        <f t="shared" si="14"/>
        <v>0</v>
      </c>
      <c r="F88" s="671">
        <f t="shared" si="11"/>
        <v>2029</v>
      </c>
      <c r="G88" s="681">
        <v>47361</v>
      </c>
      <c r="H88" s="682">
        <f t="shared" si="15"/>
        <v>0</v>
      </c>
      <c r="J88" s="671">
        <f t="shared" si="9"/>
        <v>2029</v>
      </c>
      <c r="K88" s="683">
        <v>47361</v>
      </c>
      <c r="L88" s="684">
        <f>IF(K88=参数输入表!$I$7,100%,H88)</f>
        <v>0</v>
      </c>
      <c r="N88" s="671">
        <f t="shared" si="12"/>
        <v>2029</v>
      </c>
      <c r="O88" s="681">
        <v>47361</v>
      </c>
      <c r="P88" s="678">
        <f t="shared" si="10"/>
        <v>0</v>
      </c>
    </row>
    <row r="89" spans="2:16">
      <c r="B89" s="671">
        <f t="shared" si="13"/>
        <v>2029</v>
      </c>
      <c r="C89" s="681">
        <v>47391</v>
      </c>
      <c r="D89" s="682">
        <f t="shared" si="14"/>
        <v>0</v>
      </c>
      <c r="F89" s="671">
        <f t="shared" si="11"/>
        <v>2029</v>
      </c>
      <c r="G89" s="681">
        <v>47391</v>
      </c>
      <c r="H89" s="682">
        <f t="shared" si="15"/>
        <v>0</v>
      </c>
      <c r="J89" s="671">
        <f t="shared" si="9"/>
        <v>2029</v>
      </c>
      <c r="K89" s="681">
        <v>47391</v>
      </c>
      <c r="L89" s="684">
        <f>IF(K89=参数输入表!$I$7,100%,H89)</f>
        <v>0</v>
      </c>
      <c r="N89" s="671">
        <f t="shared" si="12"/>
        <v>2029</v>
      </c>
      <c r="O89" s="681">
        <v>47391</v>
      </c>
      <c r="P89" s="678">
        <f t="shared" si="10"/>
        <v>0</v>
      </c>
    </row>
    <row r="90" spans="2:16">
      <c r="B90" s="671">
        <f t="shared" si="13"/>
        <v>2029</v>
      </c>
      <c r="C90" s="681">
        <v>47422</v>
      </c>
      <c r="D90" s="682">
        <f t="shared" si="14"/>
        <v>0</v>
      </c>
      <c r="F90" s="671">
        <f t="shared" si="11"/>
        <v>2029</v>
      </c>
      <c r="G90" s="681">
        <v>47422</v>
      </c>
      <c r="H90" s="682">
        <f t="shared" si="15"/>
        <v>0</v>
      </c>
      <c r="J90" s="671">
        <f t="shared" si="9"/>
        <v>2029</v>
      </c>
      <c r="K90" s="683">
        <v>47422</v>
      </c>
      <c r="L90" s="684">
        <f>IF(K90=参数输入表!$I$7,100%,H90)</f>
        <v>0</v>
      </c>
      <c r="N90" s="671">
        <f t="shared" si="12"/>
        <v>2029</v>
      </c>
      <c r="O90" s="681">
        <v>47422</v>
      </c>
      <c r="P90" s="678">
        <f t="shared" si="10"/>
        <v>0</v>
      </c>
    </row>
    <row r="91" spans="2:16">
      <c r="B91" s="671">
        <f t="shared" si="13"/>
        <v>2029</v>
      </c>
      <c r="C91" s="681">
        <v>47452</v>
      </c>
      <c r="D91" s="682">
        <f t="shared" si="14"/>
        <v>0</v>
      </c>
      <c r="F91" s="671">
        <f t="shared" si="11"/>
        <v>2029</v>
      </c>
      <c r="G91" s="681">
        <v>47452</v>
      </c>
      <c r="H91" s="682">
        <f t="shared" si="15"/>
        <v>0</v>
      </c>
      <c r="J91" s="671">
        <f t="shared" si="9"/>
        <v>2029</v>
      </c>
      <c r="K91" s="683">
        <v>47452</v>
      </c>
      <c r="L91" s="684">
        <f>IF(K91=参数输入表!$I$7,100%,H91)</f>
        <v>0</v>
      </c>
      <c r="N91" s="671">
        <f t="shared" si="12"/>
        <v>2029</v>
      </c>
      <c r="O91" s="681">
        <v>47452</v>
      </c>
      <c r="P91" s="678">
        <f t="shared" si="10"/>
        <v>0</v>
      </c>
    </row>
    <row r="92" ht="15.25" spans="2:16">
      <c r="B92" s="671">
        <f t="shared" si="13"/>
        <v>2029</v>
      </c>
      <c r="C92" s="692">
        <v>47483</v>
      </c>
      <c r="D92" s="682">
        <f t="shared" si="14"/>
        <v>0</v>
      </c>
      <c r="F92" s="671">
        <f t="shared" si="11"/>
        <v>2029</v>
      </c>
      <c r="G92" s="692">
        <v>47483</v>
      </c>
      <c r="H92" s="682">
        <f t="shared" si="15"/>
        <v>0</v>
      </c>
      <c r="J92" s="671">
        <f t="shared" si="9"/>
        <v>2029</v>
      </c>
      <c r="K92" s="693">
        <v>47483</v>
      </c>
      <c r="L92" s="684">
        <f>IF(K92=参数输入表!$I$7,100%,H92)</f>
        <v>0</v>
      </c>
      <c r="N92" s="671">
        <f t="shared" si="12"/>
        <v>2029</v>
      </c>
      <c r="O92" s="692">
        <v>47483</v>
      </c>
      <c r="P92" s="678">
        <f t="shared" si="10"/>
        <v>0</v>
      </c>
    </row>
    <row r="93" spans="2:16">
      <c r="B93" s="671">
        <f t="shared" si="13"/>
        <v>2030</v>
      </c>
      <c r="C93" s="694">
        <v>47514</v>
      </c>
      <c r="D93" s="682">
        <f t="shared" si="14"/>
        <v>0</v>
      </c>
      <c r="F93" s="671">
        <f t="shared" si="11"/>
        <v>2030</v>
      </c>
      <c r="G93" s="694">
        <v>47514</v>
      </c>
      <c r="H93" s="682">
        <f t="shared" si="15"/>
        <v>0</v>
      </c>
      <c r="J93" s="671">
        <f t="shared" si="9"/>
        <v>2030</v>
      </c>
      <c r="K93" s="695">
        <v>47514</v>
      </c>
      <c r="L93" s="684">
        <f>IF(K93=参数输入表!$I$7,100%,H93)</f>
        <v>0</v>
      </c>
      <c r="N93" s="671">
        <f t="shared" si="12"/>
        <v>2030</v>
      </c>
      <c r="O93" s="694">
        <v>47514</v>
      </c>
      <c r="P93" s="678">
        <f t="shared" si="10"/>
        <v>0</v>
      </c>
    </row>
    <row r="94" spans="2:16">
      <c r="B94" s="671">
        <f t="shared" si="13"/>
        <v>2030</v>
      </c>
      <c r="C94" s="681">
        <v>47542</v>
      </c>
      <c r="D94" s="682">
        <f t="shared" si="14"/>
        <v>0</v>
      </c>
      <c r="F94" s="671">
        <f t="shared" si="11"/>
        <v>2030</v>
      </c>
      <c r="G94" s="681">
        <v>47542</v>
      </c>
      <c r="H94" s="682">
        <f t="shared" si="15"/>
        <v>0</v>
      </c>
      <c r="J94" s="671">
        <f t="shared" si="9"/>
        <v>2030</v>
      </c>
      <c r="K94" s="683">
        <v>47542</v>
      </c>
      <c r="L94" s="684">
        <f>IF(K94=参数输入表!$I$7,100%,H94)</f>
        <v>0</v>
      </c>
      <c r="N94" s="671">
        <f t="shared" si="12"/>
        <v>2030</v>
      </c>
      <c r="O94" s="681">
        <v>47542</v>
      </c>
      <c r="P94" s="678">
        <f t="shared" si="10"/>
        <v>0</v>
      </c>
    </row>
    <row r="95" spans="2:16">
      <c r="B95" s="671">
        <f t="shared" si="13"/>
        <v>2030</v>
      </c>
      <c r="C95" s="681">
        <v>47573</v>
      </c>
      <c r="D95" s="682">
        <f t="shared" si="14"/>
        <v>0</v>
      </c>
      <c r="F95" s="671">
        <f t="shared" si="11"/>
        <v>2030</v>
      </c>
      <c r="G95" s="681">
        <v>47573</v>
      </c>
      <c r="H95" s="682">
        <f t="shared" si="15"/>
        <v>0</v>
      </c>
      <c r="J95" s="671">
        <f t="shared" si="9"/>
        <v>2030</v>
      </c>
      <c r="K95" s="681">
        <v>47573</v>
      </c>
      <c r="L95" s="684">
        <f>IF(K95=参数输入表!$I$7,100%,H95)</f>
        <v>0</v>
      </c>
      <c r="N95" s="671">
        <f t="shared" si="12"/>
        <v>2030</v>
      </c>
      <c r="O95" s="681">
        <v>47573</v>
      </c>
      <c r="P95" s="678">
        <f t="shared" si="10"/>
        <v>0</v>
      </c>
    </row>
    <row r="96" spans="2:16">
      <c r="B96" s="671">
        <f t="shared" si="13"/>
        <v>2030</v>
      </c>
      <c r="C96" s="681">
        <v>47603</v>
      </c>
      <c r="D96" s="682">
        <f t="shared" si="14"/>
        <v>0</v>
      </c>
      <c r="F96" s="671">
        <f t="shared" si="11"/>
        <v>2030</v>
      </c>
      <c r="G96" s="681">
        <v>47603</v>
      </c>
      <c r="H96" s="682">
        <f t="shared" si="15"/>
        <v>0</v>
      </c>
      <c r="J96" s="671">
        <f t="shared" si="9"/>
        <v>2030</v>
      </c>
      <c r="K96" s="683">
        <v>47603</v>
      </c>
      <c r="L96" s="684">
        <f>IF(K96=参数输入表!$I$7,100%,H96)</f>
        <v>0</v>
      </c>
      <c r="N96" s="671">
        <f t="shared" si="12"/>
        <v>2030</v>
      </c>
      <c r="O96" s="681">
        <v>47603</v>
      </c>
      <c r="P96" s="678">
        <f t="shared" si="10"/>
        <v>0</v>
      </c>
    </row>
    <row r="97" spans="2:16">
      <c r="B97" s="671">
        <f t="shared" si="13"/>
        <v>2030</v>
      </c>
      <c r="C97" s="681">
        <v>47634</v>
      </c>
      <c r="D97" s="682">
        <f t="shared" si="14"/>
        <v>0</v>
      </c>
      <c r="F97" s="671">
        <f t="shared" si="11"/>
        <v>2030</v>
      </c>
      <c r="G97" s="681">
        <v>47634</v>
      </c>
      <c r="H97" s="682">
        <f t="shared" si="15"/>
        <v>0</v>
      </c>
      <c r="J97" s="671">
        <f t="shared" si="9"/>
        <v>2030</v>
      </c>
      <c r="K97" s="683">
        <v>47634</v>
      </c>
      <c r="L97" s="684">
        <f>IF(K97=参数输入表!$I$7,100%,H97)</f>
        <v>0</v>
      </c>
      <c r="N97" s="671">
        <f t="shared" si="12"/>
        <v>2030</v>
      </c>
      <c r="O97" s="681">
        <v>47634</v>
      </c>
      <c r="P97" s="678">
        <f t="shared" si="10"/>
        <v>0</v>
      </c>
    </row>
    <row r="98" spans="2:16">
      <c r="B98" s="671">
        <f t="shared" si="13"/>
        <v>2030</v>
      </c>
      <c r="C98" s="681">
        <v>47664</v>
      </c>
      <c r="D98" s="682">
        <f t="shared" si="14"/>
        <v>0</v>
      </c>
      <c r="F98" s="671">
        <f t="shared" si="11"/>
        <v>2030</v>
      </c>
      <c r="G98" s="681">
        <v>47664</v>
      </c>
      <c r="H98" s="682">
        <f t="shared" si="15"/>
        <v>0</v>
      </c>
      <c r="J98" s="671">
        <f t="shared" si="9"/>
        <v>2030</v>
      </c>
      <c r="K98" s="683">
        <v>47664</v>
      </c>
      <c r="L98" s="684">
        <f>IF(K98=参数输入表!$I$7,100%,H98)</f>
        <v>0</v>
      </c>
      <c r="N98" s="671">
        <f t="shared" si="12"/>
        <v>2030</v>
      </c>
      <c r="O98" s="681">
        <v>47664</v>
      </c>
      <c r="P98" s="678">
        <f t="shared" si="10"/>
        <v>0</v>
      </c>
    </row>
    <row r="99" spans="2:16">
      <c r="B99" s="671">
        <f t="shared" si="13"/>
        <v>2030</v>
      </c>
      <c r="C99" s="681">
        <v>47695</v>
      </c>
      <c r="D99" s="682">
        <f t="shared" si="14"/>
        <v>0</v>
      </c>
      <c r="F99" s="671">
        <f t="shared" si="11"/>
        <v>2030</v>
      </c>
      <c r="G99" s="681">
        <v>47695</v>
      </c>
      <c r="H99" s="682">
        <f t="shared" si="15"/>
        <v>0</v>
      </c>
      <c r="J99" s="671">
        <f t="shared" si="9"/>
        <v>2030</v>
      </c>
      <c r="K99" s="681">
        <v>47695</v>
      </c>
      <c r="L99" s="684">
        <f>IF(K99=参数输入表!$I$7,100%,H99)</f>
        <v>1</v>
      </c>
      <c r="N99" s="671">
        <f t="shared" si="12"/>
        <v>2030</v>
      </c>
      <c r="O99" s="681">
        <v>47695</v>
      </c>
      <c r="P99" s="678">
        <f t="shared" si="10"/>
        <v>0</v>
      </c>
    </row>
    <row r="100" spans="2:16">
      <c r="B100" s="671">
        <f t="shared" si="13"/>
        <v>2030</v>
      </c>
      <c r="C100" s="696">
        <v>47726</v>
      </c>
      <c r="D100" s="674">
        <f>D7</f>
        <v>1</v>
      </c>
      <c r="F100" s="671">
        <f t="shared" si="11"/>
        <v>2030</v>
      </c>
      <c r="G100" s="696">
        <v>47726</v>
      </c>
      <c r="H100" s="674">
        <f>H7</f>
        <v>1</v>
      </c>
      <c r="J100" s="671">
        <f t="shared" si="9"/>
        <v>2030</v>
      </c>
      <c r="K100" s="697">
        <v>47726</v>
      </c>
      <c r="L100" s="684">
        <f>IF(K100=参数输入表!$I$7,100%,H100)</f>
        <v>1</v>
      </c>
      <c r="N100" s="671">
        <f t="shared" si="12"/>
        <v>2030</v>
      </c>
      <c r="O100" s="681">
        <v>47726</v>
      </c>
      <c r="P100" s="678">
        <f t="shared" si="10"/>
        <v>1</v>
      </c>
    </row>
    <row r="101" spans="2:16">
      <c r="B101" s="671">
        <f t="shared" si="13"/>
        <v>2030</v>
      </c>
      <c r="C101" s="681">
        <v>47756</v>
      </c>
      <c r="D101" s="682">
        <f>$D$100</f>
        <v>1</v>
      </c>
      <c r="F101" s="671">
        <f t="shared" si="11"/>
        <v>2030</v>
      </c>
      <c r="G101" s="681">
        <v>47756</v>
      </c>
      <c r="H101" s="682">
        <f>$H$100</f>
        <v>1</v>
      </c>
      <c r="J101" s="671">
        <f t="shared" si="9"/>
        <v>2030</v>
      </c>
      <c r="K101" s="683">
        <v>47756</v>
      </c>
      <c r="L101" s="684">
        <f>IF(K101=参数输入表!$I$7,100%,H101)</f>
        <v>1</v>
      </c>
      <c r="N101" s="671">
        <f t="shared" si="12"/>
        <v>2030</v>
      </c>
      <c r="O101" s="681">
        <v>47756</v>
      </c>
      <c r="P101" s="678">
        <f t="shared" si="10"/>
        <v>1</v>
      </c>
    </row>
    <row r="102" spans="2:16">
      <c r="B102" s="671">
        <f t="shared" si="13"/>
        <v>2030</v>
      </c>
      <c r="C102" s="681">
        <v>47787</v>
      </c>
      <c r="D102" s="682">
        <f t="shared" ref="D102:D111" si="16">$D$100</f>
        <v>1</v>
      </c>
      <c r="F102" s="671">
        <f t="shared" si="11"/>
        <v>2030</v>
      </c>
      <c r="G102" s="681">
        <v>47787</v>
      </c>
      <c r="H102" s="682">
        <f t="shared" ref="H102:H111" si="17">$H$100</f>
        <v>1</v>
      </c>
      <c r="J102" s="671">
        <f t="shared" si="9"/>
        <v>2030</v>
      </c>
      <c r="K102" s="683">
        <v>47787</v>
      </c>
      <c r="L102" s="684">
        <f>IF(K102=参数输入表!$I$7,100%,H102)</f>
        <v>1</v>
      </c>
      <c r="N102" s="671">
        <f t="shared" si="12"/>
        <v>2030</v>
      </c>
      <c r="O102" s="681">
        <v>47787</v>
      </c>
      <c r="P102" s="678">
        <f t="shared" si="10"/>
        <v>1</v>
      </c>
    </row>
    <row r="103" spans="2:16">
      <c r="B103" s="671">
        <f t="shared" si="13"/>
        <v>2030</v>
      </c>
      <c r="C103" s="681">
        <v>47817</v>
      </c>
      <c r="D103" s="682">
        <f t="shared" si="16"/>
        <v>1</v>
      </c>
      <c r="F103" s="671">
        <f t="shared" si="11"/>
        <v>2030</v>
      </c>
      <c r="G103" s="681">
        <v>47817</v>
      </c>
      <c r="H103" s="682">
        <f t="shared" si="17"/>
        <v>1</v>
      </c>
      <c r="J103" s="671">
        <f t="shared" si="9"/>
        <v>2030</v>
      </c>
      <c r="K103" s="683">
        <v>47817</v>
      </c>
      <c r="L103" s="684">
        <f>IF(K103=参数输入表!$I$7,100%,H103)</f>
        <v>1</v>
      </c>
      <c r="N103" s="671">
        <f t="shared" si="12"/>
        <v>2030</v>
      </c>
      <c r="O103" s="681">
        <v>47817</v>
      </c>
      <c r="P103" s="678">
        <f t="shared" si="10"/>
        <v>1</v>
      </c>
    </row>
    <row r="104" ht="15.25" spans="2:16">
      <c r="B104" s="671">
        <f t="shared" si="13"/>
        <v>2030</v>
      </c>
      <c r="C104" s="692">
        <v>47848</v>
      </c>
      <c r="D104" s="682">
        <f t="shared" si="16"/>
        <v>1</v>
      </c>
      <c r="F104" s="671">
        <f t="shared" si="11"/>
        <v>2030</v>
      </c>
      <c r="G104" s="692">
        <v>47848</v>
      </c>
      <c r="H104" s="682">
        <f t="shared" si="17"/>
        <v>1</v>
      </c>
      <c r="J104" s="671">
        <f t="shared" si="9"/>
        <v>2030</v>
      </c>
      <c r="K104" s="693">
        <v>47848</v>
      </c>
      <c r="L104" s="684">
        <f>IF(K104=参数输入表!$I$7,100%,H104)</f>
        <v>1</v>
      </c>
      <c r="N104" s="671">
        <f t="shared" si="12"/>
        <v>2030</v>
      </c>
      <c r="O104" s="692">
        <v>47848</v>
      </c>
      <c r="P104" s="678">
        <f t="shared" si="10"/>
        <v>1</v>
      </c>
    </row>
    <row r="105" spans="2:16">
      <c r="B105" s="671">
        <f t="shared" si="13"/>
        <v>2031</v>
      </c>
      <c r="C105" s="694">
        <v>47879</v>
      </c>
      <c r="D105" s="682">
        <f t="shared" si="16"/>
        <v>1</v>
      </c>
      <c r="F105" s="671">
        <f t="shared" si="11"/>
        <v>2031</v>
      </c>
      <c r="G105" s="694">
        <v>47879</v>
      </c>
      <c r="H105" s="682">
        <f t="shared" si="17"/>
        <v>1</v>
      </c>
      <c r="J105" s="671">
        <f t="shared" si="9"/>
        <v>2031</v>
      </c>
      <c r="K105" s="695">
        <v>47879</v>
      </c>
      <c r="L105" s="684">
        <f>IF(K105=参数输入表!$I$7,100%,H105)</f>
        <v>1</v>
      </c>
      <c r="N105" s="671">
        <f t="shared" si="12"/>
        <v>2031</v>
      </c>
      <c r="O105" s="694">
        <v>47879</v>
      </c>
      <c r="P105" s="678">
        <f t="shared" si="10"/>
        <v>1</v>
      </c>
    </row>
    <row r="106" spans="2:16">
      <c r="B106" s="671">
        <f t="shared" si="13"/>
        <v>2031</v>
      </c>
      <c r="C106" s="681">
        <v>47907</v>
      </c>
      <c r="D106" s="682">
        <f t="shared" si="16"/>
        <v>1</v>
      </c>
      <c r="F106" s="671">
        <f t="shared" si="11"/>
        <v>2031</v>
      </c>
      <c r="G106" s="681">
        <v>47907</v>
      </c>
      <c r="H106" s="682">
        <f t="shared" si="17"/>
        <v>1</v>
      </c>
      <c r="J106" s="671">
        <f t="shared" si="9"/>
        <v>2031</v>
      </c>
      <c r="K106" s="683">
        <v>47907</v>
      </c>
      <c r="L106" s="684">
        <f>IF(K106=参数输入表!$I$7,100%,H106)</f>
        <v>1</v>
      </c>
      <c r="N106" s="671">
        <f t="shared" si="12"/>
        <v>2031</v>
      </c>
      <c r="O106" s="681">
        <v>47907</v>
      </c>
      <c r="P106" s="678">
        <f t="shared" si="10"/>
        <v>1</v>
      </c>
    </row>
    <row r="107" spans="2:16">
      <c r="B107" s="671">
        <f t="shared" si="13"/>
        <v>2031</v>
      </c>
      <c r="C107" s="681">
        <v>47938</v>
      </c>
      <c r="D107" s="682">
        <f t="shared" si="16"/>
        <v>1</v>
      </c>
      <c r="F107" s="671">
        <f t="shared" si="11"/>
        <v>2031</v>
      </c>
      <c r="G107" s="681">
        <v>47938</v>
      </c>
      <c r="H107" s="682">
        <f t="shared" si="17"/>
        <v>1</v>
      </c>
      <c r="J107" s="671">
        <f t="shared" si="9"/>
        <v>2031</v>
      </c>
      <c r="K107" s="683">
        <v>47938</v>
      </c>
      <c r="L107" s="684">
        <f>IF(K107=参数输入表!$I$7,100%,H107)</f>
        <v>1</v>
      </c>
      <c r="N107" s="671">
        <f t="shared" si="12"/>
        <v>2031</v>
      </c>
      <c r="O107" s="681">
        <v>47938</v>
      </c>
      <c r="P107" s="678">
        <f t="shared" si="10"/>
        <v>1</v>
      </c>
    </row>
    <row r="108" spans="2:16">
      <c r="B108" s="671">
        <f t="shared" si="13"/>
        <v>2031</v>
      </c>
      <c r="C108" s="681">
        <v>47968</v>
      </c>
      <c r="D108" s="682">
        <f t="shared" si="16"/>
        <v>1</v>
      </c>
      <c r="F108" s="671">
        <f t="shared" si="11"/>
        <v>2031</v>
      </c>
      <c r="G108" s="681">
        <v>47968</v>
      </c>
      <c r="H108" s="682">
        <f t="shared" si="17"/>
        <v>1</v>
      </c>
      <c r="J108" s="671">
        <f t="shared" si="9"/>
        <v>2031</v>
      </c>
      <c r="K108" s="683">
        <v>47968</v>
      </c>
      <c r="L108" s="684">
        <f>IF(K108=参数输入表!$I$7,100%,H108)</f>
        <v>1</v>
      </c>
      <c r="N108" s="671">
        <f t="shared" si="12"/>
        <v>2031</v>
      </c>
      <c r="O108" s="681">
        <v>47968</v>
      </c>
      <c r="P108" s="678">
        <f t="shared" si="10"/>
        <v>1</v>
      </c>
    </row>
    <row r="109" spans="2:16">
      <c r="B109" s="671">
        <f t="shared" si="13"/>
        <v>2031</v>
      </c>
      <c r="C109" s="681">
        <v>47999</v>
      </c>
      <c r="D109" s="682">
        <f t="shared" si="16"/>
        <v>1</v>
      </c>
      <c r="F109" s="671">
        <f t="shared" si="11"/>
        <v>2031</v>
      </c>
      <c r="G109" s="681">
        <v>47999</v>
      </c>
      <c r="H109" s="682">
        <f t="shared" si="17"/>
        <v>1</v>
      </c>
      <c r="J109" s="671">
        <f t="shared" si="9"/>
        <v>2031</v>
      </c>
      <c r="K109" s="683">
        <v>47999</v>
      </c>
      <c r="L109" s="684">
        <f>IF(K109=参数输入表!$I$7,100%,H109)</f>
        <v>1</v>
      </c>
      <c r="N109" s="671">
        <f t="shared" si="12"/>
        <v>2031</v>
      </c>
      <c r="O109" s="681">
        <v>47999</v>
      </c>
      <c r="P109" s="678">
        <f t="shared" si="10"/>
        <v>1</v>
      </c>
    </row>
    <row r="110" spans="2:16">
      <c r="B110" s="671">
        <f t="shared" si="13"/>
        <v>2031</v>
      </c>
      <c r="C110" s="681">
        <v>48029</v>
      </c>
      <c r="D110" s="682">
        <f t="shared" si="16"/>
        <v>1</v>
      </c>
      <c r="F110" s="671">
        <f t="shared" si="11"/>
        <v>2031</v>
      </c>
      <c r="G110" s="681">
        <v>48029</v>
      </c>
      <c r="H110" s="682">
        <f t="shared" si="17"/>
        <v>1</v>
      </c>
      <c r="J110" s="671">
        <f t="shared" si="9"/>
        <v>2031</v>
      </c>
      <c r="K110" s="683">
        <v>48029</v>
      </c>
      <c r="L110" s="684">
        <f>IF(K110=参数输入表!$I$7,100%,H110)</f>
        <v>1</v>
      </c>
      <c r="N110" s="671">
        <f t="shared" si="12"/>
        <v>2031</v>
      </c>
      <c r="O110" s="681">
        <v>48029</v>
      </c>
      <c r="P110" s="678">
        <f t="shared" si="10"/>
        <v>1</v>
      </c>
    </row>
    <row r="111" spans="2:16">
      <c r="B111" s="671">
        <f t="shared" si="13"/>
        <v>2031</v>
      </c>
      <c r="C111" s="681">
        <v>48060</v>
      </c>
      <c r="D111" s="682">
        <f t="shared" si="16"/>
        <v>1</v>
      </c>
      <c r="F111" s="671">
        <f t="shared" si="11"/>
        <v>2031</v>
      </c>
      <c r="G111" s="681">
        <v>48060</v>
      </c>
      <c r="H111" s="682">
        <f t="shared" si="17"/>
        <v>1</v>
      </c>
      <c r="J111" s="671">
        <f t="shared" si="9"/>
        <v>2031</v>
      </c>
      <c r="K111" s="683">
        <v>48060</v>
      </c>
      <c r="L111" s="684">
        <f>IF(K111=参数输入表!$I$7,100%,H111)</f>
        <v>1</v>
      </c>
      <c r="N111" s="671">
        <f t="shared" si="12"/>
        <v>2031</v>
      </c>
      <c r="O111" s="681">
        <v>48060</v>
      </c>
      <c r="P111" s="678">
        <f t="shared" si="10"/>
        <v>1</v>
      </c>
    </row>
    <row r="112" spans="2:16">
      <c r="B112" s="671">
        <f t="shared" si="13"/>
        <v>2031</v>
      </c>
      <c r="C112" s="681">
        <v>48091</v>
      </c>
      <c r="D112" s="682">
        <f t="shared" ref="D112:D121" si="18">$D$100</f>
        <v>1</v>
      </c>
      <c r="F112" s="671">
        <f t="shared" si="11"/>
        <v>2031</v>
      </c>
      <c r="G112" s="681">
        <v>48091</v>
      </c>
      <c r="H112" s="682">
        <f t="shared" ref="H112:H121" si="19">$H$100</f>
        <v>1</v>
      </c>
      <c r="J112" s="671">
        <f t="shared" si="9"/>
        <v>2031</v>
      </c>
      <c r="K112" s="683">
        <v>48091</v>
      </c>
      <c r="L112" s="684">
        <f>IF(K112=参数输入表!$I$7,100%,H112)</f>
        <v>1</v>
      </c>
      <c r="N112" s="671">
        <f t="shared" si="12"/>
        <v>2031</v>
      </c>
      <c r="O112" s="681">
        <v>48091</v>
      </c>
      <c r="P112" s="678">
        <f t="shared" si="10"/>
        <v>1</v>
      </c>
    </row>
    <row r="113" spans="2:16">
      <c r="B113" s="671">
        <f t="shared" si="13"/>
        <v>2031</v>
      </c>
      <c r="C113" s="681">
        <v>48121</v>
      </c>
      <c r="D113" s="682">
        <f t="shared" si="18"/>
        <v>1</v>
      </c>
      <c r="F113" s="671">
        <f t="shared" si="11"/>
        <v>2031</v>
      </c>
      <c r="G113" s="681">
        <v>48121</v>
      </c>
      <c r="H113" s="682">
        <f t="shared" si="19"/>
        <v>1</v>
      </c>
      <c r="J113" s="671">
        <f t="shared" si="9"/>
        <v>2031</v>
      </c>
      <c r="K113" s="683">
        <v>48121</v>
      </c>
      <c r="L113" s="684">
        <f>IF(K113=参数输入表!$I$7,100%,H113)</f>
        <v>1</v>
      </c>
      <c r="N113" s="671">
        <f t="shared" si="12"/>
        <v>2031</v>
      </c>
      <c r="O113" s="681">
        <v>48121</v>
      </c>
      <c r="P113" s="678">
        <f t="shared" si="10"/>
        <v>1</v>
      </c>
    </row>
    <row r="114" spans="2:16">
      <c r="B114" s="671">
        <f t="shared" si="13"/>
        <v>2031</v>
      </c>
      <c r="C114" s="681">
        <v>48152</v>
      </c>
      <c r="D114" s="682">
        <f t="shared" si="18"/>
        <v>1</v>
      </c>
      <c r="F114" s="671">
        <f t="shared" si="11"/>
        <v>2031</v>
      </c>
      <c r="G114" s="681">
        <v>48152</v>
      </c>
      <c r="H114" s="682">
        <f t="shared" si="19"/>
        <v>1</v>
      </c>
      <c r="J114" s="671">
        <f t="shared" si="9"/>
        <v>2031</v>
      </c>
      <c r="K114" s="683">
        <v>48152</v>
      </c>
      <c r="L114" s="684">
        <f>IF(K114=参数输入表!$I$7,100%,H114)</f>
        <v>1</v>
      </c>
      <c r="N114" s="671">
        <f t="shared" si="12"/>
        <v>2031</v>
      </c>
      <c r="O114" s="681">
        <v>48152</v>
      </c>
      <c r="P114" s="678">
        <f t="shared" si="10"/>
        <v>1</v>
      </c>
    </row>
    <row r="115" spans="2:16">
      <c r="B115" s="671">
        <f t="shared" si="13"/>
        <v>2031</v>
      </c>
      <c r="C115" s="681">
        <v>48182</v>
      </c>
      <c r="D115" s="682">
        <f t="shared" si="18"/>
        <v>1</v>
      </c>
      <c r="F115" s="671">
        <f t="shared" si="11"/>
        <v>2031</v>
      </c>
      <c r="G115" s="681">
        <v>48182</v>
      </c>
      <c r="H115" s="682">
        <f t="shared" si="19"/>
        <v>1</v>
      </c>
      <c r="J115" s="671">
        <f t="shared" si="9"/>
        <v>2031</v>
      </c>
      <c r="K115" s="683">
        <v>48182</v>
      </c>
      <c r="L115" s="684">
        <f>IF(K115=参数输入表!$I$7,100%,H115)</f>
        <v>1</v>
      </c>
      <c r="N115" s="671">
        <f t="shared" si="12"/>
        <v>2031</v>
      </c>
      <c r="O115" s="681">
        <v>48182</v>
      </c>
      <c r="P115" s="678">
        <f t="shared" si="10"/>
        <v>1</v>
      </c>
    </row>
    <row r="116" ht="15.25" spans="2:16">
      <c r="B116" s="671">
        <f t="shared" si="13"/>
        <v>2031</v>
      </c>
      <c r="C116" s="692">
        <v>48213</v>
      </c>
      <c r="D116" s="682">
        <f t="shared" si="18"/>
        <v>1</v>
      </c>
      <c r="F116" s="671">
        <f t="shared" si="11"/>
        <v>2031</v>
      </c>
      <c r="G116" s="692">
        <v>48213</v>
      </c>
      <c r="H116" s="682">
        <f t="shared" si="19"/>
        <v>1</v>
      </c>
      <c r="J116" s="671">
        <f t="shared" si="9"/>
        <v>2031</v>
      </c>
      <c r="K116" s="693">
        <v>48213</v>
      </c>
      <c r="L116" s="684">
        <f>IF(K116=参数输入表!$I$7,100%,H116)</f>
        <v>1</v>
      </c>
      <c r="N116" s="671">
        <f t="shared" si="12"/>
        <v>2031</v>
      </c>
      <c r="O116" s="692">
        <v>48213</v>
      </c>
      <c r="P116" s="678">
        <f t="shared" si="10"/>
        <v>1</v>
      </c>
    </row>
    <row r="117" spans="2:16">
      <c r="B117" s="671">
        <f t="shared" si="13"/>
        <v>2032</v>
      </c>
      <c r="C117" s="694">
        <v>48244</v>
      </c>
      <c r="D117" s="682">
        <f t="shared" si="18"/>
        <v>1</v>
      </c>
      <c r="F117" s="671">
        <f t="shared" si="11"/>
        <v>2032</v>
      </c>
      <c r="G117" s="694">
        <v>48244</v>
      </c>
      <c r="H117" s="682">
        <f t="shared" si="19"/>
        <v>1</v>
      </c>
      <c r="J117" s="671">
        <f t="shared" si="9"/>
        <v>2032</v>
      </c>
      <c r="K117" s="695">
        <v>48244</v>
      </c>
      <c r="L117" s="684">
        <f>IF(K117=参数输入表!$I$7,100%,H117)</f>
        <v>1</v>
      </c>
      <c r="N117" s="671">
        <f t="shared" si="12"/>
        <v>2032</v>
      </c>
      <c r="O117" s="694">
        <v>48244</v>
      </c>
      <c r="P117" s="678">
        <f t="shared" si="10"/>
        <v>1</v>
      </c>
    </row>
    <row r="118" spans="2:16">
      <c r="B118" s="671">
        <f t="shared" si="13"/>
        <v>2032</v>
      </c>
      <c r="C118" s="681">
        <v>48273</v>
      </c>
      <c r="D118" s="682">
        <f t="shared" si="18"/>
        <v>1</v>
      </c>
      <c r="F118" s="671">
        <f t="shared" si="11"/>
        <v>2032</v>
      </c>
      <c r="G118" s="681">
        <v>48273</v>
      </c>
      <c r="H118" s="682">
        <f t="shared" si="19"/>
        <v>1</v>
      </c>
      <c r="J118" s="671">
        <f t="shared" si="9"/>
        <v>2032</v>
      </c>
      <c r="K118" s="683">
        <v>48273</v>
      </c>
      <c r="L118" s="684">
        <f>IF(K118=参数输入表!$I$7,100%,H118)</f>
        <v>1</v>
      </c>
      <c r="N118" s="671">
        <f t="shared" si="12"/>
        <v>2032</v>
      </c>
      <c r="O118" s="681">
        <v>48273</v>
      </c>
      <c r="P118" s="678">
        <f t="shared" si="10"/>
        <v>1</v>
      </c>
    </row>
    <row r="119" spans="2:16">
      <c r="B119" s="671">
        <f t="shared" si="13"/>
        <v>2032</v>
      </c>
      <c r="C119" s="681">
        <v>48304</v>
      </c>
      <c r="D119" s="682">
        <f t="shared" si="18"/>
        <v>1</v>
      </c>
      <c r="F119" s="671">
        <f t="shared" si="11"/>
        <v>2032</v>
      </c>
      <c r="G119" s="681">
        <v>48304</v>
      </c>
      <c r="H119" s="682">
        <f t="shared" si="19"/>
        <v>1</v>
      </c>
      <c r="J119" s="671">
        <f t="shared" si="9"/>
        <v>2032</v>
      </c>
      <c r="K119" s="683">
        <v>48304</v>
      </c>
      <c r="L119" s="684">
        <f>IF(K119=参数输入表!$I$7,100%,H119)</f>
        <v>1</v>
      </c>
      <c r="N119" s="671">
        <f t="shared" si="12"/>
        <v>2032</v>
      </c>
      <c r="O119" s="681">
        <v>48304</v>
      </c>
      <c r="P119" s="678">
        <f t="shared" si="10"/>
        <v>1</v>
      </c>
    </row>
    <row r="120" spans="2:16">
      <c r="B120" s="671">
        <f t="shared" si="13"/>
        <v>2032</v>
      </c>
      <c r="C120" s="681">
        <v>48334</v>
      </c>
      <c r="D120" s="682">
        <f t="shared" si="18"/>
        <v>1</v>
      </c>
      <c r="F120" s="671">
        <f t="shared" si="11"/>
        <v>2032</v>
      </c>
      <c r="G120" s="681">
        <v>48334</v>
      </c>
      <c r="H120" s="682">
        <f t="shared" si="19"/>
        <v>1</v>
      </c>
      <c r="J120" s="671">
        <f t="shared" si="9"/>
        <v>2032</v>
      </c>
      <c r="K120" s="683">
        <v>48334</v>
      </c>
      <c r="L120" s="684">
        <f>IF(K120=参数输入表!$I$7,100%,H120)</f>
        <v>1</v>
      </c>
      <c r="N120" s="671">
        <f t="shared" si="12"/>
        <v>2032</v>
      </c>
      <c r="O120" s="681">
        <v>48334</v>
      </c>
      <c r="P120" s="678">
        <f t="shared" si="10"/>
        <v>1</v>
      </c>
    </row>
    <row r="121" spans="2:16">
      <c r="B121" s="671">
        <f t="shared" si="13"/>
        <v>2032</v>
      </c>
      <c r="C121" s="681">
        <v>48365</v>
      </c>
      <c r="D121" s="682">
        <f t="shared" si="18"/>
        <v>1</v>
      </c>
      <c r="F121" s="671">
        <f t="shared" si="11"/>
        <v>2032</v>
      </c>
      <c r="G121" s="681">
        <v>48365</v>
      </c>
      <c r="H121" s="682">
        <f t="shared" si="19"/>
        <v>1</v>
      </c>
      <c r="J121" s="671">
        <f t="shared" si="9"/>
        <v>2032</v>
      </c>
      <c r="K121" s="683">
        <v>48365</v>
      </c>
      <c r="L121" s="684">
        <f>IF(K121=参数输入表!$I$7,100%,H121)</f>
        <v>1</v>
      </c>
      <c r="N121" s="671">
        <f t="shared" si="12"/>
        <v>2032</v>
      </c>
      <c r="O121" s="681">
        <v>48365</v>
      </c>
      <c r="P121" s="678">
        <f t="shared" si="10"/>
        <v>1</v>
      </c>
    </row>
    <row r="122" spans="2:16">
      <c r="B122" s="671">
        <f t="shared" si="13"/>
        <v>2032</v>
      </c>
      <c r="C122" s="681">
        <v>48395</v>
      </c>
      <c r="D122" s="682">
        <f t="shared" ref="D122:D131" si="20">$D$100</f>
        <v>1</v>
      </c>
      <c r="F122" s="671">
        <f t="shared" si="11"/>
        <v>2032</v>
      </c>
      <c r="G122" s="681">
        <v>48395</v>
      </c>
      <c r="H122" s="682">
        <f t="shared" ref="H122:H131" si="21">$H$100</f>
        <v>1</v>
      </c>
      <c r="J122" s="671">
        <f t="shared" si="9"/>
        <v>2032</v>
      </c>
      <c r="K122" s="683">
        <v>48395</v>
      </c>
      <c r="L122" s="684">
        <f>IF(K122=参数输入表!$I$7,100%,H122)</f>
        <v>1</v>
      </c>
      <c r="N122" s="671">
        <f t="shared" si="12"/>
        <v>2032</v>
      </c>
      <c r="O122" s="681">
        <v>48395</v>
      </c>
      <c r="P122" s="678">
        <f t="shared" si="10"/>
        <v>1</v>
      </c>
    </row>
    <row r="123" spans="2:16">
      <c r="B123" s="671">
        <f t="shared" si="13"/>
        <v>2032</v>
      </c>
      <c r="C123" s="681">
        <v>48426</v>
      </c>
      <c r="D123" s="682">
        <f t="shared" si="20"/>
        <v>1</v>
      </c>
      <c r="F123" s="671">
        <f t="shared" si="11"/>
        <v>2032</v>
      </c>
      <c r="G123" s="681">
        <v>48426</v>
      </c>
      <c r="H123" s="682">
        <f t="shared" si="21"/>
        <v>1</v>
      </c>
      <c r="J123" s="671">
        <f t="shared" si="9"/>
        <v>2032</v>
      </c>
      <c r="K123" s="683">
        <v>48426</v>
      </c>
      <c r="L123" s="684">
        <f>IF(K123=参数输入表!$I$7,100%,H123)</f>
        <v>1</v>
      </c>
      <c r="N123" s="671">
        <f t="shared" si="12"/>
        <v>2032</v>
      </c>
      <c r="O123" s="681">
        <v>48426</v>
      </c>
      <c r="P123" s="678">
        <f t="shared" si="10"/>
        <v>1</v>
      </c>
    </row>
    <row r="124" spans="2:16">
      <c r="B124" s="671">
        <f t="shared" si="13"/>
        <v>2032</v>
      </c>
      <c r="C124" s="681">
        <v>48457</v>
      </c>
      <c r="D124" s="682">
        <f t="shared" si="20"/>
        <v>1</v>
      </c>
      <c r="F124" s="671">
        <f t="shared" si="11"/>
        <v>2032</v>
      </c>
      <c r="G124" s="681">
        <v>48457</v>
      </c>
      <c r="H124" s="682">
        <f t="shared" si="21"/>
        <v>1</v>
      </c>
      <c r="J124" s="671">
        <f t="shared" si="9"/>
        <v>2032</v>
      </c>
      <c r="K124" s="683">
        <v>48457</v>
      </c>
      <c r="L124" s="684">
        <f>IF(K124=参数输入表!$I$7,100%,H124)</f>
        <v>1</v>
      </c>
      <c r="N124" s="671">
        <f t="shared" si="12"/>
        <v>2032</v>
      </c>
      <c r="O124" s="681">
        <v>48457</v>
      </c>
      <c r="P124" s="678">
        <f t="shared" si="10"/>
        <v>1</v>
      </c>
    </row>
    <row r="125" spans="2:16">
      <c r="B125" s="671">
        <f t="shared" si="13"/>
        <v>2032</v>
      </c>
      <c r="C125" s="681">
        <v>48487</v>
      </c>
      <c r="D125" s="682">
        <f t="shared" si="20"/>
        <v>1</v>
      </c>
      <c r="F125" s="671">
        <f t="shared" si="11"/>
        <v>2032</v>
      </c>
      <c r="G125" s="681">
        <v>48487</v>
      </c>
      <c r="H125" s="682">
        <f t="shared" si="21"/>
        <v>1</v>
      </c>
      <c r="J125" s="671">
        <f t="shared" si="9"/>
        <v>2032</v>
      </c>
      <c r="K125" s="683">
        <v>48487</v>
      </c>
      <c r="L125" s="684">
        <f>IF(K125=参数输入表!$I$7,100%,H125)</f>
        <v>1</v>
      </c>
      <c r="N125" s="671">
        <f t="shared" si="12"/>
        <v>2032</v>
      </c>
      <c r="O125" s="681">
        <v>48487</v>
      </c>
      <c r="P125" s="678">
        <f t="shared" si="10"/>
        <v>1</v>
      </c>
    </row>
    <row r="126" spans="2:16">
      <c r="B126" s="671">
        <f t="shared" si="13"/>
        <v>2032</v>
      </c>
      <c r="C126" s="681">
        <v>48518</v>
      </c>
      <c r="D126" s="682">
        <f t="shared" si="20"/>
        <v>1</v>
      </c>
      <c r="F126" s="671">
        <f t="shared" si="11"/>
        <v>2032</v>
      </c>
      <c r="G126" s="681">
        <v>48518</v>
      </c>
      <c r="H126" s="682">
        <f t="shared" si="21"/>
        <v>1</v>
      </c>
      <c r="J126" s="671">
        <f t="shared" si="9"/>
        <v>2032</v>
      </c>
      <c r="K126" s="683">
        <v>48518</v>
      </c>
      <c r="L126" s="684">
        <f>IF(K126=参数输入表!$I$7,100%,H126)</f>
        <v>1</v>
      </c>
      <c r="N126" s="671">
        <f t="shared" si="12"/>
        <v>2032</v>
      </c>
      <c r="O126" s="681">
        <v>48518</v>
      </c>
      <c r="P126" s="678">
        <f t="shared" si="10"/>
        <v>1</v>
      </c>
    </row>
    <row r="127" spans="2:16">
      <c r="B127" s="671">
        <f t="shared" si="13"/>
        <v>2032</v>
      </c>
      <c r="C127" s="681">
        <v>48548</v>
      </c>
      <c r="D127" s="682">
        <f t="shared" si="20"/>
        <v>1</v>
      </c>
      <c r="F127" s="671">
        <f t="shared" si="11"/>
        <v>2032</v>
      </c>
      <c r="G127" s="681">
        <v>48548</v>
      </c>
      <c r="H127" s="682">
        <f t="shared" si="21"/>
        <v>1</v>
      </c>
      <c r="J127" s="671">
        <f t="shared" si="9"/>
        <v>2032</v>
      </c>
      <c r="K127" s="683">
        <v>48548</v>
      </c>
      <c r="L127" s="684">
        <f>IF(K127=参数输入表!$I$7,100%,H127)</f>
        <v>1</v>
      </c>
      <c r="N127" s="671">
        <f t="shared" si="12"/>
        <v>2032</v>
      </c>
      <c r="O127" s="681">
        <v>48548</v>
      </c>
      <c r="P127" s="678">
        <f t="shared" si="10"/>
        <v>1</v>
      </c>
    </row>
    <row r="128" ht="15.25" spans="2:16">
      <c r="B128" s="671">
        <f t="shared" si="13"/>
        <v>2032</v>
      </c>
      <c r="C128" s="692">
        <v>48579</v>
      </c>
      <c r="D128" s="682">
        <f t="shared" si="20"/>
        <v>1</v>
      </c>
      <c r="F128" s="671">
        <f t="shared" si="11"/>
        <v>2032</v>
      </c>
      <c r="G128" s="692">
        <v>48579</v>
      </c>
      <c r="H128" s="682">
        <f t="shared" si="21"/>
        <v>1</v>
      </c>
      <c r="J128" s="671">
        <f t="shared" si="9"/>
        <v>2032</v>
      </c>
      <c r="K128" s="693">
        <v>48579</v>
      </c>
      <c r="L128" s="684">
        <f>IF(K128=参数输入表!$I$7,100%,H128)</f>
        <v>1</v>
      </c>
      <c r="N128" s="671">
        <f t="shared" si="12"/>
        <v>2032</v>
      </c>
      <c r="O128" s="692">
        <v>48579</v>
      </c>
      <c r="P128" s="678">
        <f t="shared" si="10"/>
        <v>1</v>
      </c>
    </row>
    <row r="129" spans="2:16">
      <c r="B129" s="671">
        <f t="shared" si="13"/>
        <v>2033</v>
      </c>
      <c r="C129" s="694">
        <v>48610</v>
      </c>
      <c r="D129" s="682">
        <f t="shared" si="20"/>
        <v>1</v>
      </c>
      <c r="F129" s="671">
        <f t="shared" si="11"/>
        <v>2033</v>
      </c>
      <c r="G129" s="694">
        <v>48610</v>
      </c>
      <c r="H129" s="682">
        <f t="shared" si="21"/>
        <v>1</v>
      </c>
      <c r="J129" s="671">
        <f t="shared" si="9"/>
        <v>2033</v>
      </c>
      <c r="K129" s="695">
        <v>48610</v>
      </c>
      <c r="L129" s="684">
        <f>IF(K129=参数输入表!$I$7,100%,H129)</f>
        <v>1</v>
      </c>
      <c r="N129" s="671">
        <f t="shared" si="12"/>
        <v>2033</v>
      </c>
      <c r="O129" s="694">
        <v>48610</v>
      </c>
      <c r="P129" s="678">
        <f t="shared" si="10"/>
        <v>1</v>
      </c>
    </row>
    <row r="130" spans="2:16">
      <c r="B130" s="671">
        <f t="shared" si="13"/>
        <v>2033</v>
      </c>
      <c r="C130" s="681">
        <v>48638</v>
      </c>
      <c r="D130" s="682">
        <f t="shared" si="20"/>
        <v>1</v>
      </c>
      <c r="F130" s="671">
        <f t="shared" si="11"/>
        <v>2033</v>
      </c>
      <c r="G130" s="681">
        <v>48638</v>
      </c>
      <c r="H130" s="682">
        <f t="shared" si="21"/>
        <v>1</v>
      </c>
      <c r="J130" s="671">
        <f t="shared" si="9"/>
        <v>2033</v>
      </c>
      <c r="K130" s="683">
        <v>48638</v>
      </c>
      <c r="L130" s="684">
        <f>IF(K130=参数输入表!$I$7,100%,H130)</f>
        <v>1</v>
      </c>
      <c r="N130" s="671">
        <f t="shared" si="12"/>
        <v>2033</v>
      </c>
      <c r="O130" s="681">
        <v>48638</v>
      </c>
      <c r="P130" s="678">
        <f t="shared" si="10"/>
        <v>1</v>
      </c>
    </row>
    <row r="131" spans="2:16">
      <c r="B131" s="671">
        <f t="shared" si="13"/>
        <v>2033</v>
      </c>
      <c r="C131" s="681">
        <v>48669</v>
      </c>
      <c r="D131" s="682">
        <f t="shared" si="20"/>
        <v>1</v>
      </c>
      <c r="F131" s="671">
        <f t="shared" si="11"/>
        <v>2033</v>
      </c>
      <c r="G131" s="681">
        <v>48669</v>
      </c>
      <c r="H131" s="682">
        <f t="shared" si="21"/>
        <v>1</v>
      </c>
      <c r="J131" s="671">
        <f t="shared" si="9"/>
        <v>2033</v>
      </c>
      <c r="K131" s="683">
        <v>48669</v>
      </c>
      <c r="L131" s="684">
        <f>IF(K131=参数输入表!$I$7,100%,H131)</f>
        <v>1</v>
      </c>
      <c r="N131" s="671">
        <f t="shared" si="12"/>
        <v>2033</v>
      </c>
      <c r="O131" s="681">
        <v>48669</v>
      </c>
      <c r="P131" s="678">
        <f t="shared" si="10"/>
        <v>1</v>
      </c>
    </row>
    <row r="132" spans="2:16">
      <c r="B132" s="671">
        <f t="shared" si="13"/>
        <v>2033</v>
      </c>
      <c r="C132" s="681">
        <v>48699</v>
      </c>
      <c r="D132" s="682">
        <f t="shared" ref="D132:D141" si="22">$D$100</f>
        <v>1</v>
      </c>
      <c r="F132" s="671">
        <f t="shared" si="11"/>
        <v>2033</v>
      </c>
      <c r="G132" s="681">
        <v>48699</v>
      </c>
      <c r="H132" s="682">
        <f t="shared" ref="H132:H141" si="23">$H$100</f>
        <v>1</v>
      </c>
      <c r="J132" s="671">
        <f t="shared" si="9"/>
        <v>2033</v>
      </c>
      <c r="K132" s="683">
        <v>48699</v>
      </c>
      <c r="L132" s="684">
        <f>IF(K132=参数输入表!$I$7,100%,H132)</f>
        <v>1</v>
      </c>
      <c r="N132" s="671">
        <f t="shared" si="12"/>
        <v>2033</v>
      </c>
      <c r="O132" s="681">
        <v>48699</v>
      </c>
      <c r="P132" s="678">
        <f t="shared" si="10"/>
        <v>1</v>
      </c>
    </row>
    <row r="133" spans="2:16">
      <c r="B133" s="671">
        <f t="shared" si="13"/>
        <v>2033</v>
      </c>
      <c r="C133" s="681">
        <v>48730</v>
      </c>
      <c r="D133" s="682">
        <f t="shared" si="22"/>
        <v>1</v>
      </c>
      <c r="F133" s="671">
        <f t="shared" si="11"/>
        <v>2033</v>
      </c>
      <c r="G133" s="681">
        <v>48730</v>
      </c>
      <c r="H133" s="682">
        <f t="shared" si="23"/>
        <v>1</v>
      </c>
      <c r="J133" s="671">
        <f t="shared" si="9"/>
        <v>2033</v>
      </c>
      <c r="K133" s="683">
        <v>48730</v>
      </c>
      <c r="L133" s="684">
        <f>IF(K133=参数输入表!$I$7,100%,H133)</f>
        <v>1</v>
      </c>
      <c r="N133" s="671">
        <f t="shared" si="12"/>
        <v>2033</v>
      </c>
      <c r="O133" s="681">
        <v>48730</v>
      </c>
      <c r="P133" s="678">
        <f t="shared" si="10"/>
        <v>1</v>
      </c>
    </row>
    <row r="134" spans="2:16">
      <c r="B134" s="671">
        <f t="shared" si="13"/>
        <v>2033</v>
      </c>
      <c r="C134" s="681">
        <v>48760</v>
      </c>
      <c r="D134" s="682">
        <f t="shared" si="22"/>
        <v>1</v>
      </c>
      <c r="F134" s="671">
        <f t="shared" si="11"/>
        <v>2033</v>
      </c>
      <c r="G134" s="681">
        <v>48760</v>
      </c>
      <c r="H134" s="682">
        <f t="shared" si="23"/>
        <v>1</v>
      </c>
      <c r="J134" s="671">
        <f t="shared" si="9"/>
        <v>2033</v>
      </c>
      <c r="K134" s="683">
        <v>48760</v>
      </c>
      <c r="L134" s="684">
        <f>IF(K134=参数输入表!$I$7,100%,H134)</f>
        <v>1</v>
      </c>
      <c r="N134" s="671">
        <f t="shared" si="12"/>
        <v>2033</v>
      </c>
      <c r="O134" s="681">
        <v>48760</v>
      </c>
      <c r="P134" s="678">
        <f t="shared" si="10"/>
        <v>1</v>
      </c>
    </row>
    <row r="135" spans="2:16">
      <c r="B135" s="671">
        <f t="shared" si="13"/>
        <v>2033</v>
      </c>
      <c r="C135" s="681">
        <v>48791</v>
      </c>
      <c r="D135" s="682">
        <f t="shared" si="22"/>
        <v>1</v>
      </c>
      <c r="F135" s="671">
        <f t="shared" si="11"/>
        <v>2033</v>
      </c>
      <c r="G135" s="681">
        <v>48791</v>
      </c>
      <c r="H135" s="682">
        <f t="shared" si="23"/>
        <v>1</v>
      </c>
      <c r="J135" s="671">
        <f t="shared" si="9"/>
        <v>2033</v>
      </c>
      <c r="K135" s="683">
        <v>48791</v>
      </c>
      <c r="L135" s="684">
        <f>IF(K135=参数输入表!$I$7,100%,H135)</f>
        <v>1</v>
      </c>
      <c r="N135" s="671">
        <f t="shared" si="12"/>
        <v>2033</v>
      </c>
      <c r="O135" s="681">
        <v>48791</v>
      </c>
      <c r="P135" s="678">
        <f t="shared" si="10"/>
        <v>1</v>
      </c>
    </row>
    <row r="136" spans="2:16">
      <c r="B136" s="671">
        <f t="shared" si="13"/>
        <v>2033</v>
      </c>
      <c r="C136" s="681">
        <v>48822</v>
      </c>
      <c r="D136" s="682">
        <f t="shared" si="22"/>
        <v>1</v>
      </c>
      <c r="F136" s="671">
        <f t="shared" si="11"/>
        <v>2033</v>
      </c>
      <c r="G136" s="681">
        <v>48822</v>
      </c>
      <c r="H136" s="682">
        <f t="shared" si="23"/>
        <v>1</v>
      </c>
      <c r="J136" s="671">
        <f t="shared" si="9"/>
        <v>2033</v>
      </c>
      <c r="K136" s="683">
        <v>48822</v>
      </c>
      <c r="L136" s="684">
        <f>IF(K136=参数输入表!$I$7,100%,H136)</f>
        <v>1</v>
      </c>
      <c r="N136" s="671">
        <f t="shared" si="12"/>
        <v>2033</v>
      </c>
      <c r="O136" s="681">
        <v>48822</v>
      </c>
      <c r="P136" s="678">
        <f t="shared" si="10"/>
        <v>1</v>
      </c>
    </row>
    <row r="137" spans="2:16">
      <c r="B137" s="671">
        <f t="shared" si="13"/>
        <v>2033</v>
      </c>
      <c r="C137" s="681">
        <v>48852</v>
      </c>
      <c r="D137" s="682">
        <f t="shared" si="22"/>
        <v>1</v>
      </c>
      <c r="F137" s="671">
        <f t="shared" si="11"/>
        <v>2033</v>
      </c>
      <c r="G137" s="681">
        <v>48852</v>
      </c>
      <c r="H137" s="682">
        <f t="shared" si="23"/>
        <v>1</v>
      </c>
      <c r="J137" s="671">
        <f t="shared" si="9"/>
        <v>2033</v>
      </c>
      <c r="K137" s="683">
        <v>48852</v>
      </c>
      <c r="L137" s="684">
        <f>IF(K137=参数输入表!$I$7,100%,H137)</f>
        <v>1</v>
      </c>
      <c r="N137" s="671">
        <f t="shared" si="12"/>
        <v>2033</v>
      </c>
      <c r="O137" s="681">
        <v>48852</v>
      </c>
      <c r="P137" s="678">
        <f t="shared" si="10"/>
        <v>1</v>
      </c>
    </row>
    <row r="138" spans="2:16">
      <c r="B138" s="671">
        <f t="shared" si="13"/>
        <v>2033</v>
      </c>
      <c r="C138" s="681">
        <v>48883</v>
      </c>
      <c r="D138" s="682">
        <f t="shared" si="22"/>
        <v>1</v>
      </c>
      <c r="F138" s="671">
        <f t="shared" si="11"/>
        <v>2033</v>
      </c>
      <c r="G138" s="681">
        <v>48883</v>
      </c>
      <c r="H138" s="682">
        <f t="shared" si="23"/>
        <v>1</v>
      </c>
      <c r="J138" s="671">
        <f t="shared" ref="J138:J201" si="24">YEAR(K138)</f>
        <v>2033</v>
      </c>
      <c r="K138" s="683">
        <v>48883</v>
      </c>
      <c r="L138" s="684">
        <f>IF(K138=参数输入表!$I$7,100%,H138)</f>
        <v>1</v>
      </c>
      <c r="N138" s="671">
        <f t="shared" si="12"/>
        <v>2033</v>
      </c>
      <c r="O138" s="681">
        <v>48883</v>
      </c>
      <c r="P138" s="678">
        <f t="shared" ref="P138:P201" si="25">D138*H138</f>
        <v>1</v>
      </c>
    </row>
    <row r="139" spans="2:16">
      <c r="B139" s="671">
        <f t="shared" si="13"/>
        <v>2033</v>
      </c>
      <c r="C139" s="681">
        <v>48913</v>
      </c>
      <c r="D139" s="682">
        <f t="shared" si="22"/>
        <v>1</v>
      </c>
      <c r="F139" s="671">
        <f t="shared" ref="F139:F202" si="26">YEAR(G139)</f>
        <v>2033</v>
      </c>
      <c r="G139" s="681">
        <v>48913</v>
      </c>
      <c r="H139" s="682">
        <f t="shared" si="23"/>
        <v>1</v>
      </c>
      <c r="J139" s="671">
        <f t="shared" si="24"/>
        <v>2033</v>
      </c>
      <c r="K139" s="683">
        <v>48913</v>
      </c>
      <c r="L139" s="684">
        <f>IF(K139=参数输入表!$I$7,100%,H139)</f>
        <v>1</v>
      </c>
      <c r="N139" s="671">
        <f t="shared" ref="N139:N202" si="27">YEAR(O139)</f>
        <v>2033</v>
      </c>
      <c r="O139" s="681">
        <v>48913</v>
      </c>
      <c r="P139" s="678">
        <f t="shared" si="25"/>
        <v>1</v>
      </c>
    </row>
    <row r="140" ht="15.25" spans="2:16">
      <c r="B140" s="671">
        <f t="shared" ref="B140:B203" si="28">YEAR(C140)</f>
        <v>2033</v>
      </c>
      <c r="C140" s="692">
        <v>48944</v>
      </c>
      <c r="D140" s="682">
        <f t="shared" si="22"/>
        <v>1</v>
      </c>
      <c r="F140" s="671">
        <f t="shared" si="26"/>
        <v>2033</v>
      </c>
      <c r="G140" s="692">
        <v>48944</v>
      </c>
      <c r="H140" s="682">
        <f t="shared" si="23"/>
        <v>1</v>
      </c>
      <c r="J140" s="671">
        <f t="shared" si="24"/>
        <v>2033</v>
      </c>
      <c r="K140" s="693">
        <v>48944</v>
      </c>
      <c r="L140" s="684">
        <f>IF(K140=参数输入表!$I$7,100%,H140)</f>
        <v>1</v>
      </c>
      <c r="N140" s="671">
        <f t="shared" si="27"/>
        <v>2033</v>
      </c>
      <c r="O140" s="692">
        <v>48944</v>
      </c>
      <c r="P140" s="678">
        <f t="shared" si="25"/>
        <v>1</v>
      </c>
    </row>
    <row r="141" spans="2:16">
      <c r="B141" s="671">
        <f t="shared" si="28"/>
        <v>2034</v>
      </c>
      <c r="C141" s="694">
        <v>48975</v>
      </c>
      <c r="D141" s="682">
        <f t="shared" si="22"/>
        <v>1</v>
      </c>
      <c r="F141" s="671">
        <f t="shared" si="26"/>
        <v>2034</v>
      </c>
      <c r="G141" s="694">
        <v>48975</v>
      </c>
      <c r="H141" s="682">
        <f t="shared" si="23"/>
        <v>1</v>
      </c>
      <c r="J141" s="671">
        <f t="shared" si="24"/>
        <v>2034</v>
      </c>
      <c r="K141" s="695">
        <v>48975</v>
      </c>
      <c r="L141" s="684">
        <f>IF(K141=参数输入表!$I$7,100%,H141)</f>
        <v>1</v>
      </c>
      <c r="N141" s="671">
        <f t="shared" si="27"/>
        <v>2034</v>
      </c>
      <c r="O141" s="694">
        <v>48975</v>
      </c>
      <c r="P141" s="678">
        <f t="shared" si="25"/>
        <v>1</v>
      </c>
    </row>
    <row r="142" spans="2:16">
      <c r="B142" s="671">
        <f t="shared" si="28"/>
        <v>2034</v>
      </c>
      <c r="C142" s="681">
        <v>49003</v>
      </c>
      <c r="D142" s="682">
        <f t="shared" ref="D142:D151" si="29">$D$100</f>
        <v>1</v>
      </c>
      <c r="F142" s="671">
        <f t="shared" si="26"/>
        <v>2034</v>
      </c>
      <c r="G142" s="681">
        <v>49003</v>
      </c>
      <c r="H142" s="682">
        <f t="shared" ref="H142:H151" si="30">$H$100</f>
        <v>1</v>
      </c>
      <c r="J142" s="671">
        <f t="shared" si="24"/>
        <v>2034</v>
      </c>
      <c r="K142" s="683">
        <v>49003</v>
      </c>
      <c r="L142" s="684">
        <f>IF(K142=参数输入表!$I$7,100%,H142)</f>
        <v>1</v>
      </c>
      <c r="N142" s="671">
        <f t="shared" si="27"/>
        <v>2034</v>
      </c>
      <c r="O142" s="681">
        <v>49003</v>
      </c>
      <c r="P142" s="678">
        <f t="shared" si="25"/>
        <v>1</v>
      </c>
    </row>
    <row r="143" spans="2:16">
      <c r="B143" s="671">
        <f t="shared" si="28"/>
        <v>2034</v>
      </c>
      <c r="C143" s="681">
        <v>49034</v>
      </c>
      <c r="D143" s="682">
        <f t="shared" si="29"/>
        <v>1</v>
      </c>
      <c r="F143" s="671">
        <f t="shared" si="26"/>
        <v>2034</v>
      </c>
      <c r="G143" s="681">
        <v>49034</v>
      </c>
      <c r="H143" s="682">
        <f t="shared" si="30"/>
        <v>1</v>
      </c>
      <c r="J143" s="671">
        <f t="shared" si="24"/>
        <v>2034</v>
      </c>
      <c r="K143" s="683">
        <v>49034</v>
      </c>
      <c r="L143" s="684">
        <f>IF(K143=参数输入表!$I$7,100%,H143)</f>
        <v>1</v>
      </c>
      <c r="N143" s="671">
        <f t="shared" si="27"/>
        <v>2034</v>
      </c>
      <c r="O143" s="681">
        <v>49034</v>
      </c>
      <c r="P143" s="678">
        <f t="shared" si="25"/>
        <v>1</v>
      </c>
    </row>
    <row r="144" spans="2:16">
      <c r="B144" s="671">
        <f t="shared" si="28"/>
        <v>2034</v>
      </c>
      <c r="C144" s="681">
        <v>49064</v>
      </c>
      <c r="D144" s="682">
        <f t="shared" si="29"/>
        <v>1</v>
      </c>
      <c r="F144" s="671">
        <f t="shared" si="26"/>
        <v>2034</v>
      </c>
      <c r="G144" s="681">
        <v>49064</v>
      </c>
      <c r="H144" s="682">
        <f t="shared" si="30"/>
        <v>1</v>
      </c>
      <c r="J144" s="671">
        <f t="shared" si="24"/>
        <v>2034</v>
      </c>
      <c r="K144" s="683">
        <v>49064</v>
      </c>
      <c r="L144" s="684">
        <f>IF(K144=参数输入表!$I$7,100%,H144)</f>
        <v>1</v>
      </c>
      <c r="N144" s="671">
        <f t="shared" si="27"/>
        <v>2034</v>
      </c>
      <c r="O144" s="681">
        <v>49064</v>
      </c>
      <c r="P144" s="678">
        <f t="shared" si="25"/>
        <v>1</v>
      </c>
    </row>
    <row r="145" spans="2:16">
      <c r="B145" s="671">
        <f t="shared" si="28"/>
        <v>2034</v>
      </c>
      <c r="C145" s="681">
        <v>49095</v>
      </c>
      <c r="D145" s="682">
        <f t="shared" si="29"/>
        <v>1</v>
      </c>
      <c r="F145" s="671">
        <f t="shared" si="26"/>
        <v>2034</v>
      </c>
      <c r="G145" s="681">
        <v>49095</v>
      </c>
      <c r="H145" s="682">
        <f t="shared" si="30"/>
        <v>1</v>
      </c>
      <c r="J145" s="671">
        <f t="shared" si="24"/>
        <v>2034</v>
      </c>
      <c r="K145" s="683">
        <v>49095</v>
      </c>
      <c r="L145" s="684">
        <f>IF(K145=参数输入表!$I$7,100%,H145)</f>
        <v>1</v>
      </c>
      <c r="N145" s="671">
        <f t="shared" si="27"/>
        <v>2034</v>
      </c>
      <c r="O145" s="681">
        <v>49095</v>
      </c>
      <c r="P145" s="678">
        <f t="shared" si="25"/>
        <v>1</v>
      </c>
    </row>
    <row r="146" spans="2:16">
      <c r="B146" s="671">
        <f t="shared" si="28"/>
        <v>2034</v>
      </c>
      <c r="C146" s="681">
        <v>49125</v>
      </c>
      <c r="D146" s="682">
        <f t="shared" si="29"/>
        <v>1</v>
      </c>
      <c r="F146" s="671">
        <f t="shared" si="26"/>
        <v>2034</v>
      </c>
      <c r="G146" s="681">
        <v>49125</v>
      </c>
      <c r="H146" s="682">
        <f t="shared" si="30"/>
        <v>1</v>
      </c>
      <c r="J146" s="671">
        <f t="shared" si="24"/>
        <v>2034</v>
      </c>
      <c r="K146" s="683">
        <v>49125</v>
      </c>
      <c r="L146" s="684">
        <f>IF(K146=参数输入表!$I$7,100%,H146)</f>
        <v>1</v>
      </c>
      <c r="N146" s="671">
        <f t="shared" si="27"/>
        <v>2034</v>
      </c>
      <c r="O146" s="681">
        <v>49125</v>
      </c>
      <c r="P146" s="678">
        <f t="shared" si="25"/>
        <v>1</v>
      </c>
    </row>
    <row r="147" spans="2:16">
      <c r="B147" s="671">
        <f t="shared" si="28"/>
        <v>2034</v>
      </c>
      <c r="C147" s="681">
        <v>49156</v>
      </c>
      <c r="D147" s="682">
        <f t="shared" si="29"/>
        <v>1</v>
      </c>
      <c r="F147" s="671">
        <f t="shared" si="26"/>
        <v>2034</v>
      </c>
      <c r="G147" s="681">
        <v>49156</v>
      </c>
      <c r="H147" s="682">
        <f t="shared" si="30"/>
        <v>1</v>
      </c>
      <c r="J147" s="671">
        <f t="shared" si="24"/>
        <v>2034</v>
      </c>
      <c r="K147" s="683">
        <v>49156</v>
      </c>
      <c r="L147" s="684">
        <f>IF(K147=参数输入表!$I$7,100%,H147)</f>
        <v>1</v>
      </c>
      <c r="N147" s="671">
        <f t="shared" si="27"/>
        <v>2034</v>
      </c>
      <c r="O147" s="681">
        <v>49156</v>
      </c>
      <c r="P147" s="678">
        <f t="shared" si="25"/>
        <v>1</v>
      </c>
    </row>
    <row r="148" spans="2:16">
      <c r="B148" s="671">
        <f t="shared" si="28"/>
        <v>2034</v>
      </c>
      <c r="C148" s="681">
        <v>49187</v>
      </c>
      <c r="D148" s="682">
        <f t="shared" si="29"/>
        <v>1</v>
      </c>
      <c r="F148" s="671">
        <f t="shared" si="26"/>
        <v>2034</v>
      </c>
      <c r="G148" s="681">
        <v>49187</v>
      </c>
      <c r="H148" s="682">
        <f t="shared" si="30"/>
        <v>1</v>
      </c>
      <c r="J148" s="671">
        <f t="shared" si="24"/>
        <v>2034</v>
      </c>
      <c r="K148" s="683">
        <v>49187</v>
      </c>
      <c r="L148" s="684">
        <f>IF(K148=参数输入表!$I$7,100%,H148)</f>
        <v>1</v>
      </c>
      <c r="N148" s="671">
        <f t="shared" si="27"/>
        <v>2034</v>
      </c>
      <c r="O148" s="681">
        <v>49187</v>
      </c>
      <c r="P148" s="678">
        <f t="shared" si="25"/>
        <v>1</v>
      </c>
    </row>
    <row r="149" spans="2:16">
      <c r="B149" s="671">
        <f t="shared" si="28"/>
        <v>2034</v>
      </c>
      <c r="C149" s="681">
        <v>49217</v>
      </c>
      <c r="D149" s="682">
        <f t="shared" si="29"/>
        <v>1</v>
      </c>
      <c r="F149" s="671">
        <f t="shared" si="26"/>
        <v>2034</v>
      </c>
      <c r="G149" s="681">
        <v>49217</v>
      </c>
      <c r="H149" s="682">
        <f t="shared" si="30"/>
        <v>1</v>
      </c>
      <c r="J149" s="671">
        <f t="shared" si="24"/>
        <v>2034</v>
      </c>
      <c r="K149" s="683">
        <v>49217</v>
      </c>
      <c r="L149" s="684">
        <f>IF(K149=参数输入表!$I$7,100%,H149)</f>
        <v>1</v>
      </c>
      <c r="N149" s="671">
        <f t="shared" si="27"/>
        <v>2034</v>
      </c>
      <c r="O149" s="681">
        <v>49217</v>
      </c>
      <c r="P149" s="678">
        <f t="shared" si="25"/>
        <v>1</v>
      </c>
    </row>
    <row r="150" spans="2:16">
      <c r="B150" s="671">
        <f t="shared" si="28"/>
        <v>2034</v>
      </c>
      <c r="C150" s="681">
        <v>49248</v>
      </c>
      <c r="D150" s="682">
        <f t="shared" si="29"/>
        <v>1</v>
      </c>
      <c r="F150" s="671">
        <f t="shared" si="26"/>
        <v>2034</v>
      </c>
      <c r="G150" s="681">
        <v>49248</v>
      </c>
      <c r="H150" s="682">
        <f t="shared" si="30"/>
        <v>1</v>
      </c>
      <c r="J150" s="671">
        <f t="shared" si="24"/>
        <v>2034</v>
      </c>
      <c r="K150" s="683">
        <v>49248</v>
      </c>
      <c r="L150" s="684">
        <f>IF(K150=参数输入表!$I$7,100%,H150)</f>
        <v>1</v>
      </c>
      <c r="N150" s="671">
        <f t="shared" si="27"/>
        <v>2034</v>
      </c>
      <c r="O150" s="681">
        <v>49248</v>
      </c>
      <c r="P150" s="678">
        <f t="shared" si="25"/>
        <v>1</v>
      </c>
    </row>
    <row r="151" spans="2:16">
      <c r="B151" s="671">
        <f t="shared" si="28"/>
        <v>2034</v>
      </c>
      <c r="C151" s="681">
        <v>49278</v>
      </c>
      <c r="D151" s="682">
        <f t="shared" si="29"/>
        <v>1</v>
      </c>
      <c r="F151" s="671">
        <f t="shared" si="26"/>
        <v>2034</v>
      </c>
      <c r="G151" s="681">
        <v>49278</v>
      </c>
      <c r="H151" s="682">
        <f t="shared" si="30"/>
        <v>1</v>
      </c>
      <c r="J151" s="671">
        <f t="shared" si="24"/>
        <v>2034</v>
      </c>
      <c r="K151" s="683">
        <v>49278</v>
      </c>
      <c r="L151" s="684">
        <f>IF(K151=参数输入表!$I$7,100%,H151)</f>
        <v>1</v>
      </c>
      <c r="N151" s="671">
        <f t="shared" si="27"/>
        <v>2034</v>
      </c>
      <c r="O151" s="681">
        <v>49278</v>
      </c>
      <c r="P151" s="678">
        <f t="shared" si="25"/>
        <v>1</v>
      </c>
    </row>
    <row r="152" ht="15.25" spans="2:16">
      <c r="B152" s="671">
        <f t="shared" si="28"/>
        <v>2034</v>
      </c>
      <c r="C152" s="692">
        <v>49309</v>
      </c>
      <c r="D152" s="682">
        <f t="shared" ref="D152:D161" si="31">$D$100</f>
        <v>1</v>
      </c>
      <c r="F152" s="671">
        <f t="shared" si="26"/>
        <v>2034</v>
      </c>
      <c r="G152" s="692">
        <v>49309</v>
      </c>
      <c r="H152" s="682">
        <f t="shared" ref="H152:H161" si="32">$H$100</f>
        <v>1</v>
      </c>
      <c r="J152" s="671">
        <f t="shared" si="24"/>
        <v>2034</v>
      </c>
      <c r="K152" s="693">
        <v>49309</v>
      </c>
      <c r="L152" s="684">
        <f>IF(K152=参数输入表!$I$7,100%,H152)</f>
        <v>1</v>
      </c>
      <c r="N152" s="671">
        <f t="shared" si="27"/>
        <v>2034</v>
      </c>
      <c r="O152" s="692">
        <v>49309</v>
      </c>
      <c r="P152" s="678">
        <f t="shared" si="25"/>
        <v>1</v>
      </c>
    </row>
    <row r="153" spans="2:16">
      <c r="B153" s="671">
        <f t="shared" si="28"/>
        <v>2035</v>
      </c>
      <c r="C153" s="694">
        <v>49340</v>
      </c>
      <c r="D153" s="682">
        <f t="shared" si="31"/>
        <v>1</v>
      </c>
      <c r="F153" s="671">
        <f t="shared" si="26"/>
        <v>2035</v>
      </c>
      <c r="G153" s="694">
        <v>49340</v>
      </c>
      <c r="H153" s="682">
        <f t="shared" si="32"/>
        <v>1</v>
      </c>
      <c r="J153" s="671">
        <f t="shared" si="24"/>
        <v>2035</v>
      </c>
      <c r="K153" s="695">
        <v>49340</v>
      </c>
      <c r="L153" s="684">
        <f>IF(K153=参数输入表!$I$7,100%,H153)</f>
        <v>1</v>
      </c>
      <c r="N153" s="671">
        <f t="shared" si="27"/>
        <v>2035</v>
      </c>
      <c r="O153" s="694">
        <v>49340</v>
      </c>
      <c r="P153" s="678">
        <f t="shared" si="25"/>
        <v>1</v>
      </c>
    </row>
    <row r="154" spans="2:16">
      <c r="B154" s="671">
        <f t="shared" si="28"/>
        <v>2035</v>
      </c>
      <c r="C154" s="681">
        <v>49368</v>
      </c>
      <c r="D154" s="682">
        <f t="shared" si="31"/>
        <v>1</v>
      </c>
      <c r="F154" s="671">
        <f t="shared" si="26"/>
        <v>2035</v>
      </c>
      <c r="G154" s="681">
        <v>49368</v>
      </c>
      <c r="H154" s="682">
        <f t="shared" si="32"/>
        <v>1</v>
      </c>
      <c r="J154" s="671">
        <f t="shared" si="24"/>
        <v>2035</v>
      </c>
      <c r="K154" s="683">
        <v>49368</v>
      </c>
      <c r="L154" s="684">
        <f>IF(K154=参数输入表!$I$7,100%,H154)</f>
        <v>1</v>
      </c>
      <c r="N154" s="671">
        <f t="shared" si="27"/>
        <v>2035</v>
      </c>
      <c r="O154" s="681">
        <v>49368</v>
      </c>
      <c r="P154" s="678">
        <f t="shared" si="25"/>
        <v>1</v>
      </c>
    </row>
    <row r="155" spans="2:16">
      <c r="B155" s="671">
        <f t="shared" si="28"/>
        <v>2035</v>
      </c>
      <c r="C155" s="681">
        <v>49399</v>
      </c>
      <c r="D155" s="682">
        <f t="shared" si="31"/>
        <v>1</v>
      </c>
      <c r="F155" s="671">
        <f t="shared" si="26"/>
        <v>2035</v>
      </c>
      <c r="G155" s="681">
        <v>49399</v>
      </c>
      <c r="H155" s="682">
        <f t="shared" si="32"/>
        <v>1</v>
      </c>
      <c r="J155" s="671">
        <f t="shared" si="24"/>
        <v>2035</v>
      </c>
      <c r="K155" s="683">
        <v>49399</v>
      </c>
      <c r="L155" s="684">
        <f>IF(K155=参数输入表!$I$7,100%,H155)</f>
        <v>1</v>
      </c>
      <c r="N155" s="671">
        <f t="shared" si="27"/>
        <v>2035</v>
      </c>
      <c r="O155" s="681">
        <v>49399</v>
      </c>
      <c r="P155" s="678">
        <f t="shared" si="25"/>
        <v>1</v>
      </c>
    </row>
    <row r="156" spans="2:16">
      <c r="B156" s="671">
        <f t="shared" si="28"/>
        <v>2035</v>
      </c>
      <c r="C156" s="681">
        <v>49429</v>
      </c>
      <c r="D156" s="682">
        <f t="shared" si="31"/>
        <v>1</v>
      </c>
      <c r="F156" s="671">
        <f t="shared" si="26"/>
        <v>2035</v>
      </c>
      <c r="G156" s="681">
        <v>49429</v>
      </c>
      <c r="H156" s="682">
        <f t="shared" si="32"/>
        <v>1</v>
      </c>
      <c r="J156" s="671">
        <f t="shared" si="24"/>
        <v>2035</v>
      </c>
      <c r="K156" s="683">
        <v>49429</v>
      </c>
      <c r="L156" s="684">
        <f>IF(K156=参数输入表!$I$7,100%,H156)</f>
        <v>1</v>
      </c>
      <c r="N156" s="671">
        <f t="shared" si="27"/>
        <v>2035</v>
      </c>
      <c r="O156" s="681">
        <v>49429</v>
      </c>
      <c r="P156" s="678">
        <f t="shared" si="25"/>
        <v>1</v>
      </c>
    </row>
    <row r="157" spans="2:16">
      <c r="B157" s="671">
        <f t="shared" si="28"/>
        <v>2035</v>
      </c>
      <c r="C157" s="681">
        <v>49460</v>
      </c>
      <c r="D157" s="682">
        <f t="shared" si="31"/>
        <v>1</v>
      </c>
      <c r="F157" s="671">
        <f t="shared" si="26"/>
        <v>2035</v>
      </c>
      <c r="G157" s="681">
        <v>49460</v>
      </c>
      <c r="H157" s="682">
        <f t="shared" si="32"/>
        <v>1</v>
      </c>
      <c r="J157" s="671">
        <f t="shared" si="24"/>
        <v>2035</v>
      </c>
      <c r="K157" s="683">
        <v>49460</v>
      </c>
      <c r="L157" s="684">
        <f>IF(K157=参数输入表!$I$7,100%,H157)</f>
        <v>1</v>
      </c>
      <c r="N157" s="671">
        <f t="shared" si="27"/>
        <v>2035</v>
      </c>
      <c r="O157" s="681">
        <v>49460</v>
      </c>
      <c r="P157" s="678">
        <f t="shared" si="25"/>
        <v>1</v>
      </c>
    </row>
    <row r="158" spans="2:16">
      <c r="B158" s="671">
        <f t="shared" si="28"/>
        <v>2035</v>
      </c>
      <c r="C158" s="681">
        <v>49490</v>
      </c>
      <c r="D158" s="682">
        <f t="shared" si="31"/>
        <v>1</v>
      </c>
      <c r="F158" s="671">
        <f t="shared" si="26"/>
        <v>2035</v>
      </c>
      <c r="G158" s="681">
        <v>49490</v>
      </c>
      <c r="H158" s="682">
        <f t="shared" si="32"/>
        <v>1</v>
      </c>
      <c r="J158" s="671">
        <f t="shared" si="24"/>
        <v>2035</v>
      </c>
      <c r="K158" s="683">
        <v>49490</v>
      </c>
      <c r="L158" s="684">
        <f>IF(K158=参数输入表!$I$7,100%,H158)</f>
        <v>1</v>
      </c>
      <c r="N158" s="671">
        <f t="shared" si="27"/>
        <v>2035</v>
      </c>
      <c r="O158" s="681">
        <v>49490</v>
      </c>
      <c r="P158" s="678">
        <f t="shared" si="25"/>
        <v>1</v>
      </c>
    </row>
    <row r="159" spans="2:16">
      <c r="B159" s="671">
        <f t="shared" si="28"/>
        <v>2035</v>
      </c>
      <c r="C159" s="681">
        <v>49521</v>
      </c>
      <c r="D159" s="682">
        <f t="shared" si="31"/>
        <v>1</v>
      </c>
      <c r="F159" s="671">
        <f t="shared" si="26"/>
        <v>2035</v>
      </c>
      <c r="G159" s="681">
        <v>49521</v>
      </c>
      <c r="H159" s="682">
        <f t="shared" si="32"/>
        <v>1</v>
      </c>
      <c r="J159" s="671">
        <f t="shared" si="24"/>
        <v>2035</v>
      </c>
      <c r="K159" s="683">
        <v>49521</v>
      </c>
      <c r="L159" s="684">
        <f>IF(K159=参数输入表!$I$7,100%,H159)</f>
        <v>1</v>
      </c>
      <c r="N159" s="671">
        <f t="shared" si="27"/>
        <v>2035</v>
      </c>
      <c r="O159" s="681">
        <v>49521</v>
      </c>
      <c r="P159" s="678">
        <f t="shared" si="25"/>
        <v>1</v>
      </c>
    </row>
    <row r="160" spans="2:16">
      <c r="B160" s="671">
        <f t="shared" si="28"/>
        <v>2035</v>
      </c>
      <c r="C160" s="681">
        <v>49552</v>
      </c>
      <c r="D160" s="682">
        <f t="shared" si="31"/>
        <v>1</v>
      </c>
      <c r="F160" s="671">
        <f t="shared" si="26"/>
        <v>2035</v>
      </c>
      <c r="G160" s="681">
        <v>49552</v>
      </c>
      <c r="H160" s="682">
        <f t="shared" si="32"/>
        <v>1</v>
      </c>
      <c r="J160" s="671">
        <f t="shared" si="24"/>
        <v>2035</v>
      </c>
      <c r="K160" s="683">
        <v>49552</v>
      </c>
      <c r="L160" s="684">
        <f>IF(K160=参数输入表!$I$7,100%,H160)</f>
        <v>1</v>
      </c>
      <c r="N160" s="671">
        <f t="shared" si="27"/>
        <v>2035</v>
      </c>
      <c r="O160" s="681">
        <v>49552</v>
      </c>
      <c r="P160" s="678">
        <f t="shared" si="25"/>
        <v>1</v>
      </c>
    </row>
    <row r="161" spans="2:16">
      <c r="B161" s="671">
        <f t="shared" si="28"/>
        <v>2035</v>
      </c>
      <c r="C161" s="681">
        <v>49582</v>
      </c>
      <c r="D161" s="682">
        <f t="shared" si="31"/>
        <v>1</v>
      </c>
      <c r="F161" s="671">
        <f t="shared" si="26"/>
        <v>2035</v>
      </c>
      <c r="G161" s="681">
        <v>49582</v>
      </c>
      <c r="H161" s="682">
        <f t="shared" si="32"/>
        <v>1</v>
      </c>
      <c r="J161" s="671">
        <f t="shared" si="24"/>
        <v>2035</v>
      </c>
      <c r="K161" s="683">
        <v>49582</v>
      </c>
      <c r="L161" s="684">
        <f>IF(K161=参数输入表!$I$7,100%,H161)</f>
        <v>1</v>
      </c>
      <c r="N161" s="671">
        <f t="shared" si="27"/>
        <v>2035</v>
      </c>
      <c r="O161" s="681">
        <v>49582</v>
      </c>
      <c r="P161" s="678">
        <f t="shared" si="25"/>
        <v>1</v>
      </c>
    </row>
    <row r="162" spans="2:16">
      <c r="B162" s="671">
        <f t="shared" si="28"/>
        <v>2035</v>
      </c>
      <c r="C162" s="681">
        <v>49613</v>
      </c>
      <c r="D162" s="682">
        <f t="shared" ref="D162:D171" si="33">$D$100</f>
        <v>1</v>
      </c>
      <c r="F162" s="671">
        <f t="shared" si="26"/>
        <v>2035</v>
      </c>
      <c r="G162" s="681">
        <v>49613</v>
      </c>
      <c r="H162" s="682">
        <f t="shared" ref="H162:H171" si="34">$H$100</f>
        <v>1</v>
      </c>
      <c r="J162" s="671">
        <f t="shared" si="24"/>
        <v>2035</v>
      </c>
      <c r="K162" s="683">
        <v>49613</v>
      </c>
      <c r="L162" s="684">
        <f>IF(K162=参数输入表!$I$7,100%,H162)</f>
        <v>1</v>
      </c>
      <c r="N162" s="671">
        <f t="shared" si="27"/>
        <v>2035</v>
      </c>
      <c r="O162" s="681">
        <v>49613</v>
      </c>
      <c r="P162" s="678">
        <f t="shared" si="25"/>
        <v>1</v>
      </c>
    </row>
    <row r="163" spans="2:16">
      <c r="B163" s="671">
        <f t="shared" si="28"/>
        <v>2035</v>
      </c>
      <c r="C163" s="681">
        <v>49643</v>
      </c>
      <c r="D163" s="682">
        <f t="shared" si="33"/>
        <v>1</v>
      </c>
      <c r="F163" s="671">
        <f t="shared" si="26"/>
        <v>2035</v>
      </c>
      <c r="G163" s="681">
        <v>49643</v>
      </c>
      <c r="H163" s="682">
        <f t="shared" si="34"/>
        <v>1</v>
      </c>
      <c r="J163" s="671">
        <f t="shared" si="24"/>
        <v>2035</v>
      </c>
      <c r="K163" s="683">
        <v>49643</v>
      </c>
      <c r="L163" s="684">
        <f>IF(K163=参数输入表!$I$7,100%,H163)</f>
        <v>1</v>
      </c>
      <c r="N163" s="671">
        <f t="shared" si="27"/>
        <v>2035</v>
      </c>
      <c r="O163" s="681">
        <v>49643</v>
      </c>
      <c r="P163" s="678">
        <f t="shared" si="25"/>
        <v>1</v>
      </c>
    </row>
    <row r="164" ht="15.25" spans="2:16">
      <c r="B164" s="671">
        <f t="shared" si="28"/>
        <v>2035</v>
      </c>
      <c r="C164" s="692">
        <v>49674</v>
      </c>
      <c r="D164" s="682">
        <f t="shared" si="33"/>
        <v>1</v>
      </c>
      <c r="F164" s="671">
        <f t="shared" si="26"/>
        <v>2035</v>
      </c>
      <c r="G164" s="692">
        <v>49674</v>
      </c>
      <c r="H164" s="682">
        <f t="shared" si="34"/>
        <v>1</v>
      </c>
      <c r="J164" s="671">
        <f t="shared" si="24"/>
        <v>2035</v>
      </c>
      <c r="K164" s="693">
        <v>49674</v>
      </c>
      <c r="L164" s="684">
        <f>IF(K164=参数输入表!$I$7,100%,H164)</f>
        <v>1</v>
      </c>
      <c r="N164" s="671">
        <f t="shared" si="27"/>
        <v>2035</v>
      </c>
      <c r="O164" s="692">
        <v>49674</v>
      </c>
      <c r="P164" s="678">
        <f t="shared" si="25"/>
        <v>1</v>
      </c>
    </row>
    <row r="165" spans="2:16">
      <c r="B165" s="671">
        <f t="shared" si="28"/>
        <v>2036</v>
      </c>
      <c r="C165" s="694">
        <v>49705</v>
      </c>
      <c r="D165" s="682">
        <f t="shared" si="33"/>
        <v>1</v>
      </c>
      <c r="F165" s="671">
        <f t="shared" si="26"/>
        <v>2036</v>
      </c>
      <c r="G165" s="694">
        <v>49705</v>
      </c>
      <c r="H165" s="682">
        <f t="shared" si="34"/>
        <v>1</v>
      </c>
      <c r="J165" s="671">
        <f t="shared" si="24"/>
        <v>2036</v>
      </c>
      <c r="K165" s="695">
        <v>49705</v>
      </c>
      <c r="L165" s="684">
        <f>IF(K165=参数输入表!$I$7,100%,H165)</f>
        <v>1</v>
      </c>
      <c r="N165" s="671">
        <f t="shared" si="27"/>
        <v>2036</v>
      </c>
      <c r="O165" s="694">
        <v>49705</v>
      </c>
      <c r="P165" s="678">
        <f t="shared" si="25"/>
        <v>1</v>
      </c>
    </row>
    <row r="166" spans="2:16">
      <c r="B166" s="671">
        <f t="shared" si="28"/>
        <v>2036</v>
      </c>
      <c r="C166" s="681">
        <v>49734</v>
      </c>
      <c r="D166" s="682">
        <f t="shared" si="33"/>
        <v>1</v>
      </c>
      <c r="F166" s="671">
        <f t="shared" si="26"/>
        <v>2036</v>
      </c>
      <c r="G166" s="681">
        <v>49734</v>
      </c>
      <c r="H166" s="682">
        <f t="shared" si="34"/>
        <v>1</v>
      </c>
      <c r="J166" s="671">
        <f t="shared" si="24"/>
        <v>2036</v>
      </c>
      <c r="K166" s="683">
        <v>49734</v>
      </c>
      <c r="L166" s="684">
        <f>IF(K166=参数输入表!$I$7,100%,H166)</f>
        <v>1</v>
      </c>
      <c r="N166" s="671">
        <f t="shared" si="27"/>
        <v>2036</v>
      </c>
      <c r="O166" s="681">
        <v>49734</v>
      </c>
      <c r="P166" s="678">
        <f t="shared" si="25"/>
        <v>1</v>
      </c>
    </row>
    <row r="167" spans="2:16">
      <c r="B167" s="671">
        <f t="shared" si="28"/>
        <v>2036</v>
      </c>
      <c r="C167" s="681">
        <v>49765</v>
      </c>
      <c r="D167" s="682">
        <f t="shared" si="33"/>
        <v>1</v>
      </c>
      <c r="F167" s="671">
        <f t="shared" si="26"/>
        <v>2036</v>
      </c>
      <c r="G167" s="681">
        <v>49765</v>
      </c>
      <c r="H167" s="682">
        <f t="shared" si="34"/>
        <v>1</v>
      </c>
      <c r="J167" s="671">
        <f t="shared" si="24"/>
        <v>2036</v>
      </c>
      <c r="K167" s="683">
        <v>49765</v>
      </c>
      <c r="L167" s="684">
        <f>IF(K167=参数输入表!$I$7,100%,H167)</f>
        <v>1</v>
      </c>
      <c r="N167" s="671">
        <f t="shared" si="27"/>
        <v>2036</v>
      </c>
      <c r="O167" s="681">
        <v>49765</v>
      </c>
      <c r="P167" s="678">
        <f t="shared" si="25"/>
        <v>1</v>
      </c>
    </row>
    <row r="168" spans="2:16">
      <c r="B168" s="671">
        <f t="shared" si="28"/>
        <v>2036</v>
      </c>
      <c r="C168" s="681">
        <v>49795</v>
      </c>
      <c r="D168" s="682">
        <f t="shared" si="33"/>
        <v>1</v>
      </c>
      <c r="F168" s="671">
        <f t="shared" si="26"/>
        <v>2036</v>
      </c>
      <c r="G168" s="681">
        <v>49795</v>
      </c>
      <c r="H168" s="682">
        <f t="shared" si="34"/>
        <v>1</v>
      </c>
      <c r="J168" s="671">
        <f t="shared" si="24"/>
        <v>2036</v>
      </c>
      <c r="K168" s="683">
        <v>49795</v>
      </c>
      <c r="L168" s="684">
        <f>IF(K168=参数输入表!$I$7,100%,H168)</f>
        <v>1</v>
      </c>
      <c r="N168" s="671">
        <f t="shared" si="27"/>
        <v>2036</v>
      </c>
      <c r="O168" s="681">
        <v>49795</v>
      </c>
      <c r="P168" s="678">
        <f t="shared" si="25"/>
        <v>1</v>
      </c>
    </row>
    <row r="169" spans="2:16">
      <c r="B169" s="671">
        <f t="shared" si="28"/>
        <v>2036</v>
      </c>
      <c r="C169" s="681">
        <v>49826</v>
      </c>
      <c r="D169" s="682">
        <f t="shared" si="33"/>
        <v>1</v>
      </c>
      <c r="F169" s="671">
        <f t="shared" si="26"/>
        <v>2036</v>
      </c>
      <c r="G169" s="681">
        <v>49826</v>
      </c>
      <c r="H169" s="682">
        <f t="shared" si="34"/>
        <v>1</v>
      </c>
      <c r="J169" s="671">
        <f t="shared" si="24"/>
        <v>2036</v>
      </c>
      <c r="K169" s="683">
        <v>49826</v>
      </c>
      <c r="L169" s="684">
        <f>IF(K169=参数输入表!$I$7,100%,H169)</f>
        <v>1</v>
      </c>
      <c r="N169" s="671">
        <f t="shared" si="27"/>
        <v>2036</v>
      </c>
      <c r="O169" s="681">
        <v>49826</v>
      </c>
      <c r="P169" s="678">
        <f t="shared" si="25"/>
        <v>1</v>
      </c>
    </row>
    <row r="170" spans="2:16">
      <c r="B170" s="671">
        <f t="shared" si="28"/>
        <v>2036</v>
      </c>
      <c r="C170" s="681">
        <v>49856</v>
      </c>
      <c r="D170" s="682">
        <f t="shared" si="33"/>
        <v>1</v>
      </c>
      <c r="F170" s="671">
        <f t="shared" si="26"/>
        <v>2036</v>
      </c>
      <c r="G170" s="681">
        <v>49856</v>
      </c>
      <c r="H170" s="682">
        <f t="shared" si="34"/>
        <v>1</v>
      </c>
      <c r="J170" s="671">
        <f t="shared" si="24"/>
        <v>2036</v>
      </c>
      <c r="K170" s="683">
        <v>49856</v>
      </c>
      <c r="L170" s="684">
        <f>IF(K170=参数输入表!$I$7,100%,H170)</f>
        <v>1</v>
      </c>
      <c r="N170" s="671">
        <f t="shared" si="27"/>
        <v>2036</v>
      </c>
      <c r="O170" s="681">
        <v>49856</v>
      </c>
      <c r="P170" s="678">
        <f t="shared" si="25"/>
        <v>1</v>
      </c>
    </row>
    <row r="171" spans="2:16">
      <c r="B171" s="671">
        <f t="shared" si="28"/>
        <v>2036</v>
      </c>
      <c r="C171" s="681">
        <v>49887</v>
      </c>
      <c r="D171" s="682">
        <f t="shared" si="33"/>
        <v>1</v>
      </c>
      <c r="F171" s="671">
        <f t="shared" si="26"/>
        <v>2036</v>
      </c>
      <c r="G171" s="681">
        <v>49887</v>
      </c>
      <c r="H171" s="682">
        <f t="shared" si="34"/>
        <v>1</v>
      </c>
      <c r="J171" s="671">
        <f t="shared" si="24"/>
        <v>2036</v>
      </c>
      <c r="K171" s="683">
        <v>49887</v>
      </c>
      <c r="L171" s="684">
        <f>IF(K171=参数输入表!$I$7,100%,H171)</f>
        <v>1</v>
      </c>
      <c r="N171" s="671">
        <f t="shared" si="27"/>
        <v>2036</v>
      </c>
      <c r="O171" s="681">
        <v>49887</v>
      </c>
      <c r="P171" s="678">
        <f t="shared" si="25"/>
        <v>1</v>
      </c>
    </row>
    <row r="172" spans="2:16">
      <c r="B172" s="671">
        <f t="shared" si="28"/>
        <v>2036</v>
      </c>
      <c r="C172" s="681">
        <v>49918</v>
      </c>
      <c r="D172" s="682">
        <f t="shared" ref="D172:D181" si="35">$D$100</f>
        <v>1</v>
      </c>
      <c r="F172" s="671">
        <f t="shared" si="26"/>
        <v>2036</v>
      </c>
      <c r="G172" s="681">
        <v>49918</v>
      </c>
      <c r="H172" s="682">
        <f t="shared" ref="H172:H181" si="36">$H$100</f>
        <v>1</v>
      </c>
      <c r="J172" s="671">
        <f t="shared" si="24"/>
        <v>2036</v>
      </c>
      <c r="K172" s="683">
        <v>49918</v>
      </c>
      <c r="L172" s="684">
        <f>IF(K172=参数输入表!$I$7,100%,H172)</f>
        <v>1</v>
      </c>
      <c r="N172" s="671">
        <f t="shared" si="27"/>
        <v>2036</v>
      </c>
      <c r="O172" s="681">
        <v>49918</v>
      </c>
      <c r="P172" s="678">
        <f t="shared" si="25"/>
        <v>1</v>
      </c>
    </row>
    <row r="173" spans="2:16">
      <c r="B173" s="671">
        <f t="shared" si="28"/>
        <v>2036</v>
      </c>
      <c r="C173" s="681">
        <v>49948</v>
      </c>
      <c r="D173" s="682">
        <f t="shared" si="35"/>
        <v>1</v>
      </c>
      <c r="F173" s="671">
        <f t="shared" si="26"/>
        <v>2036</v>
      </c>
      <c r="G173" s="681">
        <v>49948</v>
      </c>
      <c r="H173" s="682">
        <f t="shared" si="36"/>
        <v>1</v>
      </c>
      <c r="J173" s="671">
        <f t="shared" si="24"/>
        <v>2036</v>
      </c>
      <c r="K173" s="683">
        <v>49948</v>
      </c>
      <c r="L173" s="684">
        <f>IF(K173=参数输入表!$I$7,100%,H173)</f>
        <v>1</v>
      </c>
      <c r="N173" s="671">
        <f t="shared" si="27"/>
        <v>2036</v>
      </c>
      <c r="O173" s="681">
        <v>49948</v>
      </c>
      <c r="P173" s="678">
        <f t="shared" si="25"/>
        <v>1</v>
      </c>
    </row>
    <row r="174" spans="2:16">
      <c r="B174" s="671">
        <f t="shared" si="28"/>
        <v>2036</v>
      </c>
      <c r="C174" s="681">
        <v>49979</v>
      </c>
      <c r="D174" s="682">
        <f t="shared" si="35"/>
        <v>1</v>
      </c>
      <c r="F174" s="671">
        <f t="shared" si="26"/>
        <v>2036</v>
      </c>
      <c r="G174" s="681">
        <v>49979</v>
      </c>
      <c r="H174" s="682">
        <f t="shared" si="36"/>
        <v>1</v>
      </c>
      <c r="J174" s="671">
        <f t="shared" si="24"/>
        <v>2036</v>
      </c>
      <c r="K174" s="683">
        <v>49979</v>
      </c>
      <c r="L174" s="684">
        <f>IF(K174=参数输入表!$I$7,100%,H174)</f>
        <v>1</v>
      </c>
      <c r="N174" s="671">
        <f t="shared" si="27"/>
        <v>2036</v>
      </c>
      <c r="O174" s="681">
        <v>49979</v>
      </c>
      <c r="P174" s="678">
        <f t="shared" si="25"/>
        <v>1</v>
      </c>
    </row>
    <row r="175" spans="2:16">
      <c r="B175" s="671">
        <f t="shared" si="28"/>
        <v>2036</v>
      </c>
      <c r="C175" s="681">
        <v>50009</v>
      </c>
      <c r="D175" s="682">
        <f t="shared" si="35"/>
        <v>1</v>
      </c>
      <c r="F175" s="671">
        <f t="shared" si="26"/>
        <v>2036</v>
      </c>
      <c r="G175" s="681">
        <v>50009</v>
      </c>
      <c r="H175" s="682">
        <f t="shared" si="36"/>
        <v>1</v>
      </c>
      <c r="J175" s="671">
        <f t="shared" si="24"/>
        <v>2036</v>
      </c>
      <c r="K175" s="683">
        <v>50009</v>
      </c>
      <c r="L175" s="684">
        <f>IF(K175=参数输入表!$I$7,100%,H175)</f>
        <v>1</v>
      </c>
      <c r="N175" s="671">
        <f t="shared" si="27"/>
        <v>2036</v>
      </c>
      <c r="O175" s="681">
        <v>50009</v>
      </c>
      <c r="P175" s="678">
        <f t="shared" si="25"/>
        <v>1</v>
      </c>
    </row>
    <row r="176" ht="15.25" spans="2:16">
      <c r="B176" s="671">
        <f t="shared" si="28"/>
        <v>2036</v>
      </c>
      <c r="C176" s="692">
        <v>50040</v>
      </c>
      <c r="D176" s="682">
        <f t="shared" si="35"/>
        <v>1</v>
      </c>
      <c r="F176" s="671">
        <f t="shared" si="26"/>
        <v>2036</v>
      </c>
      <c r="G176" s="692">
        <v>50040</v>
      </c>
      <c r="H176" s="682">
        <f t="shared" si="36"/>
        <v>1</v>
      </c>
      <c r="J176" s="671">
        <f t="shared" si="24"/>
        <v>2036</v>
      </c>
      <c r="K176" s="693">
        <v>50040</v>
      </c>
      <c r="L176" s="684">
        <f>IF(K176=参数输入表!$I$7,100%,H176)</f>
        <v>1</v>
      </c>
      <c r="N176" s="671">
        <f t="shared" si="27"/>
        <v>2036</v>
      </c>
      <c r="O176" s="692">
        <v>50040</v>
      </c>
      <c r="P176" s="678">
        <f t="shared" si="25"/>
        <v>1</v>
      </c>
    </row>
    <row r="177" spans="2:16">
      <c r="B177" s="671">
        <f t="shared" si="28"/>
        <v>2037</v>
      </c>
      <c r="C177" s="694">
        <v>50071</v>
      </c>
      <c r="D177" s="682">
        <f t="shared" si="35"/>
        <v>1</v>
      </c>
      <c r="F177" s="671">
        <f t="shared" si="26"/>
        <v>2037</v>
      </c>
      <c r="G177" s="694">
        <v>50071</v>
      </c>
      <c r="H177" s="682">
        <f t="shared" si="36"/>
        <v>1</v>
      </c>
      <c r="J177" s="671">
        <f t="shared" si="24"/>
        <v>2037</v>
      </c>
      <c r="K177" s="695">
        <v>50071</v>
      </c>
      <c r="L177" s="684">
        <f>IF(K177=参数输入表!$I$7,100%,H177)</f>
        <v>1</v>
      </c>
      <c r="N177" s="671">
        <f t="shared" si="27"/>
        <v>2037</v>
      </c>
      <c r="O177" s="694">
        <v>50071</v>
      </c>
      <c r="P177" s="678">
        <f t="shared" si="25"/>
        <v>1</v>
      </c>
    </row>
    <row r="178" spans="2:16">
      <c r="B178" s="671">
        <f t="shared" si="28"/>
        <v>2037</v>
      </c>
      <c r="C178" s="681">
        <v>50099</v>
      </c>
      <c r="D178" s="682">
        <f t="shared" si="35"/>
        <v>1</v>
      </c>
      <c r="F178" s="671">
        <f t="shared" si="26"/>
        <v>2037</v>
      </c>
      <c r="G178" s="681">
        <v>50099</v>
      </c>
      <c r="H178" s="682">
        <f t="shared" si="36"/>
        <v>1</v>
      </c>
      <c r="J178" s="671">
        <f t="shared" si="24"/>
        <v>2037</v>
      </c>
      <c r="K178" s="683">
        <v>50099</v>
      </c>
      <c r="L178" s="684">
        <f>IF(K178=参数输入表!$I$7,100%,H178)</f>
        <v>1</v>
      </c>
      <c r="N178" s="671">
        <f t="shared" si="27"/>
        <v>2037</v>
      </c>
      <c r="O178" s="681">
        <v>50099</v>
      </c>
      <c r="P178" s="678">
        <f t="shared" si="25"/>
        <v>1</v>
      </c>
    </row>
    <row r="179" spans="2:16">
      <c r="B179" s="671">
        <f t="shared" si="28"/>
        <v>2037</v>
      </c>
      <c r="C179" s="681">
        <v>50130</v>
      </c>
      <c r="D179" s="682">
        <f t="shared" si="35"/>
        <v>1</v>
      </c>
      <c r="F179" s="671">
        <f t="shared" si="26"/>
        <v>2037</v>
      </c>
      <c r="G179" s="681">
        <v>50130</v>
      </c>
      <c r="H179" s="682">
        <f t="shared" si="36"/>
        <v>1</v>
      </c>
      <c r="J179" s="671">
        <f t="shared" si="24"/>
        <v>2037</v>
      </c>
      <c r="K179" s="683">
        <v>50130</v>
      </c>
      <c r="L179" s="684">
        <f>IF(K179=参数输入表!$I$7,100%,H179)</f>
        <v>1</v>
      </c>
      <c r="N179" s="671">
        <f t="shared" si="27"/>
        <v>2037</v>
      </c>
      <c r="O179" s="681">
        <v>50130</v>
      </c>
      <c r="P179" s="678">
        <f t="shared" si="25"/>
        <v>1</v>
      </c>
    </row>
    <row r="180" spans="2:16">
      <c r="B180" s="671">
        <f t="shared" si="28"/>
        <v>2037</v>
      </c>
      <c r="C180" s="681">
        <v>50160</v>
      </c>
      <c r="D180" s="682">
        <f t="shared" si="35"/>
        <v>1</v>
      </c>
      <c r="F180" s="671">
        <f t="shared" si="26"/>
        <v>2037</v>
      </c>
      <c r="G180" s="681">
        <v>50160</v>
      </c>
      <c r="H180" s="682">
        <f t="shared" si="36"/>
        <v>1</v>
      </c>
      <c r="J180" s="671">
        <f t="shared" si="24"/>
        <v>2037</v>
      </c>
      <c r="K180" s="683">
        <v>50160</v>
      </c>
      <c r="L180" s="684">
        <f>IF(K180=参数输入表!$I$7,100%,H180)</f>
        <v>1</v>
      </c>
      <c r="N180" s="671">
        <f t="shared" si="27"/>
        <v>2037</v>
      </c>
      <c r="O180" s="681">
        <v>50160</v>
      </c>
      <c r="P180" s="678">
        <f t="shared" si="25"/>
        <v>1</v>
      </c>
    </row>
    <row r="181" spans="2:16">
      <c r="B181" s="671">
        <f t="shared" si="28"/>
        <v>2037</v>
      </c>
      <c r="C181" s="681">
        <v>50191</v>
      </c>
      <c r="D181" s="682">
        <f t="shared" si="35"/>
        <v>1</v>
      </c>
      <c r="F181" s="671">
        <f t="shared" si="26"/>
        <v>2037</v>
      </c>
      <c r="G181" s="681">
        <v>50191</v>
      </c>
      <c r="H181" s="682">
        <f t="shared" si="36"/>
        <v>1</v>
      </c>
      <c r="J181" s="671">
        <f t="shared" si="24"/>
        <v>2037</v>
      </c>
      <c r="K181" s="683">
        <v>50191</v>
      </c>
      <c r="L181" s="684">
        <f>IF(K181=参数输入表!$I$7,100%,H181)</f>
        <v>1</v>
      </c>
      <c r="N181" s="671">
        <f t="shared" si="27"/>
        <v>2037</v>
      </c>
      <c r="O181" s="681">
        <v>50191</v>
      </c>
      <c r="P181" s="678">
        <f t="shared" si="25"/>
        <v>1</v>
      </c>
    </row>
    <row r="182" spans="2:16">
      <c r="B182" s="671">
        <f t="shared" si="28"/>
        <v>2037</v>
      </c>
      <c r="C182" s="681">
        <v>50221</v>
      </c>
      <c r="D182" s="682">
        <f t="shared" ref="D182:D191" si="37">$D$100</f>
        <v>1</v>
      </c>
      <c r="F182" s="671">
        <f t="shared" si="26"/>
        <v>2037</v>
      </c>
      <c r="G182" s="681">
        <v>50221</v>
      </c>
      <c r="H182" s="682">
        <f t="shared" ref="H182:H191" si="38">$H$100</f>
        <v>1</v>
      </c>
      <c r="J182" s="671">
        <f t="shared" si="24"/>
        <v>2037</v>
      </c>
      <c r="K182" s="683">
        <v>50221</v>
      </c>
      <c r="L182" s="684">
        <f>IF(K182=参数输入表!$I$7,100%,H182)</f>
        <v>1</v>
      </c>
      <c r="N182" s="671">
        <f t="shared" si="27"/>
        <v>2037</v>
      </c>
      <c r="O182" s="681">
        <v>50221</v>
      </c>
      <c r="P182" s="678">
        <f t="shared" si="25"/>
        <v>1</v>
      </c>
    </row>
    <row r="183" spans="2:16">
      <c r="B183" s="671">
        <f t="shared" si="28"/>
        <v>2037</v>
      </c>
      <c r="C183" s="681">
        <v>50252</v>
      </c>
      <c r="D183" s="682">
        <f t="shared" si="37"/>
        <v>1</v>
      </c>
      <c r="F183" s="671">
        <f t="shared" si="26"/>
        <v>2037</v>
      </c>
      <c r="G183" s="681">
        <v>50252</v>
      </c>
      <c r="H183" s="682">
        <f t="shared" si="38"/>
        <v>1</v>
      </c>
      <c r="J183" s="671">
        <f t="shared" si="24"/>
        <v>2037</v>
      </c>
      <c r="K183" s="683">
        <v>50252</v>
      </c>
      <c r="L183" s="684">
        <f>IF(K183=参数输入表!$I$7,100%,H183)</f>
        <v>1</v>
      </c>
      <c r="N183" s="671">
        <f t="shared" si="27"/>
        <v>2037</v>
      </c>
      <c r="O183" s="681">
        <v>50252</v>
      </c>
      <c r="P183" s="678">
        <f t="shared" si="25"/>
        <v>1</v>
      </c>
    </row>
    <row r="184" spans="2:16">
      <c r="B184" s="671">
        <f t="shared" si="28"/>
        <v>2037</v>
      </c>
      <c r="C184" s="681">
        <v>50283</v>
      </c>
      <c r="D184" s="682">
        <f t="shared" si="37"/>
        <v>1</v>
      </c>
      <c r="F184" s="671">
        <f t="shared" si="26"/>
        <v>2037</v>
      </c>
      <c r="G184" s="681">
        <v>50283</v>
      </c>
      <c r="H184" s="682">
        <f t="shared" si="38"/>
        <v>1</v>
      </c>
      <c r="J184" s="671">
        <f t="shared" si="24"/>
        <v>2037</v>
      </c>
      <c r="K184" s="683">
        <v>50283</v>
      </c>
      <c r="L184" s="684">
        <f>IF(K184=参数输入表!$I$7,100%,H184)</f>
        <v>1</v>
      </c>
      <c r="N184" s="671">
        <f t="shared" si="27"/>
        <v>2037</v>
      </c>
      <c r="O184" s="681">
        <v>50283</v>
      </c>
      <c r="P184" s="678">
        <f t="shared" si="25"/>
        <v>1</v>
      </c>
    </row>
    <row r="185" spans="2:16">
      <c r="B185" s="671">
        <f t="shared" si="28"/>
        <v>2037</v>
      </c>
      <c r="C185" s="681">
        <v>50313</v>
      </c>
      <c r="D185" s="682">
        <f t="shared" si="37"/>
        <v>1</v>
      </c>
      <c r="F185" s="671">
        <f t="shared" si="26"/>
        <v>2037</v>
      </c>
      <c r="G185" s="681">
        <v>50313</v>
      </c>
      <c r="H185" s="682">
        <f t="shared" si="38"/>
        <v>1</v>
      </c>
      <c r="J185" s="671">
        <f t="shared" si="24"/>
        <v>2037</v>
      </c>
      <c r="K185" s="683">
        <v>50313</v>
      </c>
      <c r="L185" s="684">
        <f>IF(K185=参数输入表!$I$7,100%,H185)</f>
        <v>1</v>
      </c>
      <c r="N185" s="671">
        <f t="shared" si="27"/>
        <v>2037</v>
      </c>
      <c r="O185" s="681">
        <v>50313</v>
      </c>
      <c r="P185" s="678">
        <f t="shared" si="25"/>
        <v>1</v>
      </c>
    </row>
    <row r="186" spans="2:16">
      <c r="B186" s="671">
        <f t="shared" si="28"/>
        <v>2037</v>
      </c>
      <c r="C186" s="681">
        <v>50344</v>
      </c>
      <c r="D186" s="682">
        <f t="shared" si="37"/>
        <v>1</v>
      </c>
      <c r="F186" s="671">
        <f t="shared" si="26"/>
        <v>2037</v>
      </c>
      <c r="G186" s="681">
        <v>50344</v>
      </c>
      <c r="H186" s="682">
        <f t="shared" si="38"/>
        <v>1</v>
      </c>
      <c r="J186" s="671">
        <f t="shared" si="24"/>
        <v>2037</v>
      </c>
      <c r="K186" s="683">
        <v>50344</v>
      </c>
      <c r="L186" s="684">
        <f>IF(K186=参数输入表!$I$7,100%,H186)</f>
        <v>1</v>
      </c>
      <c r="N186" s="671">
        <f t="shared" si="27"/>
        <v>2037</v>
      </c>
      <c r="O186" s="681">
        <v>50344</v>
      </c>
      <c r="P186" s="678">
        <f t="shared" si="25"/>
        <v>1</v>
      </c>
    </row>
    <row r="187" spans="2:16">
      <c r="B187" s="671">
        <f t="shared" si="28"/>
        <v>2037</v>
      </c>
      <c r="C187" s="681">
        <v>50374</v>
      </c>
      <c r="D187" s="682">
        <f t="shared" si="37"/>
        <v>1</v>
      </c>
      <c r="F187" s="671">
        <f t="shared" si="26"/>
        <v>2037</v>
      </c>
      <c r="G187" s="681">
        <v>50374</v>
      </c>
      <c r="H187" s="682">
        <f t="shared" si="38"/>
        <v>1</v>
      </c>
      <c r="J187" s="671">
        <f t="shared" si="24"/>
        <v>2037</v>
      </c>
      <c r="K187" s="683">
        <v>50374</v>
      </c>
      <c r="L187" s="684">
        <f>IF(K187=参数输入表!$I$7,100%,H187)</f>
        <v>1</v>
      </c>
      <c r="N187" s="671">
        <f t="shared" si="27"/>
        <v>2037</v>
      </c>
      <c r="O187" s="681">
        <v>50374</v>
      </c>
      <c r="P187" s="678">
        <f t="shared" si="25"/>
        <v>1</v>
      </c>
    </row>
    <row r="188" ht="15.25" spans="2:16">
      <c r="B188" s="671">
        <f t="shared" si="28"/>
        <v>2037</v>
      </c>
      <c r="C188" s="692">
        <v>50405</v>
      </c>
      <c r="D188" s="682">
        <f t="shared" si="37"/>
        <v>1</v>
      </c>
      <c r="F188" s="671">
        <f t="shared" si="26"/>
        <v>2037</v>
      </c>
      <c r="G188" s="692">
        <v>50405</v>
      </c>
      <c r="H188" s="682">
        <f t="shared" si="38"/>
        <v>1</v>
      </c>
      <c r="J188" s="671">
        <f t="shared" si="24"/>
        <v>2037</v>
      </c>
      <c r="K188" s="693">
        <v>50405</v>
      </c>
      <c r="L188" s="684">
        <f>IF(K188=参数输入表!$I$7,100%,H188)</f>
        <v>1</v>
      </c>
      <c r="N188" s="671">
        <f t="shared" si="27"/>
        <v>2037</v>
      </c>
      <c r="O188" s="692">
        <v>50405</v>
      </c>
      <c r="P188" s="678">
        <f t="shared" si="25"/>
        <v>1</v>
      </c>
    </row>
    <row r="189" spans="2:16">
      <c r="B189" s="671">
        <f t="shared" si="28"/>
        <v>2038</v>
      </c>
      <c r="C189" s="694">
        <v>50436</v>
      </c>
      <c r="D189" s="682">
        <f t="shared" si="37"/>
        <v>1</v>
      </c>
      <c r="F189" s="671">
        <f t="shared" si="26"/>
        <v>2038</v>
      </c>
      <c r="G189" s="694">
        <v>50436</v>
      </c>
      <c r="H189" s="682">
        <f t="shared" si="38"/>
        <v>1</v>
      </c>
      <c r="J189" s="671">
        <f t="shared" si="24"/>
        <v>2038</v>
      </c>
      <c r="K189" s="695">
        <v>50436</v>
      </c>
      <c r="L189" s="684">
        <f>IF(K189=参数输入表!$I$7,100%,H189)</f>
        <v>1</v>
      </c>
      <c r="N189" s="671">
        <f t="shared" si="27"/>
        <v>2038</v>
      </c>
      <c r="O189" s="694">
        <v>50436</v>
      </c>
      <c r="P189" s="678">
        <f t="shared" si="25"/>
        <v>1</v>
      </c>
    </row>
    <row r="190" spans="2:16">
      <c r="B190" s="671">
        <f t="shared" si="28"/>
        <v>2038</v>
      </c>
      <c r="C190" s="681">
        <v>50464</v>
      </c>
      <c r="D190" s="682">
        <f t="shared" si="37"/>
        <v>1</v>
      </c>
      <c r="F190" s="671">
        <f t="shared" si="26"/>
        <v>2038</v>
      </c>
      <c r="G190" s="681">
        <v>50464</v>
      </c>
      <c r="H190" s="682">
        <f t="shared" si="38"/>
        <v>1</v>
      </c>
      <c r="J190" s="671">
        <f t="shared" si="24"/>
        <v>2038</v>
      </c>
      <c r="K190" s="683">
        <v>50464</v>
      </c>
      <c r="L190" s="684">
        <f>IF(K190=参数输入表!$I$7,100%,H190)</f>
        <v>1</v>
      </c>
      <c r="N190" s="671">
        <f t="shared" si="27"/>
        <v>2038</v>
      </c>
      <c r="O190" s="681">
        <v>50464</v>
      </c>
      <c r="P190" s="678">
        <f t="shared" si="25"/>
        <v>1</v>
      </c>
    </row>
    <row r="191" spans="2:16">
      <c r="B191" s="671">
        <f t="shared" si="28"/>
        <v>2038</v>
      </c>
      <c r="C191" s="681">
        <v>50495</v>
      </c>
      <c r="D191" s="682">
        <f t="shared" si="37"/>
        <v>1</v>
      </c>
      <c r="F191" s="671">
        <f t="shared" si="26"/>
        <v>2038</v>
      </c>
      <c r="G191" s="681">
        <v>50495</v>
      </c>
      <c r="H191" s="682">
        <f t="shared" si="38"/>
        <v>1</v>
      </c>
      <c r="J191" s="671">
        <f t="shared" si="24"/>
        <v>2038</v>
      </c>
      <c r="K191" s="683">
        <v>50495</v>
      </c>
      <c r="L191" s="684">
        <f>IF(K191=参数输入表!$I$7,100%,H191)</f>
        <v>1</v>
      </c>
      <c r="N191" s="671">
        <f t="shared" si="27"/>
        <v>2038</v>
      </c>
      <c r="O191" s="681">
        <v>50495</v>
      </c>
      <c r="P191" s="678">
        <f t="shared" si="25"/>
        <v>1</v>
      </c>
    </row>
    <row r="192" spans="2:16">
      <c r="B192" s="671">
        <f t="shared" si="28"/>
        <v>2038</v>
      </c>
      <c r="C192" s="681">
        <v>50525</v>
      </c>
      <c r="D192" s="682">
        <f t="shared" ref="D192:D201" si="39">$D$100</f>
        <v>1</v>
      </c>
      <c r="F192" s="671">
        <f t="shared" si="26"/>
        <v>2038</v>
      </c>
      <c r="G192" s="681">
        <v>50525</v>
      </c>
      <c r="H192" s="682">
        <f t="shared" ref="H192:H201" si="40">$H$100</f>
        <v>1</v>
      </c>
      <c r="J192" s="671">
        <f t="shared" si="24"/>
        <v>2038</v>
      </c>
      <c r="K192" s="683">
        <v>50525</v>
      </c>
      <c r="L192" s="684">
        <f>IF(K192=参数输入表!$I$7,100%,H192)</f>
        <v>1</v>
      </c>
      <c r="N192" s="671">
        <f t="shared" si="27"/>
        <v>2038</v>
      </c>
      <c r="O192" s="681">
        <v>50525</v>
      </c>
      <c r="P192" s="678">
        <f t="shared" si="25"/>
        <v>1</v>
      </c>
    </row>
    <row r="193" spans="2:16">
      <c r="B193" s="671">
        <f t="shared" si="28"/>
        <v>2038</v>
      </c>
      <c r="C193" s="681">
        <v>50556</v>
      </c>
      <c r="D193" s="682">
        <f t="shared" si="39"/>
        <v>1</v>
      </c>
      <c r="F193" s="671">
        <f t="shared" si="26"/>
        <v>2038</v>
      </c>
      <c r="G193" s="681">
        <v>50556</v>
      </c>
      <c r="H193" s="682">
        <f t="shared" si="40"/>
        <v>1</v>
      </c>
      <c r="J193" s="671">
        <f t="shared" si="24"/>
        <v>2038</v>
      </c>
      <c r="K193" s="683">
        <v>50556</v>
      </c>
      <c r="L193" s="684">
        <f>IF(K193=参数输入表!$I$7,100%,H193)</f>
        <v>1</v>
      </c>
      <c r="N193" s="671">
        <f t="shared" si="27"/>
        <v>2038</v>
      </c>
      <c r="O193" s="681">
        <v>50556</v>
      </c>
      <c r="P193" s="678">
        <f t="shared" si="25"/>
        <v>1</v>
      </c>
    </row>
    <row r="194" spans="2:16">
      <c r="B194" s="671">
        <f t="shared" si="28"/>
        <v>2038</v>
      </c>
      <c r="C194" s="681">
        <v>50586</v>
      </c>
      <c r="D194" s="682">
        <f t="shared" si="39"/>
        <v>1</v>
      </c>
      <c r="F194" s="671">
        <f t="shared" si="26"/>
        <v>2038</v>
      </c>
      <c r="G194" s="681">
        <v>50586</v>
      </c>
      <c r="H194" s="682">
        <f t="shared" si="40"/>
        <v>1</v>
      </c>
      <c r="J194" s="671">
        <f t="shared" si="24"/>
        <v>2038</v>
      </c>
      <c r="K194" s="683">
        <v>50586</v>
      </c>
      <c r="L194" s="684">
        <f>IF(K194=参数输入表!$I$7,100%,H194)</f>
        <v>1</v>
      </c>
      <c r="N194" s="671">
        <f t="shared" si="27"/>
        <v>2038</v>
      </c>
      <c r="O194" s="681">
        <v>50586</v>
      </c>
      <c r="P194" s="678">
        <f t="shared" si="25"/>
        <v>1</v>
      </c>
    </row>
    <row r="195" spans="2:16">
      <c r="B195" s="671">
        <f t="shared" si="28"/>
        <v>2038</v>
      </c>
      <c r="C195" s="681">
        <v>50617</v>
      </c>
      <c r="D195" s="682">
        <f t="shared" si="39"/>
        <v>1</v>
      </c>
      <c r="F195" s="671">
        <f t="shared" si="26"/>
        <v>2038</v>
      </c>
      <c r="G195" s="681">
        <v>50617</v>
      </c>
      <c r="H195" s="682">
        <f t="shared" si="40"/>
        <v>1</v>
      </c>
      <c r="J195" s="671">
        <f t="shared" si="24"/>
        <v>2038</v>
      </c>
      <c r="K195" s="683">
        <v>50617</v>
      </c>
      <c r="L195" s="684">
        <f>IF(K195=参数输入表!$I$7,100%,H195)</f>
        <v>1</v>
      </c>
      <c r="N195" s="671">
        <f t="shared" si="27"/>
        <v>2038</v>
      </c>
      <c r="O195" s="681">
        <v>50617</v>
      </c>
      <c r="P195" s="678">
        <f t="shared" si="25"/>
        <v>1</v>
      </c>
    </row>
    <row r="196" spans="2:16">
      <c r="B196" s="671">
        <f t="shared" si="28"/>
        <v>2038</v>
      </c>
      <c r="C196" s="681">
        <v>50648</v>
      </c>
      <c r="D196" s="682">
        <f t="shared" si="39"/>
        <v>1</v>
      </c>
      <c r="F196" s="671">
        <f t="shared" si="26"/>
        <v>2038</v>
      </c>
      <c r="G196" s="681">
        <v>50648</v>
      </c>
      <c r="H196" s="682">
        <f t="shared" si="40"/>
        <v>1</v>
      </c>
      <c r="J196" s="671">
        <f t="shared" si="24"/>
        <v>2038</v>
      </c>
      <c r="K196" s="683">
        <v>50648</v>
      </c>
      <c r="L196" s="684">
        <f>IF(K196=参数输入表!$I$7,100%,H196)</f>
        <v>1</v>
      </c>
      <c r="N196" s="671">
        <f t="shared" si="27"/>
        <v>2038</v>
      </c>
      <c r="O196" s="681">
        <v>50648</v>
      </c>
      <c r="P196" s="678">
        <f t="shared" si="25"/>
        <v>1</v>
      </c>
    </row>
    <row r="197" spans="2:16">
      <c r="B197" s="671">
        <f t="shared" si="28"/>
        <v>2038</v>
      </c>
      <c r="C197" s="681">
        <v>50678</v>
      </c>
      <c r="D197" s="682">
        <f t="shared" si="39"/>
        <v>1</v>
      </c>
      <c r="F197" s="671">
        <f t="shared" si="26"/>
        <v>2038</v>
      </c>
      <c r="G197" s="681">
        <v>50678</v>
      </c>
      <c r="H197" s="682">
        <f t="shared" si="40"/>
        <v>1</v>
      </c>
      <c r="J197" s="671">
        <f t="shared" si="24"/>
        <v>2038</v>
      </c>
      <c r="K197" s="683">
        <v>50678</v>
      </c>
      <c r="L197" s="684">
        <f>IF(K197=参数输入表!$I$7,100%,H197)</f>
        <v>1</v>
      </c>
      <c r="N197" s="671">
        <f t="shared" si="27"/>
        <v>2038</v>
      </c>
      <c r="O197" s="681">
        <v>50678</v>
      </c>
      <c r="P197" s="678">
        <f t="shared" si="25"/>
        <v>1</v>
      </c>
    </row>
    <row r="198" spans="2:16">
      <c r="B198" s="671">
        <f t="shared" si="28"/>
        <v>2038</v>
      </c>
      <c r="C198" s="681">
        <v>50709</v>
      </c>
      <c r="D198" s="682">
        <f t="shared" si="39"/>
        <v>1</v>
      </c>
      <c r="F198" s="671">
        <f t="shared" si="26"/>
        <v>2038</v>
      </c>
      <c r="G198" s="681">
        <v>50709</v>
      </c>
      <c r="H198" s="682">
        <f t="shared" si="40"/>
        <v>1</v>
      </c>
      <c r="J198" s="671">
        <f t="shared" si="24"/>
        <v>2038</v>
      </c>
      <c r="K198" s="683">
        <v>50709</v>
      </c>
      <c r="L198" s="684">
        <f>IF(K198=参数输入表!$I$7,100%,H198)</f>
        <v>1</v>
      </c>
      <c r="N198" s="671">
        <f t="shared" si="27"/>
        <v>2038</v>
      </c>
      <c r="O198" s="681">
        <v>50709</v>
      </c>
      <c r="P198" s="678">
        <f t="shared" si="25"/>
        <v>1</v>
      </c>
    </row>
    <row r="199" spans="2:16">
      <c r="B199" s="671">
        <f t="shared" si="28"/>
        <v>2038</v>
      </c>
      <c r="C199" s="681">
        <v>50739</v>
      </c>
      <c r="D199" s="682">
        <f t="shared" si="39"/>
        <v>1</v>
      </c>
      <c r="F199" s="671">
        <f t="shared" si="26"/>
        <v>2038</v>
      </c>
      <c r="G199" s="681">
        <v>50739</v>
      </c>
      <c r="H199" s="682">
        <f t="shared" si="40"/>
        <v>1</v>
      </c>
      <c r="J199" s="671">
        <f t="shared" si="24"/>
        <v>2038</v>
      </c>
      <c r="K199" s="683">
        <v>50739</v>
      </c>
      <c r="L199" s="684">
        <f>IF(K199=参数输入表!$I$7,100%,H199)</f>
        <v>1</v>
      </c>
      <c r="N199" s="671">
        <f t="shared" si="27"/>
        <v>2038</v>
      </c>
      <c r="O199" s="681">
        <v>50739</v>
      </c>
      <c r="P199" s="678">
        <f t="shared" si="25"/>
        <v>1</v>
      </c>
    </row>
    <row r="200" ht="15.25" spans="2:16">
      <c r="B200" s="671">
        <f t="shared" si="28"/>
        <v>2038</v>
      </c>
      <c r="C200" s="692">
        <v>50770</v>
      </c>
      <c r="D200" s="682">
        <f t="shared" si="39"/>
        <v>1</v>
      </c>
      <c r="F200" s="671">
        <f t="shared" si="26"/>
        <v>2038</v>
      </c>
      <c r="G200" s="692">
        <v>50770</v>
      </c>
      <c r="H200" s="682">
        <f t="shared" si="40"/>
        <v>1</v>
      </c>
      <c r="J200" s="671">
        <f t="shared" si="24"/>
        <v>2038</v>
      </c>
      <c r="K200" s="693">
        <v>50770</v>
      </c>
      <c r="L200" s="684">
        <f>IF(K200=参数输入表!$I$7,100%,H200)</f>
        <v>1</v>
      </c>
      <c r="N200" s="671">
        <f t="shared" si="27"/>
        <v>2038</v>
      </c>
      <c r="O200" s="692">
        <v>50770</v>
      </c>
      <c r="P200" s="678">
        <f t="shared" si="25"/>
        <v>1</v>
      </c>
    </row>
    <row r="201" spans="2:16">
      <c r="B201" s="671">
        <f t="shared" si="28"/>
        <v>2039</v>
      </c>
      <c r="C201" s="694">
        <v>50801</v>
      </c>
      <c r="D201" s="682">
        <f t="shared" si="39"/>
        <v>1</v>
      </c>
      <c r="F201" s="671">
        <f t="shared" si="26"/>
        <v>2039</v>
      </c>
      <c r="G201" s="694">
        <v>50801</v>
      </c>
      <c r="H201" s="682">
        <f t="shared" si="40"/>
        <v>1</v>
      </c>
      <c r="J201" s="671">
        <f t="shared" si="24"/>
        <v>2039</v>
      </c>
      <c r="K201" s="695">
        <v>50801</v>
      </c>
      <c r="L201" s="684">
        <f>IF(K201=参数输入表!$I$7,100%,H201)</f>
        <v>1</v>
      </c>
      <c r="N201" s="671">
        <f t="shared" si="27"/>
        <v>2039</v>
      </c>
      <c r="O201" s="694">
        <v>50801</v>
      </c>
      <c r="P201" s="678">
        <f t="shared" si="25"/>
        <v>1</v>
      </c>
    </row>
    <row r="202" spans="2:16">
      <c r="B202" s="671">
        <f t="shared" si="28"/>
        <v>2039</v>
      </c>
      <c r="C202" s="681">
        <v>50829</v>
      </c>
      <c r="D202" s="682">
        <f t="shared" ref="D202:D211" si="41">$D$100</f>
        <v>1</v>
      </c>
      <c r="F202" s="671">
        <f t="shared" si="26"/>
        <v>2039</v>
      </c>
      <c r="G202" s="681">
        <v>50829</v>
      </c>
      <c r="H202" s="682">
        <f t="shared" ref="H202:H211" si="42">$H$100</f>
        <v>1</v>
      </c>
      <c r="J202" s="671">
        <f t="shared" ref="J202:J265" si="43">YEAR(K202)</f>
        <v>2039</v>
      </c>
      <c r="K202" s="683">
        <v>50829</v>
      </c>
      <c r="L202" s="684">
        <f>IF(K202=参数输入表!$I$7,100%,H202)</f>
        <v>1</v>
      </c>
      <c r="N202" s="671">
        <f t="shared" si="27"/>
        <v>2039</v>
      </c>
      <c r="O202" s="681">
        <v>50829</v>
      </c>
      <c r="P202" s="678">
        <f t="shared" ref="P202:P265" si="44">D202*H202</f>
        <v>1</v>
      </c>
    </row>
    <row r="203" spans="2:16">
      <c r="B203" s="671">
        <f t="shared" si="28"/>
        <v>2039</v>
      </c>
      <c r="C203" s="681">
        <v>50860</v>
      </c>
      <c r="D203" s="682">
        <f t="shared" si="41"/>
        <v>1</v>
      </c>
      <c r="F203" s="671">
        <f t="shared" ref="F203:F266" si="45">YEAR(G203)</f>
        <v>2039</v>
      </c>
      <c r="G203" s="681">
        <v>50860</v>
      </c>
      <c r="H203" s="682">
        <f t="shared" si="42"/>
        <v>1</v>
      </c>
      <c r="J203" s="671">
        <f t="shared" si="43"/>
        <v>2039</v>
      </c>
      <c r="K203" s="683">
        <v>50860</v>
      </c>
      <c r="L203" s="684">
        <f>IF(K203=参数输入表!$I$7,100%,H203)</f>
        <v>1</v>
      </c>
      <c r="N203" s="671">
        <f t="shared" ref="N203:N266" si="46">YEAR(O203)</f>
        <v>2039</v>
      </c>
      <c r="O203" s="681">
        <v>50860</v>
      </c>
      <c r="P203" s="678">
        <f t="shared" si="44"/>
        <v>1</v>
      </c>
    </row>
    <row r="204" spans="2:16">
      <c r="B204" s="671">
        <f t="shared" ref="B204:B267" si="47">YEAR(C204)</f>
        <v>2039</v>
      </c>
      <c r="C204" s="681">
        <v>50890</v>
      </c>
      <c r="D204" s="682">
        <f t="shared" si="41"/>
        <v>1</v>
      </c>
      <c r="F204" s="671">
        <f t="shared" si="45"/>
        <v>2039</v>
      </c>
      <c r="G204" s="681">
        <v>50890</v>
      </c>
      <c r="H204" s="682">
        <f t="shared" si="42"/>
        <v>1</v>
      </c>
      <c r="J204" s="671">
        <f t="shared" si="43"/>
        <v>2039</v>
      </c>
      <c r="K204" s="683">
        <v>50890</v>
      </c>
      <c r="L204" s="684">
        <f>IF(K204=参数输入表!$I$7,100%,H204)</f>
        <v>1</v>
      </c>
      <c r="N204" s="671">
        <f t="shared" si="46"/>
        <v>2039</v>
      </c>
      <c r="O204" s="681">
        <v>50890</v>
      </c>
      <c r="P204" s="678">
        <f t="shared" si="44"/>
        <v>1</v>
      </c>
    </row>
    <row r="205" spans="2:16">
      <c r="B205" s="671">
        <f t="shared" si="47"/>
        <v>2039</v>
      </c>
      <c r="C205" s="681">
        <v>50921</v>
      </c>
      <c r="D205" s="682">
        <f t="shared" si="41"/>
        <v>1</v>
      </c>
      <c r="F205" s="671">
        <f t="shared" si="45"/>
        <v>2039</v>
      </c>
      <c r="G205" s="681">
        <v>50921</v>
      </c>
      <c r="H205" s="682">
        <f t="shared" si="42"/>
        <v>1</v>
      </c>
      <c r="J205" s="671">
        <f t="shared" si="43"/>
        <v>2039</v>
      </c>
      <c r="K205" s="683">
        <v>50921</v>
      </c>
      <c r="L205" s="684">
        <f>IF(K205=参数输入表!$I$7,100%,H205)</f>
        <v>1</v>
      </c>
      <c r="N205" s="671">
        <f t="shared" si="46"/>
        <v>2039</v>
      </c>
      <c r="O205" s="681">
        <v>50921</v>
      </c>
      <c r="P205" s="678">
        <f t="shared" si="44"/>
        <v>1</v>
      </c>
    </row>
    <row r="206" spans="2:16">
      <c r="B206" s="671">
        <f t="shared" si="47"/>
        <v>2039</v>
      </c>
      <c r="C206" s="681">
        <v>50951</v>
      </c>
      <c r="D206" s="682">
        <f t="shared" si="41"/>
        <v>1</v>
      </c>
      <c r="F206" s="671">
        <f t="shared" si="45"/>
        <v>2039</v>
      </c>
      <c r="G206" s="681">
        <v>50951</v>
      </c>
      <c r="H206" s="682">
        <f t="shared" si="42"/>
        <v>1</v>
      </c>
      <c r="J206" s="671">
        <f t="shared" si="43"/>
        <v>2039</v>
      </c>
      <c r="K206" s="683">
        <v>50951</v>
      </c>
      <c r="L206" s="684">
        <f>IF(K206=参数输入表!$I$7,100%,H206)</f>
        <v>1</v>
      </c>
      <c r="N206" s="671">
        <f t="shared" si="46"/>
        <v>2039</v>
      </c>
      <c r="O206" s="681">
        <v>50951</v>
      </c>
      <c r="P206" s="678">
        <f t="shared" si="44"/>
        <v>1</v>
      </c>
    </row>
    <row r="207" spans="2:16">
      <c r="B207" s="671">
        <f t="shared" si="47"/>
        <v>2039</v>
      </c>
      <c r="C207" s="681">
        <v>50982</v>
      </c>
      <c r="D207" s="682">
        <f t="shared" si="41"/>
        <v>1</v>
      </c>
      <c r="F207" s="671">
        <f t="shared" si="45"/>
        <v>2039</v>
      </c>
      <c r="G207" s="681">
        <v>50982</v>
      </c>
      <c r="H207" s="682">
        <f t="shared" si="42"/>
        <v>1</v>
      </c>
      <c r="J207" s="671">
        <f t="shared" si="43"/>
        <v>2039</v>
      </c>
      <c r="K207" s="683">
        <v>50982</v>
      </c>
      <c r="L207" s="684">
        <f>IF(K207=参数输入表!$I$7,100%,H207)</f>
        <v>1</v>
      </c>
      <c r="N207" s="671">
        <f t="shared" si="46"/>
        <v>2039</v>
      </c>
      <c r="O207" s="681">
        <v>50982</v>
      </c>
      <c r="P207" s="678">
        <f t="shared" si="44"/>
        <v>1</v>
      </c>
    </row>
    <row r="208" spans="2:16">
      <c r="B208" s="671">
        <f t="shared" si="47"/>
        <v>2039</v>
      </c>
      <c r="C208" s="681">
        <v>51013</v>
      </c>
      <c r="D208" s="682">
        <f t="shared" si="41"/>
        <v>1</v>
      </c>
      <c r="F208" s="671">
        <f t="shared" si="45"/>
        <v>2039</v>
      </c>
      <c r="G208" s="681">
        <v>51013</v>
      </c>
      <c r="H208" s="682">
        <f t="shared" si="42"/>
        <v>1</v>
      </c>
      <c r="J208" s="671">
        <f t="shared" si="43"/>
        <v>2039</v>
      </c>
      <c r="K208" s="683">
        <v>51013</v>
      </c>
      <c r="L208" s="684">
        <f>IF(K208=参数输入表!$I$7,100%,H208)</f>
        <v>1</v>
      </c>
      <c r="N208" s="671">
        <f t="shared" si="46"/>
        <v>2039</v>
      </c>
      <c r="O208" s="681">
        <v>51013</v>
      </c>
      <c r="P208" s="678">
        <f t="shared" si="44"/>
        <v>1</v>
      </c>
    </row>
    <row r="209" spans="2:16">
      <c r="B209" s="671">
        <f t="shared" si="47"/>
        <v>2039</v>
      </c>
      <c r="C209" s="681">
        <v>51043</v>
      </c>
      <c r="D209" s="682">
        <f t="shared" si="41"/>
        <v>1</v>
      </c>
      <c r="F209" s="671">
        <f t="shared" si="45"/>
        <v>2039</v>
      </c>
      <c r="G209" s="681">
        <v>51043</v>
      </c>
      <c r="H209" s="682">
        <f t="shared" si="42"/>
        <v>1</v>
      </c>
      <c r="J209" s="671">
        <f t="shared" si="43"/>
        <v>2039</v>
      </c>
      <c r="K209" s="683">
        <v>51043</v>
      </c>
      <c r="L209" s="684">
        <f>IF(K209=参数输入表!$I$7,100%,H209)</f>
        <v>1</v>
      </c>
      <c r="N209" s="671">
        <f t="shared" si="46"/>
        <v>2039</v>
      </c>
      <c r="O209" s="681">
        <v>51043</v>
      </c>
      <c r="P209" s="678">
        <f t="shared" si="44"/>
        <v>1</v>
      </c>
    </row>
    <row r="210" spans="2:16">
      <c r="B210" s="671">
        <f t="shared" si="47"/>
        <v>2039</v>
      </c>
      <c r="C210" s="681">
        <v>51074</v>
      </c>
      <c r="D210" s="682">
        <f t="shared" si="41"/>
        <v>1</v>
      </c>
      <c r="F210" s="671">
        <f t="shared" si="45"/>
        <v>2039</v>
      </c>
      <c r="G210" s="681">
        <v>51074</v>
      </c>
      <c r="H210" s="682">
        <f t="shared" si="42"/>
        <v>1</v>
      </c>
      <c r="J210" s="671">
        <f t="shared" si="43"/>
        <v>2039</v>
      </c>
      <c r="K210" s="683">
        <v>51074</v>
      </c>
      <c r="L210" s="684">
        <f>IF(K210=参数输入表!$I$7,100%,H210)</f>
        <v>1</v>
      </c>
      <c r="N210" s="671">
        <f t="shared" si="46"/>
        <v>2039</v>
      </c>
      <c r="O210" s="681">
        <v>51074</v>
      </c>
      <c r="P210" s="678">
        <f t="shared" si="44"/>
        <v>1</v>
      </c>
    </row>
    <row r="211" spans="2:16">
      <c r="B211" s="671">
        <f t="shared" si="47"/>
        <v>2039</v>
      </c>
      <c r="C211" s="681">
        <v>51104</v>
      </c>
      <c r="D211" s="682">
        <f t="shared" si="41"/>
        <v>1</v>
      </c>
      <c r="F211" s="671">
        <f t="shared" si="45"/>
        <v>2039</v>
      </c>
      <c r="G211" s="681">
        <v>51104</v>
      </c>
      <c r="H211" s="682">
        <f t="shared" si="42"/>
        <v>1</v>
      </c>
      <c r="J211" s="671">
        <f t="shared" si="43"/>
        <v>2039</v>
      </c>
      <c r="K211" s="683">
        <v>51104</v>
      </c>
      <c r="L211" s="684">
        <f>IF(K211=参数输入表!$I$7,100%,H211)</f>
        <v>1</v>
      </c>
      <c r="N211" s="671">
        <f t="shared" si="46"/>
        <v>2039</v>
      </c>
      <c r="O211" s="681">
        <v>51104</v>
      </c>
      <c r="P211" s="678">
        <f t="shared" si="44"/>
        <v>1</v>
      </c>
    </row>
    <row r="212" ht="15.25" spans="2:16">
      <c r="B212" s="671">
        <f t="shared" si="47"/>
        <v>2039</v>
      </c>
      <c r="C212" s="692">
        <v>51135</v>
      </c>
      <c r="D212" s="682">
        <f t="shared" ref="D212:D221" si="48">$D$100</f>
        <v>1</v>
      </c>
      <c r="F212" s="671">
        <f t="shared" si="45"/>
        <v>2039</v>
      </c>
      <c r="G212" s="692">
        <v>51135</v>
      </c>
      <c r="H212" s="682">
        <f t="shared" ref="H212:H221" si="49">$H$100</f>
        <v>1</v>
      </c>
      <c r="J212" s="671">
        <f t="shared" si="43"/>
        <v>2039</v>
      </c>
      <c r="K212" s="693">
        <v>51135</v>
      </c>
      <c r="L212" s="684">
        <f>IF(K212=参数输入表!$I$7,100%,H212)</f>
        <v>1</v>
      </c>
      <c r="N212" s="671">
        <f t="shared" si="46"/>
        <v>2039</v>
      </c>
      <c r="O212" s="692">
        <v>51135</v>
      </c>
      <c r="P212" s="678">
        <f t="shared" si="44"/>
        <v>1</v>
      </c>
    </row>
    <row r="213" spans="2:16">
      <c r="B213" s="671">
        <f t="shared" si="47"/>
        <v>2040</v>
      </c>
      <c r="C213" s="694">
        <v>51166</v>
      </c>
      <c r="D213" s="682">
        <f t="shared" si="48"/>
        <v>1</v>
      </c>
      <c r="F213" s="671">
        <f t="shared" si="45"/>
        <v>2040</v>
      </c>
      <c r="G213" s="694">
        <v>51166</v>
      </c>
      <c r="H213" s="682">
        <f t="shared" si="49"/>
        <v>1</v>
      </c>
      <c r="J213" s="671">
        <f t="shared" si="43"/>
        <v>2040</v>
      </c>
      <c r="K213" s="695">
        <v>51166</v>
      </c>
      <c r="L213" s="684">
        <f>IF(K213=参数输入表!$I$7,100%,H213)</f>
        <v>1</v>
      </c>
      <c r="N213" s="671">
        <f t="shared" si="46"/>
        <v>2040</v>
      </c>
      <c r="O213" s="694">
        <v>51166</v>
      </c>
      <c r="P213" s="678">
        <f t="shared" si="44"/>
        <v>1</v>
      </c>
    </row>
    <row r="214" spans="2:16">
      <c r="B214" s="671">
        <f t="shared" si="47"/>
        <v>2040</v>
      </c>
      <c r="C214" s="681">
        <v>51195</v>
      </c>
      <c r="D214" s="682">
        <f t="shared" si="48"/>
        <v>1</v>
      </c>
      <c r="F214" s="671">
        <f t="shared" si="45"/>
        <v>2040</v>
      </c>
      <c r="G214" s="681">
        <v>51195</v>
      </c>
      <c r="H214" s="682">
        <f t="shared" si="49"/>
        <v>1</v>
      </c>
      <c r="J214" s="671">
        <f t="shared" si="43"/>
        <v>2040</v>
      </c>
      <c r="K214" s="683">
        <v>51195</v>
      </c>
      <c r="L214" s="684">
        <f>IF(K214=参数输入表!$I$7,100%,H214)</f>
        <v>1</v>
      </c>
      <c r="N214" s="671">
        <f t="shared" si="46"/>
        <v>2040</v>
      </c>
      <c r="O214" s="681">
        <v>51195</v>
      </c>
      <c r="P214" s="678">
        <f t="shared" si="44"/>
        <v>1</v>
      </c>
    </row>
    <row r="215" spans="2:16">
      <c r="B215" s="671">
        <f t="shared" si="47"/>
        <v>2040</v>
      </c>
      <c r="C215" s="681">
        <v>51226</v>
      </c>
      <c r="D215" s="682">
        <f t="shared" si="48"/>
        <v>1</v>
      </c>
      <c r="F215" s="671">
        <f t="shared" si="45"/>
        <v>2040</v>
      </c>
      <c r="G215" s="681">
        <v>51226</v>
      </c>
      <c r="H215" s="682">
        <f t="shared" si="49"/>
        <v>1</v>
      </c>
      <c r="J215" s="671">
        <f t="shared" si="43"/>
        <v>2040</v>
      </c>
      <c r="K215" s="683">
        <v>51226</v>
      </c>
      <c r="L215" s="684">
        <f>IF(K215=参数输入表!$I$7,100%,H215)</f>
        <v>1</v>
      </c>
      <c r="N215" s="671">
        <f t="shared" si="46"/>
        <v>2040</v>
      </c>
      <c r="O215" s="681">
        <v>51226</v>
      </c>
      <c r="P215" s="678">
        <f t="shared" si="44"/>
        <v>1</v>
      </c>
    </row>
    <row r="216" spans="2:16">
      <c r="B216" s="671">
        <f t="shared" si="47"/>
        <v>2040</v>
      </c>
      <c r="C216" s="681">
        <v>51256</v>
      </c>
      <c r="D216" s="682">
        <f t="shared" si="48"/>
        <v>1</v>
      </c>
      <c r="F216" s="671">
        <f t="shared" si="45"/>
        <v>2040</v>
      </c>
      <c r="G216" s="681">
        <v>51256</v>
      </c>
      <c r="H216" s="682">
        <f t="shared" si="49"/>
        <v>1</v>
      </c>
      <c r="J216" s="671">
        <f t="shared" si="43"/>
        <v>2040</v>
      </c>
      <c r="K216" s="683">
        <v>51256</v>
      </c>
      <c r="L216" s="684">
        <f>IF(K216=参数输入表!$I$7,100%,H216)</f>
        <v>1</v>
      </c>
      <c r="N216" s="671">
        <f t="shared" si="46"/>
        <v>2040</v>
      </c>
      <c r="O216" s="681">
        <v>51256</v>
      </c>
      <c r="P216" s="678">
        <f t="shared" si="44"/>
        <v>1</v>
      </c>
    </row>
    <row r="217" spans="2:16">
      <c r="B217" s="671">
        <f t="shared" si="47"/>
        <v>2040</v>
      </c>
      <c r="C217" s="681">
        <v>51287</v>
      </c>
      <c r="D217" s="682">
        <f t="shared" si="48"/>
        <v>1</v>
      </c>
      <c r="F217" s="671">
        <f t="shared" si="45"/>
        <v>2040</v>
      </c>
      <c r="G217" s="681">
        <v>51287</v>
      </c>
      <c r="H217" s="682">
        <f t="shared" si="49"/>
        <v>1</v>
      </c>
      <c r="J217" s="671">
        <f t="shared" si="43"/>
        <v>2040</v>
      </c>
      <c r="K217" s="683">
        <v>51287</v>
      </c>
      <c r="L217" s="684">
        <f>IF(K217=参数输入表!$I$7,100%,H217)</f>
        <v>1</v>
      </c>
      <c r="N217" s="671">
        <f t="shared" si="46"/>
        <v>2040</v>
      </c>
      <c r="O217" s="681">
        <v>51287</v>
      </c>
      <c r="P217" s="678">
        <f t="shared" si="44"/>
        <v>1</v>
      </c>
    </row>
    <row r="218" spans="2:16">
      <c r="B218" s="671">
        <f t="shared" si="47"/>
        <v>2040</v>
      </c>
      <c r="C218" s="681">
        <v>51317</v>
      </c>
      <c r="D218" s="682">
        <f t="shared" si="48"/>
        <v>1</v>
      </c>
      <c r="F218" s="671">
        <f t="shared" si="45"/>
        <v>2040</v>
      </c>
      <c r="G218" s="681">
        <v>51317</v>
      </c>
      <c r="H218" s="682">
        <f t="shared" si="49"/>
        <v>1</v>
      </c>
      <c r="J218" s="671">
        <f t="shared" si="43"/>
        <v>2040</v>
      </c>
      <c r="K218" s="683">
        <v>51317</v>
      </c>
      <c r="L218" s="684">
        <f>IF(K218=参数输入表!$I$7,100%,H218)</f>
        <v>1</v>
      </c>
      <c r="N218" s="671">
        <f t="shared" si="46"/>
        <v>2040</v>
      </c>
      <c r="O218" s="681">
        <v>51317</v>
      </c>
      <c r="P218" s="678">
        <f t="shared" si="44"/>
        <v>1</v>
      </c>
    </row>
    <row r="219" spans="2:16">
      <c r="B219" s="671">
        <f t="shared" si="47"/>
        <v>2040</v>
      </c>
      <c r="C219" s="681">
        <v>51348</v>
      </c>
      <c r="D219" s="682">
        <f t="shared" si="48"/>
        <v>1</v>
      </c>
      <c r="F219" s="671">
        <f t="shared" si="45"/>
        <v>2040</v>
      </c>
      <c r="G219" s="681">
        <v>51348</v>
      </c>
      <c r="H219" s="682">
        <f t="shared" si="49"/>
        <v>1</v>
      </c>
      <c r="J219" s="671">
        <f t="shared" si="43"/>
        <v>2040</v>
      </c>
      <c r="K219" s="683">
        <v>51348</v>
      </c>
      <c r="L219" s="684">
        <f>IF(K219=参数输入表!$I$7,100%,H219)</f>
        <v>1</v>
      </c>
      <c r="N219" s="671">
        <f t="shared" si="46"/>
        <v>2040</v>
      </c>
      <c r="O219" s="681">
        <v>51348</v>
      </c>
      <c r="P219" s="678">
        <f t="shared" si="44"/>
        <v>1</v>
      </c>
    </row>
    <row r="220" spans="2:16">
      <c r="B220" s="671">
        <f t="shared" si="47"/>
        <v>2040</v>
      </c>
      <c r="C220" s="681">
        <v>51379</v>
      </c>
      <c r="D220" s="682">
        <f t="shared" si="48"/>
        <v>1</v>
      </c>
      <c r="F220" s="671">
        <f t="shared" si="45"/>
        <v>2040</v>
      </c>
      <c r="G220" s="681">
        <v>51379</v>
      </c>
      <c r="H220" s="682">
        <f t="shared" si="49"/>
        <v>1</v>
      </c>
      <c r="J220" s="671">
        <f t="shared" si="43"/>
        <v>2040</v>
      </c>
      <c r="K220" s="683">
        <v>51379</v>
      </c>
      <c r="L220" s="684">
        <f>IF(K220=参数输入表!$I$7,100%,H220)</f>
        <v>1</v>
      </c>
      <c r="N220" s="671">
        <f t="shared" si="46"/>
        <v>2040</v>
      </c>
      <c r="O220" s="681">
        <v>51379</v>
      </c>
      <c r="P220" s="678">
        <f t="shared" si="44"/>
        <v>1</v>
      </c>
    </row>
    <row r="221" spans="2:16">
      <c r="B221" s="671">
        <f t="shared" si="47"/>
        <v>2040</v>
      </c>
      <c r="C221" s="681">
        <v>51409</v>
      </c>
      <c r="D221" s="682">
        <f t="shared" si="48"/>
        <v>1</v>
      </c>
      <c r="F221" s="671">
        <f t="shared" si="45"/>
        <v>2040</v>
      </c>
      <c r="G221" s="681">
        <v>51409</v>
      </c>
      <c r="H221" s="682">
        <f t="shared" si="49"/>
        <v>1</v>
      </c>
      <c r="J221" s="671">
        <f t="shared" si="43"/>
        <v>2040</v>
      </c>
      <c r="K221" s="683">
        <v>51409</v>
      </c>
      <c r="L221" s="684">
        <f>IF(K221=参数输入表!$I$7,100%,H221)</f>
        <v>1</v>
      </c>
      <c r="N221" s="671">
        <f t="shared" si="46"/>
        <v>2040</v>
      </c>
      <c r="O221" s="681">
        <v>51409</v>
      </c>
      <c r="P221" s="678">
        <f t="shared" si="44"/>
        <v>1</v>
      </c>
    </row>
    <row r="222" spans="2:16">
      <c r="B222" s="671">
        <f t="shared" si="47"/>
        <v>2040</v>
      </c>
      <c r="C222" s="681">
        <v>51440</v>
      </c>
      <c r="D222" s="682">
        <f t="shared" ref="D222:D231" si="50">$D$100</f>
        <v>1</v>
      </c>
      <c r="F222" s="671">
        <f t="shared" si="45"/>
        <v>2040</v>
      </c>
      <c r="G222" s="681">
        <v>51440</v>
      </c>
      <c r="H222" s="682">
        <f t="shared" ref="H222:H231" si="51">$H$100</f>
        <v>1</v>
      </c>
      <c r="J222" s="671">
        <f t="shared" si="43"/>
        <v>2040</v>
      </c>
      <c r="K222" s="683">
        <v>51440</v>
      </c>
      <c r="L222" s="684">
        <f>IF(K222=参数输入表!$I$7,100%,H222)</f>
        <v>1</v>
      </c>
      <c r="N222" s="671">
        <f t="shared" si="46"/>
        <v>2040</v>
      </c>
      <c r="O222" s="681">
        <v>51440</v>
      </c>
      <c r="P222" s="678">
        <f t="shared" si="44"/>
        <v>1</v>
      </c>
    </row>
    <row r="223" spans="2:16">
      <c r="B223" s="671">
        <f t="shared" si="47"/>
        <v>2040</v>
      </c>
      <c r="C223" s="681">
        <v>51470</v>
      </c>
      <c r="D223" s="682">
        <f t="shared" si="50"/>
        <v>1</v>
      </c>
      <c r="F223" s="671">
        <f t="shared" si="45"/>
        <v>2040</v>
      </c>
      <c r="G223" s="681">
        <v>51470</v>
      </c>
      <c r="H223" s="682">
        <f t="shared" si="51"/>
        <v>1</v>
      </c>
      <c r="J223" s="671">
        <f t="shared" si="43"/>
        <v>2040</v>
      </c>
      <c r="K223" s="683">
        <v>51470</v>
      </c>
      <c r="L223" s="684">
        <f>IF(K223=参数输入表!$I$7,100%,H223)</f>
        <v>1</v>
      </c>
      <c r="N223" s="671">
        <f t="shared" si="46"/>
        <v>2040</v>
      </c>
      <c r="O223" s="681">
        <v>51470</v>
      </c>
      <c r="P223" s="678">
        <f t="shared" si="44"/>
        <v>1</v>
      </c>
    </row>
    <row r="224" ht="15.25" spans="2:16">
      <c r="B224" s="671">
        <f t="shared" si="47"/>
        <v>2040</v>
      </c>
      <c r="C224" s="692">
        <v>51501</v>
      </c>
      <c r="D224" s="682">
        <f t="shared" si="50"/>
        <v>1</v>
      </c>
      <c r="F224" s="671">
        <f t="shared" si="45"/>
        <v>2040</v>
      </c>
      <c r="G224" s="692">
        <v>51501</v>
      </c>
      <c r="H224" s="682">
        <f t="shared" si="51"/>
        <v>1</v>
      </c>
      <c r="J224" s="671">
        <f t="shared" si="43"/>
        <v>2040</v>
      </c>
      <c r="K224" s="693">
        <v>51501</v>
      </c>
      <c r="L224" s="684">
        <f>IF(K224=参数输入表!$I$7,100%,H224)</f>
        <v>1</v>
      </c>
      <c r="N224" s="671">
        <f t="shared" si="46"/>
        <v>2040</v>
      </c>
      <c r="O224" s="692">
        <v>51501</v>
      </c>
      <c r="P224" s="678">
        <f t="shared" si="44"/>
        <v>1</v>
      </c>
    </row>
    <row r="225" spans="2:16">
      <c r="B225" s="671">
        <f t="shared" si="47"/>
        <v>2041</v>
      </c>
      <c r="C225" s="694">
        <v>51532</v>
      </c>
      <c r="D225" s="682">
        <f t="shared" si="50"/>
        <v>1</v>
      </c>
      <c r="F225" s="671">
        <f t="shared" si="45"/>
        <v>2041</v>
      </c>
      <c r="G225" s="694">
        <v>51532</v>
      </c>
      <c r="H225" s="682">
        <f t="shared" si="51"/>
        <v>1</v>
      </c>
      <c r="J225" s="671">
        <f t="shared" si="43"/>
        <v>2041</v>
      </c>
      <c r="K225" s="695">
        <v>51532</v>
      </c>
      <c r="L225" s="684">
        <f>IF(K225=参数输入表!$I$7,100%,H225)</f>
        <v>1</v>
      </c>
      <c r="N225" s="671">
        <f t="shared" si="46"/>
        <v>2041</v>
      </c>
      <c r="O225" s="694">
        <v>51532</v>
      </c>
      <c r="P225" s="678">
        <f t="shared" si="44"/>
        <v>1</v>
      </c>
    </row>
    <row r="226" spans="2:16">
      <c r="B226" s="671">
        <f t="shared" si="47"/>
        <v>2041</v>
      </c>
      <c r="C226" s="681">
        <v>51560</v>
      </c>
      <c r="D226" s="682">
        <f t="shared" si="50"/>
        <v>1</v>
      </c>
      <c r="F226" s="671">
        <f t="shared" si="45"/>
        <v>2041</v>
      </c>
      <c r="G226" s="681">
        <v>51560</v>
      </c>
      <c r="H226" s="682">
        <f t="shared" si="51"/>
        <v>1</v>
      </c>
      <c r="J226" s="671">
        <f t="shared" si="43"/>
        <v>2041</v>
      </c>
      <c r="K226" s="683">
        <v>51560</v>
      </c>
      <c r="L226" s="684">
        <f>IF(K226=参数输入表!$I$7,100%,H226)</f>
        <v>1</v>
      </c>
      <c r="N226" s="671">
        <f t="shared" si="46"/>
        <v>2041</v>
      </c>
      <c r="O226" s="681">
        <v>51560</v>
      </c>
      <c r="P226" s="678">
        <f t="shared" si="44"/>
        <v>1</v>
      </c>
    </row>
    <row r="227" spans="2:16">
      <c r="B227" s="671">
        <f t="shared" si="47"/>
        <v>2041</v>
      </c>
      <c r="C227" s="681">
        <v>51591</v>
      </c>
      <c r="D227" s="682">
        <f t="shared" si="50"/>
        <v>1</v>
      </c>
      <c r="F227" s="671">
        <f t="shared" si="45"/>
        <v>2041</v>
      </c>
      <c r="G227" s="681">
        <v>51591</v>
      </c>
      <c r="H227" s="682">
        <f t="shared" si="51"/>
        <v>1</v>
      </c>
      <c r="J227" s="671">
        <f t="shared" si="43"/>
        <v>2041</v>
      </c>
      <c r="K227" s="683">
        <v>51591</v>
      </c>
      <c r="L227" s="684">
        <f>IF(K227=参数输入表!$I$7,100%,H227)</f>
        <v>1</v>
      </c>
      <c r="N227" s="671">
        <f t="shared" si="46"/>
        <v>2041</v>
      </c>
      <c r="O227" s="681">
        <v>51591</v>
      </c>
      <c r="P227" s="678">
        <f t="shared" si="44"/>
        <v>1</v>
      </c>
    </row>
    <row r="228" spans="2:16">
      <c r="B228" s="671">
        <f t="shared" si="47"/>
        <v>2041</v>
      </c>
      <c r="C228" s="681">
        <v>51621</v>
      </c>
      <c r="D228" s="682">
        <f t="shared" si="50"/>
        <v>1</v>
      </c>
      <c r="F228" s="671">
        <f t="shared" si="45"/>
        <v>2041</v>
      </c>
      <c r="G228" s="681">
        <v>51621</v>
      </c>
      <c r="H228" s="682">
        <f t="shared" si="51"/>
        <v>1</v>
      </c>
      <c r="J228" s="671">
        <f t="shared" si="43"/>
        <v>2041</v>
      </c>
      <c r="K228" s="683">
        <v>51621</v>
      </c>
      <c r="L228" s="684">
        <f>IF(K228=参数输入表!$I$7,100%,H228)</f>
        <v>1</v>
      </c>
      <c r="N228" s="671">
        <f t="shared" si="46"/>
        <v>2041</v>
      </c>
      <c r="O228" s="681">
        <v>51621</v>
      </c>
      <c r="P228" s="678">
        <f t="shared" si="44"/>
        <v>1</v>
      </c>
    </row>
    <row r="229" spans="2:16">
      <c r="B229" s="671">
        <f t="shared" si="47"/>
        <v>2041</v>
      </c>
      <c r="C229" s="681">
        <v>51652</v>
      </c>
      <c r="D229" s="682">
        <f t="shared" si="50"/>
        <v>1</v>
      </c>
      <c r="F229" s="671">
        <f t="shared" si="45"/>
        <v>2041</v>
      </c>
      <c r="G229" s="681">
        <v>51652</v>
      </c>
      <c r="H229" s="682">
        <f t="shared" si="51"/>
        <v>1</v>
      </c>
      <c r="J229" s="671">
        <f t="shared" si="43"/>
        <v>2041</v>
      </c>
      <c r="K229" s="683">
        <v>51652</v>
      </c>
      <c r="L229" s="684">
        <f>IF(K229=参数输入表!$I$7,100%,H229)</f>
        <v>1</v>
      </c>
      <c r="N229" s="671">
        <f t="shared" si="46"/>
        <v>2041</v>
      </c>
      <c r="O229" s="681">
        <v>51652</v>
      </c>
      <c r="P229" s="678">
        <f t="shared" si="44"/>
        <v>1</v>
      </c>
    </row>
    <row r="230" spans="2:16">
      <c r="B230" s="671">
        <f t="shared" si="47"/>
        <v>2041</v>
      </c>
      <c r="C230" s="681">
        <v>51682</v>
      </c>
      <c r="D230" s="682">
        <f t="shared" si="50"/>
        <v>1</v>
      </c>
      <c r="F230" s="671">
        <f t="shared" si="45"/>
        <v>2041</v>
      </c>
      <c r="G230" s="681">
        <v>51682</v>
      </c>
      <c r="H230" s="682">
        <f t="shared" si="51"/>
        <v>1</v>
      </c>
      <c r="J230" s="671">
        <f t="shared" si="43"/>
        <v>2041</v>
      </c>
      <c r="K230" s="683">
        <v>51682</v>
      </c>
      <c r="L230" s="684">
        <f>IF(K230=参数输入表!$I$7,100%,H230)</f>
        <v>1</v>
      </c>
      <c r="N230" s="671">
        <f t="shared" si="46"/>
        <v>2041</v>
      </c>
      <c r="O230" s="681">
        <v>51682</v>
      </c>
      <c r="P230" s="678">
        <f t="shared" si="44"/>
        <v>1</v>
      </c>
    </row>
    <row r="231" spans="2:16">
      <c r="B231" s="671">
        <f t="shared" si="47"/>
        <v>2041</v>
      </c>
      <c r="C231" s="681">
        <v>51713</v>
      </c>
      <c r="D231" s="682">
        <f t="shared" si="50"/>
        <v>1</v>
      </c>
      <c r="F231" s="671">
        <f t="shared" si="45"/>
        <v>2041</v>
      </c>
      <c r="G231" s="681">
        <v>51713</v>
      </c>
      <c r="H231" s="682">
        <f t="shared" si="51"/>
        <v>1</v>
      </c>
      <c r="J231" s="671">
        <f t="shared" si="43"/>
        <v>2041</v>
      </c>
      <c r="K231" s="683">
        <v>51713</v>
      </c>
      <c r="L231" s="684">
        <f>IF(K231=参数输入表!$I$7,100%,H231)</f>
        <v>1</v>
      </c>
      <c r="N231" s="671">
        <f t="shared" si="46"/>
        <v>2041</v>
      </c>
      <c r="O231" s="681">
        <v>51713</v>
      </c>
      <c r="P231" s="678">
        <f t="shared" si="44"/>
        <v>1</v>
      </c>
    </row>
    <row r="232" spans="2:16">
      <c r="B232" s="671">
        <f t="shared" si="47"/>
        <v>2041</v>
      </c>
      <c r="C232" s="681">
        <v>51744</v>
      </c>
      <c r="D232" s="682">
        <f t="shared" ref="D232:D241" si="52">$D$100</f>
        <v>1</v>
      </c>
      <c r="F232" s="671">
        <f t="shared" si="45"/>
        <v>2041</v>
      </c>
      <c r="G232" s="681">
        <v>51744</v>
      </c>
      <c r="H232" s="682">
        <f t="shared" ref="H232:H241" si="53">$H$100</f>
        <v>1</v>
      </c>
      <c r="J232" s="671">
        <f t="shared" si="43"/>
        <v>2041</v>
      </c>
      <c r="K232" s="683">
        <v>51744</v>
      </c>
      <c r="L232" s="684">
        <f>IF(K232=参数输入表!$I$7,100%,H232)</f>
        <v>1</v>
      </c>
      <c r="N232" s="671">
        <f t="shared" si="46"/>
        <v>2041</v>
      </c>
      <c r="O232" s="681">
        <v>51744</v>
      </c>
      <c r="P232" s="678">
        <f t="shared" si="44"/>
        <v>1</v>
      </c>
    </row>
    <row r="233" spans="2:16">
      <c r="B233" s="671">
        <f t="shared" si="47"/>
        <v>2041</v>
      </c>
      <c r="C233" s="681">
        <v>51774</v>
      </c>
      <c r="D233" s="682">
        <f t="shared" si="52"/>
        <v>1</v>
      </c>
      <c r="F233" s="671">
        <f t="shared" si="45"/>
        <v>2041</v>
      </c>
      <c r="G233" s="681">
        <v>51774</v>
      </c>
      <c r="H233" s="682">
        <f t="shared" si="53"/>
        <v>1</v>
      </c>
      <c r="J233" s="671">
        <f t="shared" si="43"/>
        <v>2041</v>
      </c>
      <c r="K233" s="683">
        <v>51774</v>
      </c>
      <c r="L233" s="684">
        <f>IF(K233=参数输入表!$I$7,100%,H233)</f>
        <v>1</v>
      </c>
      <c r="N233" s="671">
        <f t="shared" si="46"/>
        <v>2041</v>
      </c>
      <c r="O233" s="681">
        <v>51774</v>
      </c>
      <c r="P233" s="678">
        <f t="shared" si="44"/>
        <v>1</v>
      </c>
    </row>
    <row r="234" spans="2:16">
      <c r="B234" s="671">
        <f t="shared" si="47"/>
        <v>2041</v>
      </c>
      <c r="C234" s="681">
        <v>51805</v>
      </c>
      <c r="D234" s="682">
        <f t="shared" si="52"/>
        <v>1</v>
      </c>
      <c r="F234" s="671">
        <f t="shared" si="45"/>
        <v>2041</v>
      </c>
      <c r="G234" s="681">
        <v>51805</v>
      </c>
      <c r="H234" s="682">
        <f t="shared" si="53"/>
        <v>1</v>
      </c>
      <c r="J234" s="671">
        <f t="shared" si="43"/>
        <v>2041</v>
      </c>
      <c r="K234" s="683">
        <v>51805</v>
      </c>
      <c r="L234" s="684">
        <f>IF(K234=参数输入表!$I$7,100%,H234)</f>
        <v>1</v>
      </c>
      <c r="N234" s="671">
        <f t="shared" si="46"/>
        <v>2041</v>
      </c>
      <c r="O234" s="681">
        <v>51805</v>
      </c>
      <c r="P234" s="678">
        <f t="shared" si="44"/>
        <v>1</v>
      </c>
    </row>
    <row r="235" spans="2:16">
      <c r="B235" s="671">
        <f t="shared" si="47"/>
        <v>2041</v>
      </c>
      <c r="C235" s="681">
        <v>51835</v>
      </c>
      <c r="D235" s="682">
        <f t="shared" si="52"/>
        <v>1</v>
      </c>
      <c r="F235" s="671">
        <f t="shared" si="45"/>
        <v>2041</v>
      </c>
      <c r="G235" s="681">
        <v>51835</v>
      </c>
      <c r="H235" s="682">
        <f t="shared" si="53"/>
        <v>1</v>
      </c>
      <c r="J235" s="671">
        <f t="shared" si="43"/>
        <v>2041</v>
      </c>
      <c r="K235" s="683">
        <v>51835</v>
      </c>
      <c r="L235" s="684">
        <f>IF(K235=参数输入表!$I$7,100%,H235)</f>
        <v>1</v>
      </c>
      <c r="N235" s="671">
        <f t="shared" si="46"/>
        <v>2041</v>
      </c>
      <c r="O235" s="681">
        <v>51835</v>
      </c>
      <c r="P235" s="678">
        <f t="shared" si="44"/>
        <v>1</v>
      </c>
    </row>
    <row r="236" ht="15.25" spans="2:16">
      <c r="B236" s="671">
        <f t="shared" si="47"/>
        <v>2041</v>
      </c>
      <c r="C236" s="692">
        <v>51866</v>
      </c>
      <c r="D236" s="682">
        <f t="shared" si="52"/>
        <v>1</v>
      </c>
      <c r="F236" s="671">
        <f t="shared" si="45"/>
        <v>2041</v>
      </c>
      <c r="G236" s="692">
        <v>51866</v>
      </c>
      <c r="H236" s="682">
        <f t="shared" si="53"/>
        <v>1</v>
      </c>
      <c r="J236" s="671">
        <f t="shared" si="43"/>
        <v>2041</v>
      </c>
      <c r="K236" s="693">
        <v>51866</v>
      </c>
      <c r="L236" s="684">
        <f>IF(K236=参数输入表!$I$7,100%,H236)</f>
        <v>1</v>
      </c>
      <c r="N236" s="671">
        <f t="shared" si="46"/>
        <v>2041</v>
      </c>
      <c r="O236" s="692">
        <v>51866</v>
      </c>
      <c r="P236" s="678">
        <f t="shared" si="44"/>
        <v>1</v>
      </c>
    </row>
    <row r="237" spans="2:16">
      <c r="B237" s="671">
        <f t="shared" si="47"/>
        <v>2042</v>
      </c>
      <c r="C237" s="694">
        <v>51897</v>
      </c>
      <c r="D237" s="682">
        <f t="shared" si="52"/>
        <v>1</v>
      </c>
      <c r="F237" s="671">
        <f t="shared" si="45"/>
        <v>2042</v>
      </c>
      <c r="G237" s="694">
        <v>51897</v>
      </c>
      <c r="H237" s="682">
        <f t="shared" si="53"/>
        <v>1</v>
      </c>
      <c r="J237" s="671">
        <f t="shared" si="43"/>
        <v>2042</v>
      </c>
      <c r="K237" s="695">
        <v>51897</v>
      </c>
      <c r="L237" s="684">
        <f>IF(K237=参数输入表!$I$7,100%,H237)</f>
        <v>1</v>
      </c>
      <c r="N237" s="671">
        <f t="shared" si="46"/>
        <v>2042</v>
      </c>
      <c r="O237" s="694">
        <v>51897</v>
      </c>
      <c r="P237" s="678">
        <f t="shared" si="44"/>
        <v>1</v>
      </c>
    </row>
    <row r="238" spans="2:16">
      <c r="B238" s="671">
        <f t="shared" si="47"/>
        <v>2042</v>
      </c>
      <c r="C238" s="681">
        <v>51925</v>
      </c>
      <c r="D238" s="682">
        <f t="shared" si="52"/>
        <v>1</v>
      </c>
      <c r="F238" s="671">
        <f t="shared" si="45"/>
        <v>2042</v>
      </c>
      <c r="G238" s="681">
        <v>51925</v>
      </c>
      <c r="H238" s="682">
        <f t="shared" si="53"/>
        <v>1</v>
      </c>
      <c r="J238" s="671">
        <f t="shared" si="43"/>
        <v>2042</v>
      </c>
      <c r="K238" s="683">
        <v>51925</v>
      </c>
      <c r="L238" s="684">
        <f>IF(K238=参数输入表!$I$7,100%,H238)</f>
        <v>1</v>
      </c>
      <c r="N238" s="671">
        <f t="shared" si="46"/>
        <v>2042</v>
      </c>
      <c r="O238" s="681">
        <v>51925</v>
      </c>
      <c r="P238" s="678">
        <f t="shared" si="44"/>
        <v>1</v>
      </c>
    </row>
    <row r="239" spans="2:16">
      <c r="B239" s="671">
        <f t="shared" si="47"/>
        <v>2042</v>
      </c>
      <c r="C239" s="681">
        <v>51956</v>
      </c>
      <c r="D239" s="682">
        <f t="shared" si="52"/>
        <v>1</v>
      </c>
      <c r="F239" s="671">
        <f t="shared" si="45"/>
        <v>2042</v>
      </c>
      <c r="G239" s="681">
        <v>51956</v>
      </c>
      <c r="H239" s="682">
        <f t="shared" si="53"/>
        <v>1</v>
      </c>
      <c r="J239" s="671">
        <f t="shared" si="43"/>
        <v>2042</v>
      </c>
      <c r="K239" s="683">
        <v>51956</v>
      </c>
      <c r="L239" s="684">
        <f>IF(K239=参数输入表!$I$7,100%,H239)</f>
        <v>1</v>
      </c>
      <c r="N239" s="671">
        <f t="shared" si="46"/>
        <v>2042</v>
      </c>
      <c r="O239" s="681">
        <v>51956</v>
      </c>
      <c r="P239" s="678">
        <f t="shared" si="44"/>
        <v>1</v>
      </c>
    </row>
    <row r="240" spans="2:16">
      <c r="B240" s="671">
        <f t="shared" si="47"/>
        <v>2042</v>
      </c>
      <c r="C240" s="681">
        <v>51986</v>
      </c>
      <c r="D240" s="682">
        <f t="shared" si="52"/>
        <v>1</v>
      </c>
      <c r="F240" s="671">
        <f t="shared" si="45"/>
        <v>2042</v>
      </c>
      <c r="G240" s="681">
        <v>51986</v>
      </c>
      <c r="H240" s="682">
        <f t="shared" si="53"/>
        <v>1</v>
      </c>
      <c r="J240" s="671">
        <f t="shared" si="43"/>
        <v>2042</v>
      </c>
      <c r="K240" s="683">
        <v>51986</v>
      </c>
      <c r="L240" s="684">
        <f>IF(K240=参数输入表!$I$7,100%,H240)</f>
        <v>1</v>
      </c>
      <c r="N240" s="671">
        <f t="shared" si="46"/>
        <v>2042</v>
      </c>
      <c r="O240" s="681">
        <v>51986</v>
      </c>
      <c r="P240" s="678">
        <f t="shared" si="44"/>
        <v>1</v>
      </c>
    </row>
    <row r="241" spans="2:16">
      <c r="B241" s="671">
        <f t="shared" si="47"/>
        <v>2042</v>
      </c>
      <c r="C241" s="681">
        <v>52017</v>
      </c>
      <c r="D241" s="682">
        <f t="shared" si="52"/>
        <v>1</v>
      </c>
      <c r="F241" s="671">
        <f t="shared" si="45"/>
        <v>2042</v>
      </c>
      <c r="G241" s="681">
        <v>52017</v>
      </c>
      <c r="H241" s="682">
        <f t="shared" si="53"/>
        <v>1</v>
      </c>
      <c r="J241" s="671">
        <f t="shared" si="43"/>
        <v>2042</v>
      </c>
      <c r="K241" s="683">
        <v>52017</v>
      </c>
      <c r="L241" s="684">
        <f>IF(K241=参数输入表!$I$7,100%,H241)</f>
        <v>1</v>
      </c>
      <c r="N241" s="671">
        <f t="shared" si="46"/>
        <v>2042</v>
      </c>
      <c r="O241" s="681">
        <v>52017</v>
      </c>
      <c r="P241" s="678">
        <f t="shared" si="44"/>
        <v>1</v>
      </c>
    </row>
    <row r="242" spans="2:16">
      <c r="B242" s="671">
        <f t="shared" si="47"/>
        <v>2042</v>
      </c>
      <c r="C242" s="681">
        <v>52047</v>
      </c>
      <c r="D242" s="682">
        <f t="shared" ref="D242:D251" si="54">$D$100</f>
        <v>1</v>
      </c>
      <c r="F242" s="671">
        <f t="shared" si="45"/>
        <v>2042</v>
      </c>
      <c r="G242" s="681">
        <v>52047</v>
      </c>
      <c r="H242" s="682">
        <f t="shared" ref="H242:H251" si="55">$H$100</f>
        <v>1</v>
      </c>
      <c r="J242" s="671">
        <f t="shared" si="43"/>
        <v>2042</v>
      </c>
      <c r="K242" s="683">
        <v>52047</v>
      </c>
      <c r="L242" s="684">
        <f>IF(K242=参数输入表!$I$7,100%,H242)</f>
        <v>1</v>
      </c>
      <c r="N242" s="671">
        <f t="shared" si="46"/>
        <v>2042</v>
      </c>
      <c r="O242" s="681">
        <v>52047</v>
      </c>
      <c r="P242" s="678">
        <f t="shared" si="44"/>
        <v>1</v>
      </c>
    </row>
    <row r="243" spans="2:16">
      <c r="B243" s="671">
        <f t="shared" si="47"/>
        <v>2042</v>
      </c>
      <c r="C243" s="681">
        <v>52078</v>
      </c>
      <c r="D243" s="682">
        <f t="shared" si="54"/>
        <v>1</v>
      </c>
      <c r="F243" s="671">
        <f t="shared" si="45"/>
        <v>2042</v>
      </c>
      <c r="G243" s="681">
        <v>52078</v>
      </c>
      <c r="H243" s="682">
        <f t="shared" si="55"/>
        <v>1</v>
      </c>
      <c r="J243" s="671">
        <f t="shared" si="43"/>
        <v>2042</v>
      </c>
      <c r="K243" s="683">
        <v>52078</v>
      </c>
      <c r="L243" s="684">
        <f>IF(K243=参数输入表!$I$7,100%,H243)</f>
        <v>1</v>
      </c>
      <c r="N243" s="671">
        <f t="shared" si="46"/>
        <v>2042</v>
      </c>
      <c r="O243" s="681">
        <v>52078</v>
      </c>
      <c r="P243" s="678">
        <f t="shared" si="44"/>
        <v>1</v>
      </c>
    </row>
    <row r="244" spans="2:16">
      <c r="B244" s="671">
        <f t="shared" si="47"/>
        <v>2042</v>
      </c>
      <c r="C244" s="681">
        <v>52109</v>
      </c>
      <c r="D244" s="682">
        <f t="shared" si="54"/>
        <v>1</v>
      </c>
      <c r="F244" s="671">
        <f t="shared" si="45"/>
        <v>2042</v>
      </c>
      <c r="G244" s="681">
        <v>52109</v>
      </c>
      <c r="H244" s="682">
        <f t="shared" si="55"/>
        <v>1</v>
      </c>
      <c r="J244" s="671">
        <f t="shared" si="43"/>
        <v>2042</v>
      </c>
      <c r="K244" s="683">
        <v>52109</v>
      </c>
      <c r="L244" s="684">
        <f>IF(K244=参数输入表!$I$7,100%,H244)</f>
        <v>1</v>
      </c>
      <c r="N244" s="671">
        <f t="shared" si="46"/>
        <v>2042</v>
      </c>
      <c r="O244" s="681">
        <v>52109</v>
      </c>
      <c r="P244" s="678">
        <f t="shared" si="44"/>
        <v>1</v>
      </c>
    </row>
    <row r="245" spans="2:16">
      <c r="B245" s="671">
        <f t="shared" si="47"/>
        <v>2042</v>
      </c>
      <c r="C245" s="681">
        <v>52139</v>
      </c>
      <c r="D245" s="682">
        <f t="shared" si="54"/>
        <v>1</v>
      </c>
      <c r="F245" s="671">
        <f t="shared" si="45"/>
        <v>2042</v>
      </c>
      <c r="G245" s="681">
        <v>52139</v>
      </c>
      <c r="H245" s="682">
        <f t="shared" si="55"/>
        <v>1</v>
      </c>
      <c r="J245" s="671">
        <f t="shared" si="43"/>
        <v>2042</v>
      </c>
      <c r="K245" s="683">
        <v>52139</v>
      </c>
      <c r="L245" s="684">
        <f>IF(K245=参数输入表!$I$7,100%,H245)</f>
        <v>1</v>
      </c>
      <c r="N245" s="671">
        <f t="shared" si="46"/>
        <v>2042</v>
      </c>
      <c r="O245" s="681">
        <v>52139</v>
      </c>
      <c r="P245" s="678">
        <f t="shared" si="44"/>
        <v>1</v>
      </c>
    </row>
    <row r="246" spans="2:16">
      <c r="B246" s="671">
        <f t="shared" si="47"/>
        <v>2042</v>
      </c>
      <c r="C246" s="681">
        <v>52170</v>
      </c>
      <c r="D246" s="682">
        <f t="shared" si="54"/>
        <v>1</v>
      </c>
      <c r="F246" s="671">
        <f t="shared" si="45"/>
        <v>2042</v>
      </c>
      <c r="G246" s="681">
        <v>52170</v>
      </c>
      <c r="H246" s="682">
        <f t="shared" si="55"/>
        <v>1</v>
      </c>
      <c r="J246" s="671">
        <f t="shared" si="43"/>
        <v>2042</v>
      </c>
      <c r="K246" s="683">
        <v>52170</v>
      </c>
      <c r="L246" s="684">
        <f>IF(K246=参数输入表!$I$7,100%,H246)</f>
        <v>1</v>
      </c>
      <c r="N246" s="671">
        <f t="shared" si="46"/>
        <v>2042</v>
      </c>
      <c r="O246" s="681">
        <v>52170</v>
      </c>
      <c r="P246" s="678">
        <f t="shared" si="44"/>
        <v>1</v>
      </c>
    </row>
    <row r="247" spans="2:16">
      <c r="B247" s="671">
        <f t="shared" si="47"/>
        <v>2042</v>
      </c>
      <c r="C247" s="681">
        <v>52200</v>
      </c>
      <c r="D247" s="682">
        <f t="shared" si="54"/>
        <v>1</v>
      </c>
      <c r="F247" s="671">
        <f t="shared" si="45"/>
        <v>2042</v>
      </c>
      <c r="G247" s="681">
        <v>52200</v>
      </c>
      <c r="H247" s="682">
        <f t="shared" si="55"/>
        <v>1</v>
      </c>
      <c r="J247" s="671">
        <f t="shared" si="43"/>
        <v>2042</v>
      </c>
      <c r="K247" s="683">
        <v>52200</v>
      </c>
      <c r="L247" s="684">
        <f>IF(K247=参数输入表!$I$7,100%,H247)</f>
        <v>1</v>
      </c>
      <c r="N247" s="671">
        <f t="shared" si="46"/>
        <v>2042</v>
      </c>
      <c r="O247" s="681">
        <v>52200</v>
      </c>
      <c r="P247" s="678">
        <f t="shared" si="44"/>
        <v>1</v>
      </c>
    </row>
    <row r="248" ht="15.25" spans="2:16">
      <c r="B248" s="671">
        <f t="shared" si="47"/>
        <v>2042</v>
      </c>
      <c r="C248" s="692">
        <v>52231</v>
      </c>
      <c r="D248" s="682">
        <f t="shared" si="54"/>
        <v>1</v>
      </c>
      <c r="F248" s="671">
        <f t="shared" si="45"/>
        <v>2042</v>
      </c>
      <c r="G248" s="692">
        <v>52231</v>
      </c>
      <c r="H248" s="682">
        <f t="shared" si="55"/>
        <v>1</v>
      </c>
      <c r="J248" s="671">
        <f t="shared" si="43"/>
        <v>2042</v>
      </c>
      <c r="K248" s="693">
        <v>52231</v>
      </c>
      <c r="L248" s="684">
        <f>IF(K248=参数输入表!$I$7,100%,H248)</f>
        <v>1</v>
      </c>
      <c r="N248" s="671">
        <f t="shared" si="46"/>
        <v>2042</v>
      </c>
      <c r="O248" s="692">
        <v>52231</v>
      </c>
      <c r="P248" s="678">
        <f t="shared" si="44"/>
        <v>1</v>
      </c>
    </row>
    <row r="249" spans="2:16">
      <c r="B249" s="671">
        <f t="shared" si="47"/>
        <v>2043</v>
      </c>
      <c r="C249" s="694">
        <v>52262</v>
      </c>
      <c r="D249" s="682">
        <f t="shared" si="54"/>
        <v>1</v>
      </c>
      <c r="F249" s="671">
        <f t="shared" si="45"/>
        <v>2043</v>
      </c>
      <c r="G249" s="694">
        <v>52262</v>
      </c>
      <c r="H249" s="682">
        <f t="shared" si="55"/>
        <v>1</v>
      </c>
      <c r="J249" s="671">
        <f t="shared" si="43"/>
        <v>2043</v>
      </c>
      <c r="K249" s="695">
        <v>52262</v>
      </c>
      <c r="L249" s="684">
        <f>IF(K249=参数输入表!$I$7,100%,H249)</f>
        <v>1</v>
      </c>
      <c r="N249" s="671">
        <f t="shared" si="46"/>
        <v>2043</v>
      </c>
      <c r="O249" s="694">
        <v>52262</v>
      </c>
      <c r="P249" s="678">
        <f t="shared" si="44"/>
        <v>1</v>
      </c>
    </row>
    <row r="250" spans="2:16">
      <c r="B250" s="671">
        <f t="shared" si="47"/>
        <v>2043</v>
      </c>
      <c r="C250" s="681">
        <v>52290</v>
      </c>
      <c r="D250" s="682">
        <f t="shared" si="54"/>
        <v>1</v>
      </c>
      <c r="F250" s="671">
        <f t="shared" si="45"/>
        <v>2043</v>
      </c>
      <c r="G250" s="681">
        <v>52290</v>
      </c>
      <c r="H250" s="682">
        <f t="shared" si="55"/>
        <v>1</v>
      </c>
      <c r="J250" s="671">
        <f t="shared" si="43"/>
        <v>2043</v>
      </c>
      <c r="K250" s="683">
        <v>52290</v>
      </c>
      <c r="L250" s="684">
        <f>IF(K250=参数输入表!$I$7,100%,H250)</f>
        <v>1</v>
      </c>
      <c r="N250" s="671">
        <f t="shared" si="46"/>
        <v>2043</v>
      </c>
      <c r="O250" s="681">
        <v>52290</v>
      </c>
      <c r="P250" s="678">
        <f t="shared" si="44"/>
        <v>1</v>
      </c>
    </row>
    <row r="251" spans="2:16">
      <c r="B251" s="671">
        <f t="shared" si="47"/>
        <v>2043</v>
      </c>
      <c r="C251" s="681">
        <v>52321</v>
      </c>
      <c r="D251" s="682">
        <f t="shared" si="54"/>
        <v>1</v>
      </c>
      <c r="F251" s="671">
        <f t="shared" si="45"/>
        <v>2043</v>
      </c>
      <c r="G251" s="681">
        <v>52321</v>
      </c>
      <c r="H251" s="682">
        <f t="shared" si="55"/>
        <v>1</v>
      </c>
      <c r="J251" s="671">
        <f t="shared" si="43"/>
        <v>2043</v>
      </c>
      <c r="K251" s="683">
        <v>52321</v>
      </c>
      <c r="L251" s="684">
        <f>IF(K251=参数输入表!$I$7,100%,H251)</f>
        <v>1</v>
      </c>
      <c r="N251" s="671">
        <f t="shared" si="46"/>
        <v>2043</v>
      </c>
      <c r="O251" s="681">
        <v>52321</v>
      </c>
      <c r="P251" s="678">
        <f t="shared" si="44"/>
        <v>1</v>
      </c>
    </row>
    <row r="252" spans="2:16">
      <c r="B252" s="671">
        <f t="shared" si="47"/>
        <v>2043</v>
      </c>
      <c r="C252" s="681">
        <v>52351</v>
      </c>
      <c r="D252" s="682">
        <f t="shared" ref="D252:D261" si="56">$D$100</f>
        <v>1</v>
      </c>
      <c r="F252" s="671">
        <f t="shared" si="45"/>
        <v>2043</v>
      </c>
      <c r="G252" s="681">
        <v>52351</v>
      </c>
      <c r="H252" s="682">
        <f t="shared" ref="H252:H261" si="57">$H$100</f>
        <v>1</v>
      </c>
      <c r="J252" s="671">
        <f t="shared" si="43"/>
        <v>2043</v>
      </c>
      <c r="K252" s="683">
        <v>52351</v>
      </c>
      <c r="L252" s="684">
        <f>IF(K252=参数输入表!$I$7,100%,H252)</f>
        <v>1</v>
      </c>
      <c r="N252" s="671">
        <f t="shared" si="46"/>
        <v>2043</v>
      </c>
      <c r="O252" s="681">
        <v>52351</v>
      </c>
      <c r="P252" s="678">
        <f t="shared" si="44"/>
        <v>1</v>
      </c>
    </row>
    <row r="253" spans="2:16">
      <c r="B253" s="671">
        <f t="shared" si="47"/>
        <v>2043</v>
      </c>
      <c r="C253" s="681">
        <v>52382</v>
      </c>
      <c r="D253" s="682">
        <f t="shared" si="56"/>
        <v>1</v>
      </c>
      <c r="F253" s="671">
        <f t="shared" si="45"/>
        <v>2043</v>
      </c>
      <c r="G253" s="681">
        <v>52382</v>
      </c>
      <c r="H253" s="682">
        <f t="shared" si="57"/>
        <v>1</v>
      </c>
      <c r="J253" s="671">
        <f t="shared" si="43"/>
        <v>2043</v>
      </c>
      <c r="K253" s="683">
        <v>52382</v>
      </c>
      <c r="L253" s="684">
        <f>IF(K253=参数输入表!$I$7,100%,H253)</f>
        <v>1</v>
      </c>
      <c r="N253" s="671">
        <f t="shared" si="46"/>
        <v>2043</v>
      </c>
      <c r="O253" s="681">
        <v>52382</v>
      </c>
      <c r="P253" s="678">
        <f t="shared" si="44"/>
        <v>1</v>
      </c>
    </row>
    <row r="254" spans="2:16">
      <c r="B254" s="671">
        <f t="shared" si="47"/>
        <v>2043</v>
      </c>
      <c r="C254" s="681">
        <v>52412</v>
      </c>
      <c r="D254" s="682">
        <f t="shared" si="56"/>
        <v>1</v>
      </c>
      <c r="F254" s="671">
        <f t="shared" si="45"/>
        <v>2043</v>
      </c>
      <c r="G254" s="681">
        <v>52412</v>
      </c>
      <c r="H254" s="682">
        <f t="shared" si="57"/>
        <v>1</v>
      </c>
      <c r="J254" s="671">
        <f t="shared" si="43"/>
        <v>2043</v>
      </c>
      <c r="K254" s="683">
        <v>52412</v>
      </c>
      <c r="L254" s="684">
        <f>IF(K254=参数输入表!$I$7,100%,H254)</f>
        <v>1</v>
      </c>
      <c r="N254" s="671">
        <f t="shared" si="46"/>
        <v>2043</v>
      </c>
      <c r="O254" s="681">
        <v>52412</v>
      </c>
      <c r="P254" s="678">
        <f t="shared" si="44"/>
        <v>1</v>
      </c>
    </row>
    <row r="255" spans="2:16">
      <c r="B255" s="671">
        <f t="shared" si="47"/>
        <v>2043</v>
      </c>
      <c r="C255" s="681">
        <v>52443</v>
      </c>
      <c r="D255" s="682">
        <f t="shared" si="56"/>
        <v>1</v>
      </c>
      <c r="F255" s="671">
        <f t="shared" si="45"/>
        <v>2043</v>
      </c>
      <c r="G255" s="681">
        <v>52443</v>
      </c>
      <c r="H255" s="682">
        <f t="shared" si="57"/>
        <v>1</v>
      </c>
      <c r="J255" s="671">
        <f t="shared" si="43"/>
        <v>2043</v>
      </c>
      <c r="K255" s="683">
        <v>52443</v>
      </c>
      <c r="L255" s="684">
        <f>IF(K255=参数输入表!$I$7,100%,H255)</f>
        <v>1</v>
      </c>
      <c r="N255" s="671">
        <f t="shared" si="46"/>
        <v>2043</v>
      </c>
      <c r="O255" s="681">
        <v>52443</v>
      </c>
      <c r="P255" s="678">
        <f t="shared" si="44"/>
        <v>1</v>
      </c>
    </row>
    <row r="256" spans="2:16">
      <c r="B256" s="671">
        <f t="shared" si="47"/>
        <v>2043</v>
      </c>
      <c r="C256" s="681">
        <v>52474</v>
      </c>
      <c r="D256" s="682">
        <f t="shared" si="56"/>
        <v>1</v>
      </c>
      <c r="F256" s="671">
        <f t="shared" si="45"/>
        <v>2043</v>
      </c>
      <c r="G256" s="681">
        <v>52474</v>
      </c>
      <c r="H256" s="682">
        <f t="shared" si="57"/>
        <v>1</v>
      </c>
      <c r="J256" s="671">
        <f t="shared" si="43"/>
        <v>2043</v>
      </c>
      <c r="K256" s="683">
        <v>52474</v>
      </c>
      <c r="L256" s="684">
        <f>IF(K256=参数输入表!$I$7,100%,H256)</f>
        <v>1</v>
      </c>
      <c r="N256" s="671">
        <f t="shared" si="46"/>
        <v>2043</v>
      </c>
      <c r="O256" s="681">
        <v>52474</v>
      </c>
      <c r="P256" s="678">
        <f t="shared" si="44"/>
        <v>1</v>
      </c>
    </row>
    <row r="257" spans="2:16">
      <c r="B257" s="671">
        <f t="shared" si="47"/>
        <v>2043</v>
      </c>
      <c r="C257" s="681">
        <v>52504</v>
      </c>
      <c r="D257" s="682">
        <f t="shared" si="56"/>
        <v>1</v>
      </c>
      <c r="F257" s="671">
        <f t="shared" si="45"/>
        <v>2043</v>
      </c>
      <c r="G257" s="681">
        <v>52504</v>
      </c>
      <c r="H257" s="682">
        <f t="shared" si="57"/>
        <v>1</v>
      </c>
      <c r="J257" s="671">
        <f t="shared" si="43"/>
        <v>2043</v>
      </c>
      <c r="K257" s="683">
        <v>52504</v>
      </c>
      <c r="L257" s="684">
        <f>IF(K257=参数输入表!$I$7,100%,H257)</f>
        <v>1</v>
      </c>
      <c r="N257" s="671">
        <f t="shared" si="46"/>
        <v>2043</v>
      </c>
      <c r="O257" s="681">
        <v>52504</v>
      </c>
      <c r="P257" s="678">
        <f t="shared" si="44"/>
        <v>1</v>
      </c>
    </row>
    <row r="258" spans="2:16">
      <c r="B258" s="671">
        <f t="shared" si="47"/>
        <v>2043</v>
      </c>
      <c r="C258" s="681">
        <v>52535</v>
      </c>
      <c r="D258" s="682">
        <f t="shared" si="56"/>
        <v>1</v>
      </c>
      <c r="F258" s="671">
        <f t="shared" si="45"/>
        <v>2043</v>
      </c>
      <c r="G258" s="681">
        <v>52535</v>
      </c>
      <c r="H258" s="682">
        <f t="shared" si="57"/>
        <v>1</v>
      </c>
      <c r="J258" s="671">
        <f t="shared" si="43"/>
        <v>2043</v>
      </c>
      <c r="K258" s="683">
        <v>52535</v>
      </c>
      <c r="L258" s="684">
        <f>IF(K258=参数输入表!$I$7,100%,H258)</f>
        <v>1</v>
      </c>
      <c r="N258" s="671">
        <f t="shared" si="46"/>
        <v>2043</v>
      </c>
      <c r="O258" s="681">
        <v>52535</v>
      </c>
      <c r="P258" s="678">
        <f t="shared" si="44"/>
        <v>1</v>
      </c>
    </row>
    <row r="259" spans="2:16">
      <c r="B259" s="671">
        <f t="shared" si="47"/>
        <v>2043</v>
      </c>
      <c r="C259" s="681">
        <v>52565</v>
      </c>
      <c r="D259" s="682">
        <f t="shared" si="56"/>
        <v>1</v>
      </c>
      <c r="F259" s="671">
        <f t="shared" si="45"/>
        <v>2043</v>
      </c>
      <c r="G259" s="681">
        <v>52565</v>
      </c>
      <c r="H259" s="682">
        <f t="shared" si="57"/>
        <v>1</v>
      </c>
      <c r="J259" s="671">
        <f t="shared" si="43"/>
        <v>2043</v>
      </c>
      <c r="K259" s="683">
        <v>52565</v>
      </c>
      <c r="L259" s="684">
        <f>IF(K259=参数输入表!$I$7,100%,H259)</f>
        <v>1</v>
      </c>
      <c r="N259" s="671">
        <f t="shared" si="46"/>
        <v>2043</v>
      </c>
      <c r="O259" s="681">
        <v>52565</v>
      </c>
      <c r="P259" s="678">
        <f t="shared" si="44"/>
        <v>1</v>
      </c>
    </row>
    <row r="260" ht="15.25" spans="2:16">
      <c r="B260" s="671">
        <f t="shared" si="47"/>
        <v>2043</v>
      </c>
      <c r="C260" s="692">
        <v>52596</v>
      </c>
      <c r="D260" s="682">
        <f t="shared" si="56"/>
        <v>1</v>
      </c>
      <c r="F260" s="671">
        <f t="shared" si="45"/>
        <v>2043</v>
      </c>
      <c r="G260" s="692">
        <v>52596</v>
      </c>
      <c r="H260" s="682">
        <f t="shared" si="57"/>
        <v>1</v>
      </c>
      <c r="J260" s="671">
        <f t="shared" si="43"/>
        <v>2043</v>
      </c>
      <c r="K260" s="693">
        <v>52596</v>
      </c>
      <c r="L260" s="684">
        <f>IF(K260=参数输入表!$I$7,100%,H260)</f>
        <v>1</v>
      </c>
      <c r="N260" s="671">
        <f t="shared" si="46"/>
        <v>2043</v>
      </c>
      <c r="O260" s="692">
        <v>52596</v>
      </c>
      <c r="P260" s="678">
        <f t="shared" si="44"/>
        <v>1</v>
      </c>
    </row>
    <row r="261" spans="2:16">
      <c r="B261" s="671">
        <f t="shared" si="47"/>
        <v>2044</v>
      </c>
      <c r="C261" s="694">
        <v>52627</v>
      </c>
      <c r="D261" s="682">
        <f t="shared" si="56"/>
        <v>1</v>
      </c>
      <c r="F261" s="671">
        <f t="shared" si="45"/>
        <v>2044</v>
      </c>
      <c r="G261" s="694">
        <v>52627</v>
      </c>
      <c r="H261" s="682">
        <f t="shared" si="57"/>
        <v>1</v>
      </c>
      <c r="J261" s="671">
        <f t="shared" si="43"/>
        <v>2044</v>
      </c>
      <c r="K261" s="695">
        <v>52627</v>
      </c>
      <c r="L261" s="684">
        <f>IF(K261=参数输入表!$I$7,100%,H261)</f>
        <v>1</v>
      </c>
      <c r="N261" s="671">
        <f t="shared" si="46"/>
        <v>2044</v>
      </c>
      <c r="O261" s="694">
        <v>52627</v>
      </c>
      <c r="P261" s="678">
        <f t="shared" si="44"/>
        <v>1</v>
      </c>
    </row>
    <row r="262" spans="2:16">
      <c r="B262" s="671">
        <f t="shared" si="47"/>
        <v>2044</v>
      </c>
      <c r="C262" s="681">
        <v>52656</v>
      </c>
      <c r="D262" s="682">
        <f t="shared" ref="D262:D271" si="58">$D$100</f>
        <v>1</v>
      </c>
      <c r="F262" s="671">
        <f t="shared" si="45"/>
        <v>2044</v>
      </c>
      <c r="G262" s="681">
        <v>52656</v>
      </c>
      <c r="H262" s="682">
        <f t="shared" ref="H262:H271" si="59">$H$100</f>
        <v>1</v>
      </c>
      <c r="J262" s="671">
        <f t="shared" si="43"/>
        <v>2044</v>
      </c>
      <c r="K262" s="683">
        <v>52656</v>
      </c>
      <c r="L262" s="684">
        <f>IF(K262=参数输入表!$I$7,100%,H262)</f>
        <v>1</v>
      </c>
      <c r="N262" s="671">
        <f t="shared" si="46"/>
        <v>2044</v>
      </c>
      <c r="O262" s="681">
        <v>52656</v>
      </c>
      <c r="P262" s="678">
        <f t="shared" si="44"/>
        <v>1</v>
      </c>
    </row>
    <row r="263" spans="2:16">
      <c r="B263" s="671">
        <f t="shared" si="47"/>
        <v>2044</v>
      </c>
      <c r="C263" s="681">
        <v>52687</v>
      </c>
      <c r="D263" s="682">
        <f t="shared" si="58"/>
        <v>1</v>
      </c>
      <c r="F263" s="671">
        <f t="shared" si="45"/>
        <v>2044</v>
      </c>
      <c r="G263" s="681">
        <v>52687</v>
      </c>
      <c r="H263" s="682">
        <f t="shared" si="59"/>
        <v>1</v>
      </c>
      <c r="J263" s="671">
        <f t="shared" si="43"/>
        <v>2044</v>
      </c>
      <c r="K263" s="683">
        <v>52687</v>
      </c>
      <c r="L263" s="684">
        <f>IF(K263=参数输入表!$I$7,100%,H263)</f>
        <v>1</v>
      </c>
      <c r="N263" s="671">
        <f t="shared" si="46"/>
        <v>2044</v>
      </c>
      <c r="O263" s="681">
        <v>52687</v>
      </c>
      <c r="P263" s="678">
        <f t="shared" si="44"/>
        <v>1</v>
      </c>
    </row>
    <row r="264" spans="2:16">
      <c r="B264" s="671">
        <f t="shared" si="47"/>
        <v>2044</v>
      </c>
      <c r="C264" s="681">
        <v>52717</v>
      </c>
      <c r="D264" s="682">
        <f t="shared" si="58"/>
        <v>1</v>
      </c>
      <c r="F264" s="671">
        <f t="shared" si="45"/>
        <v>2044</v>
      </c>
      <c r="G264" s="681">
        <v>52717</v>
      </c>
      <c r="H264" s="682">
        <f t="shared" si="59"/>
        <v>1</v>
      </c>
      <c r="J264" s="671">
        <f t="shared" si="43"/>
        <v>2044</v>
      </c>
      <c r="K264" s="683">
        <v>52717</v>
      </c>
      <c r="L264" s="684">
        <f>IF(K264=参数输入表!$I$7,100%,H264)</f>
        <v>1</v>
      </c>
      <c r="N264" s="671">
        <f t="shared" si="46"/>
        <v>2044</v>
      </c>
      <c r="O264" s="681">
        <v>52717</v>
      </c>
      <c r="P264" s="678">
        <f t="shared" si="44"/>
        <v>1</v>
      </c>
    </row>
    <row r="265" spans="2:16">
      <c r="B265" s="671">
        <f t="shared" si="47"/>
        <v>2044</v>
      </c>
      <c r="C265" s="681">
        <v>52748</v>
      </c>
      <c r="D265" s="682">
        <f t="shared" si="58"/>
        <v>1</v>
      </c>
      <c r="F265" s="671">
        <f t="shared" si="45"/>
        <v>2044</v>
      </c>
      <c r="G265" s="681">
        <v>52748</v>
      </c>
      <c r="H265" s="682">
        <f t="shared" si="59"/>
        <v>1</v>
      </c>
      <c r="J265" s="671">
        <f t="shared" si="43"/>
        <v>2044</v>
      </c>
      <c r="K265" s="683">
        <v>52748</v>
      </c>
      <c r="L265" s="684">
        <f>IF(K265=参数输入表!$I$7,100%,H265)</f>
        <v>1</v>
      </c>
      <c r="N265" s="671">
        <f t="shared" si="46"/>
        <v>2044</v>
      </c>
      <c r="O265" s="681">
        <v>52748</v>
      </c>
      <c r="P265" s="678">
        <f t="shared" si="44"/>
        <v>1</v>
      </c>
    </row>
    <row r="266" spans="2:16">
      <c r="B266" s="671">
        <f t="shared" si="47"/>
        <v>2044</v>
      </c>
      <c r="C266" s="681">
        <v>52778</v>
      </c>
      <c r="D266" s="682">
        <f t="shared" si="58"/>
        <v>1</v>
      </c>
      <c r="F266" s="671">
        <f t="shared" si="45"/>
        <v>2044</v>
      </c>
      <c r="G266" s="681">
        <v>52778</v>
      </c>
      <c r="H266" s="682">
        <f t="shared" si="59"/>
        <v>1</v>
      </c>
      <c r="J266" s="671">
        <f t="shared" ref="J266:J329" si="60">YEAR(K266)</f>
        <v>2044</v>
      </c>
      <c r="K266" s="683">
        <v>52778</v>
      </c>
      <c r="L266" s="684">
        <f>IF(K266=参数输入表!$I$7,100%,H266)</f>
        <v>1</v>
      </c>
      <c r="N266" s="671">
        <f t="shared" si="46"/>
        <v>2044</v>
      </c>
      <c r="O266" s="681">
        <v>52778</v>
      </c>
      <c r="P266" s="678">
        <f t="shared" ref="P266:P329" si="61">D266*H266</f>
        <v>1</v>
      </c>
    </row>
    <row r="267" spans="2:16">
      <c r="B267" s="671">
        <f t="shared" si="47"/>
        <v>2044</v>
      </c>
      <c r="C267" s="681">
        <v>52809</v>
      </c>
      <c r="D267" s="682">
        <f t="shared" si="58"/>
        <v>1</v>
      </c>
      <c r="F267" s="671">
        <f t="shared" ref="F267:F330" si="62">YEAR(G267)</f>
        <v>2044</v>
      </c>
      <c r="G267" s="681">
        <v>52809</v>
      </c>
      <c r="H267" s="682">
        <f t="shared" si="59"/>
        <v>1</v>
      </c>
      <c r="J267" s="671">
        <f t="shared" si="60"/>
        <v>2044</v>
      </c>
      <c r="K267" s="683">
        <v>52809</v>
      </c>
      <c r="L267" s="684">
        <f>IF(K267=参数输入表!$I$7,100%,H267)</f>
        <v>1</v>
      </c>
      <c r="N267" s="671">
        <f t="shared" ref="N267:N330" si="63">YEAR(O267)</f>
        <v>2044</v>
      </c>
      <c r="O267" s="681">
        <v>52809</v>
      </c>
      <c r="P267" s="678">
        <f t="shared" si="61"/>
        <v>1</v>
      </c>
    </row>
    <row r="268" spans="2:16">
      <c r="B268" s="671">
        <f t="shared" ref="B268:B331" si="64">YEAR(C268)</f>
        <v>2044</v>
      </c>
      <c r="C268" s="681">
        <v>52840</v>
      </c>
      <c r="D268" s="682">
        <f t="shared" si="58"/>
        <v>1</v>
      </c>
      <c r="F268" s="671">
        <f t="shared" si="62"/>
        <v>2044</v>
      </c>
      <c r="G268" s="681">
        <v>52840</v>
      </c>
      <c r="H268" s="682">
        <f t="shared" si="59"/>
        <v>1</v>
      </c>
      <c r="J268" s="671">
        <f t="shared" si="60"/>
        <v>2044</v>
      </c>
      <c r="K268" s="683">
        <v>52840</v>
      </c>
      <c r="L268" s="684">
        <f>IF(K268=参数输入表!$I$7,100%,H268)</f>
        <v>1</v>
      </c>
      <c r="N268" s="671">
        <f t="shared" si="63"/>
        <v>2044</v>
      </c>
      <c r="O268" s="681">
        <v>52840</v>
      </c>
      <c r="P268" s="678">
        <f t="shared" si="61"/>
        <v>1</v>
      </c>
    </row>
    <row r="269" spans="2:16">
      <c r="B269" s="671">
        <f t="shared" si="64"/>
        <v>2044</v>
      </c>
      <c r="C269" s="681">
        <v>52870</v>
      </c>
      <c r="D269" s="682">
        <f t="shared" si="58"/>
        <v>1</v>
      </c>
      <c r="F269" s="671">
        <f t="shared" si="62"/>
        <v>2044</v>
      </c>
      <c r="G269" s="681">
        <v>52870</v>
      </c>
      <c r="H269" s="682">
        <f t="shared" si="59"/>
        <v>1</v>
      </c>
      <c r="J269" s="671">
        <f t="shared" si="60"/>
        <v>2044</v>
      </c>
      <c r="K269" s="683">
        <v>52870</v>
      </c>
      <c r="L269" s="684">
        <f>IF(K269=参数输入表!$I$7,100%,H269)</f>
        <v>1</v>
      </c>
      <c r="N269" s="671">
        <f t="shared" si="63"/>
        <v>2044</v>
      </c>
      <c r="O269" s="681">
        <v>52870</v>
      </c>
      <c r="P269" s="678">
        <f t="shared" si="61"/>
        <v>1</v>
      </c>
    </row>
    <row r="270" spans="2:16">
      <c r="B270" s="671">
        <f t="shared" si="64"/>
        <v>2044</v>
      </c>
      <c r="C270" s="681">
        <v>52901</v>
      </c>
      <c r="D270" s="682">
        <f t="shared" si="58"/>
        <v>1</v>
      </c>
      <c r="F270" s="671">
        <f t="shared" si="62"/>
        <v>2044</v>
      </c>
      <c r="G270" s="681">
        <v>52901</v>
      </c>
      <c r="H270" s="682">
        <f t="shared" si="59"/>
        <v>1</v>
      </c>
      <c r="J270" s="671">
        <f t="shared" si="60"/>
        <v>2044</v>
      </c>
      <c r="K270" s="683">
        <v>52901</v>
      </c>
      <c r="L270" s="684">
        <f>IF(K270=参数输入表!$I$7,100%,H270)</f>
        <v>1</v>
      </c>
      <c r="N270" s="671">
        <f t="shared" si="63"/>
        <v>2044</v>
      </c>
      <c r="O270" s="681">
        <v>52901</v>
      </c>
      <c r="P270" s="678">
        <f t="shared" si="61"/>
        <v>1</v>
      </c>
    </row>
    <row r="271" spans="2:16">
      <c r="B271" s="671">
        <f t="shared" si="64"/>
        <v>2044</v>
      </c>
      <c r="C271" s="681">
        <v>52931</v>
      </c>
      <c r="D271" s="682">
        <f t="shared" si="58"/>
        <v>1</v>
      </c>
      <c r="F271" s="671">
        <f t="shared" si="62"/>
        <v>2044</v>
      </c>
      <c r="G271" s="681">
        <v>52931</v>
      </c>
      <c r="H271" s="682">
        <f t="shared" si="59"/>
        <v>1</v>
      </c>
      <c r="J271" s="671">
        <f t="shared" si="60"/>
        <v>2044</v>
      </c>
      <c r="K271" s="683">
        <v>52931</v>
      </c>
      <c r="L271" s="684">
        <f>IF(K271=参数输入表!$I$7,100%,H271)</f>
        <v>1</v>
      </c>
      <c r="N271" s="671">
        <f t="shared" si="63"/>
        <v>2044</v>
      </c>
      <c r="O271" s="681">
        <v>52931</v>
      </c>
      <c r="P271" s="678">
        <f t="shared" si="61"/>
        <v>1</v>
      </c>
    </row>
    <row r="272" ht="15.25" spans="2:16">
      <c r="B272" s="671">
        <f t="shared" si="64"/>
        <v>2044</v>
      </c>
      <c r="C272" s="692">
        <v>52962</v>
      </c>
      <c r="D272" s="682">
        <f t="shared" ref="D272:D281" si="65">$D$100</f>
        <v>1</v>
      </c>
      <c r="F272" s="671">
        <f t="shared" si="62"/>
        <v>2044</v>
      </c>
      <c r="G272" s="692">
        <v>52962</v>
      </c>
      <c r="H272" s="682">
        <f t="shared" ref="H272:H281" si="66">$H$100</f>
        <v>1</v>
      </c>
      <c r="J272" s="671">
        <f t="shared" si="60"/>
        <v>2044</v>
      </c>
      <c r="K272" s="693">
        <v>52962</v>
      </c>
      <c r="L272" s="684">
        <f>IF(K272=参数输入表!$I$7,100%,H272)</f>
        <v>1</v>
      </c>
      <c r="N272" s="671">
        <f t="shared" si="63"/>
        <v>2044</v>
      </c>
      <c r="O272" s="692">
        <v>52962</v>
      </c>
      <c r="P272" s="678">
        <f t="shared" si="61"/>
        <v>1</v>
      </c>
    </row>
    <row r="273" spans="2:16">
      <c r="B273" s="671">
        <f t="shared" si="64"/>
        <v>2045</v>
      </c>
      <c r="C273" s="694">
        <v>52993</v>
      </c>
      <c r="D273" s="682">
        <f t="shared" si="65"/>
        <v>1</v>
      </c>
      <c r="F273" s="671">
        <f t="shared" si="62"/>
        <v>2045</v>
      </c>
      <c r="G273" s="694">
        <v>52993</v>
      </c>
      <c r="H273" s="682">
        <f t="shared" si="66"/>
        <v>1</v>
      </c>
      <c r="J273" s="671">
        <f t="shared" si="60"/>
        <v>2045</v>
      </c>
      <c r="K273" s="695">
        <v>52993</v>
      </c>
      <c r="L273" s="684">
        <f>IF(K273=参数输入表!$I$7,100%,H273)</f>
        <v>1</v>
      </c>
      <c r="N273" s="671">
        <f t="shared" si="63"/>
        <v>2045</v>
      </c>
      <c r="O273" s="694">
        <v>52993</v>
      </c>
      <c r="P273" s="678">
        <f t="shared" si="61"/>
        <v>1</v>
      </c>
    </row>
    <row r="274" spans="2:16">
      <c r="B274" s="671">
        <f t="shared" si="64"/>
        <v>2045</v>
      </c>
      <c r="C274" s="681">
        <v>53021</v>
      </c>
      <c r="D274" s="682">
        <f t="shared" si="65"/>
        <v>1</v>
      </c>
      <c r="F274" s="671">
        <f t="shared" si="62"/>
        <v>2045</v>
      </c>
      <c r="G274" s="681">
        <v>53021</v>
      </c>
      <c r="H274" s="682">
        <f t="shared" si="66"/>
        <v>1</v>
      </c>
      <c r="J274" s="671">
        <f t="shared" si="60"/>
        <v>2045</v>
      </c>
      <c r="K274" s="683">
        <v>53021</v>
      </c>
      <c r="L274" s="684">
        <f>IF(K274=参数输入表!$I$7,100%,H274)</f>
        <v>1</v>
      </c>
      <c r="N274" s="671">
        <f t="shared" si="63"/>
        <v>2045</v>
      </c>
      <c r="O274" s="681">
        <v>53021</v>
      </c>
      <c r="P274" s="678">
        <f t="shared" si="61"/>
        <v>1</v>
      </c>
    </row>
    <row r="275" spans="2:16">
      <c r="B275" s="671">
        <f t="shared" si="64"/>
        <v>2045</v>
      </c>
      <c r="C275" s="681">
        <v>53052</v>
      </c>
      <c r="D275" s="682">
        <f t="shared" si="65"/>
        <v>1</v>
      </c>
      <c r="F275" s="671">
        <f t="shared" si="62"/>
        <v>2045</v>
      </c>
      <c r="G275" s="681">
        <v>53052</v>
      </c>
      <c r="H275" s="682">
        <f t="shared" si="66"/>
        <v>1</v>
      </c>
      <c r="J275" s="671">
        <f t="shared" si="60"/>
        <v>2045</v>
      </c>
      <c r="K275" s="683">
        <v>53052</v>
      </c>
      <c r="L275" s="684">
        <f>IF(K275=参数输入表!$I$7,100%,H275)</f>
        <v>1</v>
      </c>
      <c r="N275" s="671">
        <f t="shared" si="63"/>
        <v>2045</v>
      </c>
      <c r="O275" s="681">
        <v>53052</v>
      </c>
      <c r="P275" s="678">
        <f t="shared" si="61"/>
        <v>1</v>
      </c>
    </row>
    <row r="276" spans="2:16">
      <c r="B276" s="671">
        <f t="shared" si="64"/>
        <v>2045</v>
      </c>
      <c r="C276" s="681">
        <v>53082</v>
      </c>
      <c r="D276" s="682">
        <f t="shared" si="65"/>
        <v>1</v>
      </c>
      <c r="F276" s="671">
        <f t="shared" si="62"/>
        <v>2045</v>
      </c>
      <c r="G276" s="681">
        <v>53082</v>
      </c>
      <c r="H276" s="682">
        <f t="shared" si="66"/>
        <v>1</v>
      </c>
      <c r="J276" s="671">
        <f t="shared" si="60"/>
        <v>2045</v>
      </c>
      <c r="K276" s="683">
        <v>53082</v>
      </c>
      <c r="L276" s="684">
        <f>IF(K276=参数输入表!$I$7,100%,H276)</f>
        <v>1</v>
      </c>
      <c r="N276" s="671">
        <f t="shared" si="63"/>
        <v>2045</v>
      </c>
      <c r="O276" s="681">
        <v>53082</v>
      </c>
      <c r="P276" s="678">
        <f t="shared" si="61"/>
        <v>1</v>
      </c>
    </row>
    <row r="277" spans="2:16">
      <c r="B277" s="671">
        <f t="shared" si="64"/>
        <v>2045</v>
      </c>
      <c r="C277" s="681">
        <v>53113</v>
      </c>
      <c r="D277" s="682">
        <f t="shared" si="65"/>
        <v>1</v>
      </c>
      <c r="F277" s="671">
        <f t="shared" si="62"/>
        <v>2045</v>
      </c>
      <c r="G277" s="681">
        <v>53113</v>
      </c>
      <c r="H277" s="682">
        <f t="shared" si="66"/>
        <v>1</v>
      </c>
      <c r="J277" s="671">
        <f t="shared" si="60"/>
        <v>2045</v>
      </c>
      <c r="K277" s="683">
        <v>53113</v>
      </c>
      <c r="L277" s="684">
        <f>IF(K277=参数输入表!$I$7,100%,H277)</f>
        <v>1</v>
      </c>
      <c r="N277" s="671">
        <f t="shared" si="63"/>
        <v>2045</v>
      </c>
      <c r="O277" s="681">
        <v>53113</v>
      </c>
      <c r="P277" s="678">
        <f t="shared" si="61"/>
        <v>1</v>
      </c>
    </row>
    <row r="278" spans="2:16">
      <c r="B278" s="671">
        <f t="shared" si="64"/>
        <v>2045</v>
      </c>
      <c r="C278" s="681">
        <v>53143</v>
      </c>
      <c r="D278" s="682">
        <f t="shared" si="65"/>
        <v>1</v>
      </c>
      <c r="F278" s="671">
        <f t="shared" si="62"/>
        <v>2045</v>
      </c>
      <c r="G278" s="681">
        <v>53143</v>
      </c>
      <c r="H278" s="682">
        <f t="shared" si="66"/>
        <v>1</v>
      </c>
      <c r="J278" s="671">
        <f t="shared" si="60"/>
        <v>2045</v>
      </c>
      <c r="K278" s="683">
        <v>53143</v>
      </c>
      <c r="L278" s="684">
        <f>IF(K278=参数输入表!$I$7,100%,H278)</f>
        <v>1</v>
      </c>
      <c r="N278" s="671">
        <f t="shared" si="63"/>
        <v>2045</v>
      </c>
      <c r="O278" s="681">
        <v>53143</v>
      </c>
      <c r="P278" s="678">
        <f t="shared" si="61"/>
        <v>1</v>
      </c>
    </row>
    <row r="279" spans="2:16">
      <c r="B279" s="671">
        <f t="shared" si="64"/>
        <v>2045</v>
      </c>
      <c r="C279" s="681">
        <v>53174</v>
      </c>
      <c r="D279" s="682">
        <f t="shared" si="65"/>
        <v>1</v>
      </c>
      <c r="F279" s="671">
        <f t="shared" si="62"/>
        <v>2045</v>
      </c>
      <c r="G279" s="681">
        <v>53174</v>
      </c>
      <c r="H279" s="682">
        <f t="shared" si="66"/>
        <v>1</v>
      </c>
      <c r="J279" s="671">
        <f t="shared" si="60"/>
        <v>2045</v>
      </c>
      <c r="K279" s="683">
        <v>53174</v>
      </c>
      <c r="L279" s="684">
        <f>IF(K279=参数输入表!$I$7,100%,H279)</f>
        <v>1</v>
      </c>
      <c r="N279" s="671">
        <f t="shared" si="63"/>
        <v>2045</v>
      </c>
      <c r="O279" s="681">
        <v>53174</v>
      </c>
      <c r="P279" s="678">
        <f t="shared" si="61"/>
        <v>1</v>
      </c>
    </row>
    <row r="280" spans="2:16">
      <c r="B280" s="671">
        <f t="shared" si="64"/>
        <v>2045</v>
      </c>
      <c r="C280" s="681">
        <v>53205</v>
      </c>
      <c r="D280" s="682">
        <f t="shared" si="65"/>
        <v>1</v>
      </c>
      <c r="F280" s="671">
        <f t="shared" si="62"/>
        <v>2045</v>
      </c>
      <c r="G280" s="681">
        <v>53205</v>
      </c>
      <c r="H280" s="682">
        <f t="shared" si="66"/>
        <v>1</v>
      </c>
      <c r="J280" s="671">
        <f t="shared" si="60"/>
        <v>2045</v>
      </c>
      <c r="K280" s="683">
        <v>53205</v>
      </c>
      <c r="L280" s="684">
        <f>IF(K280=参数输入表!$I$7,100%,H280)</f>
        <v>1</v>
      </c>
      <c r="N280" s="671">
        <f t="shared" si="63"/>
        <v>2045</v>
      </c>
      <c r="O280" s="681">
        <v>53205</v>
      </c>
      <c r="P280" s="678">
        <f t="shared" si="61"/>
        <v>1</v>
      </c>
    </row>
    <row r="281" spans="2:16">
      <c r="B281" s="671">
        <f t="shared" si="64"/>
        <v>2045</v>
      </c>
      <c r="C281" s="681">
        <v>53235</v>
      </c>
      <c r="D281" s="682">
        <f t="shared" si="65"/>
        <v>1</v>
      </c>
      <c r="F281" s="671">
        <f t="shared" si="62"/>
        <v>2045</v>
      </c>
      <c r="G281" s="681">
        <v>53235</v>
      </c>
      <c r="H281" s="682">
        <f t="shared" si="66"/>
        <v>1</v>
      </c>
      <c r="J281" s="671">
        <f t="shared" si="60"/>
        <v>2045</v>
      </c>
      <c r="K281" s="683">
        <v>53235</v>
      </c>
      <c r="L281" s="684">
        <f>IF(K281=参数输入表!$I$7,100%,H281)</f>
        <v>1</v>
      </c>
      <c r="N281" s="671">
        <f t="shared" si="63"/>
        <v>2045</v>
      </c>
      <c r="O281" s="681">
        <v>53235</v>
      </c>
      <c r="P281" s="678">
        <f t="shared" si="61"/>
        <v>1</v>
      </c>
    </row>
    <row r="282" spans="2:16">
      <c r="B282" s="671">
        <f t="shared" si="64"/>
        <v>2045</v>
      </c>
      <c r="C282" s="681">
        <v>53266</v>
      </c>
      <c r="D282" s="682">
        <f t="shared" ref="D282:D291" si="67">$D$100</f>
        <v>1</v>
      </c>
      <c r="F282" s="671">
        <f t="shared" si="62"/>
        <v>2045</v>
      </c>
      <c r="G282" s="681">
        <v>53266</v>
      </c>
      <c r="H282" s="682">
        <f t="shared" ref="H282:H291" si="68">$H$100</f>
        <v>1</v>
      </c>
      <c r="J282" s="671">
        <f t="shared" si="60"/>
        <v>2045</v>
      </c>
      <c r="K282" s="683">
        <v>53266</v>
      </c>
      <c r="L282" s="684">
        <f>IF(K282=参数输入表!$I$7,100%,H282)</f>
        <v>1</v>
      </c>
      <c r="N282" s="671">
        <f t="shared" si="63"/>
        <v>2045</v>
      </c>
      <c r="O282" s="681">
        <v>53266</v>
      </c>
      <c r="P282" s="678">
        <f t="shared" si="61"/>
        <v>1</v>
      </c>
    </row>
    <row r="283" spans="2:16">
      <c r="B283" s="671">
        <f t="shared" si="64"/>
        <v>2045</v>
      </c>
      <c r="C283" s="681">
        <v>53296</v>
      </c>
      <c r="D283" s="682">
        <f t="shared" si="67"/>
        <v>1</v>
      </c>
      <c r="F283" s="671">
        <f t="shared" si="62"/>
        <v>2045</v>
      </c>
      <c r="G283" s="681">
        <v>53296</v>
      </c>
      <c r="H283" s="682">
        <f t="shared" si="68"/>
        <v>1</v>
      </c>
      <c r="J283" s="671">
        <f t="shared" si="60"/>
        <v>2045</v>
      </c>
      <c r="K283" s="683">
        <v>53296</v>
      </c>
      <c r="L283" s="684">
        <f>IF(K283=参数输入表!$I$7,100%,H283)</f>
        <v>1</v>
      </c>
      <c r="N283" s="671">
        <f t="shared" si="63"/>
        <v>2045</v>
      </c>
      <c r="O283" s="681">
        <v>53296</v>
      </c>
      <c r="P283" s="678">
        <f t="shared" si="61"/>
        <v>1</v>
      </c>
    </row>
    <row r="284" ht="15.25" spans="2:16">
      <c r="B284" s="671">
        <f t="shared" si="64"/>
        <v>2045</v>
      </c>
      <c r="C284" s="692">
        <v>53327</v>
      </c>
      <c r="D284" s="682">
        <f t="shared" si="67"/>
        <v>1</v>
      </c>
      <c r="F284" s="671">
        <f t="shared" si="62"/>
        <v>2045</v>
      </c>
      <c r="G284" s="692">
        <v>53327</v>
      </c>
      <c r="H284" s="682">
        <f t="shared" si="68"/>
        <v>1</v>
      </c>
      <c r="J284" s="671">
        <f t="shared" si="60"/>
        <v>2045</v>
      </c>
      <c r="K284" s="693">
        <v>53327</v>
      </c>
      <c r="L284" s="684">
        <f>IF(K284=参数输入表!$I$7,100%,H284)</f>
        <v>1</v>
      </c>
      <c r="N284" s="671">
        <f t="shared" si="63"/>
        <v>2045</v>
      </c>
      <c r="O284" s="692">
        <v>53327</v>
      </c>
      <c r="P284" s="678">
        <f t="shared" si="61"/>
        <v>1</v>
      </c>
    </row>
    <row r="285" spans="2:16">
      <c r="B285" s="671">
        <f t="shared" si="64"/>
        <v>2046</v>
      </c>
      <c r="C285" s="694">
        <v>53358</v>
      </c>
      <c r="D285" s="682">
        <f t="shared" si="67"/>
        <v>1</v>
      </c>
      <c r="F285" s="671">
        <f t="shared" si="62"/>
        <v>2046</v>
      </c>
      <c r="G285" s="694">
        <v>53358</v>
      </c>
      <c r="H285" s="682">
        <f t="shared" si="68"/>
        <v>1</v>
      </c>
      <c r="J285" s="671">
        <f t="shared" si="60"/>
        <v>2046</v>
      </c>
      <c r="K285" s="695">
        <v>53358</v>
      </c>
      <c r="L285" s="684">
        <f>IF(K285=参数输入表!$I$7,100%,H285)</f>
        <v>1</v>
      </c>
      <c r="N285" s="671">
        <f t="shared" si="63"/>
        <v>2046</v>
      </c>
      <c r="O285" s="694">
        <v>53358</v>
      </c>
      <c r="P285" s="678">
        <f t="shared" si="61"/>
        <v>1</v>
      </c>
    </row>
    <row r="286" spans="2:16">
      <c r="B286" s="671">
        <f t="shared" si="64"/>
        <v>2046</v>
      </c>
      <c r="C286" s="681">
        <v>53386</v>
      </c>
      <c r="D286" s="682">
        <f t="shared" si="67"/>
        <v>1</v>
      </c>
      <c r="F286" s="671">
        <f t="shared" si="62"/>
        <v>2046</v>
      </c>
      <c r="G286" s="681">
        <v>53386</v>
      </c>
      <c r="H286" s="682">
        <f t="shared" si="68"/>
        <v>1</v>
      </c>
      <c r="J286" s="671">
        <f t="shared" si="60"/>
        <v>2046</v>
      </c>
      <c r="K286" s="683">
        <v>53386</v>
      </c>
      <c r="L286" s="684">
        <f>IF(K286=参数输入表!$I$7,100%,H286)</f>
        <v>1</v>
      </c>
      <c r="N286" s="671">
        <f t="shared" si="63"/>
        <v>2046</v>
      </c>
      <c r="O286" s="681">
        <v>53386</v>
      </c>
      <c r="P286" s="678">
        <f t="shared" si="61"/>
        <v>1</v>
      </c>
    </row>
    <row r="287" spans="2:16">
      <c r="B287" s="671">
        <f t="shared" si="64"/>
        <v>2046</v>
      </c>
      <c r="C287" s="681">
        <v>53417</v>
      </c>
      <c r="D287" s="682">
        <f t="shared" si="67"/>
        <v>1</v>
      </c>
      <c r="F287" s="671">
        <f t="shared" si="62"/>
        <v>2046</v>
      </c>
      <c r="G287" s="681">
        <v>53417</v>
      </c>
      <c r="H287" s="682">
        <f t="shared" si="68"/>
        <v>1</v>
      </c>
      <c r="J287" s="671">
        <f t="shared" si="60"/>
        <v>2046</v>
      </c>
      <c r="K287" s="683">
        <v>53417</v>
      </c>
      <c r="L287" s="684">
        <f>IF(K287=参数输入表!$I$7,100%,H287)</f>
        <v>1</v>
      </c>
      <c r="N287" s="671">
        <f t="shared" si="63"/>
        <v>2046</v>
      </c>
      <c r="O287" s="681">
        <v>53417</v>
      </c>
      <c r="P287" s="678">
        <f t="shared" si="61"/>
        <v>1</v>
      </c>
    </row>
    <row r="288" spans="2:16">
      <c r="B288" s="671">
        <f t="shared" si="64"/>
        <v>2046</v>
      </c>
      <c r="C288" s="681">
        <v>53447</v>
      </c>
      <c r="D288" s="682">
        <f t="shared" si="67"/>
        <v>1</v>
      </c>
      <c r="F288" s="671">
        <f t="shared" si="62"/>
        <v>2046</v>
      </c>
      <c r="G288" s="681">
        <v>53447</v>
      </c>
      <c r="H288" s="682">
        <f t="shared" si="68"/>
        <v>1</v>
      </c>
      <c r="J288" s="671">
        <f t="shared" si="60"/>
        <v>2046</v>
      </c>
      <c r="K288" s="683">
        <v>53447</v>
      </c>
      <c r="L288" s="684">
        <f>IF(K288=参数输入表!$I$7,100%,H288)</f>
        <v>1</v>
      </c>
      <c r="N288" s="671">
        <f t="shared" si="63"/>
        <v>2046</v>
      </c>
      <c r="O288" s="681">
        <v>53447</v>
      </c>
      <c r="P288" s="678">
        <f t="shared" si="61"/>
        <v>1</v>
      </c>
    </row>
    <row r="289" spans="2:16">
      <c r="B289" s="671">
        <f t="shared" si="64"/>
        <v>2046</v>
      </c>
      <c r="C289" s="681">
        <v>53478</v>
      </c>
      <c r="D289" s="682">
        <f t="shared" si="67"/>
        <v>1</v>
      </c>
      <c r="F289" s="671">
        <f t="shared" si="62"/>
        <v>2046</v>
      </c>
      <c r="G289" s="681">
        <v>53478</v>
      </c>
      <c r="H289" s="682">
        <f t="shared" si="68"/>
        <v>1</v>
      </c>
      <c r="J289" s="671">
        <f t="shared" si="60"/>
        <v>2046</v>
      </c>
      <c r="K289" s="683">
        <v>53478</v>
      </c>
      <c r="L289" s="684">
        <f>IF(K289=参数输入表!$I$7,100%,H289)</f>
        <v>1</v>
      </c>
      <c r="N289" s="671">
        <f t="shared" si="63"/>
        <v>2046</v>
      </c>
      <c r="O289" s="681">
        <v>53478</v>
      </c>
      <c r="P289" s="678">
        <f t="shared" si="61"/>
        <v>1</v>
      </c>
    </row>
    <row r="290" spans="2:16">
      <c r="B290" s="671">
        <f t="shared" si="64"/>
        <v>2046</v>
      </c>
      <c r="C290" s="681">
        <v>53508</v>
      </c>
      <c r="D290" s="682">
        <f t="shared" si="67"/>
        <v>1</v>
      </c>
      <c r="F290" s="671">
        <f t="shared" si="62"/>
        <v>2046</v>
      </c>
      <c r="G290" s="681">
        <v>53508</v>
      </c>
      <c r="H290" s="682">
        <f t="shared" si="68"/>
        <v>1</v>
      </c>
      <c r="J290" s="671">
        <f t="shared" si="60"/>
        <v>2046</v>
      </c>
      <c r="K290" s="683">
        <v>53508</v>
      </c>
      <c r="L290" s="684">
        <f>IF(K290=参数输入表!$I$7,100%,H290)</f>
        <v>1</v>
      </c>
      <c r="N290" s="671">
        <f t="shared" si="63"/>
        <v>2046</v>
      </c>
      <c r="O290" s="681">
        <v>53508</v>
      </c>
      <c r="P290" s="678">
        <f t="shared" si="61"/>
        <v>1</v>
      </c>
    </row>
    <row r="291" spans="2:16">
      <c r="B291" s="671">
        <f t="shared" si="64"/>
        <v>2046</v>
      </c>
      <c r="C291" s="681">
        <v>53539</v>
      </c>
      <c r="D291" s="682">
        <f t="shared" si="67"/>
        <v>1</v>
      </c>
      <c r="F291" s="671">
        <f t="shared" si="62"/>
        <v>2046</v>
      </c>
      <c r="G291" s="681">
        <v>53539</v>
      </c>
      <c r="H291" s="682">
        <f t="shared" si="68"/>
        <v>1</v>
      </c>
      <c r="J291" s="671">
        <f t="shared" si="60"/>
        <v>2046</v>
      </c>
      <c r="K291" s="683">
        <v>53539</v>
      </c>
      <c r="L291" s="684">
        <f>IF(K291=参数输入表!$I$7,100%,H291)</f>
        <v>1</v>
      </c>
      <c r="N291" s="671">
        <f t="shared" si="63"/>
        <v>2046</v>
      </c>
      <c r="O291" s="681">
        <v>53539</v>
      </c>
      <c r="P291" s="678">
        <f t="shared" si="61"/>
        <v>1</v>
      </c>
    </row>
    <row r="292" spans="2:16">
      <c r="B292" s="671">
        <f t="shared" si="64"/>
        <v>2046</v>
      </c>
      <c r="C292" s="681">
        <v>53570</v>
      </c>
      <c r="D292" s="682">
        <f t="shared" ref="D292:D301" si="69">$D$100</f>
        <v>1</v>
      </c>
      <c r="F292" s="671">
        <f t="shared" si="62"/>
        <v>2046</v>
      </c>
      <c r="G292" s="681">
        <v>53570</v>
      </c>
      <c r="H292" s="682">
        <f t="shared" ref="H292:H301" si="70">$H$100</f>
        <v>1</v>
      </c>
      <c r="J292" s="671">
        <f t="shared" si="60"/>
        <v>2046</v>
      </c>
      <c r="K292" s="683">
        <v>53570</v>
      </c>
      <c r="L292" s="684">
        <f>IF(K292=参数输入表!$I$7,100%,H292)</f>
        <v>1</v>
      </c>
      <c r="N292" s="671">
        <f t="shared" si="63"/>
        <v>2046</v>
      </c>
      <c r="O292" s="681">
        <v>53570</v>
      </c>
      <c r="P292" s="678">
        <f t="shared" si="61"/>
        <v>1</v>
      </c>
    </row>
    <row r="293" spans="2:16">
      <c r="B293" s="671">
        <f t="shared" si="64"/>
        <v>2046</v>
      </c>
      <c r="C293" s="681">
        <v>53600</v>
      </c>
      <c r="D293" s="682">
        <f t="shared" si="69"/>
        <v>1</v>
      </c>
      <c r="F293" s="671">
        <f t="shared" si="62"/>
        <v>2046</v>
      </c>
      <c r="G293" s="681">
        <v>53600</v>
      </c>
      <c r="H293" s="682">
        <f t="shared" si="70"/>
        <v>1</v>
      </c>
      <c r="J293" s="671">
        <f t="shared" si="60"/>
        <v>2046</v>
      </c>
      <c r="K293" s="683">
        <v>53600</v>
      </c>
      <c r="L293" s="684">
        <f>IF(K293=参数输入表!$I$7,100%,H293)</f>
        <v>1</v>
      </c>
      <c r="N293" s="671">
        <f t="shared" si="63"/>
        <v>2046</v>
      </c>
      <c r="O293" s="681">
        <v>53600</v>
      </c>
      <c r="P293" s="678">
        <f t="shared" si="61"/>
        <v>1</v>
      </c>
    </row>
    <row r="294" spans="2:16">
      <c r="B294" s="671">
        <f t="shared" si="64"/>
        <v>2046</v>
      </c>
      <c r="C294" s="681">
        <v>53631</v>
      </c>
      <c r="D294" s="682">
        <f t="shared" si="69"/>
        <v>1</v>
      </c>
      <c r="F294" s="671">
        <f t="shared" si="62"/>
        <v>2046</v>
      </c>
      <c r="G294" s="681">
        <v>53631</v>
      </c>
      <c r="H294" s="682">
        <f t="shared" si="70"/>
        <v>1</v>
      </c>
      <c r="J294" s="671">
        <f t="shared" si="60"/>
        <v>2046</v>
      </c>
      <c r="K294" s="683">
        <v>53631</v>
      </c>
      <c r="L294" s="684">
        <f>IF(K294=参数输入表!$I$7,100%,H294)</f>
        <v>1</v>
      </c>
      <c r="N294" s="671">
        <f t="shared" si="63"/>
        <v>2046</v>
      </c>
      <c r="O294" s="681">
        <v>53631</v>
      </c>
      <c r="P294" s="678">
        <f t="shared" si="61"/>
        <v>1</v>
      </c>
    </row>
    <row r="295" spans="2:16">
      <c r="B295" s="671">
        <f t="shared" si="64"/>
        <v>2046</v>
      </c>
      <c r="C295" s="681">
        <v>53661</v>
      </c>
      <c r="D295" s="682">
        <f t="shared" si="69"/>
        <v>1</v>
      </c>
      <c r="F295" s="671">
        <f t="shared" si="62"/>
        <v>2046</v>
      </c>
      <c r="G295" s="681">
        <v>53661</v>
      </c>
      <c r="H295" s="682">
        <f t="shared" si="70"/>
        <v>1</v>
      </c>
      <c r="J295" s="671">
        <f t="shared" si="60"/>
        <v>2046</v>
      </c>
      <c r="K295" s="683">
        <v>53661</v>
      </c>
      <c r="L295" s="684">
        <f>IF(K295=参数输入表!$I$7,100%,H295)</f>
        <v>1</v>
      </c>
      <c r="N295" s="671">
        <f t="shared" si="63"/>
        <v>2046</v>
      </c>
      <c r="O295" s="681">
        <v>53661</v>
      </c>
      <c r="P295" s="678">
        <f t="shared" si="61"/>
        <v>1</v>
      </c>
    </row>
    <row r="296" ht="15.25" spans="2:16">
      <c r="B296" s="671">
        <f t="shared" si="64"/>
        <v>2046</v>
      </c>
      <c r="C296" s="692">
        <v>53692</v>
      </c>
      <c r="D296" s="682">
        <f t="shared" si="69"/>
        <v>1</v>
      </c>
      <c r="F296" s="671">
        <f t="shared" si="62"/>
        <v>2046</v>
      </c>
      <c r="G296" s="692">
        <v>53692</v>
      </c>
      <c r="H296" s="682">
        <f t="shared" si="70"/>
        <v>1</v>
      </c>
      <c r="J296" s="671">
        <f t="shared" si="60"/>
        <v>2046</v>
      </c>
      <c r="K296" s="693">
        <v>53692</v>
      </c>
      <c r="L296" s="684">
        <f>IF(K296=参数输入表!$I$7,100%,H296)</f>
        <v>1</v>
      </c>
      <c r="N296" s="671">
        <f t="shared" si="63"/>
        <v>2046</v>
      </c>
      <c r="O296" s="692">
        <v>53692</v>
      </c>
      <c r="P296" s="678">
        <f t="shared" si="61"/>
        <v>1</v>
      </c>
    </row>
    <row r="297" spans="2:16">
      <c r="B297" s="671">
        <f t="shared" si="64"/>
        <v>2047</v>
      </c>
      <c r="C297" s="694">
        <v>53723</v>
      </c>
      <c r="D297" s="682">
        <f t="shared" si="69"/>
        <v>1</v>
      </c>
      <c r="F297" s="671">
        <f t="shared" si="62"/>
        <v>2047</v>
      </c>
      <c r="G297" s="694">
        <v>53723</v>
      </c>
      <c r="H297" s="682">
        <f t="shared" si="70"/>
        <v>1</v>
      </c>
      <c r="J297" s="671">
        <f t="shared" si="60"/>
        <v>2047</v>
      </c>
      <c r="K297" s="695">
        <v>53723</v>
      </c>
      <c r="L297" s="684">
        <f>IF(K297=参数输入表!$I$7,100%,H297)</f>
        <v>1</v>
      </c>
      <c r="N297" s="671">
        <f t="shared" si="63"/>
        <v>2047</v>
      </c>
      <c r="O297" s="694">
        <v>53723</v>
      </c>
      <c r="P297" s="678">
        <f t="shared" si="61"/>
        <v>1</v>
      </c>
    </row>
    <row r="298" spans="2:16">
      <c r="B298" s="671">
        <f t="shared" si="64"/>
        <v>2047</v>
      </c>
      <c r="C298" s="681">
        <v>53751</v>
      </c>
      <c r="D298" s="682">
        <f t="shared" si="69"/>
        <v>1</v>
      </c>
      <c r="F298" s="671">
        <f t="shared" si="62"/>
        <v>2047</v>
      </c>
      <c r="G298" s="681">
        <v>53751</v>
      </c>
      <c r="H298" s="682">
        <f t="shared" si="70"/>
        <v>1</v>
      </c>
      <c r="J298" s="671">
        <f t="shared" si="60"/>
        <v>2047</v>
      </c>
      <c r="K298" s="683">
        <v>53751</v>
      </c>
      <c r="L298" s="684">
        <f>IF(K298=参数输入表!$I$7,100%,H298)</f>
        <v>1</v>
      </c>
      <c r="N298" s="671">
        <f t="shared" si="63"/>
        <v>2047</v>
      </c>
      <c r="O298" s="681">
        <v>53751</v>
      </c>
      <c r="P298" s="678">
        <f t="shared" si="61"/>
        <v>1</v>
      </c>
    </row>
    <row r="299" spans="2:16">
      <c r="B299" s="671">
        <f t="shared" si="64"/>
        <v>2047</v>
      </c>
      <c r="C299" s="681">
        <v>53782</v>
      </c>
      <c r="D299" s="682">
        <f t="shared" si="69"/>
        <v>1</v>
      </c>
      <c r="F299" s="671">
        <f t="shared" si="62"/>
        <v>2047</v>
      </c>
      <c r="G299" s="681">
        <v>53782</v>
      </c>
      <c r="H299" s="682">
        <f t="shared" si="70"/>
        <v>1</v>
      </c>
      <c r="J299" s="671">
        <f t="shared" si="60"/>
        <v>2047</v>
      </c>
      <c r="K299" s="683">
        <v>53782</v>
      </c>
      <c r="L299" s="684">
        <f>IF(K299=参数输入表!$I$7,100%,H299)</f>
        <v>1</v>
      </c>
      <c r="N299" s="671">
        <f t="shared" si="63"/>
        <v>2047</v>
      </c>
      <c r="O299" s="681">
        <v>53782</v>
      </c>
      <c r="P299" s="678">
        <f t="shared" si="61"/>
        <v>1</v>
      </c>
    </row>
    <row r="300" spans="2:16">
      <c r="B300" s="671">
        <f t="shared" si="64"/>
        <v>2047</v>
      </c>
      <c r="C300" s="681">
        <v>53812</v>
      </c>
      <c r="D300" s="682">
        <f t="shared" si="69"/>
        <v>1</v>
      </c>
      <c r="F300" s="671">
        <f t="shared" si="62"/>
        <v>2047</v>
      </c>
      <c r="G300" s="681">
        <v>53812</v>
      </c>
      <c r="H300" s="682">
        <f t="shared" si="70"/>
        <v>1</v>
      </c>
      <c r="J300" s="671">
        <f t="shared" si="60"/>
        <v>2047</v>
      </c>
      <c r="K300" s="683">
        <v>53812</v>
      </c>
      <c r="L300" s="684">
        <f>IF(K300=参数输入表!$I$7,100%,H300)</f>
        <v>1</v>
      </c>
      <c r="N300" s="671">
        <f t="shared" si="63"/>
        <v>2047</v>
      </c>
      <c r="O300" s="681">
        <v>53812</v>
      </c>
      <c r="P300" s="678">
        <f t="shared" si="61"/>
        <v>1</v>
      </c>
    </row>
    <row r="301" spans="2:16">
      <c r="B301" s="671">
        <f t="shared" si="64"/>
        <v>2047</v>
      </c>
      <c r="C301" s="681">
        <v>53843</v>
      </c>
      <c r="D301" s="682">
        <f t="shared" si="69"/>
        <v>1</v>
      </c>
      <c r="F301" s="671">
        <f t="shared" si="62"/>
        <v>2047</v>
      </c>
      <c r="G301" s="681">
        <v>53843</v>
      </c>
      <c r="H301" s="682">
        <f t="shared" si="70"/>
        <v>1</v>
      </c>
      <c r="J301" s="671">
        <f t="shared" si="60"/>
        <v>2047</v>
      </c>
      <c r="K301" s="683">
        <v>53843</v>
      </c>
      <c r="L301" s="684">
        <f>IF(K301=参数输入表!$I$7,100%,H301)</f>
        <v>1</v>
      </c>
      <c r="N301" s="671">
        <f t="shared" si="63"/>
        <v>2047</v>
      </c>
      <c r="O301" s="681">
        <v>53843</v>
      </c>
      <c r="P301" s="678">
        <f t="shared" si="61"/>
        <v>1</v>
      </c>
    </row>
    <row r="302" spans="2:16">
      <c r="B302" s="671">
        <f t="shared" si="64"/>
        <v>2047</v>
      </c>
      <c r="C302" s="681">
        <v>53873</v>
      </c>
      <c r="D302" s="682">
        <f t="shared" ref="D302:D311" si="71">$D$100</f>
        <v>1</v>
      </c>
      <c r="F302" s="671">
        <f t="shared" si="62"/>
        <v>2047</v>
      </c>
      <c r="G302" s="681">
        <v>53873</v>
      </c>
      <c r="H302" s="682">
        <f t="shared" ref="H302:H311" si="72">$H$100</f>
        <v>1</v>
      </c>
      <c r="J302" s="671">
        <f t="shared" si="60"/>
        <v>2047</v>
      </c>
      <c r="K302" s="683">
        <v>53873</v>
      </c>
      <c r="L302" s="684">
        <f>IF(K302=参数输入表!$I$7,100%,H302)</f>
        <v>1</v>
      </c>
      <c r="N302" s="671">
        <f t="shared" si="63"/>
        <v>2047</v>
      </c>
      <c r="O302" s="681">
        <v>53873</v>
      </c>
      <c r="P302" s="678">
        <f t="shared" si="61"/>
        <v>1</v>
      </c>
    </row>
    <row r="303" spans="2:16">
      <c r="B303" s="671">
        <f t="shared" si="64"/>
        <v>2047</v>
      </c>
      <c r="C303" s="681">
        <v>53904</v>
      </c>
      <c r="D303" s="682">
        <f t="shared" si="71"/>
        <v>1</v>
      </c>
      <c r="F303" s="671">
        <f t="shared" si="62"/>
        <v>2047</v>
      </c>
      <c r="G303" s="681">
        <v>53904</v>
      </c>
      <c r="H303" s="682">
        <f t="shared" si="72"/>
        <v>1</v>
      </c>
      <c r="J303" s="671">
        <f t="shared" si="60"/>
        <v>2047</v>
      </c>
      <c r="K303" s="683">
        <v>53904</v>
      </c>
      <c r="L303" s="684">
        <f>IF(K303=参数输入表!$I$7,100%,H303)</f>
        <v>1</v>
      </c>
      <c r="N303" s="671">
        <f t="shared" si="63"/>
        <v>2047</v>
      </c>
      <c r="O303" s="681">
        <v>53904</v>
      </c>
      <c r="P303" s="678">
        <f t="shared" si="61"/>
        <v>1</v>
      </c>
    </row>
    <row r="304" spans="2:16">
      <c r="B304" s="671">
        <f t="shared" si="64"/>
        <v>2047</v>
      </c>
      <c r="C304" s="681">
        <v>53935</v>
      </c>
      <c r="D304" s="682">
        <f t="shared" si="71"/>
        <v>1</v>
      </c>
      <c r="F304" s="671">
        <f t="shared" si="62"/>
        <v>2047</v>
      </c>
      <c r="G304" s="681">
        <v>53935</v>
      </c>
      <c r="H304" s="682">
        <f t="shared" si="72"/>
        <v>1</v>
      </c>
      <c r="J304" s="671">
        <f t="shared" si="60"/>
        <v>2047</v>
      </c>
      <c r="K304" s="683">
        <v>53935</v>
      </c>
      <c r="L304" s="684">
        <f>IF(K304=参数输入表!$I$7,100%,H304)</f>
        <v>1</v>
      </c>
      <c r="N304" s="671">
        <f t="shared" si="63"/>
        <v>2047</v>
      </c>
      <c r="O304" s="681">
        <v>53935</v>
      </c>
      <c r="P304" s="678">
        <f t="shared" si="61"/>
        <v>1</v>
      </c>
    </row>
    <row r="305" spans="2:16">
      <c r="B305" s="671">
        <f t="shared" si="64"/>
        <v>2047</v>
      </c>
      <c r="C305" s="681">
        <v>53965</v>
      </c>
      <c r="D305" s="682">
        <f t="shared" si="71"/>
        <v>1</v>
      </c>
      <c r="F305" s="671">
        <f t="shared" si="62"/>
        <v>2047</v>
      </c>
      <c r="G305" s="681">
        <v>53965</v>
      </c>
      <c r="H305" s="682">
        <f t="shared" si="72"/>
        <v>1</v>
      </c>
      <c r="J305" s="671">
        <f t="shared" si="60"/>
        <v>2047</v>
      </c>
      <c r="K305" s="683">
        <v>53965</v>
      </c>
      <c r="L305" s="684">
        <f>IF(K305=参数输入表!$I$7,100%,H305)</f>
        <v>1</v>
      </c>
      <c r="N305" s="671">
        <f t="shared" si="63"/>
        <v>2047</v>
      </c>
      <c r="O305" s="681">
        <v>53965</v>
      </c>
      <c r="P305" s="678">
        <f t="shared" si="61"/>
        <v>1</v>
      </c>
    </row>
    <row r="306" spans="2:16">
      <c r="B306" s="671">
        <f t="shared" si="64"/>
        <v>2047</v>
      </c>
      <c r="C306" s="681">
        <v>53996</v>
      </c>
      <c r="D306" s="682">
        <f t="shared" si="71"/>
        <v>1</v>
      </c>
      <c r="F306" s="671">
        <f t="shared" si="62"/>
        <v>2047</v>
      </c>
      <c r="G306" s="681">
        <v>53996</v>
      </c>
      <c r="H306" s="682">
        <f t="shared" si="72"/>
        <v>1</v>
      </c>
      <c r="J306" s="671">
        <f t="shared" si="60"/>
        <v>2047</v>
      </c>
      <c r="K306" s="683">
        <v>53996</v>
      </c>
      <c r="L306" s="684">
        <f>IF(K306=参数输入表!$I$7,100%,H306)</f>
        <v>1</v>
      </c>
      <c r="N306" s="671">
        <f t="shared" si="63"/>
        <v>2047</v>
      </c>
      <c r="O306" s="681">
        <v>53996</v>
      </c>
      <c r="P306" s="678">
        <f t="shared" si="61"/>
        <v>1</v>
      </c>
    </row>
    <row r="307" spans="2:16">
      <c r="B307" s="671">
        <f t="shared" si="64"/>
        <v>2047</v>
      </c>
      <c r="C307" s="681">
        <v>54026</v>
      </c>
      <c r="D307" s="682">
        <f t="shared" si="71"/>
        <v>1</v>
      </c>
      <c r="F307" s="671">
        <f t="shared" si="62"/>
        <v>2047</v>
      </c>
      <c r="G307" s="681">
        <v>54026</v>
      </c>
      <c r="H307" s="682">
        <f t="shared" si="72"/>
        <v>1</v>
      </c>
      <c r="J307" s="671">
        <f t="shared" si="60"/>
        <v>2047</v>
      </c>
      <c r="K307" s="683">
        <v>54026</v>
      </c>
      <c r="L307" s="684">
        <f>IF(K307=参数输入表!$I$7,100%,H307)</f>
        <v>1</v>
      </c>
      <c r="N307" s="671">
        <f t="shared" si="63"/>
        <v>2047</v>
      </c>
      <c r="O307" s="681">
        <v>54026</v>
      </c>
      <c r="P307" s="678">
        <f t="shared" si="61"/>
        <v>1</v>
      </c>
    </row>
    <row r="308" ht="15.25" spans="2:16">
      <c r="B308" s="671">
        <f t="shared" si="64"/>
        <v>2047</v>
      </c>
      <c r="C308" s="692">
        <v>54057</v>
      </c>
      <c r="D308" s="682">
        <f t="shared" si="71"/>
        <v>1</v>
      </c>
      <c r="F308" s="671">
        <f t="shared" si="62"/>
        <v>2047</v>
      </c>
      <c r="G308" s="692">
        <v>54057</v>
      </c>
      <c r="H308" s="682">
        <f t="shared" si="72"/>
        <v>1</v>
      </c>
      <c r="J308" s="671">
        <f t="shared" si="60"/>
        <v>2047</v>
      </c>
      <c r="K308" s="693">
        <v>54057</v>
      </c>
      <c r="L308" s="684">
        <f>IF(K308=参数输入表!$I$7,100%,H308)</f>
        <v>1</v>
      </c>
      <c r="N308" s="671">
        <f t="shared" si="63"/>
        <v>2047</v>
      </c>
      <c r="O308" s="692">
        <v>54057</v>
      </c>
      <c r="P308" s="678">
        <f t="shared" si="61"/>
        <v>1</v>
      </c>
    </row>
    <row r="309" spans="2:16">
      <c r="B309" s="671">
        <f t="shared" si="64"/>
        <v>2048</v>
      </c>
      <c r="C309" s="694">
        <v>54088</v>
      </c>
      <c r="D309" s="682">
        <f t="shared" si="71"/>
        <v>1</v>
      </c>
      <c r="F309" s="671">
        <f t="shared" si="62"/>
        <v>2048</v>
      </c>
      <c r="G309" s="694">
        <v>54088</v>
      </c>
      <c r="H309" s="682">
        <f t="shared" si="72"/>
        <v>1</v>
      </c>
      <c r="J309" s="671">
        <f t="shared" si="60"/>
        <v>2048</v>
      </c>
      <c r="K309" s="695">
        <v>54088</v>
      </c>
      <c r="L309" s="684">
        <f>IF(K309=参数输入表!$I$7,100%,H309)</f>
        <v>1</v>
      </c>
      <c r="N309" s="671">
        <f t="shared" si="63"/>
        <v>2048</v>
      </c>
      <c r="O309" s="694">
        <v>54088</v>
      </c>
      <c r="P309" s="678">
        <f t="shared" si="61"/>
        <v>1</v>
      </c>
    </row>
    <row r="310" spans="2:16">
      <c r="B310" s="671">
        <f t="shared" si="64"/>
        <v>2048</v>
      </c>
      <c r="C310" s="681">
        <v>54117</v>
      </c>
      <c r="D310" s="682">
        <f t="shared" si="71"/>
        <v>1</v>
      </c>
      <c r="F310" s="671">
        <f t="shared" si="62"/>
        <v>2048</v>
      </c>
      <c r="G310" s="681">
        <v>54117</v>
      </c>
      <c r="H310" s="682">
        <f t="shared" si="72"/>
        <v>1</v>
      </c>
      <c r="J310" s="671">
        <f t="shared" si="60"/>
        <v>2048</v>
      </c>
      <c r="K310" s="683">
        <v>54117</v>
      </c>
      <c r="L310" s="684">
        <f>IF(K310=参数输入表!$I$7,100%,H310)</f>
        <v>1</v>
      </c>
      <c r="N310" s="671">
        <f t="shared" si="63"/>
        <v>2048</v>
      </c>
      <c r="O310" s="681">
        <v>54117</v>
      </c>
      <c r="P310" s="678">
        <f t="shared" si="61"/>
        <v>1</v>
      </c>
    </row>
    <row r="311" spans="2:16">
      <c r="B311" s="671">
        <f t="shared" si="64"/>
        <v>2048</v>
      </c>
      <c r="C311" s="681">
        <v>54148</v>
      </c>
      <c r="D311" s="682">
        <f t="shared" si="71"/>
        <v>1</v>
      </c>
      <c r="F311" s="671">
        <f t="shared" si="62"/>
        <v>2048</v>
      </c>
      <c r="G311" s="681">
        <v>54148</v>
      </c>
      <c r="H311" s="682">
        <f t="shared" si="72"/>
        <v>1</v>
      </c>
      <c r="J311" s="671">
        <f t="shared" si="60"/>
        <v>2048</v>
      </c>
      <c r="K311" s="683">
        <v>54148</v>
      </c>
      <c r="L311" s="684">
        <f>IF(K311=参数输入表!$I$7,100%,H311)</f>
        <v>1</v>
      </c>
      <c r="N311" s="671">
        <f t="shared" si="63"/>
        <v>2048</v>
      </c>
      <c r="O311" s="681">
        <v>54148</v>
      </c>
      <c r="P311" s="678">
        <f t="shared" si="61"/>
        <v>1</v>
      </c>
    </row>
    <row r="312" spans="2:16">
      <c r="B312" s="671">
        <f t="shared" si="64"/>
        <v>2048</v>
      </c>
      <c r="C312" s="681">
        <v>54178</v>
      </c>
      <c r="D312" s="682">
        <f t="shared" ref="D312:D321" si="73">$D$100</f>
        <v>1</v>
      </c>
      <c r="F312" s="671">
        <f t="shared" si="62"/>
        <v>2048</v>
      </c>
      <c r="G312" s="681">
        <v>54178</v>
      </c>
      <c r="H312" s="682">
        <f t="shared" ref="H312:H321" si="74">$H$100</f>
        <v>1</v>
      </c>
      <c r="J312" s="671">
        <f t="shared" si="60"/>
        <v>2048</v>
      </c>
      <c r="K312" s="683">
        <v>54178</v>
      </c>
      <c r="L312" s="684">
        <f>IF(K312=参数输入表!$I$7,100%,H312)</f>
        <v>1</v>
      </c>
      <c r="N312" s="671">
        <f t="shared" si="63"/>
        <v>2048</v>
      </c>
      <c r="O312" s="681">
        <v>54178</v>
      </c>
      <c r="P312" s="678">
        <f t="shared" si="61"/>
        <v>1</v>
      </c>
    </row>
    <row r="313" spans="2:16">
      <c r="B313" s="671">
        <f t="shared" si="64"/>
        <v>2048</v>
      </c>
      <c r="C313" s="681">
        <v>54209</v>
      </c>
      <c r="D313" s="682">
        <f t="shared" si="73"/>
        <v>1</v>
      </c>
      <c r="F313" s="671">
        <f t="shared" si="62"/>
        <v>2048</v>
      </c>
      <c r="G313" s="681">
        <v>54209</v>
      </c>
      <c r="H313" s="682">
        <f t="shared" si="74"/>
        <v>1</v>
      </c>
      <c r="J313" s="671">
        <f t="shared" si="60"/>
        <v>2048</v>
      </c>
      <c r="K313" s="683">
        <v>54209</v>
      </c>
      <c r="L313" s="684">
        <f>IF(K313=参数输入表!$I$7,100%,H313)</f>
        <v>1</v>
      </c>
      <c r="N313" s="671">
        <f t="shared" si="63"/>
        <v>2048</v>
      </c>
      <c r="O313" s="681">
        <v>54209</v>
      </c>
      <c r="P313" s="678">
        <f t="shared" si="61"/>
        <v>1</v>
      </c>
    </row>
    <row r="314" spans="2:16">
      <c r="B314" s="671">
        <f t="shared" si="64"/>
        <v>2048</v>
      </c>
      <c r="C314" s="681">
        <v>54239</v>
      </c>
      <c r="D314" s="682">
        <f t="shared" si="73"/>
        <v>1</v>
      </c>
      <c r="F314" s="671">
        <f t="shared" si="62"/>
        <v>2048</v>
      </c>
      <c r="G314" s="681">
        <v>54239</v>
      </c>
      <c r="H314" s="682">
        <f t="shared" si="74"/>
        <v>1</v>
      </c>
      <c r="J314" s="671">
        <f t="shared" si="60"/>
        <v>2048</v>
      </c>
      <c r="K314" s="683">
        <v>54239</v>
      </c>
      <c r="L314" s="684">
        <f>IF(K314=参数输入表!$I$7,100%,H314)</f>
        <v>1</v>
      </c>
      <c r="N314" s="671">
        <f t="shared" si="63"/>
        <v>2048</v>
      </c>
      <c r="O314" s="681">
        <v>54239</v>
      </c>
      <c r="P314" s="678">
        <f t="shared" si="61"/>
        <v>1</v>
      </c>
    </row>
    <row r="315" spans="2:16">
      <c r="B315" s="671">
        <f t="shared" si="64"/>
        <v>2048</v>
      </c>
      <c r="C315" s="681">
        <v>54270</v>
      </c>
      <c r="D315" s="682">
        <f t="shared" si="73"/>
        <v>1</v>
      </c>
      <c r="F315" s="671">
        <f t="shared" si="62"/>
        <v>2048</v>
      </c>
      <c r="G315" s="681">
        <v>54270</v>
      </c>
      <c r="H315" s="682">
        <f t="shared" si="74"/>
        <v>1</v>
      </c>
      <c r="J315" s="671">
        <f t="shared" si="60"/>
        <v>2048</v>
      </c>
      <c r="K315" s="683">
        <v>54270</v>
      </c>
      <c r="L315" s="684">
        <f>IF(K315=参数输入表!$I$7,100%,H315)</f>
        <v>1</v>
      </c>
      <c r="N315" s="671">
        <f t="shared" si="63"/>
        <v>2048</v>
      </c>
      <c r="O315" s="681">
        <v>54270</v>
      </c>
      <c r="P315" s="678">
        <f t="shared" si="61"/>
        <v>1</v>
      </c>
    </row>
    <row r="316" spans="2:16">
      <c r="B316" s="671">
        <f t="shared" si="64"/>
        <v>2048</v>
      </c>
      <c r="C316" s="681">
        <v>54301</v>
      </c>
      <c r="D316" s="682">
        <f t="shared" si="73"/>
        <v>1</v>
      </c>
      <c r="F316" s="671">
        <f t="shared" si="62"/>
        <v>2048</v>
      </c>
      <c r="G316" s="681">
        <v>54301</v>
      </c>
      <c r="H316" s="682">
        <f t="shared" si="74"/>
        <v>1</v>
      </c>
      <c r="J316" s="671">
        <f t="shared" si="60"/>
        <v>2048</v>
      </c>
      <c r="K316" s="683">
        <v>54301</v>
      </c>
      <c r="L316" s="684">
        <f>IF(K316=参数输入表!$I$7,100%,H316)</f>
        <v>1</v>
      </c>
      <c r="N316" s="671">
        <f t="shared" si="63"/>
        <v>2048</v>
      </c>
      <c r="O316" s="681">
        <v>54301</v>
      </c>
      <c r="P316" s="678">
        <f t="shared" si="61"/>
        <v>1</v>
      </c>
    </row>
    <row r="317" spans="2:16">
      <c r="B317" s="671">
        <f t="shared" si="64"/>
        <v>2048</v>
      </c>
      <c r="C317" s="681">
        <v>54331</v>
      </c>
      <c r="D317" s="682">
        <f t="shared" si="73"/>
        <v>1</v>
      </c>
      <c r="F317" s="671">
        <f t="shared" si="62"/>
        <v>2048</v>
      </c>
      <c r="G317" s="681">
        <v>54331</v>
      </c>
      <c r="H317" s="682">
        <f t="shared" si="74"/>
        <v>1</v>
      </c>
      <c r="J317" s="671">
        <f t="shared" si="60"/>
        <v>2048</v>
      </c>
      <c r="K317" s="683">
        <v>54331</v>
      </c>
      <c r="L317" s="684">
        <f>IF(K317=参数输入表!$I$7,100%,H317)</f>
        <v>1</v>
      </c>
      <c r="N317" s="671">
        <f t="shared" si="63"/>
        <v>2048</v>
      </c>
      <c r="O317" s="681">
        <v>54331</v>
      </c>
      <c r="P317" s="678">
        <f t="shared" si="61"/>
        <v>1</v>
      </c>
    </row>
    <row r="318" spans="2:16">
      <c r="B318" s="671">
        <f t="shared" si="64"/>
        <v>2048</v>
      </c>
      <c r="C318" s="681">
        <v>54362</v>
      </c>
      <c r="D318" s="682">
        <f t="shared" si="73"/>
        <v>1</v>
      </c>
      <c r="F318" s="671">
        <f t="shared" si="62"/>
        <v>2048</v>
      </c>
      <c r="G318" s="681">
        <v>54362</v>
      </c>
      <c r="H318" s="682">
        <f t="shared" si="74"/>
        <v>1</v>
      </c>
      <c r="J318" s="671">
        <f t="shared" si="60"/>
        <v>2048</v>
      </c>
      <c r="K318" s="683">
        <v>54362</v>
      </c>
      <c r="L318" s="684">
        <f>IF(K318=参数输入表!$I$7,100%,H318)</f>
        <v>1</v>
      </c>
      <c r="N318" s="671">
        <f t="shared" si="63"/>
        <v>2048</v>
      </c>
      <c r="O318" s="681">
        <v>54362</v>
      </c>
      <c r="P318" s="678">
        <f t="shared" si="61"/>
        <v>1</v>
      </c>
    </row>
    <row r="319" spans="2:16">
      <c r="B319" s="671">
        <f t="shared" si="64"/>
        <v>2048</v>
      </c>
      <c r="C319" s="681">
        <v>54392</v>
      </c>
      <c r="D319" s="682">
        <f t="shared" si="73"/>
        <v>1</v>
      </c>
      <c r="F319" s="671">
        <f t="shared" si="62"/>
        <v>2048</v>
      </c>
      <c r="G319" s="681">
        <v>54392</v>
      </c>
      <c r="H319" s="682">
        <f t="shared" si="74"/>
        <v>1</v>
      </c>
      <c r="J319" s="671">
        <f t="shared" si="60"/>
        <v>2048</v>
      </c>
      <c r="K319" s="683">
        <v>54392</v>
      </c>
      <c r="L319" s="684">
        <f>IF(K319=参数输入表!$I$7,100%,H319)</f>
        <v>1</v>
      </c>
      <c r="N319" s="671">
        <f t="shared" si="63"/>
        <v>2048</v>
      </c>
      <c r="O319" s="681">
        <v>54392</v>
      </c>
      <c r="P319" s="678">
        <f t="shared" si="61"/>
        <v>1</v>
      </c>
    </row>
    <row r="320" ht="15.25" spans="2:16">
      <c r="B320" s="671">
        <f t="shared" si="64"/>
        <v>2048</v>
      </c>
      <c r="C320" s="692">
        <v>54423</v>
      </c>
      <c r="D320" s="682">
        <f t="shared" si="73"/>
        <v>1</v>
      </c>
      <c r="F320" s="671">
        <f t="shared" si="62"/>
        <v>2048</v>
      </c>
      <c r="G320" s="692">
        <v>54423</v>
      </c>
      <c r="H320" s="682">
        <f t="shared" si="74"/>
        <v>1</v>
      </c>
      <c r="J320" s="671">
        <f t="shared" si="60"/>
        <v>2048</v>
      </c>
      <c r="K320" s="693">
        <v>54423</v>
      </c>
      <c r="L320" s="684">
        <f>IF(K320=参数输入表!$I$7,100%,H320)</f>
        <v>1</v>
      </c>
      <c r="N320" s="671">
        <f t="shared" si="63"/>
        <v>2048</v>
      </c>
      <c r="O320" s="692">
        <v>54423</v>
      </c>
      <c r="P320" s="678">
        <f t="shared" si="61"/>
        <v>1</v>
      </c>
    </row>
    <row r="321" spans="2:16">
      <c r="B321" s="671">
        <f t="shared" si="64"/>
        <v>2049</v>
      </c>
      <c r="C321" s="694">
        <v>54454</v>
      </c>
      <c r="D321" s="682">
        <f t="shared" si="73"/>
        <v>1</v>
      </c>
      <c r="F321" s="671">
        <f t="shared" si="62"/>
        <v>2049</v>
      </c>
      <c r="G321" s="694">
        <v>54454</v>
      </c>
      <c r="H321" s="682">
        <f t="shared" si="74"/>
        <v>1</v>
      </c>
      <c r="J321" s="671">
        <f t="shared" si="60"/>
        <v>2049</v>
      </c>
      <c r="K321" s="695">
        <v>54454</v>
      </c>
      <c r="L321" s="684">
        <f>IF(K321=参数输入表!$I$7,100%,H321)</f>
        <v>1</v>
      </c>
      <c r="N321" s="671">
        <f t="shared" si="63"/>
        <v>2049</v>
      </c>
      <c r="O321" s="694">
        <v>54454</v>
      </c>
      <c r="P321" s="678">
        <f t="shared" si="61"/>
        <v>1</v>
      </c>
    </row>
    <row r="322" spans="2:16">
      <c r="B322" s="671">
        <f t="shared" si="64"/>
        <v>2049</v>
      </c>
      <c r="C322" s="681">
        <v>54482</v>
      </c>
      <c r="D322" s="682">
        <f t="shared" ref="D322:D331" si="75">$D$100</f>
        <v>1</v>
      </c>
      <c r="F322" s="671">
        <f t="shared" si="62"/>
        <v>2049</v>
      </c>
      <c r="G322" s="681">
        <v>54482</v>
      </c>
      <c r="H322" s="682">
        <f t="shared" ref="H322:H331" si="76">$H$100</f>
        <v>1</v>
      </c>
      <c r="J322" s="671">
        <f t="shared" si="60"/>
        <v>2049</v>
      </c>
      <c r="K322" s="683">
        <v>54482</v>
      </c>
      <c r="L322" s="684">
        <f>IF(K322=参数输入表!$I$7,100%,H322)</f>
        <v>1</v>
      </c>
      <c r="N322" s="671">
        <f t="shared" si="63"/>
        <v>2049</v>
      </c>
      <c r="O322" s="681">
        <v>54482</v>
      </c>
      <c r="P322" s="678">
        <f t="shared" si="61"/>
        <v>1</v>
      </c>
    </row>
    <row r="323" spans="2:16">
      <c r="B323" s="671">
        <f t="shared" si="64"/>
        <v>2049</v>
      </c>
      <c r="C323" s="681">
        <v>54513</v>
      </c>
      <c r="D323" s="682">
        <f t="shared" si="75"/>
        <v>1</v>
      </c>
      <c r="F323" s="671">
        <f t="shared" si="62"/>
        <v>2049</v>
      </c>
      <c r="G323" s="681">
        <v>54513</v>
      </c>
      <c r="H323" s="682">
        <f t="shared" si="76"/>
        <v>1</v>
      </c>
      <c r="J323" s="671">
        <f t="shared" si="60"/>
        <v>2049</v>
      </c>
      <c r="K323" s="683">
        <v>54513</v>
      </c>
      <c r="L323" s="684">
        <f>IF(K323=参数输入表!$I$7,100%,H323)</f>
        <v>1</v>
      </c>
      <c r="N323" s="671">
        <f t="shared" si="63"/>
        <v>2049</v>
      </c>
      <c r="O323" s="681">
        <v>54513</v>
      </c>
      <c r="P323" s="678">
        <f t="shared" si="61"/>
        <v>1</v>
      </c>
    </row>
    <row r="324" spans="2:16">
      <c r="B324" s="671">
        <f t="shared" si="64"/>
        <v>2049</v>
      </c>
      <c r="C324" s="681">
        <v>54543</v>
      </c>
      <c r="D324" s="682">
        <f t="shared" si="75"/>
        <v>1</v>
      </c>
      <c r="F324" s="671">
        <f t="shared" si="62"/>
        <v>2049</v>
      </c>
      <c r="G324" s="681">
        <v>54543</v>
      </c>
      <c r="H324" s="682">
        <f t="shared" si="76"/>
        <v>1</v>
      </c>
      <c r="J324" s="671">
        <f t="shared" si="60"/>
        <v>2049</v>
      </c>
      <c r="K324" s="683">
        <v>54543</v>
      </c>
      <c r="L324" s="684">
        <f>IF(K324=参数输入表!$I$7,100%,H324)</f>
        <v>1</v>
      </c>
      <c r="N324" s="671">
        <f t="shared" si="63"/>
        <v>2049</v>
      </c>
      <c r="O324" s="681">
        <v>54543</v>
      </c>
      <c r="P324" s="678">
        <f t="shared" si="61"/>
        <v>1</v>
      </c>
    </row>
    <row r="325" spans="2:16">
      <c r="B325" s="671">
        <f t="shared" si="64"/>
        <v>2049</v>
      </c>
      <c r="C325" s="681">
        <v>54574</v>
      </c>
      <c r="D325" s="682">
        <f t="shared" si="75"/>
        <v>1</v>
      </c>
      <c r="F325" s="671">
        <f t="shared" si="62"/>
        <v>2049</v>
      </c>
      <c r="G325" s="681">
        <v>54574</v>
      </c>
      <c r="H325" s="682">
        <f t="shared" si="76"/>
        <v>1</v>
      </c>
      <c r="J325" s="671">
        <f t="shared" si="60"/>
        <v>2049</v>
      </c>
      <c r="K325" s="683">
        <v>54574</v>
      </c>
      <c r="L325" s="684">
        <f>IF(K325=参数输入表!$I$7,100%,H325)</f>
        <v>1</v>
      </c>
      <c r="N325" s="671">
        <f t="shared" si="63"/>
        <v>2049</v>
      </c>
      <c r="O325" s="681">
        <v>54574</v>
      </c>
      <c r="P325" s="678">
        <f t="shared" si="61"/>
        <v>1</v>
      </c>
    </row>
    <row r="326" spans="2:16">
      <c r="B326" s="671">
        <f t="shared" si="64"/>
        <v>2049</v>
      </c>
      <c r="C326" s="681">
        <v>54604</v>
      </c>
      <c r="D326" s="682">
        <f t="shared" si="75"/>
        <v>1</v>
      </c>
      <c r="F326" s="671">
        <f t="shared" si="62"/>
        <v>2049</v>
      </c>
      <c r="G326" s="681">
        <v>54604</v>
      </c>
      <c r="H326" s="682">
        <f t="shared" si="76"/>
        <v>1</v>
      </c>
      <c r="J326" s="671">
        <f t="shared" si="60"/>
        <v>2049</v>
      </c>
      <c r="K326" s="683">
        <v>54604</v>
      </c>
      <c r="L326" s="684">
        <f>IF(K326=参数输入表!$I$7,100%,H326)</f>
        <v>1</v>
      </c>
      <c r="N326" s="671">
        <f t="shared" si="63"/>
        <v>2049</v>
      </c>
      <c r="O326" s="681">
        <v>54604</v>
      </c>
      <c r="P326" s="678">
        <f t="shared" si="61"/>
        <v>1</v>
      </c>
    </row>
    <row r="327" spans="2:16">
      <c r="B327" s="671">
        <f t="shared" si="64"/>
        <v>2049</v>
      </c>
      <c r="C327" s="681">
        <v>54635</v>
      </c>
      <c r="D327" s="682">
        <f t="shared" si="75"/>
        <v>1</v>
      </c>
      <c r="F327" s="671">
        <f t="shared" si="62"/>
        <v>2049</v>
      </c>
      <c r="G327" s="681">
        <v>54635</v>
      </c>
      <c r="H327" s="682">
        <f t="shared" si="76"/>
        <v>1</v>
      </c>
      <c r="J327" s="671">
        <f t="shared" si="60"/>
        <v>2049</v>
      </c>
      <c r="K327" s="683">
        <v>54635</v>
      </c>
      <c r="L327" s="684">
        <f>IF(K327=参数输入表!$I$7,100%,H327)</f>
        <v>1</v>
      </c>
      <c r="N327" s="671">
        <f t="shared" si="63"/>
        <v>2049</v>
      </c>
      <c r="O327" s="681">
        <v>54635</v>
      </c>
      <c r="P327" s="678">
        <f t="shared" si="61"/>
        <v>1</v>
      </c>
    </row>
    <row r="328" spans="2:16">
      <c r="B328" s="671">
        <f t="shared" si="64"/>
        <v>2049</v>
      </c>
      <c r="C328" s="681">
        <v>54666</v>
      </c>
      <c r="D328" s="682">
        <f t="shared" si="75"/>
        <v>1</v>
      </c>
      <c r="F328" s="671">
        <f t="shared" si="62"/>
        <v>2049</v>
      </c>
      <c r="G328" s="681">
        <v>54666</v>
      </c>
      <c r="H328" s="682">
        <f t="shared" si="76"/>
        <v>1</v>
      </c>
      <c r="J328" s="671">
        <f t="shared" si="60"/>
        <v>2049</v>
      </c>
      <c r="K328" s="683">
        <v>54666</v>
      </c>
      <c r="L328" s="684">
        <f>IF(K328=参数输入表!$I$7,100%,H328)</f>
        <v>1</v>
      </c>
      <c r="N328" s="671">
        <f t="shared" si="63"/>
        <v>2049</v>
      </c>
      <c r="O328" s="681">
        <v>54666</v>
      </c>
      <c r="P328" s="678">
        <f t="shared" si="61"/>
        <v>1</v>
      </c>
    </row>
    <row r="329" spans="2:16">
      <c r="B329" s="671">
        <f t="shared" si="64"/>
        <v>2049</v>
      </c>
      <c r="C329" s="681">
        <v>54696</v>
      </c>
      <c r="D329" s="682">
        <f t="shared" si="75"/>
        <v>1</v>
      </c>
      <c r="F329" s="671">
        <f t="shared" si="62"/>
        <v>2049</v>
      </c>
      <c r="G329" s="681">
        <v>54696</v>
      </c>
      <c r="H329" s="682">
        <f t="shared" si="76"/>
        <v>1</v>
      </c>
      <c r="J329" s="671">
        <f t="shared" si="60"/>
        <v>2049</v>
      </c>
      <c r="K329" s="683">
        <v>54696</v>
      </c>
      <c r="L329" s="684">
        <f>IF(K329=参数输入表!$I$7,100%,H329)</f>
        <v>1</v>
      </c>
      <c r="N329" s="671">
        <f t="shared" si="63"/>
        <v>2049</v>
      </c>
      <c r="O329" s="681">
        <v>54696</v>
      </c>
      <c r="P329" s="678">
        <f t="shared" si="61"/>
        <v>1</v>
      </c>
    </row>
    <row r="330" spans="2:16">
      <c r="B330" s="671">
        <f t="shared" si="64"/>
        <v>2049</v>
      </c>
      <c r="C330" s="681">
        <v>54727</v>
      </c>
      <c r="D330" s="682">
        <f t="shared" si="75"/>
        <v>1</v>
      </c>
      <c r="F330" s="671">
        <f t="shared" si="62"/>
        <v>2049</v>
      </c>
      <c r="G330" s="681">
        <v>54727</v>
      </c>
      <c r="H330" s="682">
        <f t="shared" si="76"/>
        <v>1</v>
      </c>
      <c r="J330" s="671">
        <f t="shared" ref="J330:J393" si="77">YEAR(K330)</f>
        <v>2049</v>
      </c>
      <c r="K330" s="683">
        <v>54727</v>
      </c>
      <c r="L330" s="684">
        <f>IF(K330=参数输入表!$I$7,100%,H330)</f>
        <v>1</v>
      </c>
      <c r="N330" s="671">
        <f t="shared" si="63"/>
        <v>2049</v>
      </c>
      <c r="O330" s="681">
        <v>54727</v>
      </c>
      <c r="P330" s="678">
        <f t="shared" ref="P330:P393" si="78">D330*H330</f>
        <v>1</v>
      </c>
    </row>
    <row r="331" spans="2:16">
      <c r="B331" s="671">
        <f t="shared" si="64"/>
        <v>2049</v>
      </c>
      <c r="C331" s="681">
        <v>54757</v>
      </c>
      <c r="D331" s="682">
        <f t="shared" si="75"/>
        <v>1</v>
      </c>
      <c r="F331" s="671">
        <f t="shared" ref="F331:F394" si="79">YEAR(G331)</f>
        <v>2049</v>
      </c>
      <c r="G331" s="681">
        <v>54757</v>
      </c>
      <c r="H331" s="682">
        <f t="shared" si="76"/>
        <v>1</v>
      </c>
      <c r="J331" s="671">
        <f t="shared" si="77"/>
        <v>2049</v>
      </c>
      <c r="K331" s="683">
        <v>54757</v>
      </c>
      <c r="L331" s="684">
        <f>IF(K331=参数输入表!$I$7,100%,H331)</f>
        <v>1</v>
      </c>
      <c r="N331" s="671">
        <f t="shared" ref="N331:N394" si="80">YEAR(O331)</f>
        <v>2049</v>
      </c>
      <c r="O331" s="681">
        <v>54757</v>
      </c>
      <c r="P331" s="678">
        <f t="shared" si="78"/>
        <v>1</v>
      </c>
    </row>
    <row r="332" ht="15.25" spans="2:16">
      <c r="B332" s="671">
        <f t="shared" ref="B332:B395" si="81">YEAR(C332)</f>
        <v>2049</v>
      </c>
      <c r="C332" s="692">
        <v>54788</v>
      </c>
      <c r="D332" s="682">
        <f t="shared" ref="D332:D341" si="82">$D$100</f>
        <v>1</v>
      </c>
      <c r="F332" s="671">
        <f t="shared" si="79"/>
        <v>2049</v>
      </c>
      <c r="G332" s="692">
        <v>54788</v>
      </c>
      <c r="H332" s="682">
        <f t="shared" ref="H332:H341" si="83">$H$100</f>
        <v>1</v>
      </c>
      <c r="J332" s="671">
        <f t="shared" si="77"/>
        <v>2049</v>
      </c>
      <c r="K332" s="693">
        <v>54788</v>
      </c>
      <c r="L332" s="684">
        <f>IF(K332=参数输入表!$I$7,100%,H332)</f>
        <v>1</v>
      </c>
      <c r="N332" s="671">
        <f t="shared" si="80"/>
        <v>2049</v>
      </c>
      <c r="O332" s="692">
        <v>54788</v>
      </c>
      <c r="P332" s="678">
        <f t="shared" si="78"/>
        <v>1</v>
      </c>
    </row>
    <row r="333" spans="2:16">
      <c r="B333" s="671">
        <f t="shared" si="81"/>
        <v>2050</v>
      </c>
      <c r="C333" s="694">
        <v>54819</v>
      </c>
      <c r="D333" s="682">
        <f t="shared" si="82"/>
        <v>1</v>
      </c>
      <c r="F333" s="671">
        <f t="shared" si="79"/>
        <v>2050</v>
      </c>
      <c r="G333" s="694">
        <v>54819</v>
      </c>
      <c r="H333" s="682">
        <f t="shared" si="83"/>
        <v>1</v>
      </c>
      <c r="J333" s="671">
        <f t="shared" si="77"/>
        <v>2050</v>
      </c>
      <c r="K333" s="695">
        <v>54819</v>
      </c>
      <c r="L333" s="684">
        <f>IF(K333=参数输入表!$I$7,100%,H333)</f>
        <v>1</v>
      </c>
      <c r="N333" s="671">
        <f t="shared" si="80"/>
        <v>2050</v>
      </c>
      <c r="O333" s="694">
        <v>54819</v>
      </c>
      <c r="P333" s="678">
        <f t="shared" si="78"/>
        <v>1</v>
      </c>
    </row>
    <row r="334" spans="2:16">
      <c r="B334" s="671">
        <f t="shared" si="81"/>
        <v>2050</v>
      </c>
      <c r="C334" s="681">
        <v>54847</v>
      </c>
      <c r="D334" s="682">
        <f t="shared" si="82"/>
        <v>1</v>
      </c>
      <c r="F334" s="671">
        <f t="shared" si="79"/>
        <v>2050</v>
      </c>
      <c r="G334" s="681">
        <v>54847</v>
      </c>
      <c r="H334" s="682">
        <f t="shared" si="83"/>
        <v>1</v>
      </c>
      <c r="J334" s="671">
        <f t="shared" si="77"/>
        <v>2050</v>
      </c>
      <c r="K334" s="683">
        <v>54847</v>
      </c>
      <c r="L334" s="684">
        <f>IF(K334=参数输入表!$I$7,100%,H334)</f>
        <v>1</v>
      </c>
      <c r="N334" s="671">
        <f t="shared" si="80"/>
        <v>2050</v>
      </c>
      <c r="O334" s="681">
        <v>54847</v>
      </c>
      <c r="P334" s="678">
        <f t="shared" si="78"/>
        <v>1</v>
      </c>
    </row>
    <row r="335" spans="2:16">
      <c r="B335" s="671">
        <f t="shared" si="81"/>
        <v>2050</v>
      </c>
      <c r="C335" s="681">
        <v>54878</v>
      </c>
      <c r="D335" s="682">
        <f t="shared" si="82"/>
        <v>1</v>
      </c>
      <c r="F335" s="671">
        <f t="shared" si="79"/>
        <v>2050</v>
      </c>
      <c r="G335" s="681">
        <v>54878</v>
      </c>
      <c r="H335" s="682">
        <f t="shared" si="83"/>
        <v>1</v>
      </c>
      <c r="J335" s="671">
        <f t="shared" si="77"/>
        <v>2050</v>
      </c>
      <c r="K335" s="683">
        <v>54878</v>
      </c>
      <c r="L335" s="684">
        <f>IF(K335=参数输入表!$I$7,100%,H335)</f>
        <v>1</v>
      </c>
      <c r="N335" s="671">
        <f t="shared" si="80"/>
        <v>2050</v>
      </c>
      <c r="O335" s="681">
        <v>54878</v>
      </c>
      <c r="P335" s="678">
        <f t="shared" si="78"/>
        <v>1</v>
      </c>
    </row>
    <row r="336" spans="2:16">
      <c r="B336" s="671">
        <f t="shared" si="81"/>
        <v>2050</v>
      </c>
      <c r="C336" s="681">
        <v>54908</v>
      </c>
      <c r="D336" s="682">
        <f t="shared" si="82"/>
        <v>1</v>
      </c>
      <c r="F336" s="671">
        <f t="shared" si="79"/>
        <v>2050</v>
      </c>
      <c r="G336" s="681">
        <v>54908</v>
      </c>
      <c r="H336" s="682">
        <f t="shared" si="83"/>
        <v>1</v>
      </c>
      <c r="J336" s="671">
        <f t="shared" si="77"/>
        <v>2050</v>
      </c>
      <c r="K336" s="683">
        <v>54908</v>
      </c>
      <c r="L336" s="684">
        <f>IF(K336=参数输入表!$I$7,100%,H336)</f>
        <v>1</v>
      </c>
      <c r="N336" s="671">
        <f t="shared" si="80"/>
        <v>2050</v>
      </c>
      <c r="O336" s="681">
        <v>54908</v>
      </c>
      <c r="P336" s="678">
        <f t="shared" si="78"/>
        <v>1</v>
      </c>
    </row>
    <row r="337" spans="2:16">
      <c r="B337" s="671">
        <f t="shared" si="81"/>
        <v>2050</v>
      </c>
      <c r="C337" s="681">
        <v>54939</v>
      </c>
      <c r="D337" s="682">
        <f t="shared" si="82"/>
        <v>1</v>
      </c>
      <c r="F337" s="671">
        <f t="shared" si="79"/>
        <v>2050</v>
      </c>
      <c r="G337" s="681">
        <v>54939</v>
      </c>
      <c r="H337" s="682">
        <f t="shared" si="83"/>
        <v>1</v>
      </c>
      <c r="J337" s="671">
        <f t="shared" si="77"/>
        <v>2050</v>
      </c>
      <c r="K337" s="683">
        <v>54939</v>
      </c>
      <c r="L337" s="684">
        <f>IF(K337=参数输入表!$I$7,100%,H337)</f>
        <v>1</v>
      </c>
      <c r="N337" s="671">
        <f t="shared" si="80"/>
        <v>2050</v>
      </c>
      <c r="O337" s="681">
        <v>54939</v>
      </c>
      <c r="P337" s="678">
        <f t="shared" si="78"/>
        <v>1</v>
      </c>
    </row>
    <row r="338" spans="2:16">
      <c r="B338" s="671">
        <f t="shared" si="81"/>
        <v>2050</v>
      </c>
      <c r="C338" s="681">
        <v>54969</v>
      </c>
      <c r="D338" s="682">
        <f t="shared" si="82"/>
        <v>1</v>
      </c>
      <c r="F338" s="671">
        <f t="shared" si="79"/>
        <v>2050</v>
      </c>
      <c r="G338" s="681">
        <v>54969</v>
      </c>
      <c r="H338" s="682">
        <f t="shared" si="83"/>
        <v>1</v>
      </c>
      <c r="J338" s="671">
        <f t="shared" si="77"/>
        <v>2050</v>
      </c>
      <c r="K338" s="683">
        <v>54969</v>
      </c>
      <c r="L338" s="684">
        <f>IF(K338=参数输入表!$I$7,100%,H338)</f>
        <v>1</v>
      </c>
      <c r="N338" s="671">
        <f t="shared" si="80"/>
        <v>2050</v>
      </c>
      <c r="O338" s="681">
        <v>54969</v>
      </c>
      <c r="P338" s="678">
        <f t="shared" si="78"/>
        <v>1</v>
      </c>
    </row>
    <row r="339" spans="2:16">
      <c r="B339" s="671">
        <f t="shared" si="81"/>
        <v>2050</v>
      </c>
      <c r="C339" s="681">
        <v>55000</v>
      </c>
      <c r="D339" s="682">
        <f t="shared" si="82"/>
        <v>1</v>
      </c>
      <c r="F339" s="671">
        <f t="shared" si="79"/>
        <v>2050</v>
      </c>
      <c r="G339" s="681">
        <v>55000</v>
      </c>
      <c r="H339" s="682">
        <f t="shared" si="83"/>
        <v>1</v>
      </c>
      <c r="J339" s="671">
        <f t="shared" si="77"/>
        <v>2050</v>
      </c>
      <c r="K339" s="683">
        <v>55000</v>
      </c>
      <c r="L339" s="684">
        <f>IF(K339=参数输入表!$I$7,100%,H339)</f>
        <v>1</v>
      </c>
      <c r="N339" s="671">
        <f t="shared" si="80"/>
        <v>2050</v>
      </c>
      <c r="O339" s="681">
        <v>55000</v>
      </c>
      <c r="P339" s="678">
        <f t="shared" si="78"/>
        <v>1</v>
      </c>
    </row>
    <row r="340" spans="2:16">
      <c r="B340" s="671">
        <f t="shared" si="81"/>
        <v>2050</v>
      </c>
      <c r="C340" s="681">
        <v>55031</v>
      </c>
      <c r="D340" s="682">
        <f t="shared" si="82"/>
        <v>1</v>
      </c>
      <c r="F340" s="671">
        <f t="shared" si="79"/>
        <v>2050</v>
      </c>
      <c r="G340" s="681">
        <v>55031</v>
      </c>
      <c r="H340" s="682">
        <f t="shared" si="83"/>
        <v>1</v>
      </c>
      <c r="J340" s="671">
        <f t="shared" si="77"/>
        <v>2050</v>
      </c>
      <c r="K340" s="683">
        <v>55031</v>
      </c>
      <c r="L340" s="684">
        <f>IF(K340=参数输入表!$I$7,100%,H340)</f>
        <v>1</v>
      </c>
      <c r="N340" s="671">
        <f t="shared" si="80"/>
        <v>2050</v>
      </c>
      <c r="O340" s="681">
        <v>55031</v>
      </c>
      <c r="P340" s="678">
        <f t="shared" si="78"/>
        <v>1</v>
      </c>
    </row>
    <row r="341" spans="2:16">
      <c r="B341" s="671">
        <f t="shared" si="81"/>
        <v>2050</v>
      </c>
      <c r="C341" s="681">
        <v>55061</v>
      </c>
      <c r="D341" s="682">
        <f t="shared" si="82"/>
        <v>1</v>
      </c>
      <c r="F341" s="671">
        <f t="shared" si="79"/>
        <v>2050</v>
      </c>
      <c r="G341" s="681">
        <v>55061</v>
      </c>
      <c r="H341" s="682">
        <f t="shared" si="83"/>
        <v>1</v>
      </c>
      <c r="J341" s="671">
        <f t="shared" si="77"/>
        <v>2050</v>
      </c>
      <c r="K341" s="683">
        <v>55061</v>
      </c>
      <c r="L341" s="684">
        <f>IF(K341=参数输入表!$I$7,100%,H341)</f>
        <v>1</v>
      </c>
      <c r="N341" s="671">
        <f t="shared" si="80"/>
        <v>2050</v>
      </c>
      <c r="O341" s="681">
        <v>55061</v>
      </c>
      <c r="P341" s="678">
        <f t="shared" si="78"/>
        <v>1</v>
      </c>
    </row>
    <row r="342" spans="2:16">
      <c r="B342" s="671">
        <f t="shared" si="81"/>
        <v>2050</v>
      </c>
      <c r="C342" s="681">
        <v>55092</v>
      </c>
      <c r="D342" s="682">
        <f t="shared" ref="D342:D351" si="84">$D$100</f>
        <v>1</v>
      </c>
      <c r="F342" s="671">
        <f t="shared" si="79"/>
        <v>2050</v>
      </c>
      <c r="G342" s="681">
        <v>55092</v>
      </c>
      <c r="H342" s="682">
        <f t="shared" ref="H342:H351" si="85">$H$100</f>
        <v>1</v>
      </c>
      <c r="J342" s="671">
        <f t="shared" si="77"/>
        <v>2050</v>
      </c>
      <c r="K342" s="683">
        <v>55092</v>
      </c>
      <c r="L342" s="684">
        <f>IF(K342=参数输入表!$I$7,100%,H342)</f>
        <v>1</v>
      </c>
      <c r="N342" s="671">
        <f t="shared" si="80"/>
        <v>2050</v>
      </c>
      <c r="O342" s="681">
        <v>55092</v>
      </c>
      <c r="P342" s="678">
        <f t="shared" si="78"/>
        <v>1</v>
      </c>
    </row>
    <row r="343" spans="2:16">
      <c r="B343" s="671">
        <f t="shared" si="81"/>
        <v>2050</v>
      </c>
      <c r="C343" s="681">
        <v>55122</v>
      </c>
      <c r="D343" s="682">
        <f t="shared" si="84"/>
        <v>1</v>
      </c>
      <c r="F343" s="671">
        <f t="shared" si="79"/>
        <v>2050</v>
      </c>
      <c r="G343" s="681">
        <v>55122</v>
      </c>
      <c r="H343" s="682">
        <f t="shared" si="85"/>
        <v>1</v>
      </c>
      <c r="J343" s="671">
        <f t="shared" si="77"/>
        <v>2050</v>
      </c>
      <c r="K343" s="683">
        <v>55122</v>
      </c>
      <c r="L343" s="684">
        <f>IF(K343=参数输入表!$I$7,100%,H343)</f>
        <v>1</v>
      </c>
      <c r="N343" s="671">
        <f t="shared" si="80"/>
        <v>2050</v>
      </c>
      <c r="O343" s="681">
        <v>55122</v>
      </c>
      <c r="P343" s="678">
        <f t="shared" si="78"/>
        <v>1</v>
      </c>
    </row>
    <row r="344" ht="15.25" spans="2:16">
      <c r="B344" s="671">
        <f t="shared" si="81"/>
        <v>2050</v>
      </c>
      <c r="C344" s="692">
        <v>55153</v>
      </c>
      <c r="D344" s="682">
        <f t="shared" si="84"/>
        <v>1</v>
      </c>
      <c r="F344" s="671">
        <f t="shared" si="79"/>
        <v>2050</v>
      </c>
      <c r="G344" s="692">
        <v>55153</v>
      </c>
      <c r="H344" s="682">
        <f t="shared" si="85"/>
        <v>1</v>
      </c>
      <c r="J344" s="671">
        <f t="shared" si="77"/>
        <v>2050</v>
      </c>
      <c r="K344" s="693">
        <v>55153</v>
      </c>
      <c r="L344" s="684">
        <f>IF(K344=参数输入表!$I$7,100%,H344)</f>
        <v>1</v>
      </c>
      <c r="N344" s="671">
        <f t="shared" si="80"/>
        <v>2050</v>
      </c>
      <c r="O344" s="692">
        <v>55153</v>
      </c>
      <c r="P344" s="678">
        <f t="shared" si="78"/>
        <v>1</v>
      </c>
    </row>
    <row r="345" spans="2:16">
      <c r="B345" s="671">
        <f t="shared" si="81"/>
        <v>2051</v>
      </c>
      <c r="C345" s="694">
        <v>55184</v>
      </c>
      <c r="D345" s="682">
        <f t="shared" si="84"/>
        <v>1</v>
      </c>
      <c r="F345" s="671">
        <f t="shared" si="79"/>
        <v>2051</v>
      </c>
      <c r="G345" s="694">
        <v>55184</v>
      </c>
      <c r="H345" s="682">
        <f t="shared" si="85"/>
        <v>1</v>
      </c>
      <c r="J345" s="671">
        <f t="shared" si="77"/>
        <v>2051</v>
      </c>
      <c r="K345" s="695">
        <v>55184</v>
      </c>
      <c r="L345" s="684">
        <f>IF(K345=参数输入表!$I$7,100%,H345)</f>
        <v>1</v>
      </c>
      <c r="N345" s="671">
        <f t="shared" si="80"/>
        <v>2051</v>
      </c>
      <c r="O345" s="694">
        <v>55184</v>
      </c>
      <c r="P345" s="678">
        <f t="shared" si="78"/>
        <v>1</v>
      </c>
    </row>
    <row r="346" spans="2:16">
      <c r="B346" s="671">
        <f t="shared" si="81"/>
        <v>2051</v>
      </c>
      <c r="C346" s="681">
        <v>55212</v>
      </c>
      <c r="D346" s="682">
        <f t="shared" si="84"/>
        <v>1</v>
      </c>
      <c r="F346" s="671">
        <f t="shared" si="79"/>
        <v>2051</v>
      </c>
      <c r="G346" s="681">
        <v>55212</v>
      </c>
      <c r="H346" s="682">
        <f t="shared" si="85"/>
        <v>1</v>
      </c>
      <c r="J346" s="671">
        <f t="shared" si="77"/>
        <v>2051</v>
      </c>
      <c r="K346" s="683">
        <v>55212</v>
      </c>
      <c r="L346" s="684">
        <f>IF(K346=参数输入表!$I$7,100%,H346)</f>
        <v>1</v>
      </c>
      <c r="N346" s="671">
        <f t="shared" si="80"/>
        <v>2051</v>
      </c>
      <c r="O346" s="681">
        <v>55212</v>
      </c>
      <c r="P346" s="678">
        <f t="shared" si="78"/>
        <v>1</v>
      </c>
    </row>
    <row r="347" spans="2:16">
      <c r="B347" s="671">
        <f t="shared" si="81"/>
        <v>2051</v>
      </c>
      <c r="C347" s="681">
        <v>55243</v>
      </c>
      <c r="D347" s="682">
        <f t="shared" si="84"/>
        <v>1</v>
      </c>
      <c r="F347" s="671">
        <f t="shared" si="79"/>
        <v>2051</v>
      </c>
      <c r="G347" s="681">
        <v>55243</v>
      </c>
      <c r="H347" s="682">
        <f t="shared" si="85"/>
        <v>1</v>
      </c>
      <c r="J347" s="671">
        <f t="shared" si="77"/>
        <v>2051</v>
      </c>
      <c r="K347" s="683">
        <v>55243</v>
      </c>
      <c r="L347" s="684">
        <f>IF(K347=参数输入表!$I$7,100%,H347)</f>
        <v>1</v>
      </c>
      <c r="N347" s="671">
        <f t="shared" si="80"/>
        <v>2051</v>
      </c>
      <c r="O347" s="681">
        <v>55243</v>
      </c>
      <c r="P347" s="678">
        <f t="shared" si="78"/>
        <v>1</v>
      </c>
    </row>
    <row r="348" spans="2:16">
      <c r="B348" s="671">
        <f t="shared" si="81"/>
        <v>2051</v>
      </c>
      <c r="C348" s="681">
        <v>55273</v>
      </c>
      <c r="D348" s="682">
        <f t="shared" si="84"/>
        <v>1</v>
      </c>
      <c r="F348" s="671">
        <f t="shared" si="79"/>
        <v>2051</v>
      </c>
      <c r="G348" s="681">
        <v>55273</v>
      </c>
      <c r="H348" s="682">
        <f t="shared" si="85"/>
        <v>1</v>
      </c>
      <c r="J348" s="671">
        <f t="shared" si="77"/>
        <v>2051</v>
      </c>
      <c r="K348" s="683">
        <v>55273</v>
      </c>
      <c r="L348" s="684">
        <f>IF(K348=参数输入表!$I$7,100%,H348)</f>
        <v>1</v>
      </c>
      <c r="N348" s="671">
        <f t="shared" si="80"/>
        <v>2051</v>
      </c>
      <c r="O348" s="681">
        <v>55273</v>
      </c>
      <c r="P348" s="678">
        <f t="shared" si="78"/>
        <v>1</v>
      </c>
    </row>
    <row r="349" spans="2:16">
      <c r="B349" s="671">
        <f t="shared" si="81"/>
        <v>2051</v>
      </c>
      <c r="C349" s="681">
        <v>55304</v>
      </c>
      <c r="D349" s="682">
        <f t="shared" si="84"/>
        <v>1</v>
      </c>
      <c r="F349" s="671">
        <f t="shared" si="79"/>
        <v>2051</v>
      </c>
      <c r="G349" s="681">
        <v>55304</v>
      </c>
      <c r="H349" s="682">
        <f t="shared" si="85"/>
        <v>1</v>
      </c>
      <c r="J349" s="671">
        <f t="shared" si="77"/>
        <v>2051</v>
      </c>
      <c r="K349" s="683">
        <v>55304</v>
      </c>
      <c r="L349" s="684">
        <f>IF(K349=参数输入表!$I$7,100%,H349)</f>
        <v>1</v>
      </c>
      <c r="N349" s="671">
        <f t="shared" si="80"/>
        <v>2051</v>
      </c>
      <c r="O349" s="681">
        <v>55304</v>
      </c>
      <c r="P349" s="678">
        <f t="shared" si="78"/>
        <v>1</v>
      </c>
    </row>
    <row r="350" spans="2:16">
      <c r="B350" s="671">
        <f t="shared" si="81"/>
        <v>2051</v>
      </c>
      <c r="C350" s="681">
        <v>55334</v>
      </c>
      <c r="D350" s="682">
        <f t="shared" si="84"/>
        <v>1</v>
      </c>
      <c r="F350" s="671">
        <f t="shared" si="79"/>
        <v>2051</v>
      </c>
      <c r="G350" s="681">
        <v>55334</v>
      </c>
      <c r="H350" s="682">
        <f t="shared" si="85"/>
        <v>1</v>
      </c>
      <c r="J350" s="671">
        <f t="shared" si="77"/>
        <v>2051</v>
      </c>
      <c r="K350" s="683">
        <v>55334</v>
      </c>
      <c r="L350" s="684">
        <f>IF(K350=参数输入表!$I$7,100%,H350)</f>
        <v>1</v>
      </c>
      <c r="N350" s="671">
        <f t="shared" si="80"/>
        <v>2051</v>
      </c>
      <c r="O350" s="681">
        <v>55334</v>
      </c>
      <c r="P350" s="678">
        <f t="shared" si="78"/>
        <v>1</v>
      </c>
    </row>
    <row r="351" spans="2:16">
      <c r="B351" s="671">
        <f t="shared" si="81"/>
        <v>2051</v>
      </c>
      <c r="C351" s="681">
        <v>55365</v>
      </c>
      <c r="D351" s="682">
        <f t="shared" si="84"/>
        <v>1</v>
      </c>
      <c r="F351" s="671">
        <f t="shared" si="79"/>
        <v>2051</v>
      </c>
      <c r="G351" s="681">
        <v>55365</v>
      </c>
      <c r="H351" s="682">
        <f t="shared" si="85"/>
        <v>1</v>
      </c>
      <c r="J351" s="671">
        <f t="shared" si="77"/>
        <v>2051</v>
      </c>
      <c r="K351" s="683">
        <v>55365</v>
      </c>
      <c r="L351" s="684">
        <f>IF(K351=参数输入表!$I$7,100%,H351)</f>
        <v>1</v>
      </c>
      <c r="N351" s="671">
        <f t="shared" si="80"/>
        <v>2051</v>
      </c>
      <c r="O351" s="681">
        <v>55365</v>
      </c>
      <c r="P351" s="678">
        <f t="shared" si="78"/>
        <v>1</v>
      </c>
    </row>
    <row r="352" spans="2:16">
      <c r="B352" s="671">
        <f t="shared" si="81"/>
        <v>2051</v>
      </c>
      <c r="C352" s="681">
        <v>55396</v>
      </c>
      <c r="D352" s="682">
        <f t="shared" ref="D352:D361" si="86">$D$100</f>
        <v>1</v>
      </c>
      <c r="F352" s="671">
        <f t="shared" si="79"/>
        <v>2051</v>
      </c>
      <c r="G352" s="681">
        <v>55396</v>
      </c>
      <c r="H352" s="682">
        <f t="shared" ref="H352:H361" si="87">$H$100</f>
        <v>1</v>
      </c>
      <c r="J352" s="671">
        <f t="shared" si="77"/>
        <v>2051</v>
      </c>
      <c r="K352" s="683">
        <v>55396</v>
      </c>
      <c r="L352" s="684">
        <f>IF(K352=参数输入表!$I$7,100%,H352)</f>
        <v>1</v>
      </c>
      <c r="N352" s="671">
        <f t="shared" si="80"/>
        <v>2051</v>
      </c>
      <c r="O352" s="681">
        <v>55396</v>
      </c>
      <c r="P352" s="678">
        <f t="shared" si="78"/>
        <v>1</v>
      </c>
    </row>
    <row r="353" spans="2:16">
      <c r="B353" s="671">
        <f t="shared" si="81"/>
        <v>2051</v>
      </c>
      <c r="C353" s="681">
        <v>55426</v>
      </c>
      <c r="D353" s="682">
        <f t="shared" si="86"/>
        <v>1</v>
      </c>
      <c r="F353" s="671">
        <f t="shared" si="79"/>
        <v>2051</v>
      </c>
      <c r="G353" s="681">
        <v>55426</v>
      </c>
      <c r="H353" s="682">
        <f t="shared" si="87"/>
        <v>1</v>
      </c>
      <c r="J353" s="671">
        <f t="shared" si="77"/>
        <v>2051</v>
      </c>
      <c r="K353" s="683">
        <v>55426</v>
      </c>
      <c r="L353" s="684">
        <f>IF(K353=参数输入表!$I$7,100%,H353)</f>
        <v>1</v>
      </c>
      <c r="N353" s="671">
        <f t="shared" si="80"/>
        <v>2051</v>
      </c>
      <c r="O353" s="681">
        <v>55426</v>
      </c>
      <c r="P353" s="678">
        <f t="shared" si="78"/>
        <v>1</v>
      </c>
    </row>
    <row r="354" spans="2:16">
      <c r="B354" s="671">
        <f t="shared" si="81"/>
        <v>2051</v>
      </c>
      <c r="C354" s="681">
        <v>55457</v>
      </c>
      <c r="D354" s="682">
        <f t="shared" si="86"/>
        <v>1</v>
      </c>
      <c r="F354" s="671">
        <f t="shared" si="79"/>
        <v>2051</v>
      </c>
      <c r="G354" s="681">
        <v>55457</v>
      </c>
      <c r="H354" s="682">
        <f t="shared" si="87"/>
        <v>1</v>
      </c>
      <c r="J354" s="671">
        <f t="shared" si="77"/>
        <v>2051</v>
      </c>
      <c r="K354" s="683">
        <v>55457</v>
      </c>
      <c r="L354" s="684">
        <f>IF(K354=参数输入表!$I$7,100%,H354)</f>
        <v>1</v>
      </c>
      <c r="N354" s="671">
        <f t="shared" si="80"/>
        <v>2051</v>
      </c>
      <c r="O354" s="681">
        <v>55457</v>
      </c>
      <c r="P354" s="678">
        <f t="shared" si="78"/>
        <v>1</v>
      </c>
    </row>
    <row r="355" spans="2:16">
      <c r="B355" s="671">
        <f t="shared" si="81"/>
        <v>2051</v>
      </c>
      <c r="C355" s="681">
        <v>55487</v>
      </c>
      <c r="D355" s="682">
        <f t="shared" si="86"/>
        <v>1</v>
      </c>
      <c r="F355" s="671">
        <f t="shared" si="79"/>
        <v>2051</v>
      </c>
      <c r="G355" s="681">
        <v>55487</v>
      </c>
      <c r="H355" s="682">
        <f t="shared" si="87"/>
        <v>1</v>
      </c>
      <c r="J355" s="671">
        <f t="shared" si="77"/>
        <v>2051</v>
      </c>
      <c r="K355" s="683">
        <v>55487</v>
      </c>
      <c r="L355" s="684">
        <f>IF(K355=参数输入表!$I$7,100%,H355)</f>
        <v>1</v>
      </c>
      <c r="N355" s="671">
        <f t="shared" si="80"/>
        <v>2051</v>
      </c>
      <c r="O355" s="681">
        <v>55487</v>
      </c>
      <c r="P355" s="678">
        <f t="shared" si="78"/>
        <v>1</v>
      </c>
    </row>
    <row r="356" ht="15.25" spans="2:16">
      <c r="B356" s="671">
        <f t="shared" si="81"/>
        <v>2051</v>
      </c>
      <c r="C356" s="692">
        <v>55518</v>
      </c>
      <c r="D356" s="682">
        <f t="shared" si="86"/>
        <v>1</v>
      </c>
      <c r="F356" s="671">
        <f t="shared" si="79"/>
        <v>2051</v>
      </c>
      <c r="G356" s="692">
        <v>55518</v>
      </c>
      <c r="H356" s="682">
        <f t="shared" si="87"/>
        <v>1</v>
      </c>
      <c r="J356" s="671">
        <f t="shared" si="77"/>
        <v>2051</v>
      </c>
      <c r="K356" s="693">
        <v>55518</v>
      </c>
      <c r="L356" s="684">
        <f>IF(K356=参数输入表!$I$7,100%,H356)</f>
        <v>1</v>
      </c>
      <c r="N356" s="671">
        <f t="shared" si="80"/>
        <v>2051</v>
      </c>
      <c r="O356" s="692">
        <v>55518</v>
      </c>
      <c r="P356" s="678">
        <f t="shared" si="78"/>
        <v>1</v>
      </c>
    </row>
    <row r="357" spans="2:16">
      <c r="B357" s="671">
        <f t="shared" si="81"/>
        <v>2052</v>
      </c>
      <c r="C357" s="694">
        <v>55549</v>
      </c>
      <c r="D357" s="682">
        <f t="shared" si="86"/>
        <v>1</v>
      </c>
      <c r="F357" s="671">
        <f t="shared" si="79"/>
        <v>2052</v>
      </c>
      <c r="G357" s="694">
        <v>55549</v>
      </c>
      <c r="H357" s="682">
        <f t="shared" si="87"/>
        <v>1</v>
      </c>
      <c r="J357" s="671">
        <f t="shared" si="77"/>
        <v>2052</v>
      </c>
      <c r="K357" s="695">
        <v>55549</v>
      </c>
      <c r="L357" s="684">
        <f>IF(K357=参数输入表!$I$7,100%,H357)</f>
        <v>1</v>
      </c>
      <c r="N357" s="671">
        <f t="shared" si="80"/>
        <v>2052</v>
      </c>
      <c r="O357" s="694">
        <v>55549</v>
      </c>
      <c r="P357" s="678">
        <f t="shared" si="78"/>
        <v>1</v>
      </c>
    </row>
    <row r="358" spans="2:16">
      <c r="B358" s="671">
        <f t="shared" si="81"/>
        <v>2052</v>
      </c>
      <c r="C358" s="681">
        <v>55578</v>
      </c>
      <c r="D358" s="682">
        <f t="shared" si="86"/>
        <v>1</v>
      </c>
      <c r="F358" s="671">
        <f t="shared" si="79"/>
        <v>2052</v>
      </c>
      <c r="G358" s="681">
        <v>55578</v>
      </c>
      <c r="H358" s="682">
        <f t="shared" si="87"/>
        <v>1</v>
      </c>
      <c r="J358" s="671">
        <f t="shared" si="77"/>
        <v>2052</v>
      </c>
      <c r="K358" s="683">
        <v>55578</v>
      </c>
      <c r="L358" s="684">
        <f>IF(K358=参数输入表!$I$7,100%,H358)</f>
        <v>1</v>
      </c>
      <c r="N358" s="671">
        <f t="shared" si="80"/>
        <v>2052</v>
      </c>
      <c r="O358" s="681">
        <v>55578</v>
      </c>
      <c r="P358" s="678">
        <f t="shared" si="78"/>
        <v>1</v>
      </c>
    </row>
    <row r="359" spans="2:16">
      <c r="B359" s="671">
        <f t="shared" si="81"/>
        <v>2052</v>
      </c>
      <c r="C359" s="681">
        <v>55609</v>
      </c>
      <c r="D359" s="682">
        <f t="shared" si="86"/>
        <v>1</v>
      </c>
      <c r="F359" s="671">
        <f t="shared" si="79"/>
        <v>2052</v>
      </c>
      <c r="G359" s="681">
        <v>55609</v>
      </c>
      <c r="H359" s="682">
        <f t="shared" si="87"/>
        <v>1</v>
      </c>
      <c r="J359" s="671">
        <f t="shared" si="77"/>
        <v>2052</v>
      </c>
      <c r="K359" s="683">
        <v>55609</v>
      </c>
      <c r="L359" s="684">
        <f>IF(K359=参数输入表!$I$7,100%,H359)</f>
        <v>1</v>
      </c>
      <c r="N359" s="671">
        <f t="shared" si="80"/>
        <v>2052</v>
      </c>
      <c r="O359" s="681">
        <v>55609</v>
      </c>
      <c r="P359" s="678">
        <f t="shared" si="78"/>
        <v>1</v>
      </c>
    </row>
    <row r="360" spans="2:16">
      <c r="B360" s="671">
        <f t="shared" si="81"/>
        <v>2052</v>
      </c>
      <c r="C360" s="681">
        <v>55639</v>
      </c>
      <c r="D360" s="682">
        <f t="shared" si="86"/>
        <v>1</v>
      </c>
      <c r="F360" s="671">
        <f t="shared" si="79"/>
        <v>2052</v>
      </c>
      <c r="G360" s="681">
        <v>55639</v>
      </c>
      <c r="H360" s="682">
        <f t="shared" si="87"/>
        <v>1</v>
      </c>
      <c r="J360" s="671">
        <f t="shared" si="77"/>
        <v>2052</v>
      </c>
      <c r="K360" s="683">
        <v>55639</v>
      </c>
      <c r="L360" s="684">
        <f>IF(K360=参数输入表!$I$7,100%,H360)</f>
        <v>1</v>
      </c>
      <c r="N360" s="671">
        <f t="shared" si="80"/>
        <v>2052</v>
      </c>
      <c r="O360" s="681">
        <v>55639</v>
      </c>
      <c r="P360" s="678">
        <f t="shared" si="78"/>
        <v>1</v>
      </c>
    </row>
    <row r="361" spans="2:16">
      <c r="B361" s="671">
        <f t="shared" si="81"/>
        <v>2052</v>
      </c>
      <c r="C361" s="681">
        <v>55670</v>
      </c>
      <c r="D361" s="682">
        <f t="shared" si="86"/>
        <v>1</v>
      </c>
      <c r="F361" s="671">
        <f t="shared" si="79"/>
        <v>2052</v>
      </c>
      <c r="G361" s="681">
        <v>55670</v>
      </c>
      <c r="H361" s="682">
        <f t="shared" si="87"/>
        <v>1</v>
      </c>
      <c r="J361" s="671">
        <f t="shared" si="77"/>
        <v>2052</v>
      </c>
      <c r="K361" s="683">
        <v>55670</v>
      </c>
      <c r="L361" s="684">
        <f>IF(K361=参数输入表!$I$7,100%,H361)</f>
        <v>1</v>
      </c>
      <c r="N361" s="671">
        <f t="shared" si="80"/>
        <v>2052</v>
      </c>
      <c r="O361" s="681">
        <v>55670</v>
      </c>
      <c r="P361" s="678">
        <f t="shared" si="78"/>
        <v>1</v>
      </c>
    </row>
    <row r="362" spans="2:16">
      <c r="B362" s="671">
        <f t="shared" si="81"/>
        <v>2052</v>
      </c>
      <c r="C362" s="681">
        <v>55700</v>
      </c>
      <c r="D362" s="682">
        <f t="shared" ref="D362:D371" si="88">$D$100</f>
        <v>1</v>
      </c>
      <c r="F362" s="671">
        <f t="shared" si="79"/>
        <v>2052</v>
      </c>
      <c r="G362" s="681">
        <v>55700</v>
      </c>
      <c r="H362" s="682">
        <f t="shared" ref="H362:H371" si="89">$H$100</f>
        <v>1</v>
      </c>
      <c r="J362" s="671">
        <f t="shared" si="77"/>
        <v>2052</v>
      </c>
      <c r="K362" s="683">
        <v>55700</v>
      </c>
      <c r="L362" s="684">
        <f>IF(K362=参数输入表!$I$7,100%,H362)</f>
        <v>1</v>
      </c>
      <c r="N362" s="671">
        <f t="shared" si="80"/>
        <v>2052</v>
      </c>
      <c r="O362" s="681">
        <v>55700</v>
      </c>
      <c r="P362" s="678">
        <f t="shared" si="78"/>
        <v>1</v>
      </c>
    </row>
    <row r="363" spans="2:16">
      <c r="B363" s="671">
        <f t="shared" si="81"/>
        <v>2052</v>
      </c>
      <c r="C363" s="681">
        <v>55731</v>
      </c>
      <c r="D363" s="682">
        <f t="shared" si="88"/>
        <v>1</v>
      </c>
      <c r="F363" s="671">
        <f t="shared" si="79"/>
        <v>2052</v>
      </c>
      <c r="G363" s="681">
        <v>55731</v>
      </c>
      <c r="H363" s="682">
        <f t="shared" si="89"/>
        <v>1</v>
      </c>
      <c r="J363" s="671">
        <f t="shared" si="77"/>
        <v>2052</v>
      </c>
      <c r="K363" s="683">
        <v>55731</v>
      </c>
      <c r="L363" s="684">
        <f>IF(K363=参数输入表!$I$7,100%,H363)</f>
        <v>1</v>
      </c>
      <c r="N363" s="671">
        <f t="shared" si="80"/>
        <v>2052</v>
      </c>
      <c r="O363" s="681">
        <v>55731</v>
      </c>
      <c r="P363" s="678">
        <f t="shared" si="78"/>
        <v>1</v>
      </c>
    </row>
    <row r="364" spans="2:16">
      <c r="B364" s="671">
        <f t="shared" si="81"/>
        <v>2052</v>
      </c>
      <c r="C364" s="681">
        <v>55762</v>
      </c>
      <c r="D364" s="682">
        <f t="shared" si="88"/>
        <v>1</v>
      </c>
      <c r="F364" s="671">
        <f t="shared" si="79"/>
        <v>2052</v>
      </c>
      <c r="G364" s="681">
        <v>55762</v>
      </c>
      <c r="H364" s="682">
        <f t="shared" si="89"/>
        <v>1</v>
      </c>
      <c r="J364" s="671">
        <f t="shared" si="77"/>
        <v>2052</v>
      </c>
      <c r="K364" s="683">
        <v>55762</v>
      </c>
      <c r="L364" s="684">
        <f>IF(K364=参数输入表!$I$7,100%,H364)</f>
        <v>1</v>
      </c>
      <c r="N364" s="671">
        <f t="shared" si="80"/>
        <v>2052</v>
      </c>
      <c r="O364" s="681">
        <v>55762</v>
      </c>
      <c r="P364" s="678">
        <f t="shared" si="78"/>
        <v>1</v>
      </c>
    </row>
    <row r="365" spans="2:16">
      <c r="B365" s="671">
        <f t="shared" si="81"/>
        <v>2052</v>
      </c>
      <c r="C365" s="681">
        <v>55792</v>
      </c>
      <c r="D365" s="682">
        <f t="shared" si="88"/>
        <v>1</v>
      </c>
      <c r="F365" s="671">
        <f t="shared" si="79"/>
        <v>2052</v>
      </c>
      <c r="G365" s="681">
        <v>55792</v>
      </c>
      <c r="H365" s="682">
        <f t="shared" si="89"/>
        <v>1</v>
      </c>
      <c r="J365" s="671">
        <f t="shared" si="77"/>
        <v>2052</v>
      </c>
      <c r="K365" s="683">
        <v>55792</v>
      </c>
      <c r="L365" s="684">
        <f>IF(K365=参数输入表!$I$7,100%,H365)</f>
        <v>1</v>
      </c>
      <c r="N365" s="671">
        <f t="shared" si="80"/>
        <v>2052</v>
      </c>
      <c r="O365" s="681">
        <v>55792</v>
      </c>
      <c r="P365" s="678">
        <f t="shared" si="78"/>
        <v>1</v>
      </c>
    </row>
    <row r="366" spans="2:16">
      <c r="B366" s="671">
        <f t="shared" si="81"/>
        <v>2052</v>
      </c>
      <c r="C366" s="681">
        <v>55823</v>
      </c>
      <c r="D366" s="682">
        <f t="shared" si="88"/>
        <v>1</v>
      </c>
      <c r="F366" s="671">
        <f t="shared" si="79"/>
        <v>2052</v>
      </c>
      <c r="G366" s="681">
        <v>55823</v>
      </c>
      <c r="H366" s="682">
        <f t="shared" si="89"/>
        <v>1</v>
      </c>
      <c r="J366" s="671">
        <f t="shared" si="77"/>
        <v>2052</v>
      </c>
      <c r="K366" s="683">
        <v>55823</v>
      </c>
      <c r="L366" s="684">
        <f>IF(K366=参数输入表!$I$7,100%,H366)</f>
        <v>1</v>
      </c>
      <c r="N366" s="671">
        <f t="shared" si="80"/>
        <v>2052</v>
      </c>
      <c r="O366" s="681">
        <v>55823</v>
      </c>
      <c r="P366" s="678">
        <f t="shared" si="78"/>
        <v>1</v>
      </c>
    </row>
    <row r="367" spans="2:16">
      <c r="B367" s="671">
        <f t="shared" si="81"/>
        <v>2052</v>
      </c>
      <c r="C367" s="681">
        <v>55853</v>
      </c>
      <c r="D367" s="682">
        <f t="shared" si="88"/>
        <v>1</v>
      </c>
      <c r="F367" s="671">
        <f t="shared" si="79"/>
        <v>2052</v>
      </c>
      <c r="G367" s="681">
        <v>55853</v>
      </c>
      <c r="H367" s="682">
        <f t="shared" si="89"/>
        <v>1</v>
      </c>
      <c r="J367" s="671">
        <f t="shared" si="77"/>
        <v>2052</v>
      </c>
      <c r="K367" s="683">
        <v>55853</v>
      </c>
      <c r="L367" s="684">
        <f>IF(K367=参数输入表!$I$7,100%,H367)</f>
        <v>1</v>
      </c>
      <c r="N367" s="671">
        <f t="shared" si="80"/>
        <v>2052</v>
      </c>
      <c r="O367" s="681">
        <v>55853</v>
      </c>
      <c r="P367" s="678">
        <f t="shared" si="78"/>
        <v>1</v>
      </c>
    </row>
    <row r="368" ht="15.25" spans="2:16">
      <c r="B368" s="671">
        <f t="shared" si="81"/>
        <v>2052</v>
      </c>
      <c r="C368" s="692">
        <v>55884</v>
      </c>
      <c r="D368" s="682">
        <f t="shared" si="88"/>
        <v>1</v>
      </c>
      <c r="F368" s="671">
        <f t="shared" si="79"/>
        <v>2052</v>
      </c>
      <c r="G368" s="692">
        <v>55884</v>
      </c>
      <c r="H368" s="682">
        <f t="shared" si="89"/>
        <v>1</v>
      </c>
      <c r="J368" s="671">
        <f t="shared" si="77"/>
        <v>2052</v>
      </c>
      <c r="K368" s="693">
        <v>55884</v>
      </c>
      <c r="L368" s="684">
        <f>IF(K368=参数输入表!$I$7,100%,H368)</f>
        <v>1</v>
      </c>
      <c r="N368" s="671">
        <f t="shared" si="80"/>
        <v>2052</v>
      </c>
      <c r="O368" s="692">
        <v>55884</v>
      </c>
      <c r="P368" s="678">
        <f t="shared" si="78"/>
        <v>1</v>
      </c>
    </row>
    <row r="369" spans="2:16">
      <c r="B369" s="671">
        <f t="shared" si="81"/>
        <v>2053</v>
      </c>
      <c r="C369" s="694">
        <v>55915</v>
      </c>
      <c r="D369" s="682">
        <f t="shared" si="88"/>
        <v>1</v>
      </c>
      <c r="F369" s="671">
        <f t="shared" si="79"/>
        <v>2053</v>
      </c>
      <c r="G369" s="694">
        <v>55915</v>
      </c>
      <c r="H369" s="682">
        <f t="shared" si="89"/>
        <v>1</v>
      </c>
      <c r="J369" s="671">
        <f t="shared" si="77"/>
        <v>2053</v>
      </c>
      <c r="K369" s="695">
        <v>55915</v>
      </c>
      <c r="L369" s="684">
        <f>IF(K369=参数输入表!$I$7,100%,H369)</f>
        <v>1</v>
      </c>
      <c r="N369" s="671">
        <f t="shared" si="80"/>
        <v>2053</v>
      </c>
      <c r="O369" s="694">
        <v>55915</v>
      </c>
      <c r="P369" s="678">
        <f t="shared" si="78"/>
        <v>1</v>
      </c>
    </row>
    <row r="370" spans="2:16">
      <c r="B370" s="671">
        <f t="shared" si="81"/>
        <v>2053</v>
      </c>
      <c r="C370" s="681">
        <v>55943</v>
      </c>
      <c r="D370" s="682">
        <f t="shared" si="88"/>
        <v>1</v>
      </c>
      <c r="F370" s="671">
        <f t="shared" si="79"/>
        <v>2053</v>
      </c>
      <c r="G370" s="681">
        <v>55943</v>
      </c>
      <c r="H370" s="682">
        <f t="shared" si="89"/>
        <v>1</v>
      </c>
      <c r="J370" s="671">
        <f t="shared" si="77"/>
        <v>2053</v>
      </c>
      <c r="K370" s="683">
        <v>55943</v>
      </c>
      <c r="L370" s="684">
        <f>IF(K370=参数输入表!$I$7,100%,H370)</f>
        <v>1</v>
      </c>
      <c r="N370" s="671">
        <f t="shared" si="80"/>
        <v>2053</v>
      </c>
      <c r="O370" s="681">
        <v>55943</v>
      </c>
      <c r="P370" s="678">
        <f t="shared" si="78"/>
        <v>1</v>
      </c>
    </row>
    <row r="371" spans="2:16">
      <c r="B371" s="671">
        <f t="shared" si="81"/>
        <v>2053</v>
      </c>
      <c r="C371" s="681">
        <v>55974</v>
      </c>
      <c r="D371" s="682">
        <f t="shared" si="88"/>
        <v>1</v>
      </c>
      <c r="F371" s="671">
        <f t="shared" si="79"/>
        <v>2053</v>
      </c>
      <c r="G371" s="681">
        <v>55974</v>
      </c>
      <c r="H371" s="682">
        <f t="shared" si="89"/>
        <v>1</v>
      </c>
      <c r="J371" s="671">
        <f t="shared" si="77"/>
        <v>2053</v>
      </c>
      <c r="K371" s="683">
        <v>55974</v>
      </c>
      <c r="L371" s="684">
        <f>IF(K371=参数输入表!$I$7,100%,H371)</f>
        <v>1</v>
      </c>
      <c r="N371" s="671">
        <f t="shared" si="80"/>
        <v>2053</v>
      </c>
      <c r="O371" s="681">
        <v>55974</v>
      </c>
      <c r="P371" s="678">
        <f t="shared" si="78"/>
        <v>1</v>
      </c>
    </row>
    <row r="372" spans="2:16">
      <c r="B372" s="671">
        <f t="shared" si="81"/>
        <v>2053</v>
      </c>
      <c r="C372" s="681">
        <v>56004</v>
      </c>
      <c r="D372" s="682">
        <f t="shared" ref="D372:D381" si="90">$D$100</f>
        <v>1</v>
      </c>
      <c r="F372" s="671">
        <f t="shared" si="79"/>
        <v>2053</v>
      </c>
      <c r="G372" s="681">
        <v>56004</v>
      </c>
      <c r="H372" s="682">
        <f t="shared" ref="H372:H381" si="91">$H$100</f>
        <v>1</v>
      </c>
      <c r="J372" s="671">
        <f t="shared" si="77"/>
        <v>2053</v>
      </c>
      <c r="K372" s="683">
        <v>56004</v>
      </c>
      <c r="L372" s="684">
        <f>IF(K372=参数输入表!$I$7,100%,H372)</f>
        <v>1</v>
      </c>
      <c r="N372" s="671">
        <f t="shared" si="80"/>
        <v>2053</v>
      </c>
      <c r="O372" s="681">
        <v>56004</v>
      </c>
      <c r="P372" s="678">
        <f t="shared" si="78"/>
        <v>1</v>
      </c>
    </row>
    <row r="373" spans="2:16">
      <c r="B373" s="671">
        <f t="shared" si="81"/>
        <v>2053</v>
      </c>
      <c r="C373" s="681">
        <v>56035</v>
      </c>
      <c r="D373" s="682">
        <f t="shared" si="90"/>
        <v>1</v>
      </c>
      <c r="F373" s="671">
        <f t="shared" si="79"/>
        <v>2053</v>
      </c>
      <c r="G373" s="681">
        <v>56035</v>
      </c>
      <c r="H373" s="682">
        <f t="shared" si="91"/>
        <v>1</v>
      </c>
      <c r="J373" s="671">
        <f t="shared" si="77"/>
        <v>2053</v>
      </c>
      <c r="K373" s="683">
        <v>56035</v>
      </c>
      <c r="L373" s="684">
        <f>IF(K373=参数输入表!$I$7,100%,H373)</f>
        <v>1</v>
      </c>
      <c r="N373" s="671">
        <f t="shared" si="80"/>
        <v>2053</v>
      </c>
      <c r="O373" s="681">
        <v>56035</v>
      </c>
      <c r="P373" s="678">
        <f t="shared" si="78"/>
        <v>1</v>
      </c>
    </row>
    <row r="374" spans="2:16">
      <c r="B374" s="671">
        <f t="shared" si="81"/>
        <v>2053</v>
      </c>
      <c r="C374" s="681">
        <v>56065</v>
      </c>
      <c r="D374" s="682">
        <f t="shared" si="90"/>
        <v>1</v>
      </c>
      <c r="F374" s="671">
        <f t="shared" si="79"/>
        <v>2053</v>
      </c>
      <c r="G374" s="681">
        <v>56065</v>
      </c>
      <c r="H374" s="682">
        <f t="shared" si="91"/>
        <v>1</v>
      </c>
      <c r="J374" s="671">
        <f t="shared" si="77"/>
        <v>2053</v>
      </c>
      <c r="K374" s="683">
        <v>56065</v>
      </c>
      <c r="L374" s="684">
        <f>IF(K374=参数输入表!$I$7,100%,H374)</f>
        <v>1</v>
      </c>
      <c r="N374" s="671">
        <f t="shared" si="80"/>
        <v>2053</v>
      </c>
      <c r="O374" s="681">
        <v>56065</v>
      </c>
      <c r="P374" s="678">
        <f t="shared" si="78"/>
        <v>1</v>
      </c>
    </row>
    <row r="375" spans="2:16">
      <c r="B375" s="671">
        <f t="shared" si="81"/>
        <v>2053</v>
      </c>
      <c r="C375" s="681">
        <v>56096</v>
      </c>
      <c r="D375" s="682">
        <f t="shared" si="90"/>
        <v>1</v>
      </c>
      <c r="F375" s="671">
        <f t="shared" si="79"/>
        <v>2053</v>
      </c>
      <c r="G375" s="681">
        <v>56096</v>
      </c>
      <c r="H375" s="682">
        <f t="shared" si="91"/>
        <v>1</v>
      </c>
      <c r="J375" s="671">
        <f t="shared" si="77"/>
        <v>2053</v>
      </c>
      <c r="K375" s="683">
        <v>56096</v>
      </c>
      <c r="L375" s="684">
        <f>IF(K375=参数输入表!$I$7,100%,H375)</f>
        <v>1</v>
      </c>
      <c r="N375" s="671">
        <f t="shared" si="80"/>
        <v>2053</v>
      </c>
      <c r="O375" s="681">
        <v>56096</v>
      </c>
      <c r="P375" s="678">
        <f t="shared" si="78"/>
        <v>1</v>
      </c>
    </row>
    <row r="376" spans="2:16">
      <c r="B376" s="671">
        <f t="shared" si="81"/>
        <v>2053</v>
      </c>
      <c r="C376" s="681">
        <v>56127</v>
      </c>
      <c r="D376" s="682">
        <f t="shared" si="90"/>
        <v>1</v>
      </c>
      <c r="F376" s="671">
        <f t="shared" si="79"/>
        <v>2053</v>
      </c>
      <c r="G376" s="681">
        <v>56127</v>
      </c>
      <c r="H376" s="682">
        <f t="shared" si="91"/>
        <v>1</v>
      </c>
      <c r="J376" s="671">
        <f t="shared" si="77"/>
        <v>2053</v>
      </c>
      <c r="K376" s="683">
        <v>56127</v>
      </c>
      <c r="L376" s="684">
        <f>IF(K376=参数输入表!$I$7,100%,H376)</f>
        <v>1</v>
      </c>
      <c r="N376" s="671">
        <f t="shared" si="80"/>
        <v>2053</v>
      </c>
      <c r="O376" s="681">
        <v>56127</v>
      </c>
      <c r="P376" s="678">
        <f t="shared" si="78"/>
        <v>1</v>
      </c>
    </row>
    <row r="377" spans="2:16">
      <c r="B377" s="671">
        <f t="shared" si="81"/>
        <v>2053</v>
      </c>
      <c r="C377" s="681">
        <v>56157</v>
      </c>
      <c r="D377" s="682">
        <f t="shared" si="90"/>
        <v>1</v>
      </c>
      <c r="F377" s="671">
        <f t="shared" si="79"/>
        <v>2053</v>
      </c>
      <c r="G377" s="681">
        <v>56157</v>
      </c>
      <c r="H377" s="682">
        <f t="shared" si="91"/>
        <v>1</v>
      </c>
      <c r="J377" s="671">
        <f t="shared" si="77"/>
        <v>2053</v>
      </c>
      <c r="K377" s="683">
        <v>56157</v>
      </c>
      <c r="L377" s="684">
        <f>IF(K377=参数输入表!$I$7,100%,H377)</f>
        <v>1</v>
      </c>
      <c r="N377" s="671">
        <f t="shared" si="80"/>
        <v>2053</v>
      </c>
      <c r="O377" s="681">
        <v>56157</v>
      </c>
      <c r="P377" s="678">
        <f t="shared" si="78"/>
        <v>1</v>
      </c>
    </row>
    <row r="378" spans="2:16">
      <c r="B378" s="671">
        <f t="shared" si="81"/>
        <v>2053</v>
      </c>
      <c r="C378" s="681">
        <v>56188</v>
      </c>
      <c r="D378" s="682">
        <f t="shared" si="90"/>
        <v>1</v>
      </c>
      <c r="F378" s="671">
        <f t="shared" si="79"/>
        <v>2053</v>
      </c>
      <c r="G378" s="681">
        <v>56188</v>
      </c>
      <c r="H378" s="682">
        <f t="shared" si="91"/>
        <v>1</v>
      </c>
      <c r="J378" s="671">
        <f t="shared" si="77"/>
        <v>2053</v>
      </c>
      <c r="K378" s="683">
        <v>56188</v>
      </c>
      <c r="L378" s="684">
        <f>IF(K378=参数输入表!$I$7,100%,H378)</f>
        <v>1</v>
      </c>
      <c r="N378" s="671">
        <f t="shared" si="80"/>
        <v>2053</v>
      </c>
      <c r="O378" s="681">
        <v>56188</v>
      </c>
      <c r="P378" s="678">
        <f t="shared" si="78"/>
        <v>1</v>
      </c>
    </row>
    <row r="379" spans="2:16">
      <c r="B379" s="671">
        <f t="shared" si="81"/>
        <v>2053</v>
      </c>
      <c r="C379" s="681">
        <v>56218</v>
      </c>
      <c r="D379" s="682">
        <f t="shared" si="90"/>
        <v>1</v>
      </c>
      <c r="F379" s="671">
        <f t="shared" si="79"/>
        <v>2053</v>
      </c>
      <c r="G379" s="681">
        <v>56218</v>
      </c>
      <c r="H379" s="682">
        <f t="shared" si="91"/>
        <v>1</v>
      </c>
      <c r="J379" s="671">
        <f t="shared" si="77"/>
        <v>2053</v>
      </c>
      <c r="K379" s="683">
        <v>56218</v>
      </c>
      <c r="L379" s="684">
        <f>IF(K379=参数输入表!$I$7,100%,H379)</f>
        <v>1</v>
      </c>
      <c r="N379" s="671">
        <f t="shared" si="80"/>
        <v>2053</v>
      </c>
      <c r="O379" s="681">
        <v>56218</v>
      </c>
      <c r="P379" s="678">
        <f t="shared" si="78"/>
        <v>1</v>
      </c>
    </row>
    <row r="380" ht="15.25" spans="2:16">
      <c r="B380" s="671">
        <f t="shared" si="81"/>
        <v>2053</v>
      </c>
      <c r="C380" s="692">
        <v>56249</v>
      </c>
      <c r="D380" s="682">
        <f t="shared" si="90"/>
        <v>1</v>
      </c>
      <c r="F380" s="671">
        <f t="shared" si="79"/>
        <v>2053</v>
      </c>
      <c r="G380" s="692">
        <v>56249</v>
      </c>
      <c r="H380" s="682">
        <f t="shared" si="91"/>
        <v>1</v>
      </c>
      <c r="J380" s="671">
        <f t="shared" si="77"/>
        <v>2053</v>
      </c>
      <c r="K380" s="693">
        <v>56249</v>
      </c>
      <c r="L380" s="684">
        <f>IF(K380=参数输入表!$I$7,100%,H380)</f>
        <v>1</v>
      </c>
      <c r="N380" s="671">
        <f t="shared" si="80"/>
        <v>2053</v>
      </c>
      <c r="O380" s="692">
        <v>56249</v>
      </c>
      <c r="P380" s="678">
        <f t="shared" si="78"/>
        <v>1</v>
      </c>
    </row>
    <row r="381" spans="2:16">
      <c r="B381" s="671">
        <f t="shared" si="81"/>
        <v>2054</v>
      </c>
      <c r="C381" s="694">
        <v>56280</v>
      </c>
      <c r="D381" s="682">
        <f t="shared" si="90"/>
        <v>1</v>
      </c>
      <c r="F381" s="671">
        <f t="shared" si="79"/>
        <v>2054</v>
      </c>
      <c r="G381" s="694">
        <v>56280</v>
      </c>
      <c r="H381" s="682">
        <f t="shared" si="91"/>
        <v>1</v>
      </c>
      <c r="J381" s="671">
        <f t="shared" si="77"/>
        <v>2054</v>
      </c>
      <c r="K381" s="695">
        <v>56280</v>
      </c>
      <c r="L381" s="684">
        <f>IF(K381=参数输入表!$I$7,100%,H381)</f>
        <v>1</v>
      </c>
      <c r="N381" s="671">
        <f t="shared" si="80"/>
        <v>2054</v>
      </c>
      <c r="O381" s="694">
        <v>56280</v>
      </c>
      <c r="P381" s="678">
        <f t="shared" si="78"/>
        <v>1</v>
      </c>
    </row>
    <row r="382" spans="2:16">
      <c r="B382" s="671">
        <f t="shared" si="81"/>
        <v>2054</v>
      </c>
      <c r="C382" s="681">
        <v>56308</v>
      </c>
      <c r="D382" s="682">
        <f t="shared" ref="D382:D391" si="92">$D$100</f>
        <v>1</v>
      </c>
      <c r="F382" s="671">
        <f t="shared" si="79"/>
        <v>2054</v>
      </c>
      <c r="G382" s="681">
        <v>56308</v>
      </c>
      <c r="H382" s="682">
        <f t="shared" ref="H382:H391" si="93">$H$100</f>
        <v>1</v>
      </c>
      <c r="J382" s="671">
        <f t="shared" si="77"/>
        <v>2054</v>
      </c>
      <c r="K382" s="683">
        <v>56308</v>
      </c>
      <c r="L382" s="684">
        <f>IF(K382=参数输入表!$I$7,100%,H382)</f>
        <v>1</v>
      </c>
      <c r="N382" s="671">
        <f t="shared" si="80"/>
        <v>2054</v>
      </c>
      <c r="O382" s="681">
        <v>56308</v>
      </c>
      <c r="P382" s="678">
        <f t="shared" si="78"/>
        <v>1</v>
      </c>
    </row>
    <row r="383" spans="2:16">
      <c r="B383" s="671">
        <f t="shared" si="81"/>
        <v>2054</v>
      </c>
      <c r="C383" s="681">
        <v>56339</v>
      </c>
      <c r="D383" s="682">
        <f t="shared" si="92"/>
        <v>1</v>
      </c>
      <c r="F383" s="671">
        <f t="shared" si="79"/>
        <v>2054</v>
      </c>
      <c r="G383" s="681">
        <v>56339</v>
      </c>
      <c r="H383" s="682">
        <f t="shared" si="93"/>
        <v>1</v>
      </c>
      <c r="J383" s="671">
        <f t="shared" si="77"/>
        <v>2054</v>
      </c>
      <c r="K383" s="683">
        <v>56339</v>
      </c>
      <c r="L383" s="684">
        <f>IF(K383=参数输入表!$I$7,100%,H383)</f>
        <v>1</v>
      </c>
      <c r="N383" s="671">
        <f t="shared" si="80"/>
        <v>2054</v>
      </c>
      <c r="O383" s="681">
        <v>56339</v>
      </c>
      <c r="P383" s="678">
        <f t="shared" si="78"/>
        <v>1</v>
      </c>
    </row>
    <row r="384" spans="2:16">
      <c r="B384" s="671">
        <f t="shared" si="81"/>
        <v>2054</v>
      </c>
      <c r="C384" s="681">
        <v>56369</v>
      </c>
      <c r="D384" s="682">
        <f t="shared" si="92"/>
        <v>1</v>
      </c>
      <c r="F384" s="671">
        <f t="shared" si="79"/>
        <v>2054</v>
      </c>
      <c r="G384" s="681">
        <v>56369</v>
      </c>
      <c r="H384" s="682">
        <f t="shared" si="93"/>
        <v>1</v>
      </c>
      <c r="J384" s="671">
        <f t="shared" si="77"/>
        <v>2054</v>
      </c>
      <c r="K384" s="683">
        <v>56369</v>
      </c>
      <c r="L384" s="684">
        <f>IF(K384=参数输入表!$I$7,100%,H384)</f>
        <v>1</v>
      </c>
      <c r="N384" s="671">
        <f t="shared" si="80"/>
        <v>2054</v>
      </c>
      <c r="O384" s="681">
        <v>56369</v>
      </c>
      <c r="P384" s="678">
        <f t="shared" si="78"/>
        <v>1</v>
      </c>
    </row>
    <row r="385" spans="2:16">
      <c r="B385" s="671">
        <f t="shared" si="81"/>
        <v>2054</v>
      </c>
      <c r="C385" s="681">
        <v>56400</v>
      </c>
      <c r="D385" s="682">
        <f t="shared" si="92"/>
        <v>1</v>
      </c>
      <c r="F385" s="671">
        <f t="shared" si="79"/>
        <v>2054</v>
      </c>
      <c r="G385" s="681">
        <v>56400</v>
      </c>
      <c r="H385" s="682">
        <f t="shared" si="93"/>
        <v>1</v>
      </c>
      <c r="J385" s="671">
        <f t="shared" si="77"/>
        <v>2054</v>
      </c>
      <c r="K385" s="683">
        <v>56400</v>
      </c>
      <c r="L385" s="684">
        <f>IF(K385=参数输入表!$I$7,100%,H385)</f>
        <v>1</v>
      </c>
      <c r="N385" s="671">
        <f t="shared" si="80"/>
        <v>2054</v>
      </c>
      <c r="O385" s="681">
        <v>56400</v>
      </c>
      <c r="P385" s="678">
        <f t="shared" si="78"/>
        <v>1</v>
      </c>
    </row>
    <row r="386" spans="2:16">
      <c r="B386" s="671">
        <f t="shared" si="81"/>
        <v>2054</v>
      </c>
      <c r="C386" s="681">
        <v>56430</v>
      </c>
      <c r="D386" s="682">
        <f t="shared" si="92"/>
        <v>1</v>
      </c>
      <c r="F386" s="671">
        <f t="shared" si="79"/>
        <v>2054</v>
      </c>
      <c r="G386" s="681">
        <v>56430</v>
      </c>
      <c r="H386" s="682">
        <f t="shared" si="93"/>
        <v>1</v>
      </c>
      <c r="J386" s="671">
        <f t="shared" si="77"/>
        <v>2054</v>
      </c>
      <c r="K386" s="683">
        <v>56430</v>
      </c>
      <c r="L386" s="684">
        <f>IF(K386=参数输入表!$I$7,100%,H386)</f>
        <v>1</v>
      </c>
      <c r="N386" s="671">
        <f t="shared" si="80"/>
        <v>2054</v>
      </c>
      <c r="O386" s="681">
        <v>56430</v>
      </c>
      <c r="P386" s="678">
        <f t="shared" si="78"/>
        <v>1</v>
      </c>
    </row>
    <row r="387" spans="2:16">
      <c r="B387" s="671">
        <f t="shared" si="81"/>
        <v>2054</v>
      </c>
      <c r="C387" s="681">
        <v>56461</v>
      </c>
      <c r="D387" s="682">
        <f t="shared" si="92"/>
        <v>1</v>
      </c>
      <c r="F387" s="671">
        <f t="shared" si="79"/>
        <v>2054</v>
      </c>
      <c r="G387" s="681">
        <v>56461</v>
      </c>
      <c r="H387" s="682">
        <f t="shared" si="93"/>
        <v>1</v>
      </c>
      <c r="J387" s="671">
        <f t="shared" si="77"/>
        <v>2054</v>
      </c>
      <c r="K387" s="683">
        <v>56461</v>
      </c>
      <c r="L387" s="684">
        <f>IF(K387=参数输入表!$I$7,100%,H387)</f>
        <v>1</v>
      </c>
      <c r="N387" s="671">
        <f t="shared" si="80"/>
        <v>2054</v>
      </c>
      <c r="O387" s="681">
        <v>56461</v>
      </c>
      <c r="P387" s="678">
        <f t="shared" si="78"/>
        <v>1</v>
      </c>
    </row>
    <row r="388" spans="2:16">
      <c r="B388" s="671">
        <f t="shared" si="81"/>
        <v>2054</v>
      </c>
      <c r="C388" s="681">
        <v>56492</v>
      </c>
      <c r="D388" s="682">
        <f t="shared" si="92"/>
        <v>1</v>
      </c>
      <c r="F388" s="671">
        <f t="shared" si="79"/>
        <v>2054</v>
      </c>
      <c r="G388" s="681">
        <v>56492</v>
      </c>
      <c r="H388" s="682">
        <f t="shared" si="93"/>
        <v>1</v>
      </c>
      <c r="J388" s="671">
        <f t="shared" si="77"/>
        <v>2054</v>
      </c>
      <c r="K388" s="683">
        <v>56492</v>
      </c>
      <c r="L388" s="684">
        <f>IF(K388=参数输入表!$I$7,100%,H388)</f>
        <v>1</v>
      </c>
      <c r="N388" s="671">
        <f t="shared" si="80"/>
        <v>2054</v>
      </c>
      <c r="O388" s="681">
        <v>56492</v>
      </c>
      <c r="P388" s="678">
        <f t="shared" si="78"/>
        <v>1</v>
      </c>
    </row>
    <row r="389" spans="2:16">
      <c r="B389" s="671">
        <f t="shared" si="81"/>
        <v>2054</v>
      </c>
      <c r="C389" s="681">
        <v>56522</v>
      </c>
      <c r="D389" s="682">
        <f t="shared" si="92"/>
        <v>1</v>
      </c>
      <c r="F389" s="671">
        <f t="shared" si="79"/>
        <v>2054</v>
      </c>
      <c r="G389" s="681">
        <v>56522</v>
      </c>
      <c r="H389" s="682">
        <f t="shared" si="93"/>
        <v>1</v>
      </c>
      <c r="J389" s="671">
        <f t="shared" si="77"/>
        <v>2054</v>
      </c>
      <c r="K389" s="683">
        <v>56522</v>
      </c>
      <c r="L389" s="684">
        <f>IF(K389=参数输入表!$I$7,100%,H389)</f>
        <v>1</v>
      </c>
      <c r="N389" s="671">
        <f t="shared" si="80"/>
        <v>2054</v>
      </c>
      <c r="O389" s="681">
        <v>56522</v>
      </c>
      <c r="P389" s="678">
        <f t="shared" si="78"/>
        <v>1</v>
      </c>
    </row>
    <row r="390" spans="2:16">
      <c r="B390" s="671">
        <f t="shared" si="81"/>
        <v>2054</v>
      </c>
      <c r="C390" s="681">
        <v>56553</v>
      </c>
      <c r="D390" s="682">
        <f t="shared" si="92"/>
        <v>1</v>
      </c>
      <c r="F390" s="671">
        <f t="shared" si="79"/>
        <v>2054</v>
      </c>
      <c r="G390" s="681">
        <v>56553</v>
      </c>
      <c r="H390" s="682">
        <f t="shared" si="93"/>
        <v>1</v>
      </c>
      <c r="J390" s="671">
        <f t="shared" si="77"/>
        <v>2054</v>
      </c>
      <c r="K390" s="683">
        <v>56553</v>
      </c>
      <c r="L390" s="684">
        <f>IF(K390=参数输入表!$I$7,100%,H390)</f>
        <v>1</v>
      </c>
      <c r="N390" s="671">
        <f t="shared" si="80"/>
        <v>2054</v>
      </c>
      <c r="O390" s="681">
        <v>56553</v>
      </c>
      <c r="P390" s="678">
        <f t="shared" si="78"/>
        <v>1</v>
      </c>
    </row>
    <row r="391" spans="2:16">
      <c r="B391" s="671">
        <f t="shared" si="81"/>
        <v>2054</v>
      </c>
      <c r="C391" s="681">
        <v>56583</v>
      </c>
      <c r="D391" s="682">
        <f t="shared" si="92"/>
        <v>1</v>
      </c>
      <c r="F391" s="671">
        <f t="shared" si="79"/>
        <v>2054</v>
      </c>
      <c r="G391" s="681">
        <v>56583</v>
      </c>
      <c r="H391" s="682">
        <f t="shared" si="93"/>
        <v>1</v>
      </c>
      <c r="J391" s="671">
        <f t="shared" si="77"/>
        <v>2054</v>
      </c>
      <c r="K391" s="683">
        <v>56583</v>
      </c>
      <c r="L391" s="684">
        <f>IF(K391=参数输入表!$I$7,100%,H391)</f>
        <v>1</v>
      </c>
      <c r="N391" s="671">
        <f t="shared" si="80"/>
        <v>2054</v>
      </c>
      <c r="O391" s="681">
        <v>56583</v>
      </c>
      <c r="P391" s="678">
        <f t="shared" si="78"/>
        <v>1</v>
      </c>
    </row>
    <row r="392" ht="15.25" spans="2:16">
      <c r="B392" s="671">
        <f t="shared" si="81"/>
        <v>2054</v>
      </c>
      <c r="C392" s="692">
        <v>56614</v>
      </c>
      <c r="D392" s="682">
        <f t="shared" ref="D392:D401" si="94">$D$100</f>
        <v>1</v>
      </c>
      <c r="F392" s="671">
        <f t="shared" si="79"/>
        <v>2054</v>
      </c>
      <c r="G392" s="692">
        <v>56614</v>
      </c>
      <c r="H392" s="682">
        <f t="shared" ref="H392:H401" si="95">$H$100</f>
        <v>1</v>
      </c>
      <c r="J392" s="671">
        <f t="shared" si="77"/>
        <v>2054</v>
      </c>
      <c r="K392" s="693">
        <v>56614</v>
      </c>
      <c r="L392" s="684">
        <f>IF(K392=参数输入表!$I$7,100%,H392)</f>
        <v>1</v>
      </c>
      <c r="N392" s="671">
        <f t="shared" si="80"/>
        <v>2054</v>
      </c>
      <c r="O392" s="692">
        <v>56614</v>
      </c>
      <c r="P392" s="678">
        <f t="shared" si="78"/>
        <v>1</v>
      </c>
    </row>
    <row r="393" spans="2:16">
      <c r="B393" s="671">
        <f t="shared" si="81"/>
        <v>2055</v>
      </c>
      <c r="C393" s="694">
        <v>56645</v>
      </c>
      <c r="D393" s="682">
        <f t="shared" si="94"/>
        <v>1</v>
      </c>
      <c r="F393" s="671">
        <f t="shared" si="79"/>
        <v>2055</v>
      </c>
      <c r="G393" s="694">
        <v>56645</v>
      </c>
      <c r="H393" s="682">
        <f t="shared" si="95"/>
        <v>1</v>
      </c>
      <c r="J393" s="671">
        <f t="shared" si="77"/>
        <v>2055</v>
      </c>
      <c r="K393" s="695">
        <v>56645</v>
      </c>
      <c r="L393" s="684">
        <f>IF(K393=参数输入表!$I$7,100%,H393)</f>
        <v>1</v>
      </c>
      <c r="N393" s="671">
        <f t="shared" si="80"/>
        <v>2055</v>
      </c>
      <c r="O393" s="694">
        <v>56645</v>
      </c>
      <c r="P393" s="678">
        <f t="shared" si="78"/>
        <v>1</v>
      </c>
    </row>
    <row r="394" spans="2:16">
      <c r="B394" s="671">
        <f t="shared" si="81"/>
        <v>2055</v>
      </c>
      <c r="C394" s="681">
        <v>56673</v>
      </c>
      <c r="D394" s="682">
        <f t="shared" si="94"/>
        <v>1</v>
      </c>
      <c r="F394" s="671">
        <f t="shared" si="79"/>
        <v>2055</v>
      </c>
      <c r="G394" s="681">
        <v>56673</v>
      </c>
      <c r="H394" s="682">
        <f t="shared" si="95"/>
        <v>1</v>
      </c>
      <c r="J394" s="671">
        <f t="shared" ref="J394:J457" si="96">YEAR(K394)</f>
        <v>2055</v>
      </c>
      <c r="K394" s="683">
        <v>56673</v>
      </c>
      <c r="L394" s="684">
        <f>IF(K394=参数输入表!$I$7,100%,H394)</f>
        <v>1</v>
      </c>
      <c r="N394" s="671">
        <f t="shared" si="80"/>
        <v>2055</v>
      </c>
      <c r="O394" s="681">
        <v>56673</v>
      </c>
      <c r="P394" s="678">
        <f t="shared" ref="P394:P457" si="97">D394*H394</f>
        <v>1</v>
      </c>
    </row>
    <row r="395" spans="2:16">
      <c r="B395" s="671">
        <f t="shared" si="81"/>
        <v>2055</v>
      </c>
      <c r="C395" s="681">
        <v>56704</v>
      </c>
      <c r="D395" s="682">
        <f t="shared" si="94"/>
        <v>1</v>
      </c>
      <c r="F395" s="671">
        <f t="shared" ref="F395:F458" si="98">YEAR(G395)</f>
        <v>2055</v>
      </c>
      <c r="G395" s="681">
        <v>56704</v>
      </c>
      <c r="H395" s="682">
        <f t="shared" si="95"/>
        <v>1</v>
      </c>
      <c r="J395" s="671">
        <f t="shared" si="96"/>
        <v>2055</v>
      </c>
      <c r="K395" s="683">
        <v>56704</v>
      </c>
      <c r="L395" s="684">
        <f>IF(K395=参数输入表!$I$7,100%,H395)</f>
        <v>1</v>
      </c>
      <c r="N395" s="671">
        <f t="shared" ref="N395:N458" si="99">YEAR(O395)</f>
        <v>2055</v>
      </c>
      <c r="O395" s="681">
        <v>56704</v>
      </c>
      <c r="P395" s="678">
        <f t="shared" si="97"/>
        <v>1</v>
      </c>
    </row>
    <row r="396" spans="2:16">
      <c r="B396" s="671">
        <f t="shared" ref="B396:B459" si="100">YEAR(C396)</f>
        <v>2055</v>
      </c>
      <c r="C396" s="681">
        <v>56734</v>
      </c>
      <c r="D396" s="682">
        <f t="shared" si="94"/>
        <v>1</v>
      </c>
      <c r="F396" s="671">
        <f t="shared" si="98"/>
        <v>2055</v>
      </c>
      <c r="G396" s="681">
        <v>56734</v>
      </c>
      <c r="H396" s="682">
        <f t="shared" si="95"/>
        <v>1</v>
      </c>
      <c r="J396" s="671">
        <f t="shared" si="96"/>
        <v>2055</v>
      </c>
      <c r="K396" s="683">
        <v>56734</v>
      </c>
      <c r="L396" s="684">
        <f>IF(K396=参数输入表!$I$7,100%,H396)</f>
        <v>1</v>
      </c>
      <c r="N396" s="671">
        <f t="shared" si="99"/>
        <v>2055</v>
      </c>
      <c r="O396" s="681">
        <v>56734</v>
      </c>
      <c r="P396" s="678">
        <f t="shared" si="97"/>
        <v>1</v>
      </c>
    </row>
    <row r="397" spans="2:16">
      <c r="B397" s="671">
        <f t="shared" si="100"/>
        <v>2055</v>
      </c>
      <c r="C397" s="681">
        <v>56765</v>
      </c>
      <c r="D397" s="682">
        <f t="shared" si="94"/>
        <v>1</v>
      </c>
      <c r="F397" s="671">
        <f t="shared" si="98"/>
        <v>2055</v>
      </c>
      <c r="G397" s="681">
        <v>56765</v>
      </c>
      <c r="H397" s="682">
        <f t="shared" si="95"/>
        <v>1</v>
      </c>
      <c r="J397" s="671">
        <f t="shared" si="96"/>
        <v>2055</v>
      </c>
      <c r="K397" s="683">
        <v>56765</v>
      </c>
      <c r="L397" s="684">
        <f>IF(K397=参数输入表!$I$7,100%,H397)</f>
        <v>1</v>
      </c>
      <c r="N397" s="671">
        <f t="shared" si="99"/>
        <v>2055</v>
      </c>
      <c r="O397" s="681">
        <v>56765</v>
      </c>
      <c r="P397" s="678">
        <f t="shared" si="97"/>
        <v>1</v>
      </c>
    </row>
    <row r="398" spans="2:16">
      <c r="B398" s="671">
        <f t="shared" si="100"/>
        <v>2055</v>
      </c>
      <c r="C398" s="681">
        <v>56795</v>
      </c>
      <c r="D398" s="682">
        <f t="shared" si="94"/>
        <v>1</v>
      </c>
      <c r="F398" s="671">
        <f t="shared" si="98"/>
        <v>2055</v>
      </c>
      <c r="G398" s="681">
        <v>56795</v>
      </c>
      <c r="H398" s="682">
        <f t="shared" si="95"/>
        <v>1</v>
      </c>
      <c r="J398" s="671">
        <f t="shared" si="96"/>
        <v>2055</v>
      </c>
      <c r="K398" s="683">
        <v>56795</v>
      </c>
      <c r="L398" s="684">
        <f>IF(K398=参数输入表!$I$7,100%,H398)</f>
        <v>1</v>
      </c>
      <c r="N398" s="671">
        <f t="shared" si="99"/>
        <v>2055</v>
      </c>
      <c r="O398" s="681">
        <v>56795</v>
      </c>
      <c r="P398" s="678">
        <f t="shared" si="97"/>
        <v>1</v>
      </c>
    </row>
    <row r="399" spans="2:16">
      <c r="B399" s="671">
        <f t="shared" si="100"/>
        <v>2055</v>
      </c>
      <c r="C399" s="681">
        <v>56826</v>
      </c>
      <c r="D399" s="682">
        <f t="shared" si="94"/>
        <v>1</v>
      </c>
      <c r="F399" s="671">
        <f t="shared" si="98"/>
        <v>2055</v>
      </c>
      <c r="G399" s="681">
        <v>56826</v>
      </c>
      <c r="H399" s="682">
        <f t="shared" si="95"/>
        <v>1</v>
      </c>
      <c r="J399" s="671">
        <f t="shared" si="96"/>
        <v>2055</v>
      </c>
      <c r="K399" s="683">
        <v>56826</v>
      </c>
      <c r="L399" s="684">
        <f>IF(K399=参数输入表!$I$7,100%,H399)</f>
        <v>1</v>
      </c>
      <c r="N399" s="671">
        <f t="shared" si="99"/>
        <v>2055</v>
      </c>
      <c r="O399" s="681">
        <v>56826</v>
      </c>
      <c r="P399" s="678">
        <f t="shared" si="97"/>
        <v>1</v>
      </c>
    </row>
    <row r="400" spans="2:16">
      <c r="B400" s="671">
        <f t="shared" si="100"/>
        <v>2055</v>
      </c>
      <c r="C400" s="681">
        <v>56857</v>
      </c>
      <c r="D400" s="682">
        <f t="shared" si="94"/>
        <v>1</v>
      </c>
      <c r="F400" s="671">
        <f t="shared" si="98"/>
        <v>2055</v>
      </c>
      <c r="G400" s="681">
        <v>56857</v>
      </c>
      <c r="H400" s="682">
        <f t="shared" si="95"/>
        <v>1</v>
      </c>
      <c r="J400" s="671">
        <f t="shared" si="96"/>
        <v>2055</v>
      </c>
      <c r="K400" s="683">
        <v>56857</v>
      </c>
      <c r="L400" s="684">
        <f>IF(K400=参数输入表!$I$7,100%,H400)</f>
        <v>1</v>
      </c>
      <c r="N400" s="671">
        <f t="shared" si="99"/>
        <v>2055</v>
      </c>
      <c r="O400" s="681">
        <v>56857</v>
      </c>
      <c r="P400" s="678">
        <f t="shared" si="97"/>
        <v>1</v>
      </c>
    </row>
    <row r="401" spans="2:16">
      <c r="B401" s="671">
        <f t="shared" si="100"/>
        <v>2055</v>
      </c>
      <c r="C401" s="681">
        <v>56887</v>
      </c>
      <c r="D401" s="682">
        <f t="shared" si="94"/>
        <v>1</v>
      </c>
      <c r="F401" s="671">
        <f t="shared" si="98"/>
        <v>2055</v>
      </c>
      <c r="G401" s="681">
        <v>56887</v>
      </c>
      <c r="H401" s="682">
        <f t="shared" si="95"/>
        <v>1</v>
      </c>
      <c r="J401" s="671">
        <f t="shared" si="96"/>
        <v>2055</v>
      </c>
      <c r="K401" s="683">
        <v>56887</v>
      </c>
      <c r="L401" s="684">
        <f>IF(K401=参数输入表!$I$7,100%,H401)</f>
        <v>1</v>
      </c>
      <c r="N401" s="671">
        <f t="shared" si="99"/>
        <v>2055</v>
      </c>
      <c r="O401" s="681">
        <v>56887</v>
      </c>
      <c r="P401" s="678">
        <f t="shared" si="97"/>
        <v>1</v>
      </c>
    </row>
    <row r="402" spans="2:16">
      <c r="B402" s="671">
        <f t="shared" si="100"/>
        <v>2055</v>
      </c>
      <c r="C402" s="681">
        <v>56918</v>
      </c>
      <c r="D402" s="682">
        <f t="shared" ref="D402:D411" si="101">$D$100</f>
        <v>1</v>
      </c>
      <c r="F402" s="671">
        <f t="shared" si="98"/>
        <v>2055</v>
      </c>
      <c r="G402" s="681">
        <v>56918</v>
      </c>
      <c r="H402" s="682">
        <f t="shared" ref="H402:H411" si="102">$H$100</f>
        <v>1</v>
      </c>
      <c r="J402" s="671">
        <f t="shared" si="96"/>
        <v>2055</v>
      </c>
      <c r="K402" s="683">
        <v>56918</v>
      </c>
      <c r="L402" s="684">
        <f>IF(K402=参数输入表!$I$7,100%,H402)</f>
        <v>1</v>
      </c>
      <c r="N402" s="671">
        <f t="shared" si="99"/>
        <v>2055</v>
      </c>
      <c r="O402" s="681">
        <v>56918</v>
      </c>
      <c r="P402" s="678">
        <f t="shared" si="97"/>
        <v>1</v>
      </c>
    </row>
    <row r="403" spans="2:16">
      <c r="B403" s="671">
        <f t="shared" si="100"/>
        <v>2055</v>
      </c>
      <c r="C403" s="681">
        <v>56948</v>
      </c>
      <c r="D403" s="682">
        <f t="shared" si="101"/>
        <v>1</v>
      </c>
      <c r="F403" s="671">
        <f t="shared" si="98"/>
        <v>2055</v>
      </c>
      <c r="G403" s="681">
        <v>56948</v>
      </c>
      <c r="H403" s="682">
        <f t="shared" si="102"/>
        <v>1</v>
      </c>
      <c r="J403" s="671">
        <f t="shared" si="96"/>
        <v>2055</v>
      </c>
      <c r="K403" s="683">
        <v>56948</v>
      </c>
      <c r="L403" s="684">
        <f>IF(K403=参数输入表!$I$7,100%,H403)</f>
        <v>1</v>
      </c>
      <c r="N403" s="671">
        <f t="shared" si="99"/>
        <v>2055</v>
      </c>
      <c r="O403" s="681">
        <v>56948</v>
      </c>
      <c r="P403" s="678">
        <f t="shared" si="97"/>
        <v>1</v>
      </c>
    </row>
    <row r="404" ht="15.25" spans="2:16">
      <c r="B404" s="671">
        <f t="shared" si="100"/>
        <v>2055</v>
      </c>
      <c r="C404" s="692">
        <v>56979</v>
      </c>
      <c r="D404" s="682">
        <f t="shared" si="101"/>
        <v>1</v>
      </c>
      <c r="F404" s="671">
        <f t="shared" si="98"/>
        <v>2055</v>
      </c>
      <c r="G404" s="692">
        <v>56979</v>
      </c>
      <c r="H404" s="682">
        <f t="shared" si="102"/>
        <v>1</v>
      </c>
      <c r="J404" s="671">
        <f t="shared" si="96"/>
        <v>2055</v>
      </c>
      <c r="K404" s="693">
        <v>56979</v>
      </c>
      <c r="L404" s="684">
        <f>IF(K404=参数输入表!$I$7,100%,H404)</f>
        <v>1</v>
      </c>
      <c r="N404" s="671">
        <f t="shared" si="99"/>
        <v>2055</v>
      </c>
      <c r="O404" s="692">
        <v>56979</v>
      </c>
      <c r="P404" s="678">
        <f t="shared" si="97"/>
        <v>1</v>
      </c>
    </row>
    <row r="405" spans="2:16">
      <c r="B405" s="671">
        <f t="shared" si="100"/>
        <v>2056</v>
      </c>
      <c r="C405" s="694">
        <v>57010</v>
      </c>
      <c r="D405" s="682">
        <f t="shared" si="101"/>
        <v>1</v>
      </c>
      <c r="F405" s="671">
        <f t="shared" si="98"/>
        <v>2056</v>
      </c>
      <c r="G405" s="694">
        <v>57010</v>
      </c>
      <c r="H405" s="682">
        <f t="shared" si="102"/>
        <v>1</v>
      </c>
      <c r="J405" s="671">
        <f t="shared" si="96"/>
        <v>2056</v>
      </c>
      <c r="K405" s="695">
        <v>57010</v>
      </c>
      <c r="L405" s="684">
        <f>IF(K405=参数输入表!$I$7,100%,H405)</f>
        <v>1</v>
      </c>
      <c r="N405" s="671">
        <f t="shared" si="99"/>
        <v>2056</v>
      </c>
      <c r="O405" s="694">
        <v>57010</v>
      </c>
      <c r="P405" s="678">
        <f t="shared" si="97"/>
        <v>1</v>
      </c>
    </row>
    <row r="406" spans="2:16">
      <c r="B406" s="671">
        <f t="shared" si="100"/>
        <v>2056</v>
      </c>
      <c r="C406" s="681">
        <v>57039</v>
      </c>
      <c r="D406" s="682">
        <f t="shared" si="101"/>
        <v>1</v>
      </c>
      <c r="F406" s="671">
        <f t="shared" si="98"/>
        <v>2056</v>
      </c>
      <c r="G406" s="681">
        <v>57039</v>
      </c>
      <c r="H406" s="682">
        <f t="shared" si="102"/>
        <v>1</v>
      </c>
      <c r="J406" s="671">
        <f t="shared" si="96"/>
        <v>2056</v>
      </c>
      <c r="K406" s="683">
        <v>57039</v>
      </c>
      <c r="L406" s="684">
        <f>IF(K406=参数输入表!$I$7,100%,H406)</f>
        <v>1</v>
      </c>
      <c r="N406" s="671">
        <f t="shared" si="99"/>
        <v>2056</v>
      </c>
      <c r="O406" s="681">
        <v>57039</v>
      </c>
      <c r="P406" s="678">
        <f t="shared" si="97"/>
        <v>1</v>
      </c>
    </row>
    <row r="407" spans="2:16">
      <c r="B407" s="671">
        <f t="shared" si="100"/>
        <v>2056</v>
      </c>
      <c r="C407" s="681">
        <v>57070</v>
      </c>
      <c r="D407" s="682">
        <f t="shared" si="101"/>
        <v>1</v>
      </c>
      <c r="F407" s="671">
        <f t="shared" si="98"/>
        <v>2056</v>
      </c>
      <c r="G407" s="681">
        <v>57070</v>
      </c>
      <c r="H407" s="682">
        <f t="shared" si="102"/>
        <v>1</v>
      </c>
      <c r="J407" s="671">
        <f t="shared" si="96"/>
        <v>2056</v>
      </c>
      <c r="K407" s="683">
        <v>57070</v>
      </c>
      <c r="L407" s="684">
        <f>IF(K407=参数输入表!$I$7,100%,H407)</f>
        <v>1</v>
      </c>
      <c r="N407" s="671">
        <f t="shared" si="99"/>
        <v>2056</v>
      </c>
      <c r="O407" s="681">
        <v>57070</v>
      </c>
      <c r="P407" s="678">
        <f t="shared" si="97"/>
        <v>1</v>
      </c>
    </row>
    <row r="408" spans="2:16">
      <c r="B408" s="671">
        <f t="shared" si="100"/>
        <v>2056</v>
      </c>
      <c r="C408" s="681">
        <v>57100</v>
      </c>
      <c r="D408" s="682">
        <f t="shared" si="101"/>
        <v>1</v>
      </c>
      <c r="F408" s="671">
        <f t="shared" si="98"/>
        <v>2056</v>
      </c>
      <c r="G408" s="681">
        <v>57100</v>
      </c>
      <c r="H408" s="682">
        <f t="shared" si="102"/>
        <v>1</v>
      </c>
      <c r="J408" s="671">
        <f t="shared" si="96"/>
        <v>2056</v>
      </c>
      <c r="K408" s="683">
        <v>57100</v>
      </c>
      <c r="L408" s="684">
        <f>IF(K408=参数输入表!$I$7,100%,H408)</f>
        <v>1</v>
      </c>
      <c r="N408" s="671">
        <f t="shared" si="99"/>
        <v>2056</v>
      </c>
      <c r="O408" s="681">
        <v>57100</v>
      </c>
      <c r="P408" s="678">
        <f t="shared" si="97"/>
        <v>1</v>
      </c>
    </row>
    <row r="409" spans="2:16">
      <c r="B409" s="671">
        <f t="shared" si="100"/>
        <v>2056</v>
      </c>
      <c r="C409" s="681">
        <v>57131</v>
      </c>
      <c r="D409" s="682">
        <f t="shared" si="101"/>
        <v>1</v>
      </c>
      <c r="F409" s="671">
        <f t="shared" si="98"/>
        <v>2056</v>
      </c>
      <c r="G409" s="681">
        <v>57131</v>
      </c>
      <c r="H409" s="682">
        <f t="shared" si="102"/>
        <v>1</v>
      </c>
      <c r="J409" s="671">
        <f t="shared" si="96"/>
        <v>2056</v>
      </c>
      <c r="K409" s="683">
        <v>57131</v>
      </c>
      <c r="L409" s="684">
        <f>IF(K409=参数输入表!$I$7,100%,H409)</f>
        <v>1</v>
      </c>
      <c r="N409" s="671">
        <f t="shared" si="99"/>
        <v>2056</v>
      </c>
      <c r="O409" s="681">
        <v>57131</v>
      </c>
      <c r="P409" s="678">
        <f t="shared" si="97"/>
        <v>1</v>
      </c>
    </row>
    <row r="410" spans="2:16">
      <c r="B410" s="671">
        <f t="shared" si="100"/>
        <v>2056</v>
      </c>
      <c r="C410" s="681">
        <v>57161</v>
      </c>
      <c r="D410" s="682">
        <f t="shared" si="101"/>
        <v>1</v>
      </c>
      <c r="F410" s="671">
        <f t="shared" si="98"/>
        <v>2056</v>
      </c>
      <c r="G410" s="681">
        <v>57161</v>
      </c>
      <c r="H410" s="682">
        <f t="shared" si="102"/>
        <v>1</v>
      </c>
      <c r="J410" s="671">
        <f t="shared" si="96"/>
        <v>2056</v>
      </c>
      <c r="K410" s="683">
        <v>57161</v>
      </c>
      <c r="L410" s="684">
        <f>IF(K410=参数输入表!$I$7,100%,H410)</f>
        <v>1</v>
      </c>
      <c r="N410" s="671">
        <f t="shared" si="99"/>
        <v>2056</v>
      </c>
      <c r="O410" s="681">
        <v>57161</v>
      </c>
      <c r="P410" s="678">
        <f t="shared" si="97"/>
        <v>1</v>
      </c>
    </row>
    <row r="411" spans="2:16">
      <c r="B411" s="671">
        <f t="shared" si="100"/>
        <v>2056</v>
      </c>
      <c r="C411" s="681">
        <v>57192</v>
      </c>
      <c r="D411" s="682">
        <f t="shared" si="101"/>
        <v>1</v>
      </c>
      <c r="F411" s="671">
        <f t="shared" si="98"/>
        <v>2056</v>
      </c>
      <c r="G411" s="681">
        <v>57192</v>
      </c>
      <c r="H411" s="682">
        <f t="shared" si="102"/>
        <v>1</v>
      </c>
      <c r="J411" s="671">
        <f t="shared" si="96"/>
        <v>2056</v>
      </c>
      <c r="K411" s="683">
        <v>57192</v>
      </c>
      <c r="L411" s="684">
        <f>IF(K411=参数输入表!$I$7,100%,H411)</f>
        <v>1</v>
      </c>
      <c r="N411" s="671">
        <f t="shared" si="99"/>
        <v>2056</v>
      </c>
      <c r="O411" s="681">
        <v>57192</v>
      </c>
      <c r="P411" s="678">
        <f t="shared" si="97"/>
        <v>1</v>
      </c>
    </row>
    <row r="412" spans="2:16">
      <c r="B412" s="671">
        <f t="shared" si="100"/>
        <v>2056</v>
      </c>
      <c r="C412" s="681">
        <v>57223</v>
      </c>
      <c r="D412" s="682">
        <f t="shared" ref="D412:D421" si="103">$D$100</f>
        <v>1</v>
      </c>
      <c r="F412" s="671">
        <f t="shared" si="98"/>
        <v>2056</v>
      </c>
      <c r="G412" s="681">
        <v>57223</v>
      </c>
      <c r="H412" s="682">
        <f t="shared" ref="H412:H421" si="104">$H$100</f>
        <v>1</v>
      </c>
      <c r="J412" s="671">
        <f t="shared" si="96"/>
        <v>2056</v>
      </c>
      <c r="K412" s="683">
        <v>57223</v>
      </c>
      <c r="L412" s="684">
        <f>IF(K412=参数输入表!$I$7,100%,H412)</f>
        <v>1</v>
      </c>
      <c r="N412" s="671">
        <f t="shared" si="99"/>
        <v>2056</v>
      </c>
      <c r="O412" s="681">
        <v>57223</v>
      </c>
      <c r="P412" s="678">
        <f t="shared" si="97"/>
        <v>1</v>
      </c>
    </row>
    <row r="413" spans="2:16">
      <c r="B413" s="671">
        <f t="shared" si="100"/>
        <v>2056</v>
      </c>
      <c r="C413" s="681">
        <v>57253</v>
      </c>
      <c r="D413" s="682">
        <f t="shared" si="103"/>
        <v>1</v>
      </c>
      <c r="F413" s="671">
        <f t="shared" si="98"/>
        <v>2056</v>
      </c>
      <c r="G413" s="681">
        <v>57253</v>
      </c>
      <c r="H413" s="682">
        <f t="shared" si="104"/>
        <v>1</v>
      </c>
      <c r="J413" s="671">
        <f t="shared" si="96"/>
        <v>2056</v>
      </c>
      <c r="K413" s="683">
        <v>57253</v>
      </c>
      <c r="L413" s="684">
        <f>IF(K413=参数输入表!$I$7,100%,H413)</f>
        <v>1</v>
      </c>
      <c r="N413" s="671">
        <f t="shared" si="99"/>
        <v>2056</v>
      </c>
      <c r="O413" s="681">
        <v>57253</v>
      </c>
      <c r="P413" s="678">
        <f t="shared" si="97"/>
        <v>1</v>
      </c>
    </row>
    <row r="414" spans="2:16">
      <c r="B414" s="671">
        <f t="shared" si="100"/>
        <v>2056</v>
      </c>
      <c r="C414" s="681">
        <v>57284</v>
      </c>
      <c r="D414" s="682">
        <f t="shared" si="103"/>
        <v>1</v>
      </c>
      <c r="F414" s="671">
        <f t="shared" si="98"/>
        <v>2056</v>
      </c>
      <c r="G414" s="681">
        <v>57284</v>
      </c>
      <c r="H414" s="682">
        <f t="shared" si="104"/>
        <v>1</v>
      </c>
      <c r="J414" s="671">
        <f t="shared" si="96"/>
        <v>2056</v>
      </c>
      <c r="K414" s="683">
        <v>57284</v>
      </c>
      <c r="L414" s="684">
        <f>IF(K414=参数输入表!$I$7,100%,H414)</f>
        <v>1</v>
      </c>
      <c r="N414" s="671">
        <f t="shared" si="99"/>
        <v>2056</v>
      </c>
      <c r="O414" s="681">
        <v>57284</v>
      </c>
      <c r="P414" s="678">
        <f t="shared" si="97"/>
        <v>1</v>
      </c>
    </row>
    <row r="415" spans="2:16">
      <c r="B415" s="671">
        <f t="shared" si="100"/>
        <v>2056</v>
      </c>
      <c r="C415" s="681">
        <v>57314</v>
      </c>
      <c r="D415" s="682">
        <f t="shared" si="103"/>
        <v>1</v>
      </c>
      <c r="F415" s="671">
        <f t="shared" si="98"/>
        <v>2056</v>
      </c>
      <c r="G415" s="681">
        <v>57314</v>
      </c>
      <c r="H415" s="682">
        <f t="shared" si="104"/>
        <v>1</v>
      </c>
      <c r="J415" s="671">
        <f t="shared" si="96"/>
        <v>2056</v>
      </c>
      <c r="K415" s="683">
        <v>57314</v>
      </c>
      <c r="L415" s="684">
        <f>IF(K415=参数输入表!$I$7,100%,H415)</f>
        <v>1</v>
      </c>
      <c r="N415" s="671">
        <f t="shared" si="99"/>
        <v>2056</v>
      </c>
      <c r="O415" s="681">
        <v>57314</v>
      </c>
      <c r="P415" s="678">
        <f t="shared" si="97"/>
        <v>1</v>
      </c>
    </row>
    <row r="416" ht="15.25" spans="2:16">
      <c r="B416" s="671">
        <f t="shared" si="100"/>
        <v>2056</v>
      </c>
      <c r="C416" s="692">
        <v>57345</v>
      </c>
      <c r="D416" s="682">
        <f t="shared" si="103"/>
        <v>1</v>
      </c>
      <c r="F416" s="671">
        <f t="shared" si="98"/>
        <v>2056</v>
      </c>
      <c r="G416" s="692">
        <v>57345</v>
      </c>
      <c r="H416" s="682">
        <f t="shared" si="104"/>
        <v>1</v>
      </c>
      <c r="J416" s="671">
        <f t="shared" si="96"/>
        <v>2056</v>
      </c>
      <c r="K416" s="693">
        <v>57345</v>
      </c>
      <c r="L416" s="684">
        <f>IF(K416=参数输入表!$I$7,100%,H416)</f>
        <v>1</v>
      </c>
      <c r="N416" s="671">
        <f t="shared" si="99"/>
        <v>2056</v>
      </c>
      <c r="O416" s="692">
        <v>57345</v>
      </c>
      <c r="P416" s="678">
        <f t="shared" si="97"/>
        <v>1</v>
      </c>
    </row>
    <row r="417" spans="2:16">
      <c r="B417" s="671">
        <f t="shared" si="100"/>
        <v>2057</v>
      </c>
      <c r="C417" s="694">
        <v>57376</v>
      </c>
      <c r="D417" s="682">
        <f t="shared" si="103"/>
        <v>1</v>
      </c>
      <c r="F417" s="671">
        <f t="shared" si="98"/>
        <v>2057</v>
      </c>
      <c r="G417" s="694">
        <v>57376</v>
      </c>
      <c r="H417" s="682">
        <f t="shared" si="104"/>
        <v>1</v>
      </c>
      <c r="J417" s="671">
        <f t="shared" si="96"/>
        <v>2057</v>
      </c>
      <c r="K417" s="695">
        <v>57376</v>
      </c>
      <c r="L417" s="684">
        <f>IF(K417=参数输入表!$I$7,100%,H417)</f>
        <v>1</v>
      </c>
      <c r="N417" s="671">
        <f t="shared" si="99"/>
        <v>2057</v>
      </c>
      <c r="O417" s="694">
        <v>57376</v>
      </c>
      <c r="P417" s="678">
        <f t="shared" si="97"/>
        <v>1</v>
      </c>
    </row>
    <row r="418" spans="2:16">
      <c r="B418" s="671">
        <f t="shared" si="100"/>
        <v>2057</v>
      </c>
      <c r="C418" s="681">
        <v>57404</v>
      </c>
      <c r="D418" s="682">
        <f t="shared" si="103"/>
        <v>1</v>
      </c>
      <c r="F418" s="671">
        <f t="shared" si="98"/>
        <v>2057</v>
      </c>
      <c r="G418" s="681">
        <v>57404</v>
      </c>
      <c r="H418" s="682">
        <f t="shared" si="104"/>
        <v>1</v>
      </c>
      <c r="J418" s="671">
        <f t="shared" si="96"/>
        <v>2057</v>
      </c>
      <c r="K418" s="683">
        <v>57404</v>
      </c>
      <c r="L418" s="684">
        <f>IF(K418=参数输入表!$I$7,100%,H418)</f>
        <v>1</v>
      </c>
      <c r="N418" s="671">
        <f t="shared" si="99"/>
        <v>2057</v>
      </c>
      <c r="O418" s="681">
        <v>57404</v>
      </c>
      <c r="P418" s="678">
        <f t="shared" si="97"/>
        <v>1</v>
      </c>
    </row>
    <row r="419" spans="2:16">
      <c r="B419" s="671">
        <f t="shared" si="100"/>
        <v>2057</v>
      </c>
      <c r="C419" s="681">
        <v>57435</v>
      </c>
      <c r="D419" s="682">
        <f t="shared" si="103"/>
        <v>1</v>
      </c>
      <c r="F419" s="671">
        <f t="shared" si="98"/>
        <v>2057</v>
      </c>
      <c r="G419" s="681">
        <v>57435</v>
      </c>
      <c r="H419" s="682">
        <f t="shared" si="104"/>
        <v>1</v>
      </c>
      <c r="J419" s="671">
        <f t="shared" si="96"/>
        <v>2057</v>
      </c>
      <c r="K419" s="683">
        <v>57435</v>
      </c>
      <c r="L419" s="684">
        <f>IF(K419=参数输入表!$I$7,100%,H419)</f>
        <v>1</v>
      </c>
      <c r="N419" s="671">
        <f t="shared" si="99"/>
        <v>2057</v>
      </c>
      <c r="O419" s="681">
        <v>57435</v>
      </c>
      <c r="P419" s="678">
        <f t="shared" si="97"/>
        <v>1</v>
      </c>
    </row>
    <row r="420" spans="2:16">
      <c r="B420" s="671">
        <f t="shared" si="100"/>
        <v>2057</v>
      </c>
      <c r="C420" s="681">
        <v>57465</v>
      </c>
      <c r="D420" s="682">
        <f t="shared" si="103"/>
        <v>1</v>
      </c>
      <c r="F420" s="671">
        <f t="shared" si="98"/>
        <v>2057</v>
      </c>
      <c r="G420" s="681">
        <v>57465</v>
      </c>
      <c r="H420" s="682">
        <f t="shared" si="104"/>
        <v>1</v>
      </c>
      <c r="J420" s="671">
        <f t="shared" si="96"/>
        <v>2057</v>
      </c>
      <c r="K420" s="683">
        <v>57465</v>
      </c>
      <c r="L420" s="684">
        <f>IF(K420=参数输入表!$I$7,100%,H420)</f>
        <v>1</v>
      </c>
      <c r="N420" s="671">
        <f t="shared" si="99"/>
        <v>2057</v>
      </c>
      <c r="O420" s="681">
        <v>57465</v>
      </c>
      <c r="P420" s="678">
        <f t="shared" si="97"/>
        <v>1</v>
      </c>
    </row>
    <row r="421" spans="2:16">
      <c r="B421" s="671">
        <f t="shared" si="100"/>
        <v>2057</v>
      </c>
      <c r="C421" s="681">
        <v>57496</v>
      </c>
      <c r="D421" s="682">
        <f t="shared" si="103"/>
        <v>1</v>
      </c>
      <c r="F421" s="671">
        <f t="shared" si="98"/>
        <v>2057</v>
      </c>
      <c r="G421" s="681">
        <v>57496</v>
      </c>
      <c r="H421" s="682">
        <f t="shared" si="104"/>
        <v>1</v>
      </c>
      <c r="J421" s="671">
        <f t="shared" si="96"/>
        <v>2057</v>
      </c>
      <c r="K421" s="683">
        <v>57496</v>
      </c>
      <c r="L421" s="684">
        <f>IF(K421=参数输入表!$I$7,100%,H421)</f>
        <v>1</v>
      </c>
      <c r="N421" s="671">
        <f t="shared" si="99"/>
        <v>2057</v>
      </c>
      <c r="O421" s="681">
        <v>57496</v>
      </c>
      <c r="P421" s="678">
        <f t="shared" si="97"/>
        <v>1</v>
      </c>
    </row>
    <row r="422" spans="2:16">
      <c r="B422" s="671">
        <f t="shared" si="100"/>
        <v>2057</v>
      </c>
      <c r="C422" s="681">
        <v>57526</v>
      </c>
      <c r="D422" s="682">
        <f t="shared" ref="D422:D431" si="105">$D$100</f>
        <v>1</v>
      </c>
      <c r="F422" s="671">
        <f t="shared" si="98"/>
        <v>2057</v>
      </c>
      <c r="G422" s="681">
        <v>57526</v>
      </c>
      <c r="H422" s="682">
        <f t="shared" ref="H422:H431" si="106">$H$100</f>
        <v>1</v>
      </c>
      <c r="J422" s="671">
        <f t="shared" si="96"/>
        <v>2057</v>
      </c>
      <c r="K422" s="683">
        <v>57526</v>
      </c>
      <c r="L422" s="684">
        <f>IF(K422=参数输入表!$I$7,100%,H422)</f>
        <v>1</v>
      </c>
      <c r="N422" s="671">
        <f t="shared" si="99"/>
        <v>2057</v>
      </c>
      <c r="O422" s="681">
        <v>57526</v>
      </c>
      <c r="P422" s="678">
        <f t="shared" si="97"/>
        <v>1</v>
      </c>
    </row>
    <row r="423" spans="2:16">
      <c r="B423" s="671">
        <f t="shared" si="100"/>
        <v>2057</v>
      </c>
      <c r="C423" s="681">
        <v>57557</v>
      </c>
      <c r="D423" s="682">
        <f t="shared" si="105"/>
        <v>1</v>
      </c>
      <c r="F423" s="671">
        <f t="shared" si="98"/>
        <v>2057</v>
      </c>
      <c r="G423" s="681">
        <v>57557</v>
      </c>
      <c r="H423" s="682">
        <f t="shared" si="106"/>
        <v>1</v>
      </c>
      <c r="J423" s="671">
        <f t="shared" si="96"/>
        <v>2057</v>
      </c>
      <c r="K423" s="683">
        <v>57557</v>
      </c>
      <c r="L423" s="684">
        <f>IF(K423=参数输入表!$I$7,100%,H423)</f>
        <v>1</v>
      </c>
      <c r="N423" s="671">
        <f t="shared" si="99"/>
        <v>2057</v>
      </c>
      <c r="O423" s="681">
        <v>57557</v>
      </c>
      <c r="P423" s="678">
        <f t="shared" si="97"/>
        <v>1</v>
      </c>
    </row>
    <row r="424" spans="2:16">
      <c r="B424" s="671">
        <f t="shared" si="100"/>
        <v>2057</v>
      </c>
      <c r="C424" s="681">
        <v>57588</v>
      </c>
      <c r="D424" s="682">
        <f t="shared" si="105"/>
        <v>1</v>
      </c>
      <c r="F424" s="671">
        <f t="shared" si="98"/>
        <v>2057</v>
      </c>
      <c r="G424" s="681">
        <v>57588</v>
      </c>
      <c r="H424" s="682">
        <f t="shared" si="106"/>
        <v>1</v>
      </c>
      <c r="J424" s="671">
        <f t="shared" si="96"/>
        <v>2057</v>
      </c>
      <c r="K424" s="683">
        <v>57588</v>
      </c>
      <c r="L424" s="684">
        <f>IF(K424=参数输入表!$I$7,100%,H424)</f>
        <v>1</v>
      </c>
      <c r="N424" s="671">
        <f t="shared" si="99"/>
        <v>2057</v>
      </c>
      <c r="O424" s="681">
        <v>57588</v>
      </c>
      <c r="P424" s="678">
        <f t="shared" si="97"/>
        <v>1</v>
      </c>
    </row>
    <row r="425" spans="2:16">
      <c r="B425" s="671">
        <f t="shared" si="100"/>
        <v>2057</v>
      </c>
      <c r="C425" s="681">
        <v>57618</v>
      </c>
      <c r="D425" s="682">
        <f t="shared" si="105"/>
        <v>1</v>
      </c>
      <c r="F425" s="671">
        <f t="shared" si="98"/>
        <v>2057</v>
      </c>
      <c r="G425" s="681">
        <v>57618</v>
      </c>
      <c r="H425" s="682">
        <f t="shared" si="106"/>
        <v>1</v>
      </c>
      <c r="J425" s="671">
        <f t="shared" si="96"/>
        <v>2057</v>
      </c>
      <c r="K425" s="683">
        <v>57618</v>
      </c>
      <c r="L425" s="684">
        <f>IF(K425=参数输入表!$I$7,100%,H425)</f>
        <v>1</v>
      </c>
      <c r="N425" s="671">
        <f t="shared" si="99"/>
        <v>2057</v>
      </c>
      <c r="O425" s="681">
        <v>57618</v>
      </c>
      <c r="P425" s="678">
        <f t="shared" si="97"/>
        <v>1</v>
      </c>
    </row>
    <row r="426" spans="2:16">
      <c r="B426" s="671">
        <f t="shared" si="100"/>
        <v>2057</v>
      </c>
      <c r="C426" s="681">
        <v>57649</v>
      </c>
      <c r="D426" s="682">
        <f t="shared" si="105"/>
        <v>1</v>
      </c>
      <c r="F426" s="671">
        <f t="shared" si="98"/>
        <v>2057</v>
      </c>
      <c r="G426" s="681">
        <v>57649</v>
      </c>
      <c r="H426" s="682">
        <f t="shared" si="106"/>
        <v>1</v>
      </c>
      <c r="J426" s="671">
        <f t="shared" si="96"/>
        <v>2057</v>
      </c>
      <c r="K426" s="683">
        <v>57649</v>
      </c>
      <c r="L426" s="684">
        <f>IF(K426=参数输入表!$I$7,100%,H426)</f>
        <v>1</v>
      </c>
      <c r="N426" s="671">
        <f t="shared" si="99"/>
        <v>2057</v>
      </c>
      <c r="O426" s="681">
        <v>57649</v>
      </c>
      <c r="P426" s="678">
        <f t="shared" si="97"/>
        <v>1</v>
      </c>
    </row>
    <row r="427" spans="2:16">
      <c r="B427" s="671">
        <f t="shared" si="100"/>
        <v>2057</v>
      </c>
      <c r="C427" s="681">
        <v>57679</v>
      </c>
      <c r="D427" s="682">
        <f t="shared" si="105"/>
        <v>1</v>
      </c>
      <c r="F427" s="671">
        <f t="shared" si="98"/>
        <v>2057</v>
      </c>
      <c r="G427" s="681">
        <v>57679</v>
      </c>
      <c r="H427" s="682">
        <f t="shared" si="106"/>
        <v>1</v>
      </c>
      <c r="J427" s="671">
        <f t="shared" si="96"/>
        <v>2057</v>
      </c>
      <c r="K427" s="683">
        <v>57679</v>
      </c>
      <c r="L427" s="684">
        <f>IF(K427=参数输入表!$I$7,100%,H427)</f>
        <v>1</v>
      </c>
      <c r="N427" s="671">
        <f t="shared" si="99"/>
        <v>2057</v>
      </c>
      <c r="O427" s="681">
        <v>57679</v>
      </c>
      <c r="P427" s="678">
        <f t="shared" si="97"/>
        <v>1</v>
      </c>
    </row>
    <row r="428" ht="15.25" spans="2:16">
      <c r="B428" s="671">
        <f t="shared" si="100"/>
        <v>2057</v>
      </c>
      <c r="C428" s="692">
        <v>57710</v>
      </c>
      <c r="D428" s="682">
        <f t="shared" si="105"/>
        <v>1</v>
      </c>
      <c r="F428" s="671">
        <f t="shared" si="98"/>
        <v>2057</v>
      </c>
      <c r="G428" s="692">
        <v>57710</v>
      </c>
      <c r="H428" s="682">
        <f t="shared" si="106"/>
        <v>1</v>
      </c>
      <c r="J428" s="671">
        <f t="shared" si="96"/>
        <v>2057</v>
      </c>
      <c r="K428" s="693">
        <v>57710</v>
      </c>
      <c r="L428" s="684">
        <f>IF(K428=参数输入表!$I$7,100%,H428)</f>
        <v>1</v>
      </c>
      <c r="N428" s="671">
        <f t="shared" si="99"/>
        <v>2057</v>
      </c>
      <c r="O428" s="692">
        <v>57710</v>
      </c>
      <c r="P428" s="678">
        <f t="shared" si="97"/>
        <v>1</v>
      </c>
    </row>
    <row r="429" spans="2:16">
      <c r="B429" s="671">
        <f t="shared" si="100"/>
        <v>2058</v>
      </c>
      <c r="C429" s="694">
        <v>57741</v>
      </c>
      <c r="D429" s="682">
        <f t="shared" si="105"/>
        <v>1</v>
      </c>
      <c r="F429" s="671">
        <f t="shared" si="98"/>
        <v>2058</v>
      </c>
      <c r="G429" s="694">
        <v>57741</v>
      </c>
      <c r="H429" s="682">
        <f t="shared" si="106"/>
        <v>1</v>
      </c>
      <c r="J429" s="671">
        <f t="shared" si="96"/>
        <v>2058</v>
      </c>
      <c r="K429" s="695">
        <v>57741</v>
      </c>
      <c r="L429" s="684">
        <f>IF(K429=参数输入表!$I$7,100%,H429)</f>
        <v>1</v>
      </c>
      <c r="N429" s="671">
        <f t="shared" si="99"/>
        <v>2058</v>
      </c>
      <c r="O429" s="694">
        <v>57741</v>
      </c>
      <c r="P429" s="678">
        <f t="shared" si="97"/>
        <v>1</v>
      </c>
    </row>
    <row r="430" spans="2:16">
      <c r="B430" s="671">
        <f t="shared" si="100"/>
        <v>2058</v>
      </c>
      <c r="C430" s="681">
        <v>57769</v>
      </c>
      <c r="D430" s="682">
        <f t="shared" si="105"/>
        <v>1</v>
      </c>
      <c r="F430" s="671">
        <f t="shared" si="98"/>
        <v>2058</v>
      </c>
      <c r="G430" s="681">
        <v>57769</v>
      </c>
      <c r="H430" s="682">
        <f t="shared" si="106"/>
        <v>1</v>
      </c>
      <c r="J430" s="671">
        <f t="shared" si="96"/>
        <v>2058</v>
      </c>
      <c r="K430" s="683">
        <v>57769</v>
      </c>
      <c r="L430" s="684">
        <f>IF(K430=参数输入表!$I$7,100%,H430)</f>
        <v>1</v>
      </c>
      <c r="N430" s="671">
        <f t="shared" si="99"/>
        <v>2058</v>
      </c>
      <c r="O430" s="681">
        <v>57769</v>
      </c>
      <c r="P430" s="678">
        <f t="shared" si="97"/>
        <v>1</v>
      </c>
    </row>
    <row r="431" spans="2:16">
      <c r="B431" s="671">
        <f t="shared" si="100"/>
        <v>2058</v>
      </c>
      <c r="C431" s="681">
        <v>57800</v>
      </c>
      <c r="D431" s="682">
        <f t="shared" si="105"/>
        <v>1</v>
      </c>
      <c r="F431" s="671">
        <f t="shared" si="98"/>
        <v>2058</v>
      </c>
      <c r="G431" s="681">
        <v>57800</v>
      </c>
      <c r="H431" s="682">
        <f t="shared" si="106"/>
        <v>1</v>
      </c>
      <c r="J431" s="671">
        <f t="shared" si="96"/>
        <v>2058</v>
      </c>
      <c r="K431" s="683">
        <v>57800</v>
      </c>
      <c r="L431" s="684">
        <f>IF(K431=参数输入表!$I$7,100%,H431)</f>
        <v>1</v>
      </c>
      <c r="N431" s="671">
        <f t="shared" si="99"/>
        <v>2058</v>
      </c>
      <c r="O431" s="681">
        <v>57800</v>
      </c>
      <c r="P431" s="678">
        <f t="shared" si="97"/>
        <v>1</v>
      </c>
    </row>
    <row r="432" spans="2:16">
      <c r="B432" s="671">
        <f t="shared" si="100"/>
        <v>2058</v>
      </c>
      <c r="C432" s="681">
        <v>57830</v>
      </c>
      <c r="D432" s="682">
        <f t="shared" ref="D432:D441" si="107">$D$100</f>
        <v>1</v>
      </c>
      <c r="F432" s="671">
        <f t="shared" si="98"/>
        <v>2058</v>
      </c>
      <c r="G432" s="681">
        <v>57830</v>
      </c>
      <c r="H432" s="682">
        <f t="shared" ref="H432:H441" si="108">$H$100</f>
        <v>1</v>
      </c>
      <c r="J432" s="671">
        <f t="shared" si="96"/>
        <v>2058</v>
      </c>
      <c r="K432" s="683">
        <v>57830</v>
      </c>
      <c r="L432" s="684">
        <f>IF(K432=参数输入表!$I$7,100%,H432)</f>
        <v>1</v>
      </c>
      <c r="N432" s="671">
        <f t="shared" si="99"/>
        <v>2058</v>
      </c>
      <c r="O432" s="681">
        <v>57830</v>
      </c>
      <c r="P432" s="678">
        <f t="shared" si="97"/>
        <v>1</v>
      </c>
    </row>
    <row r="433" spans="2:16">
      <c r="B433" s="671">
        <f t="shared" si="100"/>
        <v>2058</v>
      </c>
      <c r="C433" s="681">
        <v>57861</v>
      </c>
      <c r="D433" s="682">
        <f t="shared" si="107"/>
        <v>1</v>
      </c>
      <c r="F433" s="671">
        <f t="shared" si="98"/>
        <v>2058</v>
      </c>
      <c r="G433" s="681">
        <v>57861</v>
      </c>
      <c r="H433" s="682">
        <f t="shared" si="108"/>
        <v>1</v>
      </c>
      <c r="J433" s="671">
        <f t="shared" si="96"/>
        <v>2058</v>
      </c>
      <c r="K433" s="683">
        <v>57861</v>
      </c>
      <c r="L433" s="684">
        <f>IF(K433=参数输入表!$I$7,100%,H433)</f>
        <v>1</v>
      </c>
      <c r="N433" s="671">
        <f t="shared" si="99"/>
        <v>2058</v>
      </c>
      <c r="O433" s="681">
        <v>57861</v>
      </c>
      <c r="P433" s="678">
        <f t="shared" si="97"/>
        <v>1</v>
      </c>
    </row>
    <row r="434" spans="2:16">
      <c r="B434" s="671">
        <f t="shared" si="100"/>
        <v>2058</v>
      </c>
      <c r="C434" s="681">
        <v>57891</v>
      </c>
      <c r="D434" s="682">
        <f t="shared" si="107"/>
        <v>1</v>
      </c>
      <c r="F434" s="671">
        <f t="shared" si="98"/>
        <v>2058</v>
      </c>
      <c r="G434" s="681">
        <v>57891</v>
      </c>
      <c r="H434" s="682">
        <f t="shared" si="108"/>
        <v>1</v>
      </c>
      <c r="J434" s="671">
        <f t="shared" si="96"/>
        <v>2058</v>
      </c>
      <c r="K434" s="683">
        <v>57891</v>
      </c>
      <c r="L434" s="684">
        <f>IF(K434=参数输入表!$I$7,100%,H434)</f>
        <v>1</v>
      </c>
      <c r="N434" s="671">
        <f t="shared" si="99"/>
        <v>2058</v>
      </c>
      <c r="O434" s="681">
        <v>57891</v>
      </c>
      <c r="P434" s="678">
        <f t="shared" si="97"/>
        <v>1</v>
      </c>
    </row>
    <row r="435" spans="2:16">
      <c r="B435" s="671">
        <f t="shared" si="100"/>
        <v>2058</v>
      </c>
      <c r="C435" s="681">
        <v>57922</v>
      </c>
      <c r="D435" s="682">
        <f t="shared" si="107"/>
        <v>1</v>
      </c>
      <c r="F435" s="671">
        <f t="shared" si="98"/>
        <v>2058</v>
      </c>
      <c r="G435" s="681">
        <v>57922</v>
      </c>
      <c r="H435" s="682">
        <f t="shared" si="108"/>
        <v>1</v>
      </c>
      <c r="J435" s="671">
        <f t="shared" si="96"/>
        <v>2058</v>
      </c>
      <c r="K435" s="683">
        <v>57922</v>
      </c>
      <c r="L435" s="684">
        <f>IF(K435=参数输入表!$I$7,100%,H435)</f>
        <v>1</v>
      </c>
      <c r="N435" s="671">
        <f t="shared" si="99"/>
        <v>2058</v>
      </c>
      <c r="O435" s="681">
        <v>57922</v>
      </c>
      <c r="P435" s="678">
        <f t="shared" si="97"/>
        <v>1</v>
      </c>
    </row>
    <row r="436" spans="2:16">
      <c r="B436" s="671">
        <f t="shared" si="100"/>
        <v>2058</v>
      </c>
      <c r="C436" s="681">
        <v>57953</v>
      </c>
      <c r="D436" s="682">
        <f t="shared" si="107"/>
        <v>1</v>
      </c>
      <c r="F436" s="671">
        <f t="shared" si="98"/>
        <v>2058</v>
      </c>
      <c r="G436" s="681">
        <v>57953</v>
      </c>
      <c r="H436" s="682">
        <f t="shared" si="108"/>
        <v>1</v>
      </c>
      <c r="J436" s="671">
        <f t="shared" si="96"/>
        <v>2058</v>
      </c>
      <c r="K436" s="683">
        <v>57953</v>
      </c>
      <c r="L436" s="684">
        <f>IF(K436=参数输入表!$I$7,100%,H436)</f>
        <v>1</v>
      </c>
      <c r="N436" s="671">
        <f t="shared" si="99"/>
        <v>2058</v>
      </c>
      <c r="O436" s="681">
        <v>57953</v>
      </c>
      <c r="P436" s="678">
        <f t="shared" si="97"/>
        <v>1</v>
      </c>
    </row>
    <row r="437" spans="2:16">
      <c r="B437" s="671">
        <f t="shared" si="100"/>
        <v>2058</v>
      </c>
      <c r="C437" s="681">
        <v>57983</v>
      </c>
      <c r="D437" s="682">
        <f t="shared" si="107"/>
        <v>1</v>
      </c>
      <c r="F437" s="671">
        <f t="shared" si="98"/>
        <v>2058</v>
      </c>
      <c r="G437" s="681">
        <v>57983</v>
      </c>
      <c r="H437" s="682">
        <f t="shared" si="108"/>
        <v>1</v>
      </c>
      <c r="J437" s="671">
        <f t="shared" si="96"/>
        <v>2058</v>
      </c>
      <c r="K437" s="683">
        <v>57983</v>
      </c>
      <c r="L437" s="684">
        <f>IF(K437=参数输入表!$I$7,100%,H437)</f>
        <v>1</v>
      </c>
      <c r="N437" s="671">
        <f t="shared" si="99"/>
        <v>2058</v>
      </c>
      <c r="O437" s="681">
        <v>57983</v>
      </c>
      <c r="P437" s="678">
        <f t="shared" si="97"/>
        <v>1</v>
      </c>
    </row>
    <row r="438" spans="2:16">
      <c r="B438" s="671">
        <f t="shared" si="100"/>
        <v>2058</v>
      </c>
      <c r="C438" s="681">
        <v>58014</v>
      </c>
      <c r="D438" s="682">
        <f t="shared" si="107"/>
        <v>1</v>
      </c>
      <c r="F438" s="671">
        <f t="shared" si="98"/>
        <v>2058</v>
      </c>
      <c r="G438" s="681">
        <v>58014</v>
      </c>
      <c r="H438" s="682">
        <f t="shared" si="108"/>
        <v>1</v>
      </c>
      <c r="J438" s="671">
        <f t="shared" si="96"/>
        <v>2058</v>
      </c>
      <c r="K438" s="683">
        <v>58014</v>
      </c>
      <c r="L438" s="684">
        <f>IF(K438=参数输入表!$I$7,100%,H438)</f>
        <v>1</v>
      </c>
      <c r="N438" s="671">
        <f t="shared" si="99"/>
        <v>2058</v>
      </c>
      <c r="O438" s="681">
        <v>58014</v>
      </c>
      <c r="P438" s="678">
        <f t="shared" si="97"/>
        <v>1</v>
      </c>
    </row>
    <row r="439" spans="2:16">
      <c r="B439" s="671">
        <f t="shared" si="100"/>
        <v>2058</v>
      </c>
      <c r="C439" s="681">
        <v>58044</v>
      </c>
      <c r="D439" s="682">
        <f t="shared" si="107"/>
        <v>1</v>
      </c>
      <c r="F439" s="671">
        <f t="shared" si="98"/>
        <v>2058</v>
      </c>
      <c r="G439" s="681">
        <v>58044</v>
      </c>
      <c r="H439" s="682">
        <f t="shared" si="108"/>
        <v>1</v>
      </c>
      <c r="J439" s="671">
        <f t="shared" si="96"/>
        <v>2058</v>
      </c>
      <c r="K439" s="683">
        <v>58044</v>
      </c>
      <c r="L439" s="684">
        <f>IF(K439=参数输入表!$I$7,100%,H439)</f>
        <v>1</v>
      </c>
      <c r="N439" s="671">
        <f t="shared" si="99"/>
        <v>2058</v>
      </c>
      <c r="O439" s="681">
        <v>58044</v>
      </c>
      <c r="P439" s="678">
        <f t="shared" si="97"/>
        <v>1</v>
      </c>
    </row>
    <row r="440" ht="15.25" spans="2:16">
      <c r="B440" s="671">
        <f t="shared" si="100"/>
        <v>2058</v>
      </c>
      <c r="C440" s="692">
        <v>58075</v>
      </c>
      <c r="D440" s="682">
        <f t="shared" si="107"/>
        <v>1</v>
      </c>
      <c r="F440" s="671">
        <f t="shared" si="98"/>
        <v>2058</v>
      </c>
      <c r="G440" s="692">
        <v>58075</v>
      </c>
      <c r="H440" s="682">
        <f t="shared" si="108"/>
        <v>1</v>
      </c>
      <c r="J440" s="671">
        <f t="shared" si="96"/>
        <v>2058</v>
      </c>
      <c r="K440" s="693">
        <v>58075</v>
      </c>
      <c r="L440" s="684">
        <f>IF(K440=参数输入表!$I$7,100%,H440)</f>
        <v>1</v>
      </c>
      <c r="N440" s="671">
        <f t="shared" si="99"/>
        <v>2058</v>
      </c>
      <c r="O440" s="692">
        <v>58075</v>
      </c>
      <c r="P440" s="678">
        <f t="shared" si="97"/>
        <v>1</v>
      </c>
    </row>
    <row r="441" spans="2:16">
      <c r="B441" s="671">
        <f t="shared" si="100"/>
        <v>2059</v>
      </c>
      <c r="C441" s="694">
        <v>58106</v>
      </c>
      <c r="D441" s="682">
        <f t="shared" si="107"/>
        <v>1</v>
      </c>
      <c r="F441" s="671">
        <f t="shared" si="98"/>
        <v>2059</v>
      </c>
      <c r="G441" s="694">
        <v>58106</v>
      </c>
      <c r="H441" s="682">
        <f t="shared" si="108"/>
        <v>1</v>
      </c>
      <c r="J441" s="671">
        <f t="shared" si="96"/>
        <v>2059</v>
      </c>
      <c r="K441" s="695">
        <v>58106</v>
      </c>
      <c r="L441" s="684">
        <f>IF(K441=参数输入表!$I$7,100%,H441)</f>
        <v>1</v>
      </c>
      <c r="N441" s="671">
        <f t="shared" si="99"/>
        <v>2059</v>
      </c>
      <c r="O441" s="694">
        <v>58106</v>
      </c>
      <c r="P441" s="678">
        <f t="shared" si="97"/>
        <v>1</v>
      </c>
    </row>
    <row r="442" spans="2:16">
      <c r="B442" s="671">
        <f t="shared" si="100"/>
        <v>2059</v>
      </c>
      <c r="C442" s="681">
        <v>58134</v>
      </c>
      <c r="D442" s="682">
        <f t="shared" ref="D442:D451" si="109">$D$100</f>
        <v>1</v>
      </c>
      <c r="F442" s="671">
        <f t="shared" si="98"/>
        <v>2059</v>
      </c>
      <c r="G442" s="681">
        <v>58134</v>
      </c>
      <c r="H442" s="682">
        <f t="shared" ref="H442:H451" si="110">$H$100</f>
        <v>1</v>
      </c>
      <c r="J442" s="671">
        <f t="shared" si="96"/>
        <v>2059</v>
      </c>
      <c r="K442" s="683">
        <v>58134</v>
      </c>
      <c r="L442" s="684">
        <f>IF(K442=参数输入表!$I$7,100%,H442)</f>
        <v>1</v>
      </c>
      <c r="N442" s="671">
        <f t="shared" si="99"/>
        <v>2059</v>
      </c>
      <c r="O442" s="681">
        <v>58134</v>
      </c>
      <c r="P442" s="678">
        <f t="shared" si="97"/>
        <v>1</v>
      </c>
    </row>
    <row r="443" spans="2:16">
      <c r="B443" s="671">
        <f t="shared" si="100"/>
        <v>2059</v>
      </c>
      <c r="C443" s="681">
        <v>58165</v>
      </c>
      <c r="D443" s="682">
        <f t="shared" si="109"/>
        <v>1</v>
      </c>
      <c r="F443" s="671">
        <f t="shared" si="98"/>
        <v>2059</v>
      </c>
      <c r="G443" s="681">
        <v>58165</v>
      </c>
      <c r="H443" s="682">
        <f t="shared" si="110"/>
        <v>1</v>
      </c>
      <c r="J443" s="671">
        <f t="shared" si="96"/>
        <v>2059</v>
      </c>
      <c r="K443" s="683">
        <v>58165</v>
      </c>
      <c r="L443" s="684">
        <f>IF(K443=参数输入表!$I$7,100%,H443)</f>
        <v>1</v>
      </c>
      <c r="N443" s="671">
        <f t="shared" si="99"/>
        <v>2059</v>
      </c>
      <c r="O443" s="681">
        <v>58165</v>
      </c>
      <c r="P443" s="678">
        <f t="shared" si="97"/>
        <v>1</v>
      </c>
    </row>
    <row r="444" spans="2:16">
      <c r="B444" s="671">
        <f t="shared" si="100"/>
        <v>2059</v>
      </c>
      <c r="C444" s="681">
        <v>58195</v>
      </c>
      <c r="D444" s="682">
        <f t="shared" si="109"/>
        <v>1</v>
      </c>
      <c r="F444" s="671">
        <f t="shared" si="98"/>
        <v>2059</v>
      </c>
      <c r="G444" s="681">
        <v>58195</v>
      </c>
      <c r="H444" s="682">
        <f t="shared" si="110"/>
        <v>1</v>
      </c>
      <c r="J444" s="671">
        <f t="shared" si="96"/>
        <v>2059</v>
      </c>
      <c r="K444" s="683">
        <v>58195</v>
      </c>
      <c r="L444" s="684">
        <f>IF(K444=参数输入表!$I$7,100%,H444)</f>
        <v>1</v>
      </c>
      <c r="N444" s="671">
        <f t="shared" si="99"/>
        <v>2059</v>
      </c>
      <c r="O444" s="681">
        <v>58195</v>
      </c>
      <c r="P444" s="678">
        <f t="shared" si="97"/>
        <v>1</v>
      </c>
    </row>
    <row r="445" spans="2:16">
      <c r="B445" s="671">
        <f t="shared" si="100"/>
        <v>2059</v>
      </c>
      <c r="C445" s="681">
        <v>58226</v>
      </c>
      <c r="D445" s="682">
        <f t="shared" si="109"/>
        <v>1</v>
      </c>
      <c r="F445" s="671">
        <f t="shared" si="98"/>
        <v>2059</v>
      </c>
      <c r="G445" s="681">
        <v>58226</v>
      </c>
      <c r="H445" s="682">
        <f t="shared" si="110"/>
        <v>1</v>
      </c>
      <c r="J445" s="671">
        <f t="shared" si="96"/>
        <v>2059</v>
      </c>
      <c r="K445" s="683">
        <v>58226</v>
      </c>
      <c r="L445" s="684">
        <f>IF(K445=参数输入表!$I$7,100%,H445)</f>
        <v>1</v>
      </c>
      <c r="N445" s="671">
        <f t="shared" si="99"/>
        <v>2059</v>
      </c>
      <c r="O445" s="681">
        <v>58226</v>
      </c>
      <c r="P445" s="678">
        <f t="shared" si="97"/>
        <v>1</v>
      </c>
    </row>
    <row r="446" spans="2:16">
      <c r="B446" s="671">
        <f t="shared" si="100"/>
        <v>2059</v>
      </c>
      <c r="C446" s="681">
        <v>58256</v>
      </c>
      <c r="D446" s="682">
        <f t="shared" si="109"/>
        <v>1</v>
      </c>
      <c r="F446" s="671">
        <f t="shared" si="98"/>
        <v>2059</v>
      </c>
      <c r="G446" s="681">
        <v>58256</v>
      </c>
      <c r="H446" s="682">
        <f t="shared" si="110"/>
        <v>1</v>
      </c>
      <c r="J446" s="671">
        <f t="shared" si="96"/>
        <v>2059</v>
      </c>
      <c r="K446" s="683">
        <v>58256</v>
      </c>
      <c r="L446" s="684">
        <f>IF(K446=参数输入表!$I$7,100%,H446)</f>
        <v>1</v>
      </c>
      <c r="N446" s="671">
        <f t="shared" si="99"/>
        <v>2059</v>
      </c>
      <c r="O446" s="681">
        <v>58256</v>
      </c>
      <c r="P446" s="678">
        <f t="shared" si="97"/>
        <v>1</v>
      </c>
    </row>
    <row r="447" spans="2:16">
      <c r="B447" s="671">
        <f t="shared" si="100"/>
        <v>2059</v>
      </c>
      <c r="C447" s="681">
        <v>58287</v>
      </c>
      <c r="D447" s="682">
        <f t="shared" si="109"/>
        <v>1</v>
      </c>
      <c r="F447" s="671">
        <f t="shared" si="98"/>
        <v>2059</v>
      </c>
      <c r="G447" s="681">
        <v>58287</v>
      </c>
      <c r="H447" s="682">
        <f t="shared" si="110"/>
        <v>1</v>
      </c>
      <c r="J447" s="671">
        <f t="shared" si="96"/>
        <v>2059</v>
      </c>
      <c r="K447" s="683">
        <v>58287</v>
      </c>
      <c r="L447" s="684">
        <f>IF(K447=参数输入表!$I$7,100%,H447)</f>
        <v>1</v>
      </c>
      <c r="N447" s="671">
        <f t="shared" si="99"/>
        <v>2059</v>
      </c>
      <c r="O447" s="681">
        <v>58287</v>
      </c>
      <c r="P447" s="678">
        <f t="shared" si="97"/>
        <v>1</v>
      </c>
    </row>
    <row r="448" spans="2:16">
      <c r="B448" s="671">
        <f t="shared" si="100"/>
        <v>2059</v>
      </c>
      <c r="C448" s="681">
        <v>58318</v>
      </c>
      <c r="D448" s="682">
        <f t="shared" si="109"/>
        <v>1</v>
      </c>
      <c r="F448" s="671">
        <f t="shared" si="98"/>
        <v>2059</v>
      </c>
      <c r="G448" s="681">
        <v>58318</v>
      </c>
      <c r="H448" s="682">
        <f t="shared" si="110"/>
        <v>1</v>
      </c>
      <c r="J448" s="671">
        <f t="shared" si="96"/>
        <v>2059</v>
      </c>
      <c r="K448" s="683">
        <v>58318</v>
      </c>
      <c r="L448" s="684">
        <f>IF(K448=参数输入表!$I$7,100%,H448)</f>
        <v>1</v>
      </c>
      <c r="N448" s="671">
        <f t="shared" si="99"/>
        <v>2059</v>
      </c>
      <c r="O448" s="681">
        <v>58318</v>
      </c>
      <c r="P448" s="678">
        <f t="shared" si="97"/>
        <v>1</v>
      </c>
    </row>
    <row r="449" spans="2:16">
      <c r="B449" s="671">
        <f t="shared" si="100"/>
        <v>2059</v>
      </c>
      <c r="C449" s="681">
        <v>58348</v>
      </c>
      <c r="D449" s="682">
        <f t="shared" si="109"/>
        <v>1</v>
      </c>
      <c r="F449" s="671">
        <f t="shared" si="98"/>
        <v>2059</v>
      </c>
      <c r="G449" s="681">
        <v>58348</v>
      </c>
      <c r="H449" s="682">
        <f t="shared" si="110"/>
        <v>1</v>
      </c>
      <c r="J449" s="671">
        <f t="shared" si="96"/>
        <v>2059</v>
      </c>
      <c r="K449" s="683">
        <v>58348</v>
      </c>
      <c r="L449" s="684">
        <f>IF(K449=参数输入表!$I$7,100%,H449)</f>
        <v>1</v>
      </c>
      <c r="N449" s="671">
        <f t="shared" si="99"/>
        <v>2059</v>
      </c>
      <c r="O449" s="681">
        <v>58348</v>
      </c>
      <c r="P449" s="678">
        <f t="shared" si="97"/>
        <v>1</v>
      </c>
    </row>
    <row r="450" spans="2:16">
      <c r="B450" s="671">
        <f t="shared" si="100"/>
        <v>2059</v>
      </c>
      <c r="C450" s="681">
        <v>58379</v>
      </c>
      <c r="D450" s="682">
        <f t="shared" si="109"/>
        <v>1</v>
      </c>
      <c r="F450" s="671">
        <f t="shared" si="98"/>
        <v>2059</v>
      </c>
      <c r="G450" s="681">
        <v>58379</v>
      </c>
      <c r="H450" s="682">
        <f t="shared" si="110"/>
        <v>1</v>
      </c>
      <c r="J450" s="671">
        <f t="shared" si="96"/>
        <v>2059</v>
      </c>
      <c r="K450" s="683">
        <v>58379</v>
      </c>
      <c r="L450" s="684">
        <f>IF(K450=参数输入表!$I$7,100%,H450)</f>
        <v>1</v>
      </c>
      <c r="N450" s="671">
        <f t="shared" si="99"/>
        <v>2059</v>
      </c>
      <c r="O450" s="681">
        <v>58379</v>
      </c>
      <c r="P450" s="678">
        <f t="shared" si="97"/>
        <v>1</v>
      </c>
    </row>
    <row r="451" spans="2:16">
      <c r="B451" s="671">
        <f t="shared" si="100"/>
        <v>2059</v>
      </c>
      <c r="C451" s="681">
        <v>58409</v>
      </c>
      <c r="D451" s="682">
        <f t="shared" si="109"/>
        <v>1</v>
      </c>
      <c r="F451" s="671">
        <f t="shared" si="98"/>
        <v>2059</v>
      </c>
      <c r="G451" s="681">
        <v>58409</v>
      </c>
      <c r="H451" s="682">
        <f t="shared" si="110"/>
        <v>1</v>
      </c>
      <c r="J451" s="671">
        <f t="shared" si="96"/>
        <v>2059</v>
      </c>
      <c r="K451" s="683">
        <v>58409</v>
      </c>
      <c r="L451" s="684">
        <f>IF(K451=参数输入表!$I$7,100%,H451)</f>
        <v>1</v>
      </c>
      <c r="N451" s="671">
        <f t="shared" si="99"/>
        <v>2059</v>
      </c>
      <c r="O451" s="681">
        <v>58409</v>
      </c>
      <c r="P451" s="678">
        <f t="shared" si="97"/>
        <v>1</v>
      </c>
    </row>
    <row r="452" ht="15.25" spans="2:16">
      <c r="B452" s="671">
        <f t="shared" si="100"/>
        <v>2059</v>
      </c>
      <c r="C452" s="692">
        <v>58440</v>
      </c>
      <c r="D452" s="682">
        <f t="shared" ref="D452:D461" si="111">$D$100</f>
        <v>1</v>
      </c>
      <c r="F452" s="671">
        <f t="shared" si="98"/>
        <v>2059</v>
      </c>
      <c r="G452" s="692">
        <v>58440</v>
      </c>
      <c r="H452" s="682">
        <f t="shared" ref="H452:H461" si="112">$H$100</f>
        <v>1</v>
      </c>
      <c r="J452" s="671">
        <f t="shared" si="96"/>
        <v>2059</v>
      </c>
      <c r="K452" s="693">
        <v>58440</v>
      </c>
      <c r="L452" s="684">
        <f>IF(K452=参数输入表!$I$7,100%,H452)</f>
        <v>1</v>
      </c>
      <c r="N452" s="671">
        <f t="shared" si="99"/>
        <v>2059</v>
      </c>
      <c r="O452" s="692">
        <v>58440</v>
      </c>
      <c r="P452" s="678">
        <f t="shared" si="97"/>
        <v>1</v>
      </c>
    </row>
    <row r="453" spans="2:16">
      <c r="B453" s="671">
        <f t="shared" si="100"/>
        <v>2060</v>
      </c>
      <c r="C453" s="694">
        <v>58471</v>
      </c>
      <c r="D453" s="682">
        <f t="shared" si="111"/>
        <v>1</v>
      </c>
      <c r="F453" s="671">
        <f t="shared" si="98"/>
        <v>2060</v>
      </c>
      <c r="G453" s="694">
        <v>58471</v>
      </c>
      <c r="H453" s="682">
        <f t="shared" si="112"/>
        <v>1</v>
      </c>
      <c r="J453" s="671">
        <f t="shared" si="96"/>
        <v>2060</v>
      </c>
      <c r="K453" s="695">
        <v>58471</v>
      </c>
      <c r="L453" s="684">
        <f>IF(K453=参数输入表!$I$7,100%,H453)</f>
        <v>1</v>
      </c>
      <c r="N453" s="671">
        <f t="shared" si="99"/>
        <v>2060</v>
      </c>
      <c r="O453" s="694">
        <v>58471</v>
      </c>
      <c r="P453" s="678">
        <f t="shared" si="97"/>
        <v>1</v>
      </c>
    </row>
    <row r="454" spans="2:16">
      <c r="B454" s="671">
        <f t="shared" si="100"/>
        <v>2060</v>
      </c>
      <c r="C454" s="681">
        <v>58500</v>
      </c>
      <c r="D454" s="682">
        <f t="shared" si="111"/>
        <v>1</v>
      </c>
      <c r="F454" s="671">
        <f t="shared" si="98"/>
        <v>2060</v>
      </c>
      <c r="G454" s="681">
        <v>58500</v>
      </c>
      <c r="H454" s="682">
        <f t="shared" si="112"/>
        <v>1</v>
      </c>
      <c r="J454" s="671">
        <f t="shared" si="96"/>
        <v>2060</v>
      </c>
      <c r="K454" s="683">
        <v>58500</v>
      </c>
      <c r="L454" s="684">
        <f>IF(K454=参数输入表!$I$7,100%,H454)</f>
        <v>1</v>
      </c>
      <c r="N454" s="671">
        <f t="shared" si="99"/>
        <v>2060</v>
      </c>
      <c r="O454" s="681">
        <v>58500</v>
      </c>
      <c r="P454" s="678">
        <f t="shared" si="97"/>
        <v>1</v>
      </c>
    </row>
    <row r="455" spans="2:16">
      <c r="B455" s="671">
        <f t="shared" si="100"/>
        <v>2060</v>
      </c>
      <c r="C455" s="681">
        <v>58531</v>
      </c>
      <c r="D455" s="682">
        <f t="shared" si="111"/>
        <v>1</v>
      </c>
      <c r="F455" s="671">
        <f t="shared" si="98"/>
        <v>2060</v>
      </c>
      <c r="G455" s="681">
        <v>58531</v>
      </c>
      <c r="H455" s="682">
        <f t="shared" si="112"/>
        <v>1</v>
      </c>
      <c r="J455" s="671">
        <f t="shared" si="96"/>
        <v>2060</v>
      </c>
      <c r="K455" s="683">
        <v>58531</v>
      </c>
      <c r="L455" s="684">
        <f>IF(K455=参数输入表!$I$7,100%,H455)</f>
        <v>1</v>
      </c>
      <c r="N455" s="671">
        <f t="shared" si="99"/>
        <v>2060</v>
      </c>
      <c r="O455" s="681">
        <v>58531</v>
      </c>
      <c r="P455" s="678">
        <f t="shared" si="97"/>
        <v>1</v>
      </c>
    </row>
    <row r="456" spans="2:16">
      <c r="B456" s="671">
        <f t="shared" si="100"/>
        <v>2060</v>
      </c>
      <c r="C456" s="681">
        <v>58561</v>
      </c>
      <c r="D456" s="682">
        <f t="shared" si="111"/>
        <v>1</v>
      </c>
      <c r="F456" s="671">
        <f t="shared" si="98"/>
        <v>2060</v>
      </c>
      <c r="G456" s="681">
        <v>58561</v>
      </c>
      <c r="H456" s="682">
        <f t="shared" si="112"/>
        <v>1</v>
      </c>
      <c r="J456" s="671">
        <f t="shared" si="96"/>
        <v>2060</v>
      </c>
      <c r="K456" s="683">
        <v>58561</v>
      </c>
      <c r="L456" s="684">
        <f>IF(K456=参数输入表!$I$7,100%,H456)</f>
        <v>1</v>
      </c>
      <c r="N456" s="671">
        <f t="shared" si="99"/>
        <v>2060</v>
      </c>
      <c r="O456" s="681">
        <v>58561</v>
      </c>
      <c r="P456" s="678">
        <f t="shared" si="97"/>
        <v>1</v>
      </c>
    </row>
    <row r="457" spans="2:16">
      <c r="B457" s="671">
        <f t="shared" si="100"/>
        <v>2060</v>
      </c>
      <c r="C457" s="681">
        <v>58592</v>
      </c>
      <c r="D457" s="682">
        <f t="shared" si="111"/>
        <v>1</v>
      </c>
      <c r="F457" s="671">
        <f t="shared" si="98"/>
        <v>2060</v>
      </c>
      <c r="G457" s="681">
        <v>58592</v>
      </c>
      <c r="H457" s="682">
        <f t="shared" si="112"/>
        <v>1</v>
      </c>
      <c r="J457" s="671">
        <f t="shared" si="96"/>
        <v>2060</v>
      </c>
      <c r="K457" s="683">
        <v>58592</v>
      </c>
      <c r="L457" s="684">
        <f>IF(K457=参数输入表!$I$7,100%,H457)</f>
        <v>1</v>
      </c>
      <c r="N457" s="671">
        <f t="shared" si="99"/>
        <v>2060</v>
      </c>
      <c r="O457" s="681">
        <v>58592</v>
      </c>
      <c r="P457" s="678">
        <f t="shared" si="97"/>
        <v>1</v>
      </c>
    </row>
    <row r="458" spans="2:16">
      <c r="B458" s="671">
        <f t="shared" si="100"/>
        <v>2060</v>
      </c>
      <c r="C458" s="681">
        <v>58622</v>
      </c>
      <c r="D458" s="682">
        <f t="shared" si="111"/>
        <v>1</v>
      </c>
      <c r="F458" s="671">
        <f t="shared" si="98"/>
        <v>2060</v>
      </c>
      <c r="G458" s="681">
        <v>58622</v>
      </c>
      <c r="H458" s="682">
        <f t="shared" si="112"/>
        <v>1</v>
      </c>
      <c r="J458" s="671">
        <f t="shared" ref="J458:J521" si="113">YEAR(K458)</f>
        <v>2060</v>
      </c>
      <c r="K458" s="683">
        <v>58622</v>
      </c>
      <c r="L458" s="684">
        <f>IF(K458=参数输入表!$I$7,100%,H458)</f>
        <v>1</v>
      </c>
      <c r="N458" s="671">
        <f t="shared" si="99"/>
        <v>2060</v>
      </c>
      <c r="O458" s="681">
        <v>58622</v>
      </c>
      <c r="P458" s="678">
        <f t="shared" ref="P458:P521" si="114">D458*H458</f>
        <v>1</v>
      </c>
    </row>
    <row r="459" spans="2:16">
      <c r="B459" s="671">
        <f t="shared" si="100"/>
        <v>2060</v>
      </c>
      <c r="C459" s="681">
        <v>58653</v>
      </c>
      <c r="D459" s="682">
        <f t="shared" si="111"/>
        <v>1</v>
      </c>
      <c r="F459" s="671">
        <f t="shared" ref="F459:F522" si="115">YEAR(G459)</f>
        <v>2060</v>
      </c>
      <c r="G459" s="681">
        <v>58653</v>
      </c>
      <c r="H459" s="682">
        <f t="shared" si="112"/>
        <v>1</v>
      </c>
      <c r="J459" s="671">
        <f t="shared" si="113"/>
        <v>2060</v>
      </c>
      <c r="K459" s="683">
        <v>58653</v>
      </c>
      <c r="L459" s="684">
        <f>IF(K459=参数输入表!$I$7,100%,H459)</f>
        <v>1</v>
      </c>
      <c r="N459" s="671">
        <f t="shared" ref="N459:N522" si="116">YEAR(O459)</f>
        <v>2060</v>
      </c>
      <c r="O459" s="681">
        <v>58653</v>
      </c>
      <c r="P459" s="678">
        <f t="shared" si="114"/>
        <v>1</v>
      </c>
    </row>
    <row r="460" spans="2:16">
      <c r="B460" s="671">
        <f t="shared" ref="B460:B523" si="117">YEAR(C460)</f>
        <v>2060</v>
      </c>
      <c r="C460" s="681">
        <v>58684</v>
      </c>
      <c r="D460" s="682">
        <f t="shared" si="111"/>
        <v>1</v>
      </c>
      <c r="F460" s="671">
        <f t="shared" si="115"/>
        <v>2060</v>
      </c>
      <c r="G460" s="681">
        <v>58684</v>
      </c>
      <c r="H460" s="682">
        <f t="shared" si="112"/>
        <v>1</v>
      </c>
      <c r="J460" s="671">
        <f t="shared" si="113"/>
        <v>2060</v>
      </c>
      <c r="K460" s="683">
        <v>58684</v>
      </c>
      <c r="L460" s="684">
        <f>IF(K460=参数输入表!$I$7,100%,H460)</f>
        <v>1</v>
      </c>
      <c r="N460" s="671">
        <f t="shared" si="116"/>
        <v>2060</v>
      </c>
      <c r="O460" s="681">
        <v>58684</v>
      </c>
      <c r="P460" s="678">
        <f t="shared" si="114"/>
        <v>1</v>
      </c>
    </row>
    <row r="461" spans="2:16">
      <c r="B461" s="671">
        <f t="shared" si="117"/>
        <v>2060</v>
      </c>
      <c r="C461" s="681">
        <v>58714</v>
      </c>
      <c r="D461" s="682">
        <f t="shared" si="111"/>
        <v>1</v>
      </c>
      <c r="F461" s="671">
        <f t="shared" si="115"/>
        <v>2060</v>
      </c>
      <c r="G461" s="681">
        <v>58714</v>
      </c>
      <c r="H461" s="682">
        <f t="shared" si="112"/>
        <v>1</v>
      </c>
      <c r="J461" s="671">
        <f t="shared" si="113"/>
        <v>2060</v>
      </c>
      <c r="K461" s="683">
        <v>58714</v>
      </c>
      <c r="L461" s="684">
        <f>IF(K461=参数输入表!$I$7,100%,H461)</f>
        <v>1</v>
      </c>
      <c r="N461" s="671">
        <f t="shared" si="116"/>
        <v>2060</v>
      </c>
      <c r="O461" s="681">
        <v>58714</v>
      </c>
      <c r="P461" s="678">
        <f t="shared" si="114"/>
        <v>1</v>
      </c>
    </row>
    <row r="462" spans="2:16">
      <c r="B462" s="671">
        <f t="shared" si="117"/>
        <v>2060</v>
      </c>
      <c r="C462" s="681">
        <v>58745</v>
      </c>
      <c r="D462" s="682">
        <f t="shared" ref="D462:D471" si="118">$D$100</f>
        <v>1</v>
      </c>
      <c r="F462" s="671">
        <f t="shared" si="115"/>
        <v>2060</v>
      </c>
      <c r="G462" s="681">
        <v>58745</v>
      </c>
      <c r="H462" s="682">
        <f t="shared" ref="H462:H471" si="119">$H$100</f>
        <v>1</v>
      </c>
      <c r="J462" s="671">
        <f t="shared" si="113"/>
        <v>2060</v>
      </c>
      <c r="K462" s="683">
        <v>58745</v>
      </c>
      <c r="L462" s="684">
        <f>IF(K462=参数输入表!$I$7,100%,H462)</f>
        <v>1</v>
      </c>
      <c r="N462" s="671">
        <f t="shared" si="116"/>
        <v>2060</v>
      </c>
      <c r="O462" s="681">
        <v>58745</v>
      </c>
      <c r="P462" s="678">
        <f t="shared" si="114"/>
        <v>1</v>
      </c>
    </row>
    <row r="463" spans="2:16">
      <c r="B463" s="671">
        <f t="shared" si="117"/>
        <v>2060</v>
      </c>
      <c r="C463" s="681">
        <v>58775</v>
      </c>
      <c r="D463" s="682">
        <f t="shared" si="118"/>
        <v>1</v>
      </c>
      <c r="F463" s="671">
        <f t="shared" si="115"/>
        <v>2060</v>
      </c>
      <c r="G463" s="681">
        <v>58775</v>
      </c>
      <c r="H463" s="682">
        <f t="shared" si="119"/>
        <v>1</v>
      </c>
      <c r="J463" s="671">
        <f t="shared" si="113"/>
        <v>2060</v>
      </c>
      <c r="K463" s="683">
        <v>58775</v>
      </c>
      <c r="L463" s="684">
        <f>IF(K463=参数输入表!$I$7,100%,H463)</f>
        <v>1</v>
      </c>
      <c r="N463" s="671">
        <f t="shared" si="116"/>
        <v>2060</v>
      </c>
      <c r="O463" s="681">
        <v>58775</v>
      </c>
      <c r="P463" s="678">
        <f t="shared" si="114"/>
        <v>1</v>
      </c>
    </row>
    <row r="464" ht="15.25" spans="2:16">
      <c r="B464" s="671">
        <f t="shared" si="117"/>
        <v>2060</v>
      </c>
      <c r="C464" s="692">
        <v>58806</v>
      </c>
      <c r="D464" s="682">
        <f t="shared" si="118"/>
        <v>1</v>
      </c>
      <c r="F464" s="671">
        <f t="shared" si="115"/>
        <v>2060</v>
      </c>
      <c r="G464" s="692">
        <v>58806</v>
      </c>
      <c r="H464" s="682">
        <f t="shared" si="119"/>
        <v>1</v>
      </c>
      <c r="J464" s="671">
        <f t="shared" si="113"/>
        <v>2060</v>
      </c>
      <c r="K464" s="693">
        <v>58806</v>
      </c>
      <c r="L464" s="684">
        <f>IF(K464=参数输入表!$I$7,100%,H464)</f>
        <v>1</v>
      </c>
      <c r="N464" s="671">
        <f t="shared" si="116"/>
        <v>2060</v>
      </c>
      <c r="O464" s="692">
        <v>58806</v>
      </c>
      <c r="P464" s="678">
        <f t="shared" si="114"/>
        <v>1</v>
      </c>
    </row>
    <row r="465" spans="2:16">
      <c r="B465" s="671">
        <f t="shared" si="117"/>
        <v>2061</v>
      </c>
      <c r="C465" s="694">
        <v>58837</v>
      </c>
      <c r="D465" s="682">
        <f t="shared" si="118"/>
        <v>1</v>
      </c>
      <c r="F465" s="671">
        <f t="shared" si="115"/>
        <v>2061</v>
      </c>
      <c r="G465" s="694">
        <v>58837</v>
      </c>
      <c r="H465" s="682">
        <f t="shared" si="119"/>
        <v>1</v>
      </c>
      <c r="J465" s="671">
        <f t="shared" si="113"/>
        <v>2061</v>
      </c>
      <c r="K465" s="695">
        <v>58837</v>
      </c>
      <c r="L465" s="684">
        <f>IF(K465=参数输入表!$I$7,100%,H465)</f>
        <v>1</v>
      </c>
      <c r="N465" s="671">
        <f t="shared" si="116"/>
        <v>2061</v>
      </c>
      <c r="O465" s="694">
        <v>58837</v>
      </c>
      <c r="P465" s="678">
        <f t="shared" si="114"/>
        <v>1</v>
      </c>
    </row>
    <row r="466" spans="2:16">
      <c r="B466" s="671">
        <f t="shared" si="117"/>
        <v>2061</v>
      </c>
      <c r="C466" s="681">
        <v>58865</v>
      </c>
      <c r="D466" s="682">
        <f t="shared" si="118"/>
        <v>1</v>
      </c>
      <c r="F466" s="671">
        <f t="shared" si="115"/>
        <v>2061</v>
      </c>
      <c r="G466" s="681">
        <v>58865</v>
      </c>
      <c r="H466" s="682">
        <f t="shared" si="119"/>
        <v>1</v>
      </c>
      <c r="J466" s="671">
        <f t="shared" si="113"/>
        <v>2061</v>
      </c>
      <c r="K466" s="683">
        <v>58865</v>
      </c>
      <c r="L466" s="684">
        <f>IF(K466=参数输入表!$I$7,100%,H466)</f>
        <v>1</v>
      </c>
      <c r="N466" s="671">
        <f t="shared" si="116"/>
        <v>2061</v>
      </c>
      <c r="O466" s="681">
        <v>58865</v>
      </c>
      <c r="P466" s="678">
        <f t="shared" si="114"/>
        <v>1</v>
      </c>
    </row>
    <row r="467" spans="2:16">
      <c r="B467" s="671">
        <f t="shared" si="117"/>
        <v>2061</v>
      </c>
      <c r="C467" s="681">
        <v>58896</v>
      </c>
      <c r="D467" s="682">
        <f t="shared" si="118"/>
        <v>1</v>
      </c>
      <c r="F467" s="671">
        <f t="shared" si="115"/>
        <v>2061</v>
      </c>
      <c r="G467" s="681">
        <v>58896</v>
      </c>
      <c r="H467" s="682">
        <f t="shared" si="119"/>
        <v>1</v>
      </c>
      <c r="J467" s="671">
        <f t="shared" si="113"/>
        <v>2061</v>
      </c>
      <c r="K467" s="683">
        <v>58896</v>
      </c>
      <c r="L467" s="684">
        <f>IF(K467=参数输入表!$I$7,100%,H467)</f>
        <v>1</v>
      </c>
      <c r="N467" s="671">
        <f t="shared" si="116"/>
        <v>2061</v>
      </c>
      <c r="O467" s="681">
        <v>58896</v>
      </c>
      <c r="P467" s="678">
        <f t="shared" si="114"/>
        <v>1</v>
      </c>
    </row>
    <row r="468" spans="2:16">
      <c r="B468" s="671">
        <f t="shared" si="117"/>
        <v>2061</v>
      </c>
      <c r="C468" s="681">
        <v>58926</v>
      </c>
      <c r="D468" s="682">
        <f t="shared" si="118"/>
        <v>1</v>
      </c>
      <c r="F468" s="671">
        <f t="shared" si="115"/>
        <v>2061</v>
      </c>
      <c r="G468" s="681">
        <v>58926</v>
      </c>
      <c r="H468" s="682">
        <f t="shared" si="119"/>
        <v>1</v>
      </c>
      <c r="J468" s="671">
        <f t="shared" si="113"/>
        <v>2061</v>
      </c>
      <c r="K468" s="683">
        <v>58926</v>
      </c>
      <c r="L468" s="684">
        <f>IF(K468=参数输入表!$I$7,100%,H468)</f>
        <v>1</v>
      </c>
      <c r="N468" s="671">
        <f t="shared" si="116"/>
        <v>2061</v>
      </c>
      <c r="O468" s="681">
        <v>58926</v>
      </c>
      <c r="P468" s="678">
        <f t="shared" si="114"/>
        <v>1</v>
      </c>
    </row>
    <row r="469" spans="2:16">
      <c r="B469" s="671">
        <f t="shared" si="117"/>
        <v>2061</v>
      </c>
      <c r="C469" s="681">
        <v>58957</v>
      </c>
      <c r="D469" s="682">
        <f t="shared" si="118"/>
        <v>1</v>
      </c>
      <c r="F469" s="671">
        <f t="shared" si="115"/>
        <v>2061</v>
      </c>
      <c r="G469" s="681">
        <v>58957</v>
      </c>
      <c r="H469" s="682">
        <f t="shared" si="119"/>
        <v>1</v>
      </c>
      <c r="J469" s="671">
        <f t="shared" si="113"/>
        <v>2061</v>
      </c>
      <c r="K469" s="683">
        <v>58957</v>
      </c>
      <c r="L469" s="684">
        <f>IF(K469=参数输入表!$I$7,100%,H469)</f>
        <v>1</v>
      </c>
      <c r="N469" s="671">
        <f t="shared" si="116"/>
        <v>2061</v>
      </c>
      <c r="O469" s="681">
        <v>58957</v>
      </c>
      <c r="P469" s="678">
        <f t="shared" si="114"/>
        <v>1</v>
      </c>
    </row>
    <row r="470" spans="2:16">
      <c r="B470" s="671">
        <f t="shared" si="117"/>
        <v>2061</v>
      </c>
      <c r="C470" s="681">
        <v>58987</v>
      </c>
      <c r="D470" s="682">
        <f t="shared" si="118"/>
        <v>1</v>
      </c>
      <c r="F470" s="671">
        <f t="shared" si="115"/>
        <v>2061</v>
      </c>
      <c r="G470" s="681">
        <v>58987</v>
      </c>
      <c r="H470" s="682">
        <f t="shared" si="119"/>
        <v>1</v>
      </c>
      <c r="J470" s="671">
        <f t="shared" si="113"/>
        <v>2061</v>
      </c>
      <c r="K470" s="683">
        <v>58987</v>
      </c>
      <c r="L470" s="684">
        <f>IF(K470=参数输入表!$I$7,100%,H470)</f>
        <v>1</v>
      </c>
      <c r="N470" s="671">
        <f t="shared" si="116"/>
        <v>2061</v>
      </c>
      <c r="O470" s="681">
        <v>58987</v>
      </c>
      <c r="P470" s="678">
        <f t="shared" si="114"/>
        <v>1</v>
      </c>
    </row>
    <row r="471" spans="2:16">
      <c r="B471" s="671">
        <f t="shared" si="117"/>
        <v>2061</v>
      </c>
      <c r="C471" s="681">
        <v>59018</v>
      </c>
      <c r="D471" s="682">
        <f t="shared" si="118"/>
        <v>1</v>
      </c>
      <c r="F471" s="671">
        <f t="shared" si="115"/>
        <v>2061</v>
      </c>
      <c r="G471" s="681">
        <v>59018</v>
      </c>
      <c r="H471" s="682">
        <f t="shared" si="119"/>
        <v>1</v>
      </c>
      <c r="J471" s="671">
        <f t="shared" si="113"/>
        <v>2061</v>
      </c>
      <c r="K471" s="683">
        <v>59018</v>
      </c>
      <c r="L471" s="684">
        <f>IF(K471=参数输入表!$I$7,100%,H471)</f>
        <v>1</v>
      </c>
      <c r="N471" s="671">
        <f t="shared" si="116"/>
        <v>2061</v>
      </c>
      <c r="O471" s="681">
        <v>59018</v>
      </c>
      <c r="P471" s="678">
        <f t="shared" si="114"/>
        <v>1</v>
      </c>
    </row>
    <row r="472" spans="2:16">
      <c r="B472" s="671">
        <f t="shared" si="117"/>
        <v>2061</v>
      </c>
      <c r="C472" s="681">
        <v>59049</v>
      </c>
      <c r="D472" s="682">
        <f t="shared" ref="D472:D481" si="120">$D$100</f>
        <v>1</v>
      </c>
      <c r="F472" s="671">
        <f t="shared" si="115"/>
        <v>2061</v>
      </c>
      <c r="G472" s="681">
        <v>59049</v>
      </c>
      <c r="H472" s="682">
        <f t="shared" ref="H472:H481" si="121">$H$100</f>
        <v>1</v>
      </c>
      <c r="J472" s="671">
        <f t="shared" si="113"/>
        <v>2061</v>
      </c>
      <c r="K472" s="683">
        <v>59049</v>
      </c>
      <c r="L472" s="684">
        <f>IF(K472=参数输入表!$I$7,100%,H472)</f>
        <v>1</v>
      </c>
      <c r="N472" s="671">
        <f t="shared" si="116"/>
        <v>2061</v>
      </c>
      <c r="O472" s="681">
        <v>59049</v>
      </c>
      <c r="P472" s="678">
        <f t="shared" si="114"/>
        <v>1</v>
      </c>
    </row>
    <row r="473" spans="2:16">
      <c r="B473" s="671">
        <f t="shared" si="117"/>
        <v>2061</v>
      </c>
      <c r="C473" s="681">
        <v>59079</v>
      </c>
      <c r="D473" s="682">
        <f t="shared" si="120"/>
        <v>1</v>
      </c>
      <c r="F473" s="671">
        <f t="shared" si="115"/>
        <v>2061</v>
      </c>
      <c r="G473" s="681">
        <v>59079</v>
      </c>
      <c r="H473" s="682">
        <f t="shared" si="121"/>
        <v>1</v>
      </c>
      <c r="J473" s="671">
        <f t="shared" si="113"/>
        <v>2061</v>
      </c>
      <c r="K473" s="683">
        <v>59079</v>
      </c>
      <c r="L473" s="684">
        <f>IF(K473=参数输入表!$I$7,100%,H473)</f>
        <v>1</v>
      </c>
      <c r="N473" s="671">
        <f t="shared" si="116"/>
        <v>2061</v>
      </c>
      <c r="O473" s="681">
        <v>59079</v>
      </c>
      <c r="P473" s="678">
        <f t="shared" si="114"/>
        <v>1</v>
      </c>
    </row>
    <row r="474" spans="2:16">
      <c r="B474" s="671">
        <f t="shared" si="117"/>
        <v>2061</v>
      </c>
      <c r="C474" s="681">
        <v>59110</v>
      </c>
      <c r="D474" s="682">
        <f t="shared" si="120"/>
        <v>1</v>
      </c>
      <c r="F474" s="671">
        <f t="shared" si="115"/>
        <v>2061</v>
      </c>
      <c r="G474" s="681">
        <v>59110</v>
      </c>
      <c r="H474" s="682">
        <f t="shared" si="121"/>
        <v>1</v>
      </c>
      <c r="J474" s="671">
        <f t="shared" si="113"/>
        <v>2061</v>
      </c>
      <c r="K474" s="683">
        <v>59110</v>
      </c>
      <c r="L474" s="684">
        <f>IF(K474=参数输入表!$I$7,100%,H474)</f>
        <v>1</v>
      </c>
      <c r="N474" s="671">
        <f t="shared" si="116"/>
        <v>2061</v>
      </c>
      <c r="O474" s="681">
        <v>59110</v>
      </c>
      <c r="P474" s="678">
        <f t="shared" si="114"/>
        <v>1</v>
      </c>
    </row>
    <row r="475" spans="2:16">
      <c r="B475" s="671">
        <f t="shared" si="117"/>
        <v>2061</v>
      </c>
      <c r="C475" s="681">
        <v>59140</v>
      </c>
      <c r="D475" s="682">
        <f t="shared" si="120"/>
        <v>1</v>
      </c>
      <c r="F475" s="671">
        <f t="shared" si="115"/>
        <v>2061</v>
      </c>
      <c r="G475" s="681">
        <v>59140</v>
      </c>
      <c r="H475" s="682">
        <f t="shared" si="121"/>
        <v>1</v>
      </c>
      <c r="J475" s="671">
        <f t="shared" si="113"/>
        <v>2061</v>
      </c>
      <c r="K475" s="683">
        <v>59140</v>
      </c>
      <c r="L475" s="684">
        <f>IF(K475=参数输入表!$I$7,100%,H475)</f>
        <v>1</v>
      </c>
      <c r="N475" s="671">
        <f t="shared" si="116"/>
        <v>2061</v>
      </c>
      <c r="O475" s="681">
        <v>59140</v>
      </c>
      <c r="P475" s="678">
        <f t="shared" si="114"/>
        <v>1</v>
      </c>
    </row>
    <row r="476" ht="15.25" spans="2:16">
      <c r="B476" s="671">
        <f t="shared" si="117"/>
        <v>2061</v>
      </c>
      <c r="C476" s="692">
        <v>59171</v>
      </c>
      <c r="D476" s="682">
        <f t="shared" si="120"/>
        <v>1</v>
      </c>
      <c r="F476" s="671">
        <f t="shared" si="115"/>
        <v>2061</v>
      </c>
      <c r="G476" s="692">
        <v>59171</v>
      </c>
      <c r="H476" s="682">
        <f t="shared" si="121"/>
        <v>1</v>
      </c>
      <c r="J476" s="671">
        <f t="shared" si="113"/>
        <v>2061</v>
      </c>
      <c r="K476" s="693">
        <v>59171</v>
      </c>
      <c r="L476" s="684">
        <f>IF(K476=参数输入表!$I$7,100%,H476)</f>
        <v>1</v>
      </c>
      <c r="N476" s="671">
        <f t="shared" si="116"/>
        <v>2061</v>
      </c>
      <c r="O476" s="692">
        <v>59171</v>
      </c>
      <c r="P476" s="678">
        <f t="shared" si="114"/>
        <v>1</v>
      </c>
    </row>
    <row r="477" spans="2:16">
      <c r="B477" s="671">
        <f t="shared" si="117"/>
        <v>2062</v>
      </c>
      <c r="C477" s="694">
        <v>59202</v>
      </c>
      <c r="D477" s="682">
        <f t="shared" si="120"/>
        <v>1</v>
      </c>
      <c r="F477" s="671">
        <f t="shared" si="115"/>
        <v>2062</v>
      </c>
      <c r="G477" s="694">
        <v>59202</v>
      </c>
      <c r="H477" s="682">
        <f t="shared" si="121"/>
        <v>1</v>
      </c>
      <c r="J477" s="671">
        <f t="shared" si="113"/>
        <v>2062</v>
      </c>
      <c r="K477" s="695">
        <v>59202</v>
      </c>
      <c r="L477" s="684">
        <f>IF(K477=参数输入表!$I$7,100%,H477)</f>
        <v>1</v>
      </c>
      <c r="N477" s="671">
        <f t="shared" si="116"/>
        <v>2062</v>
      </c>
      <c r="O477" s="694">
        <v>59202</v>
      </c>
      <c r="P477" s="678">
        <f t="shared" si="114"/>
        <v>1</v>
      </c>
    </row>
    <row r="478" spans="2:16">
      <c r="B478" s="671">
        <f t="shared" si="117"/>
        <v>2062</v>
      </c>
      <c r="C478" s="681">
        <v>59230</v>
      </c>
      <c r="D478" s="682">
        <f t="shared" si="120"/>
        <v>1</v>
      </c>
      <c r="F478" s="671">
        <f t="shared" si="115"/>
        <v>2062</v>
      </c>
      <c r="G478" s="681">
        <v>59230</v>
      </c>
      <c r="H478" s="682">
        <f t="shared" si="121"/>
        <v>1</v>
      </c>
      <c r="J478" s="671">
        <f t="shared" si="113"/>
        <v>2062</v>
      </c>
      <c r="K478" s="683">
        <v>59230</v>
      </c>
      <c r="L478" s="684">
        <f>IF(K478=参数输入表!$I$7,100%,H478)</f>
        <v>1</v>
      </c>
      <c r="N478" s="671">
        <f t="shared" si="116"/>
        <v>2062</v>
      </c>
      <c r="O478" s="681">
        <v>59230</v>
      </c>
      <c r="P478" s="678">
        <f t="shared" si="114"/>
        <v>1</v>
      </c>
    </row>
    <row r="479" spans="2:16">
      <c r="B479" s="671">
        <f t="shared" si="117"/>
        <v>2062</v>
      </c>
      <c r="C479" s="681">
        <v>59261</v>
      </c>
      <c r="D479" s="682">
        <f t="shared" si="120"/>
        <v>1</v>
      </c>
      <c r="F479" s="671">
        <f t="shared" si="115"/>
        <v>2062</v>
      </c>
      <c r="G479" s="681">
        <v>59261</v>
      </c>
      <c r="H479" s="682">
        <f t="shared" si="121"/>
        <v>1</v>
      </c>
      <c r="J479" s="671">
        <f t="shared" si="113"/>
        <v>2062</v>
      </c>
      <c r="K479" s="683">
        <v>59261</v>
      </c>
      <c r="L479" s="684">
        <f>IF(K479=参数输入表!$I$7,100%,H479)</f>
        <v>1</v>
      </c>
      <c r="N479" s="671">
        <f t="shared" si="116"/>
        <v>2062</v>
      </c>
      <c r="O479" s="681">
        <v>59261</v>
      </c>
      <c r="P479" s="678">
        <f t="shared" si="114"/>
        <v>1</v>
      </c>
    </row>
    <row r="480" spans="2:16">
      <c r="B480" s="671">
        <f t="shared" si="117"/>
        <v>2062</v>
      </c>
      <c r="C480" s="681">
        <v>59291</v>
      </c>
      <c r="D480" s="682">
        <f t="shared" si="120"/>
        <v>1</v>
      </c>
      <c r="F480" s="671">
        <f t="shared" si="115"/>
        <v>2062</v>
      </c>
      <c r="G480" s="681">
        <v>59291</v>
      </c>
      <c r="H480" s="682">
        <f t="shared" si="121"/>
        <v>1</v>
      </c>
      <c r="J480" s="671">
        <f t="shared" si="113"/>
        <v>2062</v>
      </c>
      <c r="K480" s="683">
        <v>59291</v>
      </c>
      <c r="L480" s="684">
        <f>IF(K480=参数输入表!$I$7,100%,H480)</f>
        <v>1</v>
      </c>
      <c r="N480" s="671">
        <f t="shared" si="116"/>
        <v>2062</v>
      </c>
      <c r="O480" s="681">
        <v>59291</v>
      </c>
      <c r="P480" s="678">
        <f t="shared" si="114"/>
        <v>1</v>
      </c>
    </row>
    <row r="481" spans="2:16">
      <c r="B481" s="671">
        <f t="shared" si="117"/>
        <v>2062</v>
      </c>
      <c r="C481" s="681">
        <v>59322</v>
      </c>
      <c r="D481" s="682">
        <f t="shared" si="120"/>
        <v>1</v>
      </c>
      <c r="F481" s="671">
        <f t="shared" si="115"/>
        <v>2062</v>
      </c>
      <c r="G481" s="681">
        <v>59322</v>
      </c>
      <c r="H481" s="682">
        <f t="shared" si="121"/>
        <v>1</v>
      </c>
      <c r="J481" s="671">
        <f t="shared" si="113"/>
        <v>2062</v>
      </c>
      <c r="K481" s="683">
        <v>59322</v>
      </c>
      <c r="L481" s="684">
        <f>IF(K481=参数输入表!$I$7,100%,H481)</f>
        <v>1</v>
      </c>
      <c r="N481" s="671">
        <f t="shared" si="116"/>
        <v>2062</v>
      </c>
      <c r="O481" s="681">
        <v>59322</v>
      </c>
      <c r="P481" s="678">
        <f t="shared" si="114"/>
        <v>1</v>
      </c>
    </row>
    <row r="482" spans="2:16">
      <c r="B482" s="671">
        <f t="shared" si="117"/>
        <v>2062</v>
      </c>
      <c r="C482" s="681">
        <v>59352</v>
      </c>
      <c r="D482" s="682">
        <f t="shared" ref="D482:D491" si="122">$D$100</f>
        <v>1</v>
      </c>
      <c r="F482" s="671">
        <f t="shared" si="115"/>
        <v>2062</v>
      </c>
      <c r="G482" s="681">
        <v>59352</v>
      </c>
      <c r="H482" s="682">
        <f t="shared" ref="H482:H491" si="123">$H$100</f>
        <v>1</v>
      </c>
      <c r="J482" s="671">
        <f t="shared" si="113"/>
        <v>2062</v>
      </c>
      <c r="K482" s="683">
        <v>59352</v>
      </c>
      <c r="L482" s="684">
        <f>IF(K482=参数输入表!$I$7,100%,H482)</f>
        <v>1</v>
      </c>
      <c r="N482" s="671">
        <f t="shared" si="116"/>
        <v>2062</v>
      </c>
      <c r="O482" s="681">
        <v>59352</v>
      </c>
      <c r="P482" s="678">
        <f t="shared" si="114"/>
        <v>1</v>
      </c>
    </row>
    <row r="483" spans="2:16">
      <c r="B483" s="671">
        <f t="shared" si="117"/>
        <v>2062</v>
      </c>
      <c r="C483" s="681">
        <v>59383</v>
      </c>
      <c r="D483" s="682">
        <f t="shared" si="122"/>
        <v>1</v>
      </c>
      <c r="F483" s="671">
        <f t="shared" si="115"/>
        <v>2062</v>
      </c>
      <c r="G483" s="681">
        <v>59383</v>
      </c>
      <c r="H483" s="682">
        <f t="shared" si="123"/>
        <v>1</v>
      </c>
      <c r="J483" s="671">
        <f t="shared" si="113"/>
        <v>2062</v>
      </c>
      <c r="K483" s="683">
        <v>59383</v>
      </c>
      <c r="L483" s="684">
        <f>IF(K483=参数输入表!$I$7,100%,H483)</f>
        <v>1</v>
      </c>
      <c r="N483" s="671">
        <f t="shared" si="116"/>
        <v>2062</v>
      </c>
      <c r="O483" s="681">
        <v>59383</v>
      </c>
      <c r="P483" s="678">
        <f t="shared" si="114"/>
        <v>1</v>
      </c>
    </row>
    <row r="484" spans="2:16">
      <c r="B484" s="671">
        <f t="shared" si="117"/>
        <v>2062</v>
      </c>
      <c r="C484" s="681">
        <v>59414</v>
      </c>
      <c r="D484" s="682">
        <f t="shared" si="122"/>
        <v>1</v>
      </c>
      <c r="F484" s="671">
        <f t="shared" si="115"/>
        <v>2062</v>
      </c>
      <c r="G484" s="681">
        <v>59414</v>
      </c>
      <c r="H484" s="682">
        <f t="shared" si="123"/>
        <v>1</v>
      </c>
      <c r="J484" s="671">
        <f t="shared" si="113"/>
        <v>2062</v>
      </c>
      <c r="K484" s="683">
        <v>59414</v>
      </c>
      <c r="L484" s="684">
        <f>IF(K484=参数输入表!$I$7,100%,H484)</f>
        <v>1</v>
      </c>
      <c r="N484" s="671">
        <f t="shared" si="116"/>
        <v>2062</v>
      </c>
      <c r="O484" s="681">
        <v>59414</v>
      </c>
      <c r="P484" s="678">
        <f t="shared" si="114"/>
        <v>1</v>
      </c>
    </row>
    <row r="485" spans="2:16">
      <c r="B485" s="671">
        <f t="shared" si="117"/>
        <v>2062</v>
      </c>
      <c r="C485" s="681">
        <v>59444</v>
      </c>
      <c r="D485" s="682">
        <f t="shared" si="122"/>
        <v>1</v>
      </c>
      <c r="F485" s="671">
        <f t="shared" si="115"/>
        <v>2062</v>
      </c>
      <c r="G485" s="681">
        <v>59444</v>
      </c>
      <c r="H485" s="682">
        <f t="shared" si="123"/>
        <v>1</v>
      </c>
      <c r="J485" s="671">
        <f t="shared" si="113"/>
        <v>2062</v>
      </c>
      <c r="K485" s="683">
        <v>59444</v>
      </c>
      <c r="L485" s="684">
        <f>IF(K485=参数输入表!$I$7,100%,H485)</f>
        <v>1</v>
      </c>
      <c r="N485" s="671">
        <f t="shared" si="116"/>
        <v>2062</v>
      </c>
      <c r="O485" s="681">
        <v>59444</v>
      </c>
      <c r="P485" s="678">
        <f t="shared" si="114"/>
        <v>1</v>
      </c>
    </row>
    <row r="486" spans="2:16">
      <c r="B486" s="671">
        <f t="shared" si="117"/>
        <v>2062</v>
      </c>
      <c r="C486" s="681">
        <v>59475</v>
      </c>
      <c r="D486" s="682">
        <f t="shared" si="122"/>
        <v>1</v>
      </c>
      <c r="F486" s="671">
        <f t="shared" si="115"/>
        <v>2062</v>
      </c>
      <c r="G486" s="681">
        <v>59475</v>
      </c>
      <c r="H486" s="682">
        <f t="shared" si="123"/>
        <v>1</v>
      </c>
      <c r="J486" s="671">
        <f t="shared" si="113"/>
        <v>2062</v>
      </c>
      <c r="K486" s="683">
        <v>59475</v>
      </c>
      <c r="L486" s="684">
        <f>IF(K486=参数输入表!$I$7,100%,H486)</f>
        <v>1</v>
      </c>
      <c r="N486" s="671">
        <f t="shared" si="116"/>
        <v>2062</v>
      </c>
      <c r="O486" s="681">
        <v>59475</v>
      </c>
      <c r="P486" s="678">
        <f t="shared" si="114"/>
        <v>1</v>
      </c>
    </row>
    <row r="487" spans="2:16">
      <c r="B487" s="671">
        <f t="shared" si="117"/>
        <v>2062</v>
      </c>
      <c r="C487" s="681">
        <v>59505</v>
      </c>
      <c r="D487" s="682">
        <f t="shared" si="122"/>
        <v>1</v>
      </c>
      <c r="F487" s="671">
        <f t="shared" si="115"/>
        <v>2062</v>
      </c>
      <c r="G487" s="681">
        <v>59505</v>
      </c>
      <c r="H487" s="682">
        <f t="shared" si="123"/>
        <v>1</v>
      </c>
      <c r="J487" s="671">
        <f t="shared" si="113"/>
        <v>2062</v>
      </c>
      <c r="K487" s="683">
        <v>59505</v>
      </c>
      <c r="L487" s="684">
        <f>IF(K487=参数输入表!$I$7,100%,H487)</f>
        <v>1</v>
      </c>
      <c r="N487" s="671">
        <f t="shared" si="116"/>
        <v>2062</v>
      </c>
      <c r="O487" s="681">
        <v>59505</v>
      </c>
      <c r="P487" s="678">
        <f t="shared" si="114"/>
        <v>1</v>
      </c>
    </row>
    <row r="488" ht="15.25" spans="2:16">
      <c r="B488" s="671">
        <f t="shared" si="117"/>
        <v>2062</v>
      </c>
      <c r="C488" s="692">
        <v>59536</v>
      </c>
      <c r="D488" s="682">
        <f t="shared" si="122"/>
        <v>1</v>
      </c>
      <c r="F488" s="671">
        <f t="shared" si="115"/>
        <v>2062</v>
      </c>
      <c r="G488" s="692">
        <v>59536</v>
      </c>
      <c r="H488" s="682">
        <f t="shared" si="123"/>
        <v>1</v>
      </c>
      <c r="J488" s="671">
        <f t="shared" si="113"/>
        <v>2062</v>
      </c>
      <c r="K488" s="693">
        <v>59536</v>
      </c>
      <c r="L488" s="684">
        <f>IF(K488=参数输入表!$I$7,100%,H488)</f>
        <v>1</v>
      </c>
      <c r="N488" s="671">
        <f t="shared" si="116"/>
        <v>2062</v>
      </c>
      <c r="O488" s="692">
        <v>59536</v>
      </c>
      <c r="P488" s="678">
        <f t="shared" si="114"/>
        <v>1</v>
      </c>
    </row>
    <row r="489" spans="2:16">
      <c r="B489" s="671">
        <f t="shared" si="117"/>
        <v>2063</v>
      </c>
      <c r="C489" s="694">
        <v>59567</v>
      </c>
      <c r="D489" s="682">
        <f t="shared" si="122"/>
        <v>1</v>
      </c>
      <c r="F489" s="671">
        <f t="shared" si="115"/>
        <v>2063</v>
      </c>
      <c r="G489" s="694">
        <v>59567</v>
      </c>
      <c r="H489" s="682">
        <f t="shared" si="123"/>
        <v>1</v>
      </c>
      <c r="J489" s="671">
        <f t="shared" si="113"/>
        <v>2063</v>
      </c>
      <c r="K489" s="695">
        <v>59567</v>
      </c>
      <c r="L489" s="684">
        <f>IF(K489=参数输入表!$I$7,100%,H489)</f>
        <v>1</v>
      </c>
      <c r="N489" s="671">
        <f t="shared" si="116"/>
        <v>2063</v>
      </c>
      <c r="O489" s="694">
        <v>59567</v>
      </c>
      <c r="P489" s="678">
        <f t="shared" si="114"/>
        <v>1</v>
      </c>
    </row>
    <row r="490" spans="2:16">
      <c r="B490" s="671">
        <f t="shared" si="117"/>
        <v>2063</v>
      </c>
      <c r="C490" s="681">
        <v>59595</v>
      </c>
      <c r="D490" s="682">
        <f t="shared" si="122"/>
        <v>1</v>
      </c>
      <c r="F490" s="671">
        <f t="shared" si="115"/>
        <v>2063</v>
      </c>
      <c r="G490" s="681">
        <v>59595</v>
      </c>
      <c r="H490" s="682">
        <f t="shared" si="123"/>
        <v>1</v>
      </c>
      <c r="J490" s="671">
        <f t="shared" si="113"/>
        <v>2063</v>
      </c>
      <c r="K490" s="683">
        <v>59595</v>
      </c>
      <c r="L490" s="684">
        <f>IF(K490=参数输入表!$I$7,100%,H490)</f>
        <v>1</v>
      </c>
      <c r="N490" s="671">
        <f t="shared" si="116"/>
        <v>2063</v>
      </c>
      <c r="O490" s="681">
        <v>59595</v>
      </c>
      <c r="P490" s="678">
        <f t="shared" si="114"/>
        <v>1</v>
      </c>
    </row>
    <row r="491" spans="2:16">
      <c r="B491" s="671">
        <f t="shared" si="117"/>
        <v>2063</v>
      </c>
      <c r="C491" s="681">
        <v>59626</v>
      </c>
      <c r="D491" s="682">
        <f t="shared" si="122"/>
        <v>1</v>
      </c>
      <c r="F491" s="671">
        <f t="shared" si="115"/>
        <v>2063</v>
      </c>
      <c r="G491" s="681">
        <v>59626</v>
      </c>
      <c r="H491" s="682">
        <f t="shared" si="123"/>
        <v>1</v>
      </c>
      <c r="J491" s="671">
        <f t="shared" si="113"/>
        <v>2063</v>
      </c>
      <c r="K491" s="683">
        <v>59626</v>
      </c>
      <c r="L491" s="684">
        <f>IF(K491=参数输入表!$I$7,100%,H491)</f>
        <v>1</v>
      </c>
      <c r="N491" s="671">
        <f t="shared" si="116"/>
        <v>2063</v>
      </c>
      <c r="O491" s="681">
        <v>59626</v>
      </c>
      <c r="P491" s="678">
        <f t="shared" si="114"/>
        <v>1</v>
      </c>
    </row>
    <row r="492" spans="2:16">
      <c r="B492" s="671">
        <f t="shared" si="117"/>
        <v>2063</v>
      </c>
      <c r="C492" s="681">
        <v>59656</v>
      </c>
      <c r="D492" s="682">
        <f t="shared" ref="D492:D501" si="124">$D$100</f>
        <v>1</v>
      </c>
      <c r="F492" s="671">
        <f t="shared" si="115"/>
        <v>2063</v>
      </c>
      <c r="G492" s="681">
        <v>59656</v>
      </c>
      <c r="H492" s="682">
        <f t="shared" ref="H492:H501" si="125">$H$100</f>
        <v>1</v>
      </c>
      <c r="J492" s="671">
        <f t="shared" si="113"/>
        <v>2063</v>
      </c>
      <c r="K492" s="683">
        <v>59656</v>
      </c>
      <c r="L492" s="684">
        <f>IF(K492=参数输入表!$I$7,100%,H492)</f>
        <v>1</v>
      </c>
      <c r="N492" s="671">
        <f t="shared" si="116"/>
        <v>2063</v>
      </c>
      <c r="O492" s="681">
        <v>59656</v>
      </c>
      <c r="P492" s="678">
        <f t="shared" si="114"/>
        <v>1</v>
      </c>
    </row>
    <row r="493" spans="2:16">
      <c r="B493" s="671">
        <f t="shared" si="117"/>
        <v>2063</v>
      </c>
      <c r="C493" s="681">
        <v>59687</v>
      </c>
      <c r="D493" s="682">
        <f t="shared" si="124"/>
        <v>1</v>
      </c>
      <c r="F493" s="671">
        <f t="shared" si="115"/>
        <v>2063</v>
      </c>
      <c r="G493" s="681">
        <v>59687</v>
      </c>
      <c r="H493" s="682">
        <f t="shared" si="125"/>
        <v>1</v>
      </c>
      <c r="J493" s="671">
        <f t="shared" si="113"/>
        <v>2063</v>
      </c>
      <c r="K493" s="683">
        <v>59687</v>
      </c>
      <c r="L493" s="684">
        <f>IF(K493=参数输入表!$I$7,100%,H493)</f>
        <v>1</v>
      </c>
      <c r="N493" s="671">
        <f t="shared" si="116"/>
        <v>2063</v>
      </c>
      <c r="O493" s="681">
        <v>59687</v>
      </c>
      <c r="P493" s="678">
        <f t="shared" si="114"/>
        <v>1</v>
      </c>
    </row>
    <row r="494" spans="2:16">
      <c r="B494" s="671">
        <f t="shared" si="117"/>
        <v>2063</v>
      </c>
      <c r="C494" s="681">
        <v>59717</v>
      </c>
      <c r="D494" s="682">
        <f t="shared" si="124"/>
        <v>1</v>
      </c>
      <c r="F494" s="671">
        <f t="shared" si="115"/>
        <v>2063</v>
      </c>
      <c r="G494" s="681">
        <v>59717</v>
      </c>
      <c r="H494" s="682">
        <f t="shared" si="125"/>
        <v>1</v>
      </c>
      <c r="J494" s="671">
        <f t="shared" si="113"/>
        <v>2063</v>
      </c>
      <c r="K494" s="683">
        <v>59717</v>
      </c>
      <c r="L494" s="684">
        <f>IF(K494=参数输入表!$I$7,100%,H494)</f>
        <v>1</v>
      </c>
      <c r="N494" s="671">
        <f t="shared" si="116"/>
        <v>2063</v>
      </c>
      <c r="O494" s="681">
        <v>59717</v>
      </c>
      <c r="P494" s="678">
        <f t="shared" si="114"/>
        <v>1</v>
      </c>
    </row>
    <row r="495" spans="2:16">
      <c r="B495" s="671">
        <f t="shared" si="117"/>
        <v>2063</v>
      </c>
      <c r="C495" s="681">
        <v>59748</v>
      </c>
      <c r="D495" s="682">
        <f t="shared" si="124"/>
        <v>1</v>
      </c>
      <c r="F495" s="671">
        <f t="shared" si="115"/>
        <v>2063</v>
      </c>
      <c r="G495" s="681">
        <v>59748</v>
      </c>
      <c r="H495" s="682">
        <f t="shared" si="125"/>
        <v>1</v>
      </c>
      <c r="J495" s="671">
        <f t="shared" si="113"/>
        <v>2063</v>
      </c>
      <c r="K495" s="683">
        <v>59748</v>
      </c>
      <c r="L495" s="684">
        <f>IF(K495=参数输入表!$I$7,100%,H495)</f>
        <v>1</v>
      </c>
      <c r="N495" s="671">
        <f t="shared" si="116"/>
        <v>2063</v>
      </c>
      <c r="O495" s="681">
        <v>59748</v>
      </c>
      <c r="P495" s="678">
        <f t="shared" si="114"/>
        <v>1</v>
      </c>
    </row>
    <row r="496" spans="2:16">
      <c r="B496" s="671">
        <f t="shared" si="117"/>
        <v>2063</v>
      </c>
      <c r="C496" s="681">
        <v>59779</v>
      </c>
      <c r="D496" s="682">
        <f t="shared" si="124"/>
        <v>1</v>
      </c>
      <c r="F496" s="671">
        <f t="shared" si="115"/>
        <v>2063</v>
      </c>
      <c r="G496" s="681">
        <v>59779</v>
      </c>
      <c r="H496" s="682">
        <f t="shared" si="125"/>
        <v>1</v>
      </c>
      <c r="J496" s="671">
        <f t="shared" si="113"/>
        <v>2063</v>
      </c>
      <c r="K496" s="683">
        <v>59779</v>
      </c>
      <c r="L496" s="684">
        <f>IF(K496=参数输入表!$I$7,100%,H496)</f>
        <v>1</v>
      </c>
      <c r="N496" s="671">
        <f t="shared" si="116"/>
        <v>2063</v>
      </c>
      <c r="O496" s="681">
        <v>59779</v>
      </c>
      <c r="P496" s="678">
        <f t="shared" si="114"/>
        <v>1</v>
      </c>
    </row>
    <row r="497" spans="2:16">
      <c r="B497" s="671">
        <f t="shared" si="117"/>
        <v>2063</v>
      </c>
      <c r="C497" s="681">
        <v>59809</v>
      </c>
      <c r="D497" s="682">
        <f t="shared" si="124"/>
        <v>1</v>
      </c>
      <c r="F497" s="671">
        <f t="shared" si="115"/>
        <v>2063</v>
      </c>
      <c r="G497" s="681">
        <v>59809</v>
      </c>
      <c r="H497" s="682">
        <f t="shared" si="125"/>
        <v>1</v>
      </c>
      <c r="J497" s="671">
        <f t="shared" si="113"/>
        <v>2063</v>
      </c>
      <c r="K497" s="683">
        <v>59809</v>
      </c>
      <c r="L497" s="684">
        <f>IF(K497=参数输入表!$I$7,100%,H497)</f>
        <v>1</v>
      </c>
      <c r="N497" s="671">
        <f t="shared" si="116"/>
        <v>2063</v>
      </c>
      <c r="O497" s="681">
        <v>59809</v>
      </c>
      <c r="P497" s="678">
        <f t="shared" si="114"/>
        <v>1</v>
      </c>
    </row>
    <row r="498" spans="2:16">
      <c r="B498" s="671">
        <f t="shared" si="117"/>
        <v>2063</v>
      </c>
      <c r="C498" s="681">
        <v>59840</v>
      </c>
      <c r="D498" s="682">
        <f t="shared" si="124"/>
        <v>1</v>
      </c>
      <c r="F498" s="671">
        <f t="shared" si="115"/>
        <v>2063</v>
      </c>
      <c r="G498" s="681">
        <v>59840</v>
      </c>
      <c r="H498" s="682">
        <f t="shared" si="125"/>
        <v>1</v>
      </c>
      <c r="J498" s="671">
        <f t="shared" si="113"/>
        <v>2063</v>
      </c>
      <c r="K498" s="683">
        <v>59840</v>
      </c>
      <c r="L498" s="684">
        <f>IF(K498=参数输入表!$I$7,100%,H498)</f>
        <v>1</v>
      </c>
      <c r="N498" s="671">
        <f t="shared" si="116"/>
        <v>2063</v>
      </c>
      <c r="O498" s="681">
        <v>59840</v>
      </c>
      <c r="P498" s="678">
        <f t="shared" si="114"/>
        <v>1</v>
      </c>
    </row>
    <row r="499" spans="2:16">
      <c r="B499" s="671">
        <f t="shared" si="117"/>
        <v>2063</v>
      </c>
      <c r="C499" s="681">
        <v>59870</v>
      </c>
      <c r="D499" s="682">
        <f t="shared" si="124"/>
        <v>1</v>
      </c>
      <c r="F499" s="671">
        <f t="shared" si="115"/>
        <v>2063</v>
      </c>
      <c r="G499" s="681">
        <v>59870</v>
      </c>
      <c r="H499" s="682">
        <f t="shared" si="125"/>
        <v>1</v>
      </c>
      <c r="J499" s="671">
        <f t="shared" si="113"/>
        <v>2063</v>
      </c>
      <c r="K499" s="683">
        <v>59870</v>
      </c>
      <c r="L499" s="684">
        <f>IF(K499=参数输入表!$I$7,100%,H499)</f>
        <v>1</v>
      </c>
      <c r="N499" s="671">
        <f t="shared" si="116"/>
        <v>2063</v>
      </c>
      <c r="O499" s="681">
        <v>59870</v>
      </c>
      <c r="P499" s="678">
        <f t="shared" si="114"/>
        <v>1</v>
      </c>
    </row>
    <row r="500" ht="15.25" spans="2:16">
      <c r="B500" s="671">
        <f t="shared" si="117"/>
        <v>2063</v>
      </c>
      <c r="C500" s="692">
        <v>59901</v>
      </c>
      <c r="D500" s="682">
        <f t="shared" si="124"/>
        <v>1</v>
      </c>
      <c r="F500" s="671">
        <f t="shared" si="115"/>
        <v>2063</v>
      </c>
      <c r="G500" s="692">
        <v>59901</v>
      </c>
      <c r="H500" s="682">
        <f t="shared" si="125"/>
        <v>1</v>
      </c>
      <c r="J500" s="671">
        <f t="shared" si="113"/>
        <v>2063</v>
      </c>
      <c r="K500" s="693">
        <v>59901</v>
      </c>
      <c r="L500" s="684">
        <f>IF(K500=参数输入表!$I$7,100%,H500)</f>
        <v>1</v>
      </c>
      <c r="N500" s="671">
        <f t="shared" si="116"/>
        <v>2063</v>
      </c>
      <c r="O500" s="692">
        <v>59901</v>
      </c>
      <c r="P500" s="678">
        <f t="shared" si="114"/>
        <v>1</v>
      </c>
    </row>
    <row r="501" spans="2:16">
      <c r="B501" s="671">
        <f t="shared" si="117"/>
        <v>2064</v>
      </c>
      <c r="C501" s="694">
        <v>59932</v>
      </c>
      <c r="D501" s="682">
        <f t="shared" si="124"/>
        <v>1</v>
      </c>
      <c r="F501" s="671">
        <f t="shared" si="115"/>
        <v>2064</v>
      </c>
      <c r="G501" s="694">
        <v>59932</v>
      </c>
      <c r="H501" s="682">
        <f t="shared" si="125"/>
        <v>1</v>
      </c>
      <c r="J501" s="671">
        <f t="shared" si="113"/>
        <v>2064</v>
      </c>
      <c r="K501" s="695">
        <v>59932</v>
      </c>
      <c r="L501" s="684">
        <f>IF(K501=参数输入表!$I$7,100%,H501)</f>
        <v>1</v>
      </c>
      <c r="N501" s="671">
        <f t="shared" si="116"/>
        <v>2064</v>
      </c>
      <c r="O501" s="694">
        <v>59932</v>
      </c>
      <c r="P501" s="678">
        <f t="shared" si="114"/>
        <v>1</v>
      </c>
    </row>
    <row r="502" spans="2:16">
      <c r="B502" s="671">
        <f t="shared" si="117"/>
        <v>2064</v>
      </c>
      <c r="C502" s="681">
        <v>59961</v>
      </c>
      <c r="D502" s="682">
        <f t="shared" ref="D502:D511" si="126">$D$100</f>
        <v>1</v>
      </c>
      <c r="F502" s="671">
        <f t="shared" si="115"/>
        <v>2064</v>
      </c>
      <c r="G502" s="681">
        <v>59961</v>
      </c>
      <c r="H502" s="682">
        <f t="shared" ref="H502:H511" si="127">$H$100</f>
        <v>1</v>
      </c>
      <c r="J502" s="671">
        <f t="shared" si="113"/>
        <v>2064</v>
      </c>
      <c r="K502" s="683">
        <v>59961</v>
      </c>
      <c r="L502" s="684">
        <f>IF(K502=参数输入表!$I$7,100%,H502)</f>
        <v>1</v>
      </c>
      <c r="N502" s="671">
        <f t="shared" si="116"/>
        <v>2064</v>
      </c>
      <c r="O502" s="681">
        <v>59961</v>
      </c>
      <c r="P502" s="678">
        <f t="shared" si="114"/>
        <v>1</v>
      </c>
    </row>
    <row r="503" spans="2:16">
      <c r="B503" s="671">
        <f t="shared" si="117"/>
        <v>2064</v>
      </c>
      <c r="C503" s="681">
        <v>59992</v>
      </c>
      <c r="D503" s="682">
        <f t="shared" si="126"/>
        <v>1</v>
      </c>
      <c r="F503" s="671">
        <f t="shared" si="115"/>
        <v>2064</v>
      </c>
      <c r="G503" s="681">
        <v>59992</v>
      </c>
      <c r="H503" s="682">
        <f t="shared" si="127"/>
        <v>1</v>
      </c>
      <c r="J503" s="671">
        <f t="shared" si="113"/>
        <v>2064</v>
      </c>
      <c r="K503" s="683">
        <v>59992</v>
      </c>
      <c r="L503" s="684">
        <f>IF(K503=参数输入表!$I$7,100%,H503)</f>
        <v>1</v>
      </c>
      <c r="N503" s="671">
        <f t="shared" si="116"/>
        <v>2064</v>
      </c>
      <c r="O503" s="681">
        <v>59992</v>
      </c>
      <c r="P503" s="678">
        <f t="shared" si="114"/>
        <v>1</v>
      </c>
    </row>
    <row r="504" spans="2:16">
      <c r="B504" s="671">
        <f t="shared" si="117"/>
        <v>2064</v>
      </c>
      <c r="C504" s="681">
        <v>60022</v>
      </c>
      <c r="D504" s="682">
        <f t="shared" si="126"/>
        <v>1</v>
      </c>
      <c r="F504" s="671">
        <f t="shared" si="115"/>
        <v>2064</v>
      </c>
      <c r="G504" s="681">
        <v>60022</v>
      </c>
      <c r="H504" s="682">
        <f t="shared" si="127"/>
        <v>1</v>
      </c>
      <c r="J504" s="671">
        <f t="shared" si="113"/>
        <v>2064</v>
      </c>
      <c r="K504" s="683">
        <v>60022</v>
      </c>
      <c r="L504" s="684">
        <f>IF(K504=参数输入表!$I$7,100%,H504)</f>
        <v>1</v>
      </c>
      <c r="N504" s="671">
        <f t="shared" si="116"/>
        <v>2064</v>
      </c>
      <c r="O504" s="681">
        <v>60022</v>
      </c>
      <c r="P504" s="678">
        <f t="shared" si="114"/>
        <v>1</v>
      </c>
    </row>
    <row r="505" spans="2:16">
      <c r="B505" s="671">
        <f t="shared" si="117"/>
        <v>2064</v>
      </c>
      <c r="C505" s="681">
        <v>60053</v>
      </c>
      <c r="D505" s="682">
        <f t="shared" si="126"/>
        <v>1</v>
      </c>
      <c r="F505" s="671">
        <f t="shared" si="115"/>
        <v>2064</v>
      </c>
      <c r="G505" s="681">
        <v>60053</v>
      </c>
      <c r="H505" s="682">
        <f t="shared" si="127"/>
        <v>1</v>
      </c>
      <c r="J505" s="671">
        <f t="shared" si="113"/>
        <v>2064</v>
      </c>
      <c r="K505" s="683">
        <v>60053</v>
      </c>
      <c r="L505" s="684">
        <f>IF(K505=参数输入表!$I$7,100%,H505)</f>
        <v>1</v>
      </c>
      <c r="N505" s="671">
        <f t="shared" si="116"/>
        <v>2064</v>
      </c>
      <c r="O505" s="681">
        <v>60053</v>
      </c>
      <c r="P505" s="678">
        <f t="shared" si="114"/>
        <v>1</v>
      </c>
    </row>
    <row r="506" spans="2:16">
      <c r="B506" s="671">
        <f t="shared" si="117"/>
        <v>2064</v>
      </c>
      <c r="C506" s="681">
        <v>60083</v>
      </c>
      <c r="D506" s="682">
        <f t="shared" si="126"/>
        <v>1</v>
      </c>
      <c r="F506" s="671">
        <f t="shared" si="115"/>
        <v>2064</v>
      </c>
      <c r="G506" s="681">
        <v>60083</v>
      </c>
      <c r="H506" s="682">
        <f t="shared" si="127"/>
        <v>1</v>
      </c>
      <c r="J506" s="671">
        <f t="shared" si="113"/>
        <v>2064</v>
      </c>
      <c r="K506" s="683">
        <v>60083</v>
      </c>
      <c r="L506" s="684">
        <f>IF(K506=参数输入表!$I$7,100%,H506)</f>
        <v>1</v>
      </c>
      <c r="N506" s="671">
        <f t="shared" si="116"/>
        <v>2064</v>
      </c>
      <c r="O506" s="681">
        <v>60083</v>
      </c>
      <c r="P506" s="678">
        <f t="shared" si="114"/>
        <v>1</v>
      </c>
    </row>
    <row r="507" spans="2:16">
      <c r="B507" s="671">
        <f t="shared" si="117"/>
        <v>2064</v>
      </c>
      <c r="C507" s="681">
        <v>60114</v>
      </c>
      <c r="D507" s="682">
        <f t="shared" si="126"/>
        <v>1</v>
      </c>
      <c r="F507" s="671">
        <f t="shared" si="115"/>
        <v>2064</v>
      </c>
      <c r="G507" s="681">
        <v>60114</v>
      </c>
      <c r="H507" s="682">
        <f t="shared" si="127"/>
        <v>1</v>
      </c>
      <c r="J507" s="671">
        <f t="shared" si="113"/>
        <v>2064</v>
      </c>
      <c r="K507" s="683">
        <v>60114</v>
      </c>
      <c r="L507" s="684">
        <f>IF(K507=参数输入表!$I$7,100%,H507)</f>
        <v>1</v>
      </c>
      <c r="N507" s="671">
        <f t="shared" si="116"/>
        <v>2064</v>
      </c>
      <c r="O507" s="681">
        <v>60114</v>
      </c>
      <c r="P507" s="678">
        <f t="shared" si="114"/>
        <v>1</v>
      </c>
    </row>
    <row r="508" spans="2:16">
      <c r="B508" s="671">
        <f t="shared" si="117"/>
        <v>2064</v>
      </c>
      <c r="C508" s="681">
        <v>60145</v>
      </c>
      <c r="D508" s="682">
        <f t="shared" si="126"/>
        <v>1</v>
      </c>
      <c r="F508" s="671">
        <f t="shared" si="115"/>
        <v>2064</v>
      </c>
      <c r="G508" s="681">
        <v>60145</v>
      </c>
      <c r="H508" s="682">
        <f t="shared" si="127"/>
        <v>1</v>
      </c>
      <c r="J508" s="671">
        <f t="shared" si="113"/>
        <v>2064</v>
      </c>
      <c r="K508" s="683">
        <v>60145</v>
      </c>
      <c r="L508" s="684">
        <f>IF(K508=参数输入表!$I$7,100%,H508)</f>
        <v>1</v>
      </c>
      <c r="N508" s="671">
        <f t="shared" si="116"/>
        <v>2064</v>
      </c>
      <c r="O508" s="681">
        <v>60145</v>
      </c>
      <c r="P508" s="678">
        <f t="shared" si="114"/>
        <v>1</v>
      </c>
    </row>
    <row r="509" spans="2:16">
      <c r="B509" s="671">
        <f t="shared" si="117"/>
        <v>2064</v>
      </c>
      <c r="C509" s="681">
        <v>60175</v>
      </c>
      <c r="D509" s="682">
        <f t="shared" si="126"/>
        <v>1</v>
      </c>
      <c r="F509" s="671">
        <f t="shared" si="115"/>
        <v>2064</v>
      </c>
      <c r="G509" s="681">
        <v>60175</v>
      </c>
      <c r="H509" s="682">
        <f t="shared" si="127"/>
        <v>1</v>
      </c>
      <c r="J509" s="671">
        <f t="shared" si="113"/>
        <v>2064</v>
      </c>
      <c r="K509" s="683">
        <v>60175</v>
      </c>
      <c r="L509" s="684">
        <f>IF(K509=参数输入表!$I$7,100%,H509)</f>
        <v>1</v>
      </c>
      <c r="N509" s="671">
        <f t="shared" si="116"/>
        <v>2064</v>
      </c>
      <c r="O509" s="681">
        <v>60175</v>
      </c>
      <c r="P509" s="678">
        <f t="shared" si="114"/>
        <v>1</v>
      </c>
    </row>
    <row r="510" spans="2:16">
      <c r="B510" s="671">
        <f t="shared" si="117"/>
        <v>2064</v>
      </c>
      <c r="C510" s="681">
        <v>60206</v>
      </c>
      <c r="D510" s="682">
        <f t="shared" si="126"/>
        <v>1</v>
      </c>
      <c r="F510" s="671">
        <f t="shared" si="115"/>
        <v>2064</v>
      </c>
      <c r="G510" s="681">
        <v>60206</v>
      </c>
      <c r="H510" s="682">
        <f t="shared" si="127"/>
        <v>1</v>
      </c>
      <c r="J510" s="671">
        <f t="shared" si="113"/>
        <v>2064</v>
      </c>
      <c r="K510" s="683">
        <v>60206</v>
      </c>
      <c r="L510" s="684">
        <f>IF(K510=参数输入表!$I$7,100%,H510)</f>
        <v>1</v>
      </c>
      <c r="N510" s="671">
        <f t="shared" si="116"/>
        <v>2064</v>
      </c>
      <c r="O510" s="681">
        <v>60206</v>
      </c>
      <c r="P510" s="678">
        <f t="shared" si="114"/>
        <v>1</v>
      </c>
    </row>
    <row r="511" spans="2:16">
      <c r="B511" s="671">
        <f t="shared" si="117"/>
        <v>2064</v>
      </c>
      <c r="C511" s="681">
        <v>60236</v>
      </c>
      <c r="D511" s="682">
        <f t="shared" si="126"/>
        <v>1</v>
      </c>
      <c r="F511" s="671">
        <f t="shared" si="115"/>
        <v>2064</v>
      </c>
      <c r="G511" s="681">
        <v>60236</v>
      </c>
      <c r="H511" s="682">
        <f t="shared" si="127"/>
        <v>1</v>
      </c>
      <c r="J511" s="671">
        <f t="shared" si="113"/>
        <v>2064</v>
      </c>
      <c r="K511" s="683">
        <v>60236</v>
      </c>
      <c r="L511" s="684">
        <f>IF(K511=参数输入表!$I$7,100%,H511)</f>
        <v>1</v>
      </c>
      <c r="N511" s="671">
        <f t="shared" si="116"/>
        <v>2064</v>
      </c>
      <c r="O511" s="681">
        <v>60236</v>
      </c>
      <c r="P511" s="678">
        <f t="shared" si="114"/>
        <v>1</v>
      </c>
    </row>
    <row r="512" ht="15.25" spans="2:16">
      <c r="B512" s="671">
        <f t="shared" si="117"/>
        <v>2064</v>
      </c>
      <c r="C512" s="692">
        <v>60267</v>
      </c>
      <c r="D512" s="682">
        <f t="shared" ref="D512:D521" si="128">$D$100</f>
        <v>1</v>
      </c>
      <c r="F512" s="671">
        <f t="shared" si="115"/>
        <v>2064</v>
      </c>
      <c r="G512" s="692">
        <v>60267</v>
      </c>
      <c r="H512" s="682">
        <f t="shared" ref="H512:H521" si="129">$H$100</f>
        <v>1</v>
      </c>
      <c r="J512" s="671">
        <f t="shared" si="113"/>
        <v>2064</v>
      </c>
      <c r="K512" s="693">
        <v>60267</v>
      </c>
      <c r="L512" s="684">
        <f>IF(K512=参数输入表!$I$7,100%,H512)</f>
        <v>1</v>
      </c>
      <c r="N512" s="671">
        <f t="shared" si="116"/>
        <v>2064</v>
      </c>
      <c r="O512" s="692">
        <v>60267</v>
      </c>
      <c r="P512" s="678">
        <f t="shared" si="114"/>
        <v>1</v>
      </c>
    </row>
    <row r="513" spans="2:16">
      <c r="B513" s="671">
        <f t="shared" si="117"/>
        <v>2065</v>
      </c>
      <c r="C513" s="694">
        <v>60298</v>
      </c>
      <c r="D513" s="682">
        <f t="shared" si="128"/>
        <v>1</v>
      </c>
      <c r="F513" s="671">
        <f t="shared" si="115"/>
        <v>2065</v>
      </c>
      <c r="G513" s="694">
        <v>60298</v>
      </c>
      <c r="H513" s="682">
        <f t="shared" si="129"/>
        <v>1</v>
      </c>
      <c r="J513" s="671">
        <f t="shared" si="113"/>
        <v>2065</v>
      </c>
      <c r="K513" s="695">
        <v>60298</v>
      </c>
      <c r="L513" s="684">
        <f>IF(K513=参数输入表!$I$7,100%,H513)</f>
        <v>1</v>
      </c>
      <c r="N513" s="671">
        <f t="shared" si="116"/>
        <v>2065</v>
      </c>
      <c r="O513" s="694">
        <v>60298</v>
      </c>
      <c r="P513" s="678">
        <f t="shared" si="114"/>
        <v>1</v>
      </c>
    </row>
    <row r="514" spans="2:16">
      <c r="B514" s="671">
        <f t="shared" si="117"/>
        <v>2065</v>
      </c>
      <c r="C514" s="681">
        <v>60326</v>
      </c>
      <c r="D514" s="682">
        <f t="shared" si="128"/>
        <v>1</v>
      </c>
      <c r="F514" s="671">
        <f t="shared" si="115"/>
        <v>2065</v>
      </c>
      <c r="G514" s="681">
        <v>60326</v>
      </c>
      <c r="H514" s="682">
        <f t="shared" si="129"/>
        <v>1</v>
      </c>
      <c r="J514" s="671">
        <f t="shared" si="113"/>
        <v>2065</v>
      </c>
      <c r="K514" s="683">
        <v>60326</v>
      </c>
      <c r="L514" s="684">
        <f>IF(K514=参数输入表!$I$7,100%,H514)</f>
        <v>1</v>
      </c>
      <c r="N514" s="671">
        <f t="shared" si="116"/>
        <v>2065</v>
      </c>
      <c r="O514" s="681">
        <v>60326</v>
      </c>
      <c r="P514" s="678">
        <f t="shared" si="114"/>
        <v>1</v>
      </c>
    </row>
    <row r="515" spans="2:16">
      <c r="B515" s="671">
        <f t="shared" si="117"/>
        <v>2065</v>
      </c>
      <c r="C515" s="681">
        <v>60357</v>
      </c>
      <c r="D515" s="682">
        <f t="shared" si="128"/>
        <v>1</v>
      </c>
      <c r="F515" s="671">
        <f t="shared" si="115"/>
        <v>2065</v>
      </c>
      <c r="G515" s="681">
        <v>60357</v>
      </c>
      <c r="H515" s="682">
        <f t="shared" si="129"/>
        <v>1</v>
      </c>
      <c r="J515" s="671">
        <f t="shared" si="113"/>
        <v>2065</v>
      </c>
      <c r="K515" s="683">
        <v>60357</v>
      </c>
      <c r="L515" s="684">
        <f>IF(K515=参数输入表!$I$7,100%,H515)</f>
        <v>1</v>
      </c>
      <c r="N515" s="671">
        <f t="shared" si="116"/>
        <v>2065</v>
      </c>
      <c r="O515" s="681">
        <v>60357</v>
      </c>
      <c r="P515" s="678">
        <f t="shared" si="114"/>
        <v>1</v>
      </c>
    </row>
    <row r="516" spans="2:16">
      <c r="B516" s="671">
        <f t="shared" si="117"/>
        <v>2065</v>
      </c>
      <c r="C516" s="681">
        <v>60387</v>
      </c>
      <c r="D516" s="682">
        <f t="shared" si="128"/>
        <v>1</v>
      </c>
      <c r="F516" s="671">
        <f t="shared" si="115"/>
        <v>2065</v>
      </c>
      <c r="G516" s="681">
        <v>60387</v>
      </c>
      <c r="H516" s="682">
        <f t="shared" si="129"/>
        <v>1</v>
      </c>
      <c r="J516" s="671">
        <f t="shared" si="113"/>
        <v>2065</v>
      </c>
      <c r="K516" s="683">
        <v>60387</v>
      </c>
      <c r="L516" s="684">
        <f>IF(K516=参数输入表!$I$7,100%,H516)</f>
        <v>1</v>
      </c>
      <c r="N516" s="671">
        <f t="shared" si="116"/>
        <v>2065</v>
      </c>
      <c r="O516" s="681">
        <v>60387</v>
      </c>
      <c r="P516" s="678">
        <f t="shared" si="114"/>
        <v>1</v>
      </c>
    </row>
    <row r="517" spans="2:16">
      <c r="B517" s="671">
        <f t="shared" si="117"/>
        <v>2065</v>
      </c>
      <c r="C517" s="681">
        <v>60418</v>
      </c>
      <c r="D517" s="682">
        <f t="shared" si="128"/>
        <v>1</v>
      </c>
      <c r="F517" s="671">
        <f t="shared" si="115"/>
        <v>2065</v>
      </c>
      <c r="G517" s="681">
        <v>60418</v>
      </c>
      <c r="H517" s="682">
        <f t="shared" si="129"/>
        <v>1</v>
      </c>
      <c r="J517" s="671">
        <f t="shared" si="113"/>
        <v>2065</v>
      </c>
      <c r="K517" s="683">
        <v>60418</v>
      </c>
      <c r="L517" s="684">
        <f>IF(K517=参数输入表!$I$7,100%,H517)</f>
        <v>1</v>
      </c>
      <c r="N517" s="671">
        <f t="shared" si="116"/>
        <v>2065</v>
      </c>
      <c r="O517" s="681">
        <v>60418</v>
      </c>
      <c r="P517" s="678">
        <f t="shared" si="114"/>
        <v>1</v>
      </c>
    </row>
    <row r="518" spans="2:16">
      <c r="B518" s="671">
        <f t="shared" si="117"/>
        <v>2065</v>
      </c>
      <c r="C518" s="681">
        <v>60448</v>
      </c>
      <c r="D518" s="682">
        <f t="shared" si="128"/>
        <v>1</v>
      </c>
      <c r="F518" s="671">
        <f t="shared" si="115"/>
        <v>2065</v>
      </c>
      <c r="G518" s="681">
        <v>60448</v>
      </c>
      <c r="H518" s="682">
        <f t="shared" si="129"/>
        <v>1</v>
      </c>
      <c r="J518" s="671">
        <f t="shared" si="113"/>
        <v>2065</v>
      </c>
      <c r="K518" s="683">
        <v>60448</v>
      </c>
      <c r="L518" s="684">
        <f>IF(K518=参数输入表!$I$7,100%,H518)</f>
        <v>1</v>
      </c>
      <c r="N518" s="671">
        <f t="shared" si="116"/>
        <v>2065</v>
      </c>
      <c r="O518" s="681">
        <v>60448</v>
      </c>
      <c r="P518" s="678">
        <f t="shared" si="114"/>
        <v>1</v>
      </c>
    </row>
    <row r="519" spans="2:16">
      <c r="B519" s="671">
        <f t="shared" si="117"/>
        <v>2065</v>
      </c>
      <c r="C519" s="681">
        <v>60479</v>
      </c>
      <c r="D519" s="682">
        <f t="shared" si="128"/>
        <v>1</v>
      </c>
      <c r="F519" s="671">
        <f t="shared" si="115"/>
        <v>2065</v>
      </c>
      <c r="G519" s="681">
        <v>60479</v>
      </c>
      <c r="H519" s="682">
        <f t="shared" si="129"/>
        <v>1</v>
      </c>
      <c r="J519" s="671">
        <f t="shared" si="113"/>
        <v>2065</v>
      </c>
      <c r="K519" s="683">
        <v>60479</v>
      </c>
      <c r="L519" s="684">
        <f>IF(K519=参数输入表!$I$7,100%,H519)</f>
        <v>1</v>
      </c>
      <c r="N519" s="671">
        <f t="shared" si="116"/>
        <v>2065</v>
      </c>
      <c r="O519" s="681">
        <v>60479</v>
      </c>
      <c r="P519" s="678">
        <f t="shared" si="114"/>
        <v>1</v>
      </c>
    </row>
    <row r="520" spans="2:16">
      <c r="B520" s="671">
        <f t="shared" si="117"/>
        <v>2065</v>
      </c>
      <c r="C520" s="681">
        <v>60510</v>
      </c>
      <c r="D520" s="682">
        <f t="shared" si="128"/>
        <v>1</v>
      </c>
      <c r="F520" s="671">
        <f t="shared" si="115"/>
        <v>2065</v>
      </c>
      <c r="G520" s="681">
        <v>60510</v>
      </c>
      <c r="H520" s="682">
        <f t="shared" si="129"/>
        <v>1</v>
      </c>
      <c r="J520" s="671">
        <f t="shared" si="113"/>
        <v>2065</v>
      </c>
      <c r="K520" s="683">
        <v>60510</v>
      </c>
      <c r="L520" s="684">
        <f>IF(K520=参数输入表!$I$7,100%,H520)</f>
        <v>1</v>
      </c>
      <c r="N520" s="671">
        <f t="shared" si="116"/>
        <v>2065</v>
      </c>
      <c r="O520" s="681">
        <v>60510</v>
      </c>
      <c r="P520" s="678">
        <f t="shared" si="114"/>
        <v>1</v>
      </c>
    </row>
    <row r="521" spans="2:16">
      <c r="B521" s="671">
        <f t="shared" si="117"/>
        <v>2065</v>
      </c>
      <c r="C521" s="681">
        <v>60540</v>
      </c>
      <c r="D521" s="682">
        <f t="shared" si="128"/>
        <v>1</v>
      </c>
      <c r="F521" s="671">
        <f t="shared" si="115"/>
        <v>2065</v>
      </c>
      <c r="G521" s="681">
        <v>60540</v>
      </c>
      <c r="H521" s="682">
        <f t="shared" si="129"/>
        <v>1</v>
      </c>
      <c r="J521" s="671">
        <f t="shared" si="113"/>
        <v>2065</v>
      </c>
      <c r="K521" s="683">
        <v>60540</v>
      </c>
      <c r="L521" s="684">
        <f>IF(K521=参数输入表!$I$7,100%,H521)</f>
        <v>1</v>
      </c>
      <c r="N521" s="671">
        <f t="shared" si="116"/>
        <v>2065</v>
      </c>
      <c r="O521" s="681">
        <v>60540</v>
      </c>
      <c r="P521" s="678">
        <f t="shared" si="114"/>
        <v>1</v>
      </c>
    </row>
    <row r="522" spans="2:16">
      <c r="B522" s="671">
        <f t="shared" si="117"/>
        <v>2065</v>
      </c>
      <c r="C522" s="681">
        <v>60571</v>
      </c>
      <c r="D522" s="682">
        <f t="shared" ref="D522:D531" si="130">$D$100</f>
        <v>1</v>
      </c>
      <c r="F522" s="671">
        <f t="shared" si="115"/>
        <v>2065</v>
      </c>
      <c r="G522" s="681">
        <v>60571</v>
      </c>
      <c r="H522" s="682">
        <f t="shared" ref="H522:H531" si="131">$H$100</f>
        <v>1</v>
      </c>
      <c r="J522" s="671">
        <f t="shared" ref="J522:J579" si="132">YEAR(K522)</f>
        <v>2065</v>
      </c>
      <c r="K522" s="683">
        <v>60571</v>
      </c>
      <c r="L522" s="684">
        <f>IF(K522=参数输入表!$I$7,100%,H522)</f>
        <v>1</v>
      </c>
      <c r="N522" s="671">
        <f t="shared" si="116"/>
        <v>2065</v>
      </c>
      <c r="O522" s="681">
        <v>60571</v>
      </c>
      <c r="P522" s="678">
        <f t="shared" ref="P522:P579" si="133">D522*H522</f>
        <v>1</v>
      </c>
    </row>
    <row r="523" spans="2:16">
      <c r="B523" s="671">
        <f t="shared" si="117"/>
        <v>2065</v>
      </c>
      <c r="C523" s="681">
        <v>60601</v>
      </c>
      <c r="D523" s="682">
        <f t="shared" si="130"/>
        <v>1</v>
      </c>
      <c r="F523" s="671">
        <f t="shared" ref="F523:F579" si="134">YEAR(G523)</f>
        <v>2065</v>
      </c>
      <c r="G523" s="681">
        <v>60601</v>
      </c>
      <c r="H523" s="682">
        <f t="shared" si="131"/>
        <v>1</v>
      </c>
      <c r="J523" s="671">
        <f t="shared" si="132"/>
        <v>2065</v>
      </c>
      <c r="K523" s="683">
        <v>60601</v>
      </c>
      <c r="L523" s="684">
        <f>IF(K523=参数输入表!$I$7,100%,H523)</f>
        <v>1</v>
      </c>
      <c r="N523" s="671">
        <f t="shared" ref="N523:N579" si="135">YEAR(O523)</f>
        <v>2065</v>
      </c>
      <c r="O523" s="681">
        <v>60601</v>
      </c>
      <c r="P523" s="678">
        <f t="shared" si="133"/>
        <v>1</v>
      </c>
    </row>
    <row r="524" ht="15.25" spans="2:16">
      <c r="B524" s="671">
        <f t="shared" ref="B524:B579" si="136">YEAR(C524)</f>
        <v>2065</v>
      </c>
      <c r="C524" s="692">
        <v>60632</v>
      </c>
      <c r="D524" s="682">
        <f t="shared" si="130"/>
        <v>1</v>
      </c>
      <c r="F524" s="671">
        <f t="shared" si="134"/>
        <v>2065</v>
      </c>
      <c r="G524" s="692">
        <v>60632</v>
      </c>
      <c r="H524" s="682">
        <f t="shared" si="131"/>
        <v>1</v>
      </c>
      <c r="J524" s="671">
        <f t="shared" si="132"/>
        <v>2065</v>
      </c>
      <c r="K524" s="693">
        <v>60632</v>
      </c>
      <c r="L524" s="684">
        <f>IF(K524=参数输入表!$I$7,100%,H524)</f>
        <v>1</v>
      </c>
      <c r="N524" s="671">
        <f t="shared" si="135"/>
        <v>2065</v>
      </c>
      <c r="O524" s="692">
        <v>60632</v>
      </c>
      <c r="P524" s="678">
        <f t="shared" si="133"/>
        <v>1</v>
      </c>
    </row>
    <row r="525" spans="2:16">
      <c r="B525" s="671">
        <f t="shared" si="136"/>
        <v>2066</v>
      </c>
      <c r="C525" s="694">
        <v>60663</v>
      </c>
      <c r="D525" s="682">
        <f t="shared" si="130"/>
        <v>1</v>
      </c>
      <c r="F525" s="671">
        <f t="shared" si="134"/>
        <v>2066</v>
      </c>
      <c r="G525" s="694">
        <v>60663</v>
      </c>
      <c r="H525" s="682">
        <f t="shared" si="131"/>
        <v>1</v>
      </c>
      <c r="J525" s="671">
        <f t="shared" si="132"/>
        <v>2066</v>
      </c>
      <c r="K525" s="695">
        <v>60663</v>
      </c>
      <c r="L525" s="684">
        <f>IF(K525=参数输入表!$I$7,100%,H525)</f>
        <v>1</v>
      </c>
      <c r="N525" s="671">
        <f t="shared" si="135"/>
        <v>2066</v>
      </c>
      <c r="O525" s="694">
        <v>60663</v>
      </c>
      <c r="P525" s="678">
        <f t="shared" si="133"/>
        <v>1</v>
      </c>
    </row>
    <row r="526" spans="2:16">
      <c r="B526" s="671">
        <f t="shared" si="136"/>
        <v>2066</v>
      </c>
      <c r="C526" s="681">
        <v>60691</v>
      </c>
      <c r="D526" s="682">
        <f t="shared" si="130"/>
        <v>1</v>
      </c>
      <c r="F526" s="671">
        <f t="shared" si="134"/>
        <v>2066</v>
      </c>
      <c r="G526" s="681">
        <v>60691</v>
      </c>
      <c r="H526" s="682">
        <f t="shared" si="131"/>
        <v>1</v>
      </c>
      <c r="J526" s="671">
        <f t="shared" si="132"/>
        <v>2066</v>
      </c>
      <c r="K526" s="683">
        <v>60691</v>
      </c>
      <c r="L526" s="684">
        <f>IF(K526=参数输入表!$I$7,100%,H526)</f>
        <v>1</v>
      </c>
      <c r="N526" s="671">
        <f t="shared" si="135"/>
        <v>2066</v>
      </c>
      <c r="O526" s="681">
        <v>60691</v>
      </c>
      <c r="P526" s="678">
        <f t="shared" si="133"/>
        <v>1</v>
      </c>
    </row>
    <row r="527" spans="2:16">
      <c r="B527" s="671">
        <f t="shared" si="136"/>
        <v>2066</v>
      </c>
      <c r="C527" s="681">
        <v>60722</v>
      </c>
      <c r="D527" s="682">
        <f t="shared" si="130"/>
        <v>1</v>
      </c>
      <c r="F527" s="671">
        <f t="shared" si="134"/>
        <v>2066</v>
      </c>
      <c r="G527" s="681">
        <v>60722</v>
      </c>
      <c r="H527" s="682">
        <f t="shared" si="131"/>
        <v>1</v>
      </c>
      <c r="J527" s="671">
        <f t="shared" si="132"/>
        <v>2066</v>
      </c>
      <c r="K527" s="683">
        <v>60722</v>
      </c>
      <c r="L527" s="684">
        <f>IF(K527=参数输入表!$I$7,100%,H527)</f>
        <v>1</v>
      </c>
      <c r="N527" s="671">
        <f t="shared" si="135"/>
        <v>2066</v>
      </c>
      <c r="O527" s="681">
        <v>60722</v>
      </c>
      <c r="P527" s="678">
        <f t="shared" si="133"/>
        <v>1</v>
      </c>
    </row>
    <row r="528" spans="2:16">
      <c r="B528" s="671">
        <f t="shared" si="136"/>
        <v>2066</v>
      </c>
      <c r="C528" s="681">
        <v>60752</v>
      </c>
      <c r="D528" s="682">
        <f t="shared" si="130"/>
        <v>1</v>
      </c>
      <c r="F528" s="671">
        <f t="shared" si="134"/>
        <v>2066</v>
      </c>
      <c r="G528" s="681">
        <v>60752</v>
      </c>
      <c r="H528" s="682">
        <f t="shared" si="131"/>
        <v>1</v>
      </c>
      <c r="J528" s="671">
        <f t="shared" si="132"/>
        <v>2066</v>
      </c>
      <c r="K528" s="683">
        <v>60752</v>
      </c>
      <c r="L528" s="684">
        <f>IF(K528=参数输入表!$I$7,100%,H528)</f>
        <v>1</v>
      </c>
      <c r="N528" s="671">
        <f t="shared" si="135"/>
        <v>2066</v>
      </c>
      <c r="O528" s="681">
        <v>60752</v>
      </c>
      <c r="P528" s="678">
        <f t="shared" si="133"/>
        <v>1</v>
      </c>
    </row>
    <row r="529" spans="2:16">
      <c r="B529" s="671">
        <f t="shared" si="136"/>
        <v>2066</v>
      </c>
      <c r="C529" s="681">
        <v>60783</v>
      </c>
      <c r="D529" s="682">
        <f t="shared" si="130"/>
        <v>1</v>
      </c>
      <c r="F529" s="671">
        <f t="shared" si="134"/>
        <v>2066</v>
      </c>
      <c r="G529" s="681">
        <v>60783</v>
      </c>
      <c r="H529" s="682">
        <f t="shared" si="131"/>
        <v>1</v>
      </c>
      <c r="J529" s="671">
        <f t="shared" si="132"/>
        <v>2066</v>
      </c>
      <c r="K529" s="683">
        <v>60783</v>
      </c>
      <c r="L529" s="684">
        <f>IF(K529=参数输入表!$I$7,100%,H529)</f>
        <v>1</v>
      </c>
      <c r="N529" s="671">
        <f t="shared" si="135"/>
        <v>2066</v>
      </c>
      <c r="O529" s="681">
        <v>60783</v>
      </c>
      <c r="P529" s="678">
        <f t="shared" si="133"/>
        <v>1</v>
      </c>
    </row>
    <row r="530" spans="2:16">
      <c r="B530" s="671">
        <f t="shared" si="136"/>
        <v>2066</v>
      </c>
      <c r="C530" s="681">
        <v>60813</v>
      </c>
      <c r="D530" s="682">
        <f t="shared" si="130"/>
        <v>1</v>
      </c>
      <c r="F530" s="671">
        <f t="shared" si="134"/>
        <v>2066</v>
      </c>
      <c r="G530" s="681">
        <v>60813</v>
      </c>
      <c r="H530" s="682">
        <f t="shared" si="131"/>
        <v>1</v>
      </c>
      <c r="J530" s="671">
        <f t="shared" si="132"/>
        <v>2066</v>
      </c>
      <c r="K530" s="683">
        <v>60813</v>
      </c>
      <c r="L530" s="684">
        <f>IF(K530=参数输入表!$I$7,100%,H530)</f>
        <v>1</v>
      </c>
      <c r="N530" s="671">
        <f t="shared" si="135"/>
        <v>2066</v>
      </c>
      <c r="O530" s="681">
        <v>60813</v>
      </c>
      <c r="P530" s="678">
        <f t="shared" si="133"/>
        <v>1</v>
      </c>
    </row>
    <row r="531" spans="2:16">
      <c r="B531" s="671">
        <f t="shared" si="136"/>
        <v>2066</v>
      </c>
      <c r="C531" s="681">
        <v>60844</v>
      </c>
      <c r="D531" s="682">
        <f t="shared" si="130"/>
        <v>1</v>
      </c>
      <c r="F531" s="671">
        <f t="shared" si="134"/>
        <v>2066</v>
      </c>
      <c r="G531" s="681">
        <v>60844</v>
      </c>
      <c r="H531" s="682">
        <f t="shared" si="131"/>
        <v>1</v>
      </c>
      <c r="J531" s="671">
        <f t="shared" si="132"/>
        <v>2066</v>
      </c>
      <c r="K531" s="683">
        <v>60844</v>
      </c>
      <c r="L531" s="684">
        <f>IF(K531=参数输入表!$I$7,100%,H531)</f>
        <v>1</v>
      </c>
      <c r="N531" s="671">
        <f t="shared" si="135"/>
        <v>2066</v>
      </c>
      <c r="O531" s="681">
        <v>60844</v>
      </c>
      <c r="P531" s="678">
        <f t="shared" si="133"/>
        <v>1</v>
      </c>
    </row>
    <row r="532" spans="2:16">
      <c r="B532" s="671">
        <f t="shared" si="136"/>
        <v>2066</v>
      </c>
      <c r="C532" s="681">
        <v>60875</v>
      </c>
      <c r="D532" s="682">
        <f t="shared" ref="D532:D541" si="137">$D$100</f>
        <v>1</v>
      </c>
      <c r="F532" s="671">
        <f t="shared" si="134"/>
        <v>2066</v>
      </c>
      <c r="G532" s="681">
        <v>60875</v>
      </c>
      <c r="H532" s="682">
        <f t="shared" ref="H532:H541" si="138">$H$100</f>
        <v>1</v>
      </c>
      <c r="J532" s="671">
        <f t="shared" si="132"/>
        <v>2066</v>
      </c>
      <c r="K532" s="683">
        <v>60875</v>
      </c>
      <c r="L532" s="684">
        <f>IF(K532=参数输入表!$I$7,100%,H532)</f>
        <v>1</v>
      </c>
      <c r="N532" s="671">
        <f t="shared" si="135"/>
        <v>2066</v>
      </c>
      <c r="O532" s="681">
        <v>60875</v>
      </c>
      <c r="P532" s="678">
        <f t="shared" si="133"/>
        <v>1</v>
      </c>
    </row>
    <row r="533" spans="2:16">
      <c r="B533" s="671">
        <f t="shared" si="136"/>
        <v>2066</v>
      </c>
      <c r="C533" s="681">
        <v>60905</v>
      </c>
      <c r="D533" s="682">
        <f t="shared" si="137"/>
        <v>1</v>
      </c>
      <c r="F533" s="671">
        <f t="shared" si="134"/>
        <v>2066</v>
      </c>
      <c r="G533" s="681">
        <v>60905</v>
      </c>
      <c r="H533" s="682">
        <f t="shared" si="138"/>
        <v>1</v>
      </c>
      <c r="J533" s="671">
        <f t="shared" si="132"/>
        <v>2066</v>
      </c>
      <c r="K533" s="683">
        <v>60905</v>
      </c>
      <c r="L533" s="684">
        <f>IF(K533=参数输入表!$I$7,100%,H533)</f>
        <v>1</v>
      </c>
      <c r="N533" s="671">
        <f t="shared" si="135"/>
        <v>2066</v>
      </c>
      <c r="O533" s="681">
        <v>60905</v>
      </c>
      <c r="P533" s="678">
        <f t="shared" si="133"/>
        <v>1</v>
      </c>
    </row>
    <row r="534" spans="2:16">
      <c r="B534" s="671">
        <f t="shared" si="136"/>
        <v>2066</v>
      </c>
      <c r="C534" s="681">
        <v>60936</v>
      </c>
      <c r="D534" s="682">
        <f t="shared" si="137"/>
        <v>1</v>
      </c>
      <c r="F534" s="671">
        <f t="shared" si="134"/>
        <v>2066</v>
      </c>
      <c r="G534" s="681">
        <v>60936</v>
      </c>
      <c r="H534" s="682">
        <f t="shared" si="138"/>
        <v>1</v>
      </c>
      <c r="J534" s="671">
        <f t="shared" si="132"/>
        <v>2066</v>
      </c>
      <c r="K534" s="683">
        <v>60936</v>
      </c>
      <c r="L534" s="684">
        <f>IF(K534=参数输入表!$I$7,100%,H534)</f>
        <v>1</v>
      </c>
      <c r="N534" s="671">
        <f t="shared" si="135"/>
        <v>2066</v>
      </c>
      <c r="O534" s="681">
        <v>60936</v>
      </c>
      <c r="P534" s="678">
        <f t="shared" si="133"/>
        <v>1</v>
      </c>
    </row>
    <row r="535" spans="2:16">
      <c r="B535" s="671">
        <f t="shared" si="136"/>
        <v>2066</v>
      </c>
      <c r="C535" s="681">
        <v>60966</v>
      </c>
      <c r="D535" s="682">
        <f t="shared" si="137"/>
        <v>1</v>
      </c>
      <c r="F535" s="671">
        <f t="shared" si="134"/>
        <v>2066</v>
      </c>
      <c r="G535" s="681">
        <v>60966</v>
      </c>
      <c r="H535" s="682">
        <f t="shared" si="138"/>
        <v>1</v>
      </c>
      <c r="J535" s="671">
        <f t="shared" si="132"/>
        <v>2066</v>
      </c>
      <c r="K535" s="683">
        <v>60966</v>
      </c>
      <c r="L535" s="684">
        <f>IF(K535=参数输入表!$I$7,100%,H535)</f>
        <v>1</v>
      </c>
      <c r="N535" s="671">
        <f t="shared" si="135"/>
        <v>2066</v>
      </c>
      <c r="O535" s="681">
        <v>60966</v>
      </c>
      <c r="P535" s="678">
        <f t="shared" si="133"/>
        <v>1</v>
      </c>
    </row>
    <row r="536" ht="15.25" spans="2:16">
      <c r="B536" s="671">
        <f t="shared" si="136"/>
        <v>2066</v>
      </c>
      <c r="C536" s="692">
        <v>60997</v>
      </c>
      <c r="D536" s="682">
        <f t="shared" si="137"/>
        <v>1</v>
      </c>
      <c r="F536" s="671">
        <f t="shared" si="134"/>
        <v>2066</v>
      </c>
      <c r="G536" s="692">
        <v>60997</v>
      </c>
      <c r="H536" s="682">
        <f t="shared" si="138"/>
        <v>1</v>
      </c>
      <c r="J536" s="671">
        <f t="shared" si="132"/>
        <v>2066</v>
      </c>
      <c r="K536" s="693">
        <v>60997</v>
      </c>
      <c r="L536" s="684">
        <f>IF(K536=参数输入表!$I$7,100%,H536)</f>
        <v>1</v>
      </c>
      <c r="N536" s="671">
        <f t="shared" si="135"/>
        <v>2066</v>
      </c>
      <c r="O536" s="692">
        <v>60997</v>
      </c>
      <c r="P536" s="678">
        <f t="shared" si="133"/>
        <v>1</v>
      </c>
    </row>
    <row r="537" spans="2:16">
      <c r="B537" s="671">
        <f t="shared" si="136"/>
        <v>2067</v>
      </c>
      <c r="C537" s="694">
        <v>61028</v>
      </c>
      <c r="D537" s="682">
        <f t="shared" si="137"/>
        <v>1</v>
      </c>
      <c r="F537" s="671">
        <f t="shared" si="134"/>
        <v>2067</v>
      </c>
      <c r="G537" s="694">
        <v>61028</v>
      </c>
      <c r="H537" s="682">
        <f t="shared" si="138"/>
        <v>1</v>
      </c>
      <c r="J537" s="671">
        <f t="shared" si="132"/>
        <v>2067</v>
      </c>
      <c r="K537" s="695">
        <v>61028</v>
      </c>
      <c r="L537" s="684">
        <f>IF(K537=参数输入表!$I$7,100%,H537)</f>
        <v>1</v>
      </c>
      <c r="N537" s="671">
        <f t="shared" si="135"/>
        <v>2067</v>
      </c>
      <c r="O537" s="694">
        <v>61028</v>
      </c>
      <c r="P537" s="678">
        <f t="shared" si="133"/>
        <v>1</v>
      </c>
    </row>
    <row r="538" spans="2:16">
      <c r="B538" s="671">
        <f t="shared" si="136"/>
        <v>2067</v>
      </c>
      <c r="C538" s="681">
        <v>61056</v>
      </c>
      <c r="D538" s="682">
        <f t="shared" si="137"/>
        <v>1</v>
      </c>
      <c r="F538" s="671">
        <f t="shared" si="134"/>
        <v>2067</v>
      </c>
      <c r="G538" s="681">
        <v>61056</v>
      </c>
      <c r="H538" s="682">
        <f t="shared" si="138"/>
        <v>1</v>
      </c>
      <c r="J538" s="671">
        <f t="shared" si="132"/>
        <v>2067</v>
      </c>
      <c r="K538" s="683">
        <v>61056</v>
      </c>
      <c r="L538" s="684">
        <f>IF(K538=参数输入表!$I$7,100%,H538)</f>
        <v>1</v>
      </c>
      <c r="N538" s="671">
        <f t="shared" si="135"/>
        <v>2067</v>
      </c>
      <c r="O538" s="681">
        <v>61056</v>
      </c>
      <c r="P538" s="678">
        <f t="shared" si="133"/>
        <v>1</v>
      </c>
    </row>
    <row r="539" spans="2:16">
      <c r="B539" s="671">
        <f t="shared" si="136"/>
        <v>2067</v>
      </c>
      <c r="C539" s="681">
        <v>61087</v>
      </c>
      <c r="D539" s="682">
        <f t="shared" si="137"/>
        <v>1</v>
      </c>
      <c r="F539" s="671">
        <f t="shared" si="134"/>
        <v>2067</v>
      </c>
      <c r="G539" s="681">
        <v>61087</v>
      </c>
      <c r="H539" s="682">
        <f t="shared" si="138"/>
        <v>1</v>
      </c>
      <c r="J539" s="671">
        <f t="shared" si="132"/>
        <v>2067</v>
      </c>
      <c r="K539" s="683">
        <v>61087</v>
      </c>
      <c r="L539" s="684">
        <f>IF(K539=参数输入表!$I$7,100%,H539)</f>
        <v>1</v>
      </c>
      <c r="N539" s="671">
        <f t="shared" si="135"/>
        <v>2067</v>
      </c>
      <c r="O539" s="681">
        <v>61087</v>
      </c>
      <c r="P539" s="678">
        <f t="shared" si="133"/>
        <v>1</v>
      </c>
    </row>
    <row r="540" spans="2:16">
      <c r="B540" s="671">
        <f t="shared" si="136"/>
        <v>2067</v>
      </c>
      <c r="C540" s="681">
        <v>61117</v>
      </c>
      <c r="D540" s="682">
        <f t="shared" si="137"/>
        <v>1</v>
      </c>
      <c r="F540" s="671">
        <f t="shared" si="134"/>
        <v>2067</v>
      </c>
      <c r="G540" s="681">
        <v>61117</v>
      </c>
      <c r="H540" s="682">
        <f t="shared" si="138"/>
        <v>1</v>
      </c>
      <c r="J540" s="671">
        <f t="shared" si="132"/>
        <v>2067</v>
      </c>
      <c r="K540" s="683">
        <v>61117</v>
      </c>
      <c r="L540" s="684">
        <f>IF(K540=参数输入表!$I$7,100%,H540)</f>
        <v>1</v>
      </c>
      <c r="N540" s="671">
        <f t="shared" si="135"/>
        <v>2067</v>
      </c>
      <c r="O540" s="681">
        <v>61117</v>
      </c>
      <c r="P540" s="678">
        <f t="shared" si="133"/>
        <v>1</v>
      </c>
    </row>
    <row r="541" spans="2:16">
      <c r="B541" s="671">
        <f t="shared" si="136"/>
        <v>2067</v>
      </c>
      <c r="C541" s="681">
        <v>61148</v>
      </c>
      <c r="D541" s="682">
        <f t="shared" si="137"/>
        <v>1</v>
      </c>
      <c r="F541" s="671">
        <f t="shared" si="134"/>
        <v>2067</v>
      </c>
      <c r="G541" s="681">
        <v>61148</v>
      </c>
      <c r="H541" s="682">
        <f t="shared" si="138"/>
        <v>1</v>
      </c>
      <c r="J541" s="671">
        <f t="shared" si="132"/>
        <v>2067</v>
      </c>
      <c r="K541" s="683">
        <v>61148</v>
      </c>
      <c r="L541" s="684">
        <f>IF(K541=参数输入表!$I$7,100%,H541)</f>
        <v>1</v>
      </c>
      <c r="N541" s="671">
        <f t="shared" si="135"/>
        <v>2067</v>
      </c>
      <c r="O541" s="681">
        <v>61148</v>
      </c>
      <c r="P541" s="678">
        <f t="shared" si="133"/>
        <v>1</v>
      </c>
    </row>
    <row r="542" spans="2:16">
      <c r="B542" s="671">
        <f t="shared" si="136"/>
        <v>2067</v>
      </c>
      <c r="C542" s="681">
        <v>61178</v>
      </c>
      <c r="D542" s="682">
        <f t="shared" ref="D542:D551" si="139">$D$100</f>
        <v>1</v>
      </c>
      <c r="F542" s="671">
        <f t="shared" si="134"/>
        <v>2067</v>
      </c>
      <c r="G542" s="681">
        <v>61178</v>
      </c>
      <c r="H542" s="682">
        <f t="shared" ref="H542:H551" si="140">$H$100</f>
        <v>1</v>
      </c>
      <c r="J542" s="671">
        <f t="shared" si="132"/>
        <v>2067</v>
      </c>
      <c r="K542" s="683">
        <v>61178</v>
      </c>
      <c r="L542" s="684">
        <f>IF(K542=参数输入表!$I$7,100%,H542)</f>
        <v>1</v>
      </c>
      <c r="N542" s="671">
        <f t="shared" si="135"/>
        <v>2067</v>
      </c>
      <c r="O542" s="681">
        <v>61178</v>
      </c>
      <c r="P542" s="678">
        <f t="shared" si="133"/>
        <v>1</v>
      </c>
    </row>
    <row r="543" spans="2:16">
      <c r="B543" s="671">
        <f t="shared" si="136"/>
        <v>2067</v>
      </c>
      <c r="C543" s="681">
        <v>61209</v>
      </c>
      <c r="D543" s="682">
        <f t="shared" si="139"/>
        <v>1</v>
      </c>
      <c r="F543" s="671">
        <f t="shared" si="134"/>
        <v>2067</v>
      </c>
      <c r="G543" s="681">
        <v>61209</v>
      </c>
      <c r="H543" s="682">
        <f t="shared" si="140"/>
        <v>1</v>
      </c>
      <c r="J543" s="671">
        <f t="shared" si="132"/>
        <v>2067</v>
      </c>
      <c r="K543" s="683">
        <v>61209</v>
      </c>
      <c r="L543" s="684">
        <f>IF(K543=参数输入表!$I$7,100%,H543)</f>
        <v>1</v>
      </c>
      <c r="N543" s="671">
        <f t="shared" si="135"/>
        <v>2067</v>
      </c>
      <c r="O543" s="681">
        <v>61209</v>
      </c>
      <c r="P543" s="678">
        <f t="shared" si="133"/>
        <v>1</v>
      </c>
    </row>
    <row r="544" spans="2:16">
      <c r="B544" s="671">
        <f t="shared" si="136"/>
        <v>2067</v>
      </c>
      <c r="C544" s="681">
        <v>61240</v>
      </c>
      <c r="D544" s="682">
        <f t="shared" si="139"/>
        <v>1</v>
      </c>
      <c r="F544" s="671">
        <f t="shared" si="134"/>
        <v>2067</v>
      </c>
      <c r="G544" s="681">
        <v>61240</v>
      </c>
      <c r="H544" s="682">
        <f t="shared" si="140"/>
        <v>1</v>
      </c>
      <c r="J544" s="671">
        <f t="shared" si="132"/>
        <v>2067</v>
      </c>
      <c r="K544" s="683">
        <v>61240</v>
      </c>
      <c r="L544" s="684">
        <f>IF(K544=参数输入表!$I$7,100%,H544)</f>
        <v>1</v>
      </c>
      <c r="N544" s="671">
        <f t="shared" si="135"/>
        <v>2067</v>
      </c>
      <c r="O544" s="681">
        <v>61240</v>
      </c>
      <c r="P544" s="678">
        <f t="shared" si="133"/>
        <v>1</v>
      </c>
    </row>
    <row r="545" spans="2:16">
      <c r="B545" s="671">
        <f t="shared" si="136"/>
        <v>2067</v>
      </c>
      <c r="C545" s="681">
        <v>61270</v>
      </c>
      <c r="D545" s="682">
        <f t="shared" si="139"/>
        <v>1</v>
      </c>
      <c r="F545" s="671">
        <f t="shared" si="134"/>
        <v>2067</v>
      </c>
      <c r="G545" s="681">
        <v>61270</v>
      </c>
      <c r="H545" s="682">
        <f t="shared" si="140"/>
        <v>1</v>
      </c>
      <c r="J545" s="671">
        <f t="shared" si="132"/>
        <v>2067</v>
      </c>
      <c r="K545" s="683">
        <v>61270</v>
      </c>
      <c r="L545" s="684">
        <f>IF(K545=参数输入表!$I$7,100%,H545)</f>
        <v>1</v>
      </c>
      <c r="N545" s="671">
        <f t="shared" si="135"/>
        <v>2067</v>
      </c>
      <c r="O545" s="681">
        <v>61270</v>
      </c>
      <c r="P545" s="678">
        <f t="shared" si="133"/>
        <v>1</v>
      </c>
    </row>
    <row r="546" spans="2:16">
      <c r="B546" s="671">
        <f t="shared" si="136"/>
        <v>2067</v>
      </c>
      <c r="C546" s="681">
        <v>61301</v>
      </c>
      <c r="D546" s="682">
        <f t="shared" si="139"/>
        <v>1</v>
      </c>
      <c r="F546" s="671">
        <f t="shared" si="134"/>
        <v>2067</v>
      </c>
      <c r="G546" s="681">
        <v>61301</v>
      </c>
      <c r="H546" s="682">
        <f t="shared" si="140"/>
        <v>1</v>
      </c>
      <c r="J546" s="671">
        <f t="shared" si="132"/>
        <v>2067</v>
      </c>
      <c r="K546" s="683">
        <v>61301</v>
      </c>
      <c r="L546" s="684">
        <f>IF(K546=参数输入表!$I$7,100%,H546)</f>
        <v>1</v>
      </c>
      <c r="N546" s="671">
        <f t="shared" si="135"/>
        <v>2067</v>
      </c>
      <c r="O546" s="681">
        <v>61301</v>
      </c>
      <c r="P546" s="678">
        <f t="shared" si="133"/>
        <v>1</v>
      </c>
    </row>
    <row r="547" spans="2:16">
      <c r="B547" s="671">
        <f t="shared" si="136"/>
        <v>2067</v>
      </c>
      <c r="C547" s="681">
        <v>61331</v>
      </c>
      <c r="D547" s="682">
        <f t="shared" si="139"/>
        <v>1</v>
      </c>
      <c r="F547" s="671">
        <f t="shared" si="134"/>
        <v>2067</v>
      </c>
      <c r="G547" s="681">
        <v>61331</v>
      </c>
      <c r="H547" s="682">
        <f t="shared" si="140"/>
        <v>1</v>
      </c>
      <c r="J547" s="671">
        <f t="shared" si="132"/>
        <v>2067</v>
      </c>
      <c r="K547" s="683">
        <v>61331</v>
      </c>
      <c r="L547" s="684">
        <f>IF(K547=参数输入表!$I$7,100%,H547)</f>
        <v>1</v>
      </c>
      <c r="N547" s="671">
        <f t="shared" si="135"/>
        <v>2067</v>
      </c>
      <c r="O547" s="681">
        <v>61331</v>
      </c>
      <c r="P547" s="678">
        <f t="shared" si="133"/>
        <v>1</v>
      </c>
    </row>
    <row r="548" ht="15.25" spans="2:16">
      <c r="B548" s="671">
        <f t="shared" si="136"/>
        <v>2067</v>
      </c>
      <c r="C548" s="692">
        <v>61362</v>
      </c>
      <c r="D548" s="682">
        <f t="shared" si="139"/>
        <v>1</v>
      </c>
      <c r="F548" s="671">
        <f t="shared" si="134"/>
        <v>2067</v>
      </c>
      <c r="G548" s="692">
        <v>61362</v>
      </c>
      <c r="H548" s="682">
        <f t="shared" si="140"/>
        <v>1</v>
      </c>
      <c r="J548" s="671">
        <f t="shared" si="132"/>
        <v>2067</v>
      </c>
      <c r="K548" s="693">
        <v>61362</v>
      </c>
      <c r="L548" s="684">
        <f>IF(K548=参数输入表!$I$7,100%,H548)</f>
        <v>1</v>
      </c>
      <c r="N548" s="671">
        <f t="shared" si="135"/>
        <v>2067</v>
      </c>
      <c r="O548" s="692">
        <v>61362</v>
      </c>
      <c r="P548" s="678">
        <f t="shared" si="133"/>
        <v>1</v>
      </c>
    </row>
    <row r="549" spans="2:16">
      <c r="B549" s="671">
        <f t="shared" si="136"/>
        <v>2068</v>
      </c>
      <c r="C549" s="694">
        <v>61393</v>
      </c>
      <c r="D549" s="682">
        <f t="shared" si="139"/>
        <v>1</v>
      </c>
      <c r="F549" s="671">
        <f t="shared" si="134"/>
        <v>2068</v>
      </c>
      <c r="G549" s="694">
        <v>61393</v>
      </c>
      <c r="H549" s="682">
        <f t="shared" si="140"/>
        <v>1</v>
      </c>
      <c r="J549" s="671">
        <f t="shared" si="132"/>
        <v>2068</v>
      </c>
      <c r="K549" s="695">
        <v>61393</v>
      </c>
      <c r="L549" s="684">
        <f>IF(K549=参数输入表!$I$7,100%,H549)</f>
        <v>1</v>
      </c>
      <c r="N549" s="671">
        <f t="shared" si="135"/>
        <v>2068</v>
      </c>
      <c r="O549" s="694">
        <v>61393</v>
      </c>
      <c r="P549" s="678">
        <f t="shared" si="133"/>
        <v>1</v>
      </c>
    </row>
    <row r="550" spans="2:16">
      <c r="B550" s="671">
        <f t="shared" si="136"/>
        <v>2068</v>
      </c>
      <c r="C550" s="681">
        <v>61422</v>
      </c>
      <c r="D550" s="682">
        <f t="shared" si="139"/>
        <v>1</v>
      </c>
      <c r="F550" s="671">
        <f t="shared" si="134"/>
        <v>2068</v>
      </c>
      <c r="G550" s="681">
        <v>61422</v>
      </c>
      <c r="H550" s="682">
        <f t="shared" si="140"/>
        <v>1</v>
      </c>
      <c r="J550" s="671">
        <f t="shared" si="132"/>
        <v>2068</v>
      </c>
      <c r="K550" s="683">
        <v>61422</v>
      </c>
      <c r="L550" s="684">
        <f>IF(K550=参数输入表!$I$7,100%,H550)</f>
        <v>1</v>
      </c>
      <c r="N550" s="671">
        <f t="shared" si="135"/>
        <v>2068</v>
      </c>
      <c r="O550" s="681">
        <v>61422</v>
      </c>
      <c r="P550" s="678">
        <f t="shared" si="133"/>
        <v>1</v>
      </c>
    </row>
    <row r="551" spans="2:16">
      <c r="B551" s="671">
        <f t="shared" si="136"/>
        <v>2068</v>
      </c>
      <c r="C551" s="681">
        <v>61453</v>
      </c>
      <c r="D551" s="682">
        <f t="shared" si="139"/>
        <v>1</v>
      </c>
      <c r="F551" s="671">
        <f t="shared" si="134"/>
        <v>2068</v>
      </c>
      <c r="G551" s="681">
        <v>61453</v>
      </c>
      <c r="H551" s="682">
        <f t="shared" si="140"/>
        <v>1</v>
      </c>
      <c r="J551" s="671">
        <f t="shared" si="132"/>
        <v>2068</v>
      </c>
      <c r="K551" s="683">
        <v>61453</v>
      </c>
      <c r="L551" s="684">
        <f>IF(K551=参数输入表!$I$7,100%,H551)</f>
        <v>1</v>
      </c>
      <c r="N551" s="671">
        <f t="shared" si="135"/>
        <v>2068</v>
      </c>
      <c r="O551" s="681">
        <v>61453</v>
      </c>
      <c r="P551" s="678">
        <f t="shared" si="133"/>
        <v>1</v>
      </c>
    </row>
    <row r="552" spans="2:16">
      <c r="B552" s="671">
        <f t="shared" si="136"/>
        <v>2068</v>
      </c>
      <c r="C552" s="681">
        <v>61483</v>
      </c>
      <c r="D552" s="682">
        <f t="shared" ref="D552:D561" si="141">$D$100</f>
        <v>1</v>
      </c>
      <c r="F552" s="671">
        <f t="shared" si="134"/>
        <v>2068</v>
      </c>
      <c r="G552" s="681">
        <v>61483</v>
      </c>
      <c r="H552" s="682">
        <f t="shared" ref="H552:H561" si="142">$H$100</f>
        <v>1</v>
      </c>
      <c r="J552" s="671">
        <f t="shared" si="132"/>
        <v>2068</v>
      </c>
      <c r="K552" s="683">
        <v>61483</v>
      </c>
      <c r="L552" s="684">
        <f>IF(K552=参数输入表!$I$7,100%,H552)</f>
        <v>1</v>
      </c>
      <c r="N552" s="671">
        <f t="shared" si="135"/>
        <v>2068</v>
      </c>
      <c r="O552" s="681">
        <v>61483</v>
      </c>
      <c r="P552" s="678">
        <f t="shared" si="133"/>
        <v>1</v>
      </c>
    </row>
    <row r="553" spans="2:16">
      <c r="B553" s="671">
        <f t="shared" si="136"/>
        <v>2068</v>
      </c>
      <c r="C553" s="681">
        <v>61514</v>
      </c>
      <c r="D553" s="682">
        <f t="shared" si="141"/>
        <v>1</v>
      </c>
      <c r="F553" s="671">
        <f t="shared" si="134"/>
        <v>2068</v>
      </c>
      <c r="G553" s="681">
        <v>61514</v>
      </c>
      <c r="H553" s="682">
        <f t="shared" si="142"/>
        <v>1</v>
      </c>
      <c r="J553" s="671">
        <f t="shared" si="132"/>
        <v>2068</v>
      </c>
      <c r="K553" s="683">
        <v>61514</v>
      </c>
      <c r="L553" s="684">
        <f>IF(K553=参数输入表!$I$7,100%,H553)</f>
        <v>1</v>
      </c>
      <c r="N553" s="671">
        <f t="shared" si="135"/>
        <v>2068</v>
      </c>
      <c r="O553" s="681">
        <v>61514</v>
      </c>
      <c r="P553" s="678">
        <f t="shared" si="133"/>
        <v>1</v>
      </c>
    </row>
    <row r="554" spans="2:16">
      <c r="B554" s="671">
        <f t="shared" si="136"/>
        <v>2068</v>
      </c>
      <c r="C554" s="681">
        <v>61544</v>
      </c>
      <c r="D554" s="682">
        <f t="shared" si="141"/>
        <v>1</v>
      </c>
      <c r="F554" s="671">
        <f t="shared" si="134"/>
        <v>2068</v>
      </c>
      <c r="G554" s="681">
        <v>61544</v>
      </c>
      <c r="H554" s="682">
        <f t="shared" si="142"/>
        <v>1</v>
      </c>
      <c r="J554" s="671">
        <f t="shared" si="132"/>
        <v>2068</v>
      </c>
      <c r="K554" s="683">
        <v>61544</v>
      </c>
      <c r="L554" s="684">
        <f>IF(K554=参数输入表!$I$7,100%,H554)</f>
        <v>1</v>
      </c>
      <c r="N554" s="671">
        <f t="shared" si="135"/>
        <v>2068</v>
      </c>
      <c r="O554" s="681">
        <v>61544</v>
      </c>
      <c r="P554" s="678">
        <f t="shared" si="133"/>
        <v>1</v>
      </c>
    </row>
    <row r="555" spans="2:16">
      <c r="B555" s="671">
        <f t="shared" si="136"/>
        <v>2068</v>
      </c>
      <c r="C555" s="681">
        <v>61575</v>
      </c>
      <c r="D555" s="682">
        <f t="shared" si="141"/>
        <v>1</v>
      </c>
      <c r="F555" s="671">
        <f t="shared" si="134"/>
        <v>2068</v>
      </c>
      <c r="G555" s="681">
        <v>61575</v>
      </c>
      <c r="H555" s="682">
        <f t="shared" si="142"/>
        <v>1</v>
      </c>
      <c r="J555" s="671">
        <f t="shared" si="132"/>
        <v>2068</v>
      </c>
      <c r="K555" s="683">
        <v>61575</v>
      </c>
      <c r="L555" s="684">
        <f>IF(K555=参数输入表!$I$7,100%,H555)</f>
        <v>1</v>
      </c>
      <c r="N555" s="671">
        <f t="shared" si="135"/>
        <v>2068</v>
      </c>
      <c r="O555" s="681">
        <v>61575</v>
      </c>
      <c r="P555" s="678">
        <f t="shared" si="133"/>
        <v>1</v>
      </c>
    </row>
    <row r="556" spans="2:16">
      <c r="B556" s="671">
        <f t="shared" si="136"/>
        <v>2068</v>
      </c>
      <c r="C556" s="681">
        <v>61606</v>
      </c>
      <c r="D556" s="682">
        <f t="shared" si="141"/>
        <v>1</v>
      </c>
      <c r="F556" s="671">
        <f t="shared" si="134"/>
        <v>2068</v>
      </c>
      <c r="G556" s="681">
        <v>61606</v>
      </c>
      <c r="H556" s="682">
        <f t="shared" si="142"/>
        <v>1</v>
      </c>
      <c r="J556" s="671">
        <f t="shared" si="132"/>
        <v>2068</v>
      </c>
      <c r="K556" s="683">
        <v>61606</v>
      </c>
      <c r="L556" s="684">
        <f>IF(K556=参数输入表!$I$7,100%,H556)</f>
        <v>1</v>
      </c>
      <c r="N556" s="671">
        <f t="shared" si="135"/>
        <v>2068</v>
      </c>
      <c r="O556" s="681">
        <v>61606</v>
      </c>
      <c r="P556" s="678">
        <f t="shared" si="133"/>
        <v>1</v>
      </c>
    </row>
    <row r="557" spans="2:16">
      <c r="B557" s="671">
        <f t="shared" si="136"/>
        <v>2068</v>
      </c>
      <c r="C557" s="681">
        <v>61636</v>
      </c>
      <c r="D557" s="682">
        <f t="shared" si="141"/>
        <v>1</v>
      </c>
      <c r="F557" s="671">
        <f t="shared" si="134"/>
        <v>2068</v>
      </c>
      <c r="G557" s="681">
        <v>61636</v>
      </c>
      <c r="H557" s="682">
        <f t="shared" si="142"/>
        <v>1</v>
      </c>
      <c r="J557" s="671">
        <f t="shared" si="132"/>
        <v>2068</v>
      </c>
      <c r="K557" s="683">
        <v>61636</v>
      </c>
      <c r="L557" s="684">
        <f>IF(K557=参数输入表!$I$7,100%,H557)</f>
        <v>1</v>
      </c>
      <c r="N557" s="671">
        <f t="shared" si="135"/>
        <v>2068</v>
      </c>
      <c r="O557" s="681">
        <v>61636</v>
      </c>
      <c r="P557" s="678">
        <f t="shared" si="133"/>
        <v>1</v>
      </c>
    </row>
    <row r="558" spans="2:16">
      <c r="B558" s="671">
        <f t="shared" si="136"/>
        <v>2068</v>
      </c>
      <c r="C558" s="681">
        <v>61667</v>
      </c>
      <c r="D558" s="682">
        <f t="shared" si="141"/>
        <v>1</v>
      </c>
      <c r="F558" s="671">
        <f t="shared" si="134"/>
        <v>2068</v>
      </c>
      <c r="G558" s="681">
        <v>61667</v>
      </c>
      <c r="H558" s="682">
        <f t="shared" si="142"/>
        <v>1</v>
      </c>
      <c r="J558" s="671">
        <f t="shared" si="132"/>
        <v>2068</v>
      </c>
      <c r="K558" s="683">
        <v>61667</v>
      </c>
      <c r="L558" s="684">
        <f>IF(K558=参数输入表!$I$7,100%,H558)</f>
        <v>1</v>
      </c>
      <c r="N558" s="671">
        <f t="shared" si="135"/>
        <v>2068</v>
      </c>
      <c r="O558" s="681">
        <v>61667</v>
      </c>
      <c r="P558" s="678">
        <f t="shared" si="133"/>
        <v>1</v>
      </c>
    </row>
    <row r="559" spans="2:16">
      <c r="B559" s="671">
        <f t="shared" si="136"/>
        <v>2068</v>
      </c>
      <c r="C559" s="681">
        <v>61697</v>
      </c>
      <c r="D559" s="682">
        <f t="shared" si="141"/>
        <v>1</v>
      </c>
      <c r="F559" s="671">
        <f t="shared" si="134"/>
        <v>2068</v>
      </c>
      <c r="G559" s="681">
        <v>61697</v>
      </c>
      <c r="H559" s="682">
        <f t="shared" si="142"/>
        <v>1</v>
      </c>
      <c r="J559" s="671">
        <f t="shared" si="132"/>
        <v>2068</v>
      </c>
      <c r="K559" s="683">
        <v>61697</v>
      </c>
      <c r="L559" s="684">
        <f>IF(K559=参数输入表!$I$7,100%,H559)</f>
        <v>1</v>
      </c>
      <c r="N559" s="671">
        <f t="shared" si="135"/>
        <v>2068</v>
      </c>
      <c r="O559" s="681">
        <v>61697</v>
      </c>
      <c r="P559" s="678">
        <f t="shared" si="133"/>
        <v>1</v>
      </c>
    </row>
    <row r="560" ht="15.25" spans="2:16">
      <c r="B560" s="671">
        <f t="shared" si="136"/>
        <v>2068</v>
      </c>
      <c r="C560" s="692">
        <v>61728</v>
      </c>
      <c r="D560" s="682">
        <f t="shared" si="141"/>
        <v>1</v>
      </c>
      <c r="F560" s="671">
        <f t="shared" si="134"/>
        <v>2068</v>
      </c>
      <c r="G560" s="692">
        <v>61728</v>
      </c>
      <c r="H560" s="682">
        <f t="shared" si="142"/>
        <v>1</v>
      </c>
      <c r="J560" s="671">
        <f t="shared" si="132"/>
        <v>2068</v>
      </c>
      <c r="K560" s="693">
        <v>61728</v>
      </c>
      <c r="L560" s="684">
        <f>IF(K560=参数输入表!$I$7,100%,H560)</f>
        <v>1</v>
      </c>
      <c r="N560" s="671">
        <f t="shared" si="135"/>
        <v>2068</v>
      </c>
      <c r="O560" s="692">
        <v>61728</v>
      </c>
      <c r="P560" s="678">
        <f t="shared" si="133"/>
        <v>1</v>
      </c>
    </row>
    <row r="561" spans="2:16">
      <c r="B561" s="671">
        <f t="shared" si="136"/>
        <v>2069</v>
      </c>
      <c r="C561" s="694">
        <v>61759</v>
      </c>
      <c r="D561" s="682">
        <f t="shared" si="141"/>
        <v>1</v>
      </c>
      <c r="F561" s="671">
        <f t="shared" si="134"/>
        <v>2069</v>
      </c>
      <c r="G561" s="694">
        <v>61759</v>
      </c>
      <c r="H561" s="682">
        <f t="shared" si="142"/>
        <v>1</v>
      </c>
      <c r="J561" s="671">
        <f t="shared" si="132"/>
        <v>2069</v>
      </c>
      <c r="K561" s="695">
        <v>61759</v>
      </c>
      <c r="L561" s="684">
        <f>IF(K561=参数输入表!$I$7,100%,H561)</f>
        <v>1</v>
      </c>
      <c r="N561" s="671">
        <f t="shared" si="135"/>
        <v>2069</v>
      </c>
      <c r="O561" s="694">
        <v>61759</v>
      </c>
      <c r="P561" s="678">
        <f t="shared" si="133"/>
        <v>1</v>
      </c>
    </row>
    <row r="562" spans="2:16">
      <c r="B562" s="671">
        <f t="shared" si="136"/>
        <v>2069</v>
      </c>
      <c r="C562" s="681">
        <v>61787</v>
      </c>
      <c r="D562" s="682">
        <f t="shared" ref="D562:D571" si="143">$D$100</f>
        <v>1</v>
      </c>
      <c r="F562" s="671">
        <f t="shared" si="134"/>
        <v>2069</v>
      </c>
      <c r="G562" s="681">
        <v>61787</v>
      </c>
      <c r="H562" s="682">
        <f t="shared" ref="H562:H571" si="144">$H$100</f>
        <v>1</v>
      </c>
      <c r="J562" s="671">
        <f t="shared" si="132"/>
        <v>2069</v>
      </c>
      <c r="K562" s="683">
        <v>61787</v>
      </c>
      <c r="L562" s="684">
        <f>IF(K562=参数输入表!$I$7,100%,H562)</f>
        <v>1</v>
      </c>
      <c r="N562" s="671">
        <f t="shared" si="135"/>
        <v>2069</v>
      </c>
      <c r="O562" s="681">
        <v>61787</v>
      </c>
      <c r="P562" s="678">
        <f t="shared" si="133"/>
        <v>1</v>
      </c>
    </row>
    <row r="563" spans="2:16">
      <c r="B563" s="671">
        <f t="shared" si="136"/>
        <v>2069</v>
      </c>
      <c r="C563" s="681">
        <v>61818</v>
      </c>
      <c r="D563" s="682">
        <f t="shared" si="143"/>
        <v>1</v>
      </c>
      <c r="F563" s="671">
        <f t="shared" si="134"/>
        <v>2069</v>
      </c>
      <c r="G563" s="681">
        <v>61818</v>
      </c>
      <c r="H563" s="682">
        <f t="shared" si="144"/>
        <v>1</v>
      </c>
      <c r="J563" s="671">
        <f t="shared" si="132"/>
        <v>2069</v>
      </c>
      <c r="K563" s="683">
        <v>61818</v>
      </c>
      <c r="L563" s="684">
        <f>IF(K563=参数输入表!$I$7,100%,H563)</f>
        <v>1</v>
      </c>
      <c r="N563" s="671">
        <f t="shared" si="135"/>
        <v>2069</v>
      </c>
      <c r="O563" s="681">
        <v>61818</v>
      </c>
      <c r="P563" s="678">
        <f t="shared" si="133"/>
        <v>1</v>
      </c>
    </row>
    <row r="564" spans="2:16">
      <c r="B564" s="671">
        <f t="shared" si="136"/>
        <v>2069</v>
      </c>
      <c r="C564" s="681">
        <v>61848</v>
      </c>
      <c r="D564" s="682">
        <f t="shared" si="143"/>
        <v>1</v>
      </c>
      <c r="F564" s="671">
        <f t="shared" si="134"/>
        <v>2069</v>
      </c>
      <c r="G564" s="681">
        <v>61848</v>
      </c>
      <c r="H564" s="682">
        <f t="shared" si="144"/>
        <v>1</v>
      </c>
      <c r="J564" s="671">
        <f t="shared" si="132"/>
        <v>2069</v>
      </c>
      <c r="K564" s="683">
        <v>61848</v>
      </c>
      <c r="L564" s="684">
        <f>IF(K564=参数输入表!$I$7,100%,H564)</f>
        <v>1</v>
      </c>
      <c r="N564" s="671">
        <f t="shared" si="135"/>
        <v>2069</v>
      </c>
      <c r="O564" s="681">
        <v>61848</v>
      </c>
      <c r="P564" s="678">
        <f t="shared" si="133"/>
        <v>1</v>
      </c>
    </row>
    <row r="565" spans="2:16">
      <c r="B565" s="671">
        <f t="shared" si="136"/>
        <v>2069</v>
      </c>
      <c r="C565" s="681">
        <v>61879</v>
      </c>
      <c r="D565" s="682">
        <f t="shared" si="143"/>
        <v>1</v>
      </c>
      <c r="F565" s="671">
        <f t="shared" si="134"/>
        <v>2069</v>
      </c>
      <c r="G565" s="681">
        <v>61879</v>
      </c>
      <c r="H565" s="682">
        <f t="shared" si="144"/>
        <v>1</v>
      </c>
      <c r="J565" s="671">
        <f t="shared" si="132"/>
        <v>2069</v>
      </c>
      <c r="K565" s="683">
        <v>61879</v>
      </c>
      <c r="L565" s="684">
        <f>IF(K565=参数输入表!$I$7,100%,H565)</f>
        <v>1</v>
      </c>
      <c r="N565" s="671">
        <f t="shared" si="135"/>
        <v>2069</v>
      </c>
      <c r="O565" s="681">
        <v>61879</v>
      </c>
      <c r="P565" s="678">
        <f t="shared" si="133"/>
        <v>1</v>
      </c>
    </row>
    <row r="566" spans="2:16">
      <c r="B566" s="671">
        <f t="shared" si="136"/>
        <v>2069</v>
      </c>
      <c r="C566" s="681">
        <v>61909</v>
      </c>
      <c r="D566" s="682">
        <f t="shared" si="143"/>
        <v>1</v>
      </c>
      <c r="F566" s="671">
        <f t="shared" si="134"/>
        <v>2069</v>
      </c>
      <c r="G566" s="681">
        <v>61909</v>
      </c>
      <c r="H566" s="682">
        <f t="shared" si="144"/>
        <v>1</v>
      </c>
      <c r="J566" s="671">
        <f t="shared" si="132"/>
        <v>2069</v>
      </c>
      <c r="K566" s="683">
        <v>61909</v>
      </c>
      <c r="L566" s="684">
        <f>IF(K566=参数输入表!$I$7,100%,H566)</f>
        <v>1</v>
      </c>
      <c r="N566" s="671">
        <f t="shared" si="135"/>
        <v>2069</v>
      </c>
      <c r="O566" s="681">
        <v>61909</v>
      </c>
      <c r="P566" s="678">
        <f t="shared" si="133"/>
        <v>1</v>
      </c>
    </row>
    <row r="567" spans="2:16">
      <c r="B567" s="671">
        <f t="shared" si="136"/>
        <v>2069</v>
      </c>
      <c r="C567" s="681">
        <v>61940</v>
      </c>
      <c r="D567" s="682">
        <f t="shared" si="143"/>
        <v>1</v>
      </c>
      <c r="F567" s="671">
        <f t="shared" si="134"/>
        <v>2069</v>
      </c>
      <c r="G567" s="681">
        <v>61940</v>
      </c>
      <c r="H567" s="682">
        <f t="shared" si="144"/>
        <v>1</v>
      </c>
      <c r="J567" s="671">
        <f t="shared" si="132"/>
        <v>2069</v>
      </c>
      <c r="K567" s="683">
        <v>61940</v>
      </c>
      <c r="L567" s="684">
        <f>IF(K567=参数输入表!$I$7,100%,H567)</f>
        <v>1</v>
      </c>
      <c r="N567" s="671">
        <f t="shared" si="135"/>
        <v>2069</v>
      </c>
      <c r="O567" s="681">
        <v>61940</v>
      </c>
      <c r="P567" s="678">
        <f t="shared" si="133"/>
        <v>1</v>
      </c>
    </row>
    <row r="568" spans="2:16">
      <c r="B568" s="671">
        <f t="shared" si="136"/>
        <v>2069</v>
      </c>
      <c r="C568" s="681">
        <v>61971</v>
      </c>
      <c r="D568" s="682">
        <f t="shared" si="143"/>
        <v>1</v>
      </c>
      <c r="F568" s="671">
        <f t="shared" si="134"/>
        <v>2069</v>
      </c>
      <c r="G568" s="681">
        <v>61971</v>
      </c>
      <c r="H568" s="682">
        <f t="shared" si="144"/>
        <v>1</v>
      </c>
      <c r="J568" s="671">
        <f t="shared" si="132"/>
        <v>2069</v>
      </c>
      <c r="K568" s="683">
        <v>61971</v>
      </c>
      <c r="L568" s="684">
        <f>IF(K568=参数输入表!$I$7,100%,H568)</f>
        <v>1</v>
      </c>
      <c r="N568" s="671">
        <f t="shared" si="135"/>
        <v>2069</v>
      </c>
      <c r="O568" s="681">
        <v>61971</v>
      </c>
      <c r="P568" s="678">
        <f t="shared" si="133"/>
        <v>1</v>
      </c>
    </row>
    <row r="569" spans="2:16">
      <c r="B569" s="671">
        <f t="shared" si="136"/>
        <v>2069</v>
      </c>
      <c r="C569" s="681">
        <v>62001</v>
      </c>
      <c r="D569" s="682">
        <f t="shared" si="143"/>
        <v>1</v>
      </c>
      <c r="F569" s="671">
        <f t="shared" si="134"/>
        <v>2069</v>
      </c>
      <c r="G569" s="681">
        <v>62001</v>
      </c>
      <c r="H569" s="682">
        <f t="shared" si="144"/>
        <v>1</v>
      </c>
      <c r="J569" s="671">
        <f t="shared" si="132"/>
        <v>2069</v>
      </c>
      <c r="K569" s="683">
        <v>62001</v>
      </c>
      <c r="L569" s="684">
        <f>IF(K569=参数输入表!$I$7,100%,H569)</f>
        <v>1</v>
      </c>
      <c r="N569" s="671">
        <f t="shared" si="135"/>
        <v>2069</v>
      </c>
      <c r="O569" s="681">
        <v>62001</v>
      </c>
      <c r="P569" s="678">
        <f t="shared" si="133"/>
        <v>1</v>
      </c>
    </row>
    <row r="570" spans="2:16">
      <c r="B570" s="671">
        <f t="shared" si="136"/>
        <v>2069</v>
      </c>
      <c r="C570" s="681">
        <v>62032</v>
      </c>
      <c r="D570" s="682">
        <f t="shared" si="143"/>
        <v>1</v>
      </c>
      <c r="F570" s="671">
        <f t="shared" si="134"/>
        <v>2069</v>
      </c>
      <c r="G570" s="681">
        <v>62032</v>
      </c>
      <c r="H570" s="682">
        <f t="shared" si="144"/>
        <v>1</v>
      </c>
      <c r="J570" s="671">
        <f t="shared" si="132"/>
        <v>2069</v>
      </c>
      <c r="K570" s="683">
        <v>62032</v>
      </c>
      <c r="L570" s="684">
        <f>IF(K570=参数输入表!$I$7,100%,H570)</f>
        <v>1</v>
      </c>
      <c r="N570" s="671">
        <f t="shared" si="135"/>
        <v>2069</v>
      </c>
      <c r="O570" s="681">
        <v>62032</v>
      </c>
      <c r="P570" s="678">
        <f t="shared" si="133"/>
        <v>1</v>
      </c>
    </row>
    <row r="571" spans="2:16">
      <c r="B571" s="671">
        <f t="shared" si="136"/>
        <v>2069</v>
      </c>
      <c r="C571" s="681">
        <v>62062</v>
      </c>
      <c r="D571" s="682">
        <f t="shared" si="143"/>
        <v>1</v>
      </c>
      <c r="F571" s="671">
        <f t="shared" si="134"/>
        <v>2069</v>
      </c>
      <c r="G571" s="681">
        <v>62062</v>
      </c>
      <c r="H571" s="682">
        <f t="shared" si="144"/>
        <v>1</v>
      </c>
      <c r="J571" s="671">
        <f t="shared" si="132"/>
        <v>2069</v>
      </c>
      <c r="K571" s="683">
        <v>62062</v>
      </c>
      <c r="L571" s="684">
        <f>IF(K571=参数输入表!$I$7,100%,H571)</f>
        <v>1</v>
      </c>
      <c r="N571" s="671">
        <f t="shared" si="135"/>
        <v>2069</v>
      </c>
      <c r="O571" s="681">
        <v>62062</v>
      </c>
      <c r="P571" s="678">
        <f t="shared" si="133"/>
        <v>1</v>
      </c>
    </row>
    <row r="572" ht="15.25" spans="2:16">
      <c r="B572" s="671">
        <f t="shared" si="136"/>
        <v>2069</v>
      </c>
      <c r="C572" s="692">
        <v>62093</v>
      </c>
      <c r="D572" s="682">
        <f t="shared" ref="D572:D579" si="145">$D$100</f>
        <v>1</v>
      </c>
      <c r="F572" s="671">
        <f t="shared" si="134"/>
        <v>2069</v>
      </c>
      <c r="G572" s="692">
        <v>62093</v>
      </c>
      <c r="H572" s="682">
        <f t="shared" ref="H572:H579" si="146">$H$100</f>
        <v>1</v>
      </c>
      <c r="J572" s="671">
        <f t="shared" si="132"/>
        <v>2069</v>
      </c>
      <c r="K572" s="693">
        <v>62093</v>
      </c>
      <c r="L572" s="684">
        <f>IF(K572=参数输入表!$I$7,100%,H572)</f>
        <v>1</v>
      </c>
      <c r="N572" s="671">
        <f t="shared" si="135"/>
        <v>2069</v>
      </c>
      <c r="O572" s="692">
        <v>62093</v>
      </c>
      <c r="P572" s="678">
        <f t="shared" si="133"/>
        <v>1</v>
      </c>
    </row>
    <row r="573" spans="2:16">
      <c r="B573" s="671">
        <f t="shared" si="136"/>
        <v>2070</v>
      </c>
      <c r="C573" s="694">
        <v>62124</v>
      </c>
      <c r="D573" s="682">
        <f t="shared" si="145"/>
        <v>1</v>
      </c>
      <c r="F573" s="671">
        <f t="shared" si="134"/>
        <v>2070</v>
      </c>
      <c r="G573" s="694">
        <v>62124</v>
      </c>
      <c r="H573" s="682">
        <f t="shared" si="146"/>
        <v>1</v>
      </c>
      <c r="J573" s="671">
        <f t="shared" si="132"/>
        <v>2070</v>
      </c>
      <c r="K573" s="695">
        <v>62124</v>
      </c>
      <c r="L573" s="684">
        <f>IF(K573=参数输入表!$I$7,100%,H573)</f>
        <v>1</v>
      </c>
      <c r="N573" s="671">
        <f t="shared" si="135"/>
        <v>2070</v>
      </c>
      <c r="O573" s="694">
        <v>62124</v>
      </c>
      <c r="P573" s="678">
        <f t="shared" si="133"/>
        <v>1</v>
      </c>
    </row>
    <row r="574" spans="2:16">
      <c r="B574" s="671">
        <f t="shared" si="136"/>
        <v>2070</v>
      </c>
      <c r="C574" s="681">
        <v>62152</v>
      </c>
      <c r="D574" s="682">
        <f t="shared" si="145"/>
        <v>1</v>
      </c>
      <c r="F574" s="671">
        <f t="shared" si="134"/>
        <v>2070</v>
      </c>
      <c r="G574" s="681">
        <v>62152</v>
      </c>
      <c r="H574" s="682">
        <f t="shared" si="146"/>
        <v>1</v>
      </c>
      <c r="J574" s="671">
        <f t="shared" si="132"/>
        <v>2070</v>
      </c>
      <c r="K574" s="683">
        <v>62152</v>
      </c>
      <c r="L574" s="684">
        <f>IF(K574=参数输入表!$I$7,100%,H574)</f>
        <v>1</v>
      </c>
      <c r="N574" s="671">
        <f t="shared" si="135"/>
        <v>2070</v>
      </c>
      <c r="O574" s="681">
        <v>62152</v>
      </c>
      <c r="P574" s="678">
        <f t="shared" si="133"/>
        <v>1</v>
      </c>
    </row>
    <row r="575" spans="2:16">
      <c r="B575" s="671">
        <f t="shared" si="136"/>
        <v>2070</v>
      </c>
      <c r="C575" s="681">
        <v>62183</v>
      </c>
      <c r="D575" s="682">
        <f t="shared" si="145"/>
        <v>1</v>
      </c>
      <c r="F575" s="671">
        <f t="shared" si="134"/>
        <v>2070</v>
      </c>
      <c r="G575" s="681">
        <v>62183</v>
      </c>
      <c r="H575" s="682">
        <f t="shared" si="146"/>
        <v>1</v>
      </c>
      <c r="J575" s="671">
        <f t="shared" si="132"/>
        <v>2070</v>
      </c>
      <c r="K575" s="683">
        <v>62183</v>
      </c>
      <c r="L575" s="684">
        <f>IF(K575=参数输入表!$I$7,100%,H575)</f>
        <v>1</v>
      </c>
      <c r="N575" s="671">
        <f t="shared" si="135"/>
        <v>2070</v>
      </c>
      <c r="O575" s="681">
        <v>62183</v>
      </c>
      <c r="P575" s="678">
        <f t="shared" si="133"/>
        <v>1</v>
      </c>
    </row>
    <row r="576" spans="2:16">
      <c r="B576" s="671">
        <f t="shared" si="136"/>
        <v>2070</v>
      </c>
      <c r="C576" s="681">
        <v>62213</v>
      </c>
      <c r="D576" s="682">
        <f t="shared" si="145"/>
        <v>1</v>
      </c>
      <c r="F576" s="671">
        <f t="shared" si="134"/>
        <v>2070</v>
      </c>
      <c r="G576" s="681">
        <v>62213</v>
      </c>
      <c r="H576" s="682">
        <f t="shared" si="146"/>
        <v>1</v>
      </c>
      <c r="J576" s="671">
        <f t="shared" si="132"/>
        <v>2070</v>
      </c>
      <c r="K576" s="683">
        <v>62213</v>
      </c>
      <c r="L576" s="684">
        <f>IF(K576=参数输入表!$I$7,100%,H576)</f>
        <v>1</v>
      </c>
      <c r="N576" s="671">
        <f t="shared" si="135"/>
        <v>2070</v>
      </c>
      <c r="O576" s="681">
        <v>62213</v>
      </c>
      <c r="P576" s="678">
        <f t="shared" si="133"/>
        <v>1</v>
      </c>
    </row>
    <row r="577" spans="2:16">
      <c r="B577" s="671">
        <f t="shared" si="136"/>
        <v>2070</v>
      </c>
      <c r="C577" s="681">
        <v>62244</v>
      </c>
      <c r="D577" s="682">
        <f t="shared" si="145"/>
        <v>1</v>
      </c>
      <c r="F577" s="671">
        <f t="shared" si="134"/>
        <v>2070</v>
      </c>
      <c r="G577" s="681">
        <v>62244</v>
      </c>
      <c r="H577" s="682">
        <f t="shared" si="146"/>
        <v>1</v>
      </c>
      <c r="J577" s="671">
        <f t="shared" si="132"/>
        <v>2070</v>
      </c>
      <c r="K577" s="683">
        <v>62244</v>
      </c>
      <c r="L577" s="684">
        <f>IF(K577=参数输入表!$I$7,100%,H577)</f>
        <v>1</v>
      </c>
      <c r="N577" s="671">
        <f t="shared" si="135"/>
        <v>2070</v>
      </c>
      <c r="O577" s="681">
        <v>62244</v>
      </c>
      <c r="P577" s="678">
        <f t="shared" si="133"/>
        <v>1</v>
      </c>
    </row>
    <row r="578" spans="2:16">
      <c r="B578" s="671">
        <f t="shared" si="136"/>
        <v>2070</v>
      </c>
      <c r="C578" s="681">
        <v>62274</v>
      </c>
      <c r="D578" s="682">
        <f t="shared" si="145"/>
        <v>1</v>
      </c>
      <c r="F578" s="671">
        <f t="shared" si="134"/>
        <v>2070</v>
      </c>
      <c r="G578" s="681">
        <v>62274</v>
      </c>
      <c r="H578" s="682">
        <f t="shared" si="146"/>
        <v>1</v>
      </c>
      <c r="J578" s="671">
        <f t="shared" si="132"/>
        <v>2070</v>
      </c>
      <c r="K578" s="683">
        <v>62274</v>
      </c>
      <c r="L578" s="684">
        <f>IF(K578=参数输入表!$I$7,100%,H578)</f>
        <v>1</v>
      </c>
      <c r="N578" s="671">
        <f t="shared" si="135"/>
        <v>2070</v>
      </c>
      <c r="O578" s="681">
        <v>62274</v>
      </c>
      <c r="P578" s="678">
        <f t="shared" si="133"/>
        <v>1</v>
      </c>
    </row>
    <row r="579" ht="15.25" spans="2:16">
      <c r="B579" s="671">
        <f t="shared" si="136"/>
        <v>2070</v>
      </c>
      <c r="C579" s="692">
        <v>62305</v>
      </c>
      <c r="D579" s="682">
        <f t="shared" si="145"/>
        <v>1</v>
      </c>
      <c r="F579" s="671">
        <f t="shared" si="134"/>
        <v>2070</v>
      </c>
      <c r="G579" s="692">
        <v>62305</v>
      </c>
      <c r="H579" s="682">
        <f t="shared" si="146"/>
        <v>1</v>
      </c>
      <c r="J579" s="671">
        <f t="shared" si="132"/>
        <v>2070</v>
      </c>
      <c r="K579" s="693">
        <v>62305</v>
      </c>
      <c r="L579" s="684">
        <f>IF(K579=参数输入表!$I$7,100%,H579)</f>
        <v>1</v>
      </c>
      <c r="N579" s="671">
        <f t="shared" si="135"/>
        <v>2070</v>
      </c>
      <c r="O579" s="692">
        <v>62305</v>
      </c>
      <c r="P579" s="678">
        <f t="shared" si="133"/>
        <v>1</v>
      </c>
    </row>
  </sheetData>
  <mergeCells count="8">
    <mergeCell ref="C2:D2"/>
    <mergeCell ref="G2:H2"/>
    <mergeCell ref="C9:D9"/>
    <mergeCell ref="G9:H9"/>
    <mergeCell ref="K9:L9"/>
    <mergeCell ref="O9:P9"/>
    <mergeCell ref="T10:U10"/>
    <mergeCell ref="Y10:Z10"/>
  </mergeCells>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B2:S47"/>
  <sheetViews>
    <sheetView showGridLines="0" zoomScale="85" zoomScaleNormal="85" workbookViewId="0">
      <selection activeCell="D8" sqref="D8"/>
    </sheetView>
  </sheetViews>
  <sheetFormatPr defaultColWidth="8.78181818181818" defaultRowHeight="16.5"/>
  <cols>
    <col min="1" max="1" width="3.10909090909091" style="106" customWidth="1"/>
    <col min="2" max="2" width="9.21818181818182" style="106" customWidth="1"/>
    <col min="3" max="3" width="34.7818181818182" style="106" customWidth="1"/>
    <col min="4" max="4" width="16.5545454545455" style="106" customWidth="1"/>
    <col min="5" max="5" width="10" style="106" customWidth="1"/>
    <col min="6" max="6" width="14" style="106" customWidth="1"/>
    <col min="7" max="7" width="15" style="106" customWidth="1"/>
    <col min="8" max="8" width="12.4454545454545" style="310" customWidth="1"/>
    <col min="9" max="9" width="12.4454545454545" style="106" customWidth="1"/>
    <col min="10" max="15" width="13.8909090909091" style="106" customWidth="1"/>
    <col min="16" max="16" width="12.4454545454545" style="106" customWidth="1"/>
    <col min="17" max="17" width="8.78181818181818" style="106"/>
    <col min="18" max="18" width="10.3363636363636" style="106"/>
    <col min="19" max="20" width="11.6636363636364" style="106"/>
    <col min="21" max="16384" width="8.78181818181818" style="106"/>
  </cols>
  <sheetData>
    <row r="2" ht="25.2" customHeight="1" spans="2:19">
      <c r="B2" s="562" t="s">
        <v>489</v>
      </c>
      <c r="C2" s="563"/>
      <c r="D2" s="563"/>
      <c r="E2" s="563"/>
      <c r="F2" s="563"/>
      <c r="G2" s="563"/>
      <c r="H2" s="563"/>
      <c r="I2" s="563"/>
      <c r="J2" s="563"/>
      <c r="K2" s="563"/>
      <c r="L2" s="563"/>
      <c r="M2" s="563"/>
      <c r="N2" s="563"/>
      <c r="O2" s="563"/>
      <c r="P2" s="565"/>
    </row>
    <row r="3" ht="22.05" customHeight="1" spans="2:19">
      <c r="B3" s="643" t="s">
        <v>2</v>
      </c>
      <c r="C3" s="644" t="s">
        <v>490</v>
      </c>
      <c r="D3" s="644" t="s">
        <v>491</v>
      </c>
      <c r="E3" s="644" t="s">
        <v>9</v>
      </c>
      <c r="F3" s="645">
        <v>45016</v>
      </c>
      <c r="G3" s="644">
        <v>2023</v>
      </c>
      <c r="H3" s="644">
        <v>2024</v>
      </c>
      <c r="I3" s="644">
        <v>2025</v>
      </c>
      <c r="J3" s="644">
        <v>2026</v>
      </c>
      <c r="K3" s="644">
        <v>2027</v>
      </c>
      <c r="L3" s="644">
        <v>2028</v>
      </c>
      <c r="M3" s="645">
        <v>47361</v>
      </c>
      <c r="N3" s="644">
        <v>2029</v>
      </c>
      <c r="O3" s="645">
        <v>47695</v>
      </c>
      <c r="P3" s="646" t="s">
        <v>253</v>
      </c>
    </row>
    <row r="4" spans="2:19">
      <c r="B4" s="76">
        <v>1</v>
      </c>
      <c r="C4" s="95" t="s">
        <v>129</v>
      </c>
      <c r="D4" s="460">
        <f t="shared" ref="D4:D24" si="0">SUM(F4:O4)</f>
        <v>638349.96</v>
      </c>
      <c r="E4" s="256" t="s">
        <v>130</v>
      </c>
      <c r="F4" s="460">
        <f t="shared" ref="F4:O4" si="1">SUM(F5:F11)</f>
        <v>22265.592</v>
      </c>
      <c r="G4" s="460">
        <f t="shared" si="1"/>
        <v>51953.048</v>
      </c>
      <c r="H4" s="460">
        <f t="shared" si="1"/>
        <v>69974.41</v>
      </c>
      <c r="I4" s="460">
        <f t="shared" si="1"/>
        <v>77779.18</v>
      </c>
      <c r="J4" s="460">
        <f t="shared" si="1"/>
        <v>85342.6</v>
      </c>
      <c r="K4" s="460">
        <f t="shared" si="1"/>
        <v>113182.66</v>
      </c>
      <c r="L4" s="460">
        <f t="shared" si="1"/>
        <v>101185.18</v>
      </c>
      <c r="M4" s="460">
        <f t="shared" si="1"/>
        <v>50715.138</v>
      </c>
      <c r="N4" s="460">
        <f t="shared" si="1"/>
        <v>33810.092</v>
      </c>
      <c r="O4" s="460">
        <f t="shared" si="1"/>
        <v>32142.06</v>
      </c>
      <c r="P4" s="646"/>
    </row>
    <row r="5" spans="2:19">
      <c r="B5" s="29">
        <v>1.1</v>
      </c>
      <c r="C5" s="144" t="s">
        <v>131</v>
      </c>
      <c r="D5" s="466">
        <f t="shared" si="0"/>
        <v>62992.58</v>
      </c>
      <c r="E5" s="256" t="s">
        <v>130</v>
      </c>
      <c r="F5" s="466">
        <v>4412.391</v>
      </c>
      <c r="G5" s="466">
        <v>10295.579</v>
      </c>
      <c r="H5" s="466">
        <v>19706.12</v>
      </c>
      <c r="I5" s="466">
        <v>15924.17</v>
      </c>
      <c r="J5" s="466">
        <v>5522.19</v>
      </c>
      <c r="K5" s="466">
        <v>1601.06</v>
      </c>
      <c r="L5" s="466">
        <v>1555.86</v>
      </c>
      <c r="M5" s="466">
        <v>1529.73</v>
      </c>
      <c r="N5" s="466">
        <v>1019.82</v>
      </c>
      <c r="O5" s="466">
        <v>1425.66</v>
      </c>
      <c r="P5" s="647">
        <f>参数输入表!G194</f>
        <v>0.09</v>
      </c>
      <c r="R5" s="136"/>
      <c r="S5" s="136"/>
    </row>
    <row r="6" spans="2:19">
      <c r="B6" s="29">
        <v>1.2</v>
      </c>
      <c r="C6" s="144" t="s">
        <v>134</v>
      </c>
      <c r="D6" s="466">
        <f t="shared" si="0"/>
        <v>331236.41</v>
      </c>
      <c r="E6" s="256" t="s">
        <v>130</v>
      </c>
      <c r="F6" s="466">
        <v>17853.201</v>
      </c>
      <c r="G6" s="466">
        <v>41657.469</v>
      </c>
      <c r="H6" s="466">
        <v>46778.98</v>
      </c>
      <c r="I6" s="466">
        <v>55122.11</v>
      </c>
      <c r="J6" s="466">
        <v>67791.02</v>
      </c>
      <c r="K6" s="466">
        <v>52983.1</v>
      </c>
      <c r="L6" s="466">
        <v>36031.24</v>
      </c>
      <c r="M6" s="466">
        <v>7002.258</v>
      </c>
      <c r="N6" s="466">
        <v>4668.172</v>
      </c>
      <c r="O6" s="466">
        <v>1348.86</v>
      </c>
      <c r="P6" s="647">
        <f>参数输入表!G195</f>
        <v>0.09</v>
      </c>
      <c r="R6" s="136"/>
      <c r="S6" s="136"/>
    </row>
    <row r="7" spans="2:19">
      <c r="B7" s="29">
        <v>1.3</v>
      </c>
      <c r="C7" s="144" t="s">
        <v>135</v>
      </c>
      <c r="D7" s="466">
        <f t="shared" si="0"/>
        <v>17893.9</v>
      </c>
      <c r="E7" s="256" t="s">
        <v>130</v>
      </c>
      <c r="F7" s="466"/>
      <c r="G7" s="466"/>
      <c r="H7" s="466">
        <v>3489.31</v>
      </c>
      <c r="I7" s="466">
        <v>3489.31</v>
      </c>
      <c r="J7" s="466">
        <v>2863.02</v>
      </c>
      <c r="K7" s="466">
        <v>2415.68</v>
      </c>
      <c r="L7" s="466">
        <v>2505.15</v>
      </c>
      <c r="M7" s="466">
        <v>751.542</v>
      </c>
      <c r="N7" s="466">
        <v>501.028</v>
      </c>
      <c r="O7" s="466">
        <v>1878.86</v>
      </c>
      <c r="P7" s="647">
        <f>参数输入表!G196</f>
        <v>0.09</v>
      </c>
      <c r="R7" s="136"/>
      <c r="S7" s="136"/>
    </row>
    <row r="8" spans="2:19">
      <c r="B8" s="29">
        <v>1.4</v>
      </c>
      <c r="C8" s="75" t="s">
        <v>136</v>
      </c>
      <c r="D8" s="466">
        <f t="shared" si="0"/>
        <v>68286.2</v>
      </c>
      <c r="E8" s="256" t="s">
        <v>130</v>
      </c>
      <c r="F8" s="466"/>
      <c r="G8" s="466"/>
      <c r="H8" s="466"/>
      <c r="I8" s="466">
        <v>3243.59</v>
      </c>
      <c r="J8" s="466">
        <v>3243.59</v>
      </c>
      <c r="K8" s="466">
        <v>19461.57</v>
      </c>
      <c r="L8" s="466">
        <v>13315.82</v>
      </c>
      <c r="M8" s="466">
        <v>12291.516</v>
      </c>
      <c r="N8" s="466">
        <v>8194.344</v>
      </c>
      <c r="O8" s="466">
        <v>8535.77</v>
      </c>
      <c r="P8" s="647">
        <f>参数输入表!G197</f>
        <v>0.09</v>
      </c>
      <c r="R8" s="136"/>
      <c r="S8" s="136"/>
    </row>
    <row r="9" spans="2:19">
      <c r="B9" s="29">
        <v>1.5</v>
      </c>
      <c r="C9" s="75" t="s">
        <v>137</v>
      </c>
      <c r="D9" s="466">
        <f t="shared" si="0"/>
        <v>157940.87</v>
      </c>
      <c r="E9" s="256" t="s">
        <v>130</v>
      </c>
      <c r="F9" s="466"/>
      <c r="G9" s="466"/>
      <c r="H9" s="466"/>
      <c r="I9" s="466"/>
      <c r="J9" s="466">
        <v>5922.78</v>
      </c>
      <c r="K9" s="466">
        <v>36721.25</v>
      </c>
      <c r="L9" s="466">
        <v>47777.11</v>
      </c>
      <c r="M9" s="466">
        <v>29140.092</v>
      </c>
      <c r="N9" s="466">
        <v>19426.728</v>
      </c>
      <c r="O9" s="466">
        <v>18952.91</v>
      </c>
      <c r="P9" s="647">
        <f>参数输入表!G198</f>
        <v>0.09</v>
      </c>
      <c r="R9" s="136"/>
      <c r="S9" s="136"/>
    </row>
    <row r="10" spans="2:19">
      <c r="B10" s="29">
        <v>1.6</v>
      </c>
      <c r="C10" s="75" t="s">
        <v>138</v>
      </c>
      <c r="D10" s="466">
        <f t="shared" si="0"/>
        <v>0</v>
      </c>
      <c r="E10" s="256" t="s">
        <v>130</v>
      </c>
      <c r="F10" s="466"/>
      <c r="G10" s="466"/>
      <c r="H10" s="466"/>
      <c r="I10" s="466"/>
      <c r="J10" s="466"/>
      <c r="K10" s="466"/>
      <c r="L10" s="466"/>
      <c r="M10" s="466"/>
      <c r="N10" s="466"/>
      <c r="O10" s="466"/>
      <c r="P10" s="647">
        <f>参数输入表!G199</f>
        <v>0.13</v>
      </c>
      <c r="R10" s="136"/>
      <c r="S10" s="136"/>
    </row>
    <row r="11" spans="2:19">
      <c r="B11" s="29">
        <v>1.7</v>
      </c>
      <c r="C11" s="75" t="s">
        <v>139</v>
      </c>
      <c r="D11" s="466">
        <f t="shared" si="0"/>
        <v>0</v>
      </c>
      <c r="E11" s="256" t="s">
        <v>130</v>
      </c>
      <c r="F11" s="466"/>
      <c r="G11" s="466"/>
      <c r="H11" s="466"/>
      <c r="I11" s="466"/>
      <c r="J11" s="466"/>
      <c r="K11" s="466"/>
      <c r="L11" s="466"/>
      <c r="M11" s="466"/>
      <c r="N11" s="466"/>
      <c r="O11" s="466"/>
      <c r="P11" s="647">
        <f>参数输入表!G200</f>
        <v>0.13</v>
      </c>
      <c r="R11" s="136"/>
      <c r="S11" s="136"/>
    </row>
    <row r="12" spans="2:19">
      <c r="B12" s="76">
        <v>2</v>
      </c>
      <c r="C12" s="95" t="s">
        <v>140</v>
      </c>
      <c r="D12" s="460">
        <f t="shared" si="0"/>
        <v>5205.27</v>
      </c>
      <c r="E12" s="256" t="s">
        <v>130</v>
      </c>
      <c r="F12" s="460">
        <v>697.725</v>
      </c>
      <c r="G12" s="460">
        <v>1628.025</v>
      </c>
      <c r="H12" s="460">
        <v>2325.75</v>
      </c>
      <c r="I12" s="460">
        <v>332.26</v>
      </c>
      <c r="J12" s="460">
        <v>193.82</v>
      </c>
      <c r="K12" s="460"/>
      <c r="L12" s="460"/>
      <c r="M12" s="460">
        <v>16.614</v>
      </c>
      <c r="N12" s="460">
        <v>11.076</v>
      </c>
      <c r="O12" s="460"/>
      <c r="P12" s="647">
        <f>参数输入表!G201</f>
        <v>0</v>
      </c>
      <c r="R12" s="136"/>
      <c r="S12" s="136"/>
    </row>
    <row r="13" spans="2:19">
      <c r="B13" s="76">
        <v>3</v>
      </c>
      <c r="C13" s="95" t="s">
        <v>141</v>
      </c>
      <c r="D13" s="460">
        <f t="shared" si="0"/>
        <v>122855.89</v>
      </c>
      <c r="E13" s="256" t="s">
        <v>130</v>
      </c>
      <c r="F13" s="460">
        <f t="shared" ref="F13:O13" si="2">SUM(F14:F17)</f>
        <v>4309.572</v>
      </c>
      <c r="G13" s="460">
        <f t="shared" si="2"/>
        <v>10055.668</v>
      </c>
      <c r="H13" s="460">
        <f t="shared" si="2"/>
        <v>14510.03</v>
      </c>
      <c r="I13" s="460">
        <f t="shared" si="2"/>
        <v>17514.68</v>
      </c>
      <c r="J13" s="460">
        <f t="shared" si="2"/>
        <v>16533.47</v>
      </c>
      <c r="K13" s="460">
        <f t="shared" si="2"/>
        <v>17305.88</v>
      </c>
      <c r="L13" s="460">
        <f t="shared" si="2"/>
        <v>17315.25</v>
      </c>
      <c r="M13" s="460">
        <f t="shared" si="2"/>
        <v>8799.102</v>
      </c>
      <c r="N13" s="460">
        <f t="shared" si="2"/>
        <v>5866.068</v>
      </c>
      <c r="O13" s="460">
        <f t="shared" si="2"/>
        <v>10646.17</v>
      </c>
      <c r="P13" s="646"/>
      <c r="R13" s="136"/>
      <c r="S13" s="136"/>
    </row>
    <row r="14" spans="2:19">
      <c r="B14" s="29">
        <v>3.1</v>
      </c>
      <c r="C14" s="144" t="s">
        <v>142</v>
      </c>
      <c r="D14" s="466">
        <f t="shared" si="0"/>
        <v>54324.05</v>
      </c>
      <c r="E14" s="256" t="s">
        <v>130</v>
      </c>
      <c r="F14" s="466">
        <v>1333.542</v>
      </c>
      <c r="G14" s="466">
        <v>3111.598</v>
      </c>
      <c r="H14" s="466">
        <v>6381.84</v>
      </c>
      <c r="I14" s="466">
        <v>8283.43</v>
      </c>
      <c r="J14" s="466">
        <v>7074.83</v>
      </c>
      <c r="K14" s="466">
        <v>9259.39</v>
      </c>
      <c r="L14" s="466">
        <v>9470.09</v>
      </c>
      <c r="M14" s="466">
        <v>4203.762</v>
      </c>
      <c r="N14" s="466">
        <v>2802.508</v>
      </c>
      <c r="O14" s="466">
        <v>2403.06</v>
      </c>
      <c r="P14" s="647">
        <f>参数输入表!G203</f>
        <v>0.06</v>
      </c>
      <c r="R14" s="136"/>
      <c r="S14" s="136"/>
    </row>
    <row r="15" spans="2:19">
      <c r="B15" s="29">
        <v>3.2</v>
      </c>
      <c r="C15" s="144" t="s">
        <v>143</v>
      </c>
      <c r="D15" s="466">
        <f t="shared" si="0"/>
        <v>8001.3</v>
      </c>
      <c r="E15" s="256" t="s">
        <v>130</v>
      </c>
      <c r="F15" s="466"/>
      <c r="G15" s="466"/>
      <c r="H15" s="466"/>
      <c r="I15" s="466"/>
      <c r="J15" s="466"/>
      <c r="K15" s="466">
        <v>663.35</v>
      </c>
      <c r="L15" s="466">
        <v>663.35</v>
      </c>
      <c r="M15" s="466">
        <v>936.234</v>
      </c>
      <c r="N15" s="466">
        <v>624.156</v>
      </c>
      <c r="O15" s="466">
        <v>5114.21</v>
      </c>
      <c r="P15" s="647">
        <f>参数输入表!G204</f>
        <v>0</v>
      </c>
      <c r="R15" s="136"/>
      <c r="S15" s="136"/>
    </row>
    <row r="16" spans="2:19">
      <c r="B16" s="29">
        <v>3.3</v>
      </c>
      <c r="C16" s="144" t="s">
        <v>144</v>
      </c>
      <c r="D16" s="466">
        <f t="shared" si="0"/>
        <v>56990.05</v>
      </c>
      <c r="E16" s="256" t="s">
        <v>130</v>
      </c>
      <c r="F16" s="466">
        <v>2976.03</v>
      </c>
      <c r="G16" s="466">
        <v>6944.07</v>
      </c>
      <c r="H16" s="466">
        <v>7470.1</v>
      </c>
      <c r="I16" s="466">
        <v>8269.11</v>
      </c>
      <c r="J16" s="466">
        <v>8548.51</v>
      </c>
      <c r="K16" s="466">
        <v>6498.01</v>
      </c>
      <c r="L16" s="466">
        <v>7056.81</v>
      </c>
      <c r="M16" s="466">
        <v>3659.106</v>
      </c>
      <c r="N16" s="466">
        <v>2439.404</v>
      </c>
      <c r="O16" s="466">
        <v>3128.9</v>
      </c>
      <c r="P16" s="647">
        <f>参数输入表!G205</f>
        <v>0.06</v>
      </c>
      <c r="R16" s="136"/>
      <c r="S16" s="136"/>
    </row>
    <row r="17" spans="2:19">
      <c r="B17" s="29">
        <v>3.4</v>
      </c>
      <c r="C17" s="144" t="s">
        <v>145</v>
      </c>
      <c r="D17" s="466">
        <f t="shared" si="0"/>
        <v>3540.49</v>
      </c>
      <c r="E17" s="256" t="s">
        <v>130</v>
      </c>
      <c r="F17" s="466"/>
      <c r="G17" s="466"/>
      <c r="H17" s="466">
        <v>658.09</v>
      </c>
      <c r="I17" s="466">
        <v>962.14</v>
      </c>
      <c r="J17" s="466">
        <v>910.13</v>
      </c>
      <c r="K17" s="466">
        <v>885.13</v>
      </c>
      <c r="L17" s="466">
        <v>125</v>
      </c>
      <c r="M17" s="466"/>
      <c r="N17" s="466"/>
      <c r="O17" s="466"/>
      <c r="P17" s="647">
        <f>参数输入表!G206</f>
        <v>0</v>
      </c>
      <c r="R17" s="136"/>
      <c r="S17" s="136"/>
    </row>
    <row r="18" spans="2:19">
      <c r="B18" s="648">
        <v>4</v>
      </c>
      <c r="C18" s="28" t="s">
        <v>146</v>
      </c>
      <c r="D18" s="460">
        <f t="shared" si="0"/>
        <v>38197.3</v>
      </c>
      <c r="E18" s="256" t="s">
        <v>130</v>
      </c>
      <c r="F18" s="466">
        <v>1091.844</v>
      </c>
      <c r="G18" s="460">
        <v>2547.636</v>
      </c>
      <c r="H18" s="460">
        <v>3374.56</v>
      </c>
      <c r="I18" s="460">
        <v>4507.7</v>
      </c>
      <c r="J18" s="460">
        <v>5248.71</v>
      </c>
      <c r="K18" s="460">
        <v>7941.96</v>
      </c>
      <c r="L18" s="460">
        <v>6618.49</v>
      </c>
      <c r="M18" s="460">
        <v>3050.244</v>
      </c>
      <c r="N18" s="460">
        <v>2033.496</v>
      </c>
      <c r="O18" s="460">
        <v>1782.66</v>
      </c>
      <c r="P18" s="647">
        <f>参数输入表!G207</f>
        <v>0.09</v>
      </c>
      <c r="R18" s="136"/>
      <c r="S18" s="136"/>
    </row>
    <row r="19" spans="2:19">
      <c r="B19" s="648">
        <v>5</v>
      </c>
      <c r="C19" s="28" t="s">
        <v>147</v>
      </c>
      <c r="D19" s="460">
        <f t="shared" si="0"/>
        <v>0</v>
      </c>
      <c r="E19" s="256" t="s">
        <v>130</v>
      </c>
      <c r="F19" s="466"/>
      <c r="G19" s="460"/>
      <c r="H19" s="460"/>
      <c r="I19" s="460"/>
      <c r="J19" s="460"/>
      <c r="K19" s="460"/>
      <c r="L19" s="460"/>
      <c r="M19" s="460"/>
      <c r="N19" s="460"/>
      <c r="O19" s="460"/>
      <c r="P19" s="647">
        <f>参数输入表!G208</f>
        <v>0</v>
      </c>
      <c r="R19" s="136"/>
      <c r="S19" s="136"/>
    </row>
    <row r="20" spans="2:19">
      <c r="B20" s="649">
        <v>6</v>
      </c>
      <c r="C20" s="650" t="s">
        <v>492</v>
      </c>
      <c r="D20" s="651">
        <f t="shared" si="0"/>
        <v>6000</v>
      </c>
      <c r="E20" s="256" t="s">
        <v>130</v>
      </c>
      <c r="F20" s="460">
        <v>150</v>
      </c>
      <c r="G20" s="460">
        <v>350</v>
      </c>
      <c r="H20" s="460">
        <v>800</v>
      </c>
      <c r="I20" s="460">
        <v>900</v>
      </c>
      <c r="J20" s="460">
        <v>600</v>
      </c>
      <c r="K20" s="460">
        <v>1100</v>
      </c>
      <c r="L20" s="460">
        <v>1000</v>
      </c>
      <c r="M20" s="460">
        <v>360</v>
      </c>
      <c r="N20" s="460">
        <v>240</v>
      </c>
      <c r="O20" s="460">
        <v>500</v>
      </c>
      <c r="P20" s="647">
        <f>参数输入表!G209</f>
        <v>0.13</v>
      </c>
      <c r="R20" s="136"/>
      <c r="S20" s="136"/>
    </row>
    <row r="21" spans="2:19">
      <c r="B21" s="648">
        <v>7</v>
      </c>
      <c r="C21" s="28" t="s">
        <v>493</v>
      </c>
      <c r="D21" s="460">
        <f t="shared" si="0"/>
        <v>810608.42</v>
      </c>
      <c r="E21" s="256" t="s">
        <v>130</v>
      </c>
      <c r="F21" s="460">
        <f>F4+F12+F13+F18+F19+F20</f>
        <v>28514.733</v>
      </c>
      <c r="G21" s="460">
        <f t="shared" ref="G21:O21" si="3">G4+G12+G13+G18+G19+G20</f>
        <v>66534.377</v>
      </c>
      <c r="H21" s="460">
        <f t="shared" si="3"/>
        <v>90984.75</v>
      </c>
      <c r="I21" s="460">
        <f t="shared" si="3"/>
        <v>101033.82</v>
      </c>
      <c r="J21" s="460">
        <f t="shared" si="3"/>
        <v>107918.6</v>
      </c>
      <c r="K21" s="460">
        <f t="shared" si="3"/>
        <v>139530.5</v>
      </c>
      <c r="L21" s="460">
        <f t="shared" si="3"/>
        <v>126118.92</v>
      </c>
      <c r="M21" s="460">
        <f t="shared" si="3"/>
        <v>62941.098</v>
      </c>
      <c r="N21" s="460">
        <f t="shared" si="3"/>
        <v>41960.732</v>
      </c>
      <c r="O21" s="460">
        <f t="shared" si="3"/>
        <v>45070.89</v>
      </c>
      <c r="P21" s="646"/>
      <c r="R21" s="136"/>
      <c r="S21" s="136"/>
    </row>
    <row r="22" spans="2:19">
      <c r="B22" s="648">
        <v>8</v>
      </c>
      <c r="C22" s="28" t="s">
        <v>153</v>
      </c>
      <c r="D22" s="460">
        <f t="shared" si="0"/>
        <v>59365.53</v>
      </c>
      <c r="E22" s="256" t="s">
        <v>130</v>
      </c>
      <c r="F22" s="256"/>
      <c r="G22" s="460"/>
      <c r="H22" s="460">
        <v>1427.17</v>
      </c>
      <c r="I22" s="460">
        <v>3854.21</v>
      </c>
      <c r="J22" s="460">
        <v>6784.25</v>
      </c>
      <c r="K22" s="460">
        <v>13798.93</v>
      </c>
      <c r="L22" s="460">
        <v>14466.02</v>
      </c>
      <c r="M22" s="460">
        <v>8081.352</v>
      </c>
      <c r="N22" s="460">
        <v>5387.568</v>
      </c>
      <c r="O22" s="460">
        <v>5566.03</v>
      </c>
      <c r="P22" s="647">
        <f>参数输入表!G212</f>
        <v>0.09</v>
      </c>
      <c r="R22" s="136"/>
      <c r="S22" s="136"/>
    </row>
    <row r="23" spans="2:19">
      <c r="B23" s="648">
        <v>9</v>
      </c>
      <c r="C23" s="28" t="s">
        <v>494</v>
      </c>
      <c r="D23" s="460">
        <f t="shared" si="0"/>
        <v>869973.95</v>
      </c>
      <c r="E23" s="256" t="s">
        <v>130</v>
      </c>
      <c r="F23" s="460">
        <f t="shared" ref="F23:O23" si="4">F21+F22</f>
        <v>28514.733</v>
      </c>
      <c r="G23" s="460">
        <f t="shared" si="4"/>
        <v>66534.377</v>
      </c>
      <c r="H23" s="460">
        <f t="shared" si="4"/>
        <v>92411.92</v>
      </c>
      <c r="I23" s="460">
        <f t="shared" si="4"/>
        <v>104888.03</v>
      </c>
      <c r="J23" s="460">
        <f t="shared" si="4"/>
        <v>114702.85</v>
      </c>
      <c r="K23" s="460">
        <f t="shared" si="4"/>
        <v>153329.43</v>
      </c>
      <c r="L23" s="460">
        <f t="shared" si="4"/>
        <v>140584.94</v>
      </c>
      <c r="M23" s="460">
        <f t="shared" si="4"/>
        <v>71022.45</v>
      </c>
      <c r="N23" s="460">
        <f t="shared" si="4"/>
        <v>47348.3</v>
      </c>
      <c r="O23" s="460">
        <f t="shared" si="4"/>
        <v>50636.92</v>
      </c>
      <c r="P23" s="646"/>
      <c r="R23" s="136"/>
      <c r="S23" s="136"/>
    </row>
    <row r="24" spans="2:19">
      <c r="B24" s="648"/>
      <c r="C24" s="28" t="s">
        <v>495</v>
      </c>
      <c r="D24" s="652">
        <f t="shared" si="0"/>
        <v>1</v>
      </c>
      <c r="E24" s="256" t="s">
        <v>130</v>
      </c>
      <c r="F24" s="652">
        <f>F23/$D$23</f>
        <v>0.0327765365848023</v>
      </c>
      <c r="G24" s="652">
        <f t="shared" ref="G24:O24" si="5">G23/$D$23</f>
        <v>0.0764785853645388</v>
      </c>
      <c r="H24" s="652">
        <f t="shared" si="5"/>
        <v>0.106223778309684</v>
      </c>
      <c r="I24" s="652">
        <f t="shared" si="5"/>
        <v>0.120564564030911</v>
      </c>
      <c r="J24" s="652">
        <f t="shared" si="5"/>
        <v>0.131846304133589</v>
      </c>
      <c r="K24" s="652">
        <f t="shared" si="5"/>
        <v>0.176246001388892</v>
      </c>
      <c r="L24" s="652">
        <f t="shared" si="5"/>
        <v>0.161596723672013</v>
      </c>
      <c r="M24" s="652">
        <f t="shared" si="5"/>
        <v>0.0816374444315258</v>
      </c>
      <c r="N24" s="652">
        <f t="shared" si="5"/>
        <v>0.0544249629543505</v>
      </c>
      <c r="O24" s="652">
        <f t="shared" si="5"/>
        <v>0.0582050991296923</v>
      </c>
      <c r="P24" s="646"/>
    </row>
    <row r="26" ht="23.4" customHeight="1" spans="2:19">
      <c r="B26" s="562" t="s">
        <v>496</v>
      </c>
      <c r="C26" s="563"/>
      <c r="D26" s="563"/>
      <c r="E26" s="563"/>
      <c r="F26" s="563"/>
      <c r="G26" s="563"/>
      <c r="H26" s="563"/>
      <c r="I26" s="563"/>
      <c r="J26" s="563"/>
      <c r="K26" s="563"/>
      <c r="L26" s="563"/>
      <c r="M26" s="563"/>
      <c r="N26" s="563"/>
      <c r="O26" s="565"/>
      <c r="P26" s="653"/>
    </row>
    <row r="27" ht="28.05" customHeight="1" spans="2:19">
      <c r="B27" s="643" t="s">
        <v>2</v>
      </c>
      <c r="C27" s="644" t="s">
        <v>490</v>
      </c>
      <c r="D27" s="644" t="s">
        <v>491</v>
      </c>
      <c r="E27" s="644" t="s">
        <v>9</v>
      </c>
      <c r="F27" s="645">
        <v>45016</v>
      </c>
      <c r="G27" s="644">
        <v>2023</v>
      </c>
      <c r="H27" s="644">
        <v>2024</v>
      </c>
      <c r="I27" s="644">
        <v>2025</v>
      </c>
      <c r="J27" s="644">
        <v>2026</v>
      </c>
      <c r="K27" s="644">
        <v>2027</v>
      </c>
      <c r="L27" s="644">
        <v>2028</v>
      </c>
      <c r="M27" s="645">
        <v>47361</v>
      </c>
      <c r="N27" s="644">
        <v>2029</v>
      </c>
      <c r="O27" s="645">
        <v>47695</v>
      </c>
      <c r="P27" s="231"/>
    </row>
    <row r="28" spans="2:19">
      <c r="B28" s="76">
        <v>1</v>
      </c>
      <c r="C28" s="95" t="s">
        <v>129</v>
      </c>
      <c r="D28" s="460">
        <f t="shared" ref="D28:D46" si="6">SUM(F28:O28)</f>
        <v>52707.7948623853</v>
      </c>
      <c r="E28" s="256" t="s">
        <v>130</v>
      </c>
      <c r="F28" s="460">
        <f t="shared" ref="F28:O28" si="7">SUM(F29:F35)</f>
        <v>1838.44337614679</v>
      </c>
      <c r="G28" s="460">
        <f t="shared" si="7"/>
        <v>4289.70121100917</v>
      </c>
      <c r="H28" s="460">
        <f t="shared" si="7"/>
        <v>5777.70357798165</v>
      </c>
      <c r="I28" s="460">
        <f t="shared" si="7"/>
        <v>6422.13412844037</v>
      </c>
      <c r="J28" s="460">
        <f t="shared" si="7"/>
        <v>7046.63669724771</v>
      </c>
      <c r="K28" s="460">
        <f t="shared" si="7"/>
        <v>9345.35724770642</v>
      </c>
      <c r="L28" s="460">
        <f t="shared" si="7"/>
        <v>8354.73963302752</v>
      </c>
      <c r="M28" s="460">
        <f t="shared" si="7"/>
        <v>4187.4884587156</v>
      </c>
      <c r="N28" s="460">
        <f t="shared" si="7"/>
        <v>2791.65897247706</v>
      </c>
      <c r="O28" s="460">
        <f t="shared" si="7"/>
        <v>2653.93155963303</v>
      </c>
      <c r="P28" s="231"/>
    </row>
    <row r="29" spans="2:19">
      <c r="B29" s="29">
        <v>1.1</v>
      </c>
      <c r="C29" s="144" t="s">
        <v>131</v>
      </c>
      <c r="D29" s="466">
        <f t="shared" si="6"/>
        <v>5201.22220183486</v>
      </c>
      <c r="E29" s="256" t="s">
        <v>130</v>
      </c>
      <c r="F29" s="466">
        <f t="shared" ref="F29:O29" si="8">F5/(1+$P$5)*$P$5</f>
        <v>364.325862385321</v>
      </c>
      <c r="G29" s="466">
        <f t="shared" si="8"/>
        <v>850.093678899082</v>
      </c>
      <c r="H29" s="466">
        <f t="shared" si="8"/>
        <v>1627.11082568807</v>
      </c>
      <c r="I29" s="466">
        <f t="shared" si="8"/>
        <v>1314.83972477064</v>
      </c>
      <c r="J29" s="466">
        <f t="shared" si="8"/>
        <v>455.960642201835</v>
      </c>
      <c r="K29" s="466">
        <f t="shared" si="8"/>
        <v>132.197614678899</v>
      </c>
      <c r="L29" s="466">
        <f t="shared" si="8"/>
        <v>128.465504587156</v>
      </c>
      <c r="M29" s="466">
        <f t="shared" si="8"/>
        <v>126.307981651376</v>
      </c>
      <c r="N29" s="466">
        <f t="shared" si="8"/>
        <v>84.2053211009174</v>
      </c>
      <c r="O29" s="466">
        <f t="shared" si="8"/>
        <v>117.71504587156</v>
      </c>
      <c r="P29" s="654"/>
    </row>
    <row r="30" spans="2:19">
      <c r="B30" s="29">
        <v>1.2</v>
      </c>
      <c r="C30" s="144" t="s">
        <v>134</v>
      </c>
      <c r="D30" s="466">
        <f t="shared" si="6"/>
        <v>27349.7953211009</v>
      </c>
      <c r="E30" s="256" t="s">
        <v>130</v>
      </c>
      <c r="F30" s="466">
        <f t="shared" ref="F30:O30" si="9">F6/(1+$P$6)*$P$6</f>
        <v>1474.11751376147</v>
      </c>
      <c r="G30" s="466">
        <f t="shared" si="9"/>
        <v>3439.60753211009</v>
      </c>
      <c r="H30" s="466">
        <f t="shared" si="9"/>
        <v>3862.48458715596</v>
      </c>
      <c r="I30" s="466">
        <f t="shared" si="9"/>
        <v>4551.36688073394</v>
      </c>
      <c r="J30" s="466">
        <f t="shared" si="9"/>
        <v>5597.42366972477</v>
      </c>
      <c r="K30" s="466">
        <f t="shared" si="9"/>
        <v>4374.75137614679</v>
      </c>
      <c r="L30" s="466">
        <f t="shared" si="9"/>
        <v>2975.05651376147</v>
      </c>
      <c r="M30" s="466">
        <f t="shared" si="9"/>
        <v>578.168091743119</v>
      </c>
      <c r="N30" s="466">
        <f t="shared" si="9"/>
        <v>385.445394495413</v>
      </c>
      <c r="O30" s="466">
        <f t="shared" si="9"/>
        <v>111.37376146789</v>
      </c>
      <c r="P30" s="654"/>
    </row>
    <row r="31" spans="2:19">
      <c r="B31" s="29">
        <v>1.3</v>
      </c>
      <c r="C31" s="144" t="s">
        <v>135</v>
      </c>
      <c r="D31" s="466">
        <f t="shared" si="6"/>
        <v>1477.47798165138</v>
      </c>
      <c r="E31" s="256" t="s">
        <v>130</v>
      </c>
      <c r="F31" s="466">
        <f t="shared" ref="F31:O31" si="10">F7/(1+$P$7)*$P$7</f>
        <v>0</v>
      </c>
      <c r="G31" s="466">
        <f t="shared" si="10"/>
        <v>0</v>
      </c>
      <c r="H31" s="466">
        <f t="shared" si="10"/>
        <v>288.108165137615</v>
      </c>
      <c r="I31" s="466">
        <f t="shared" si="10"/>
        <v>288.108165137615</v>
      </c>
      <c r="J31" s="466">
        <f t="shared" si="10"/>
        <v>236.396146788991</v>
      </c>
      <c r="K31" s="466">
        <f t="shared" si="10"/>
        <v>199.459816513761</v>
      </c>
      <c r="L31" s="466">
        <f t="shared" si="10"/>
        <v>206.847247706422</v>
      </c>
      <c r="M31" s="466">
        <f t="shared" si="10"/>
        <v>62.0539266055046</v>
      </c>
      <c r="N31" s="466">
        <f t="shared" si="10"/>
        <v>41.3692844036697</v>
      </c>
      <c r="O31" s="466">
        <f t="shared" si="10"/>
        <v>155.135229357798</v>
      </c>
      <c r="P31" s="654"/>
    </row>
    <row r="32" spans="2:19">
      <c r="B32" s="29">
        <v>1.4</v>
      </c>
      <c r="C32" s="75" t="s">
        <v>136</v>
      </c>
      <c r="D32" s="466">
        <f t="shared" si="6"/>
        <v>5638.31009174312</v>
      </c>
      <c r="E32" s="256" t="s">
        <v>130</v>
      </c>
      <c r="F32" s="466">
        <f t="shared" ref="F32:O32" si="11">F8/(1+$P$8)*$P$8</f>
        <v>0</v>
      </c>
      <c r="G32" s="466">
        <f t="shared" si="11"/>
        <v>0</v>
      </c>
      <c r="H32" s="466">
        <f t="shared" si="11"/>
        <v>0</v>
      </c>
      <c r="I32" s="466">
        <f t="shared" si="11"/>
        <v>267.819357798165</v>
      </c>
      <c r="J32" s="466">
        <f t="shared" si="11"/>
        <v>267.819357798165</v>
      </c>
      <c r="K32" s="466">
        <f t="shared" si="11"/>
        <v>1606.91862385321</v>
      </c>
      <c r="L32" s="466">
        <f t="shared" si="11"/>
        <v>1099.47137614679</v>
      </c>
      <c r="M32" s="466">
        <f t="shared" si="11"/>
        <v>1014.89581651376</v>
      </c>
      <c r="N32" s="466">
        <f t="shared" si="11"/>
        <v>676.597211009174</v>
      </c>
      <c r="O32" s="466">
        <f t="shared" si="11"/>
        <v>704.788348623853</v>
      </c>
      <c r="P32" s="654"/>
    </row>
    <row r="33" spans="2:16">
      <c r="B33" s="29">
        <v>1.5</v>
      </c>
      <c r="C33" s="75" t="s">
        <v>137</v>
      </c>
      <c r="D33" s="466">
        <f t="shared" si="6"/>
        <v>13040.989266055</v>
      </c>
      <c r="E33" s="256" t="s">
        <v>130</v>
      </c>
      <c r="F33" s="466">
        <f t="shared" ref="F33:O33" si="12">F9/(1+$P$9)*$P$9</f>
        <v>0</v>
      </c>
      <c r="G33" s="466">
        <f t="shared" si="12"/>
        <v>0</v>
      </c>
      <c r="H33" s="466">
        <f t="shared" si="12"/>
        <v>0</v>
      </c>
      <c r="I33" s="466">
        <f t="shared" si="12"/>
        <v>0</v>
      </c>
      <c r="J33" s="466">
        <f t="shared" si="12"/>
        <v>489.036880733945</v>
      </c>
      <c r="K33" s="466">
        <f t="shared" si="12"/>
        <v>3032.02981651376</v>
      </c>
      <c r="L33" s="466">
        <f t="shared" si="12"/>
        <v>3944.89899082569</v>
      </c>
      <c r="M33" s="466">
        <f t="shared" si="12"/>
        <v>2406.06264220183</v>
      </c>
      <c r="N33" s="466">
        <f t="shared" si="12"/>
        <v>1604.04176146789</v>
      </c>
      <c r="O33" s="466">
        <f t="shared" si="12"/>
        <v>1564.91917431193</v>
      </c>
      <c r="P33" s="654"/>
    </row>
    <row r="34" spans="2:16">
      <c r="B34" s="29">
        <v>1.6</v>
      </c>
      <c r="C34" s="75" t="s">
        <v>138</v>
      </c>
      <c r="D34" s="466">
        <f t="shared" si="6"/>
        <v>0</v>
      </c>
      <c r="E34" s="256" t="s">
        <v>130</v>
      </c>
      <c r="F34" s="466">
        <f t="shared" ref="F34:O34" si="13">F10/(1+$P$10)*$P$10</f>
        <v>0</v>
      </c>
      <c r="G34" s="466">
        <f t="shared" si="13"/>
        <v>0</v>
      </c>
      <c r="H34" s="466">
        <f t="shared" si="13"/>
        <v>0</v>
      </c>
      <c r="I34" s="466">
        <f t="shared" si="13"/>
        <v>0</v>
      </c>
      <c r="J34" s="466">
        <f t="shared" si="13"/>
        <v>0</v>
      </c>
      <c r="K34" s="466">
        <f t="shared" si="13"/>
        <v>0</v>
      </c>
      <c r="L34" s="466">
        <f t="shared" si="13"/>
        <v>0</v>
      </c>
      <c r="M34" s="466">
        <f t="shared" si="13"/>
        <v>0</v>
      </c>
      <c r="N34" s="466">
        <f t="shared" si="13"/>
        <v>0</v>
      </c>
      <c r="O34" s="466">
        <f t="shared" si="13"/>
        <v>0</v>
      </c>
      <c r="P34" s="231"/>
    </row>
    <row r="35" spans="2:16">
      <c r="B35" s="29">
        <v>1.7</v>
      </c>
      <c r="C35" s="75" t="s">
        <v>139</v>
      </c>
      <c r="D35" s="466">
        <f t="shared" si="6"/>
        <v>0</v>
      </c>
      <c r="E35" s="256" t="s">
        <v>130</v>
      </c>
      <c r="F35" s="466">
        <f t="shared" ref="F35:O35" si="14">F11/(1+$P$11)*$P$11</f>
        <v>0</v>
      </c>
      <c r="G35" s="466">
        <f t="shared" si="14"/>
        <v>0</v>
      </c>
      <c r="H35" s="466">
        <f t="shared" si="14"/>
        <v>0</v>
      </c>
      <c r="I35" s="466">
        <f t="shared" si="14"/>
        <v>0</v>
      </c>
      <c r="J35" s="466">
        <f t="shared" si="14"/>
        <v>0</v>
      </c>
      <c r="K35" s="466">
        <f t="shared" si="14"/>
        <v>0</v>
      </c>
      <c r="L35" s="466">
        <f t="shared" si="14"/>
        <v>0</v>
      </c>
      <c r="M35" s="466">
        <f t="shared" si="14"/>
        <v>0</v>
      </c>
      <c r="N35" s="466">
        <f t="shared" si="14"/>
        <v>0</v>
      </c>
      <c r="O35" s="466">
        <f t="shared" si="14"/>
        <v>0</v>
      </c>
      <c r="P35" s="231"/>
    </row>
    <row r="36" spans="2:16">
      <c r="B36" s="76">
        <v>2</v>
      </c>
      <c r="C36" s="95" t="s">
        <v>140</v>
      </c>
      <c r="D36" s="460">
        <f t="shared" si="6"/>
        <v>0</v>
      </c>
      <c r="E36" s="256" t="s">
        <v>130</v>
      </c>
      <c r="F36" s="460">
        <f t="shared" ref="F36:O36" si="15">F12/(1+$P$12)*$P$12</f>
        <v>0</v>
      </c>
      <c r="G36" s="460">
        <f t="shared" si="15"/>
        <v>0</v>
      </c>
      <c r="H36" s="460">
        <f t="shared" si="15"/>
        <v>0</v>
      </c>
      <c r="I36" s="460">
        <f t="shared" si="15"/>
        <v>0</v>
      </c>
      <c r="J36" s="460">
        <f t="shared" si="15"/>
        <v>0</v>
      </c>
      <c r="K36" s="460">
        <f t="shared" si="15"/>
        <v>0</v>
      </c>
      <c r="L36" s="460">
        <f t="shared" si="15"/>
        <v>0</v>
      </c>
      <c r="M36" s="460">
        <f t="shared" si="15"/>
        <v>0</v>
      </c>
      <c r="N36" s="460">
        <f t="shared" si="15"/>
        <v>0</v>
      </c>
      <c r="O36" s="460">
        <f t="shared" si="15"/>
        <v>0</v>
      </c>
      <c r="P36" s="231"/>
    </row>
    <row r="37" spans="2:16">
      <c r="B37" s="76">
        <v>3</v>
      </c>
      <c r="C37" s="95" t="s">
        <v>141</v>
      </c>
      <c r="D37" s="460">
        <f t="shared" si="6"/>
        <v>6300.79811320755</v>
      </c>
      <c r="E37" s="256" t="s">
        <v>130</v>
      </c>
      <c r="F37" s="460">
        <f t="shared" ref="F37:O37" si="16">SUM(F38:F41)</f>
        <v>243.938037735849</v>
      </c>
      <c r="G37" s="460">
        <f t="shared" si="16"/>
        <v>569.188754716981</v>
      </c>
      <c r="H37" s="460">
        <f t="shared" si="16"/>
        <v>784.072075471698</v>
      </c>
      <c r="I37" s="460">
        <f t="shared" si="16"/>
        <v>936.936226415094</v>
      </c>
      <c r="J37" s="460">
        <f t="shared" si="16"/>
        <v>884.34</v>
      </c>
      <c r="K37" s="460">
        <f t="shared" si="16"/>
        <v>891.928301886792</v>
      </c>
      <c r="L37" s="460">
        <f t="shared" si="16"/>
        <v>935.484905660377</v>
      </c>
      <c r="M37" s="460">
        <f t="shared" si="16"/>
        <v>445.068</v>
      </c>
      <c r="N37" s="460">
        <f t="shared" si="16"/>
        <v>296.712</v>
      </c>
      <c r="O37" s="460">
        <f t="shared" si="16"/>
        <v>313.129811320755</v>
      </c>
      <c r="P37" s="231"/>
    </row>
    <row r="38" spans="2:16">
      <c r="B38" s="29">
        <v>3.1</v>
      </c>
      <c r="C38" s="144" t="s">
        <v>142</v>
      </c>
      <c r="D38" s="466">
        <f t="shared" si="6"/>
        <v>3074.94622641509</v>
      </c>
      <c r="E38" s="256" t="s">
        <v>130</v>
      </c>
      <c r="F38" s="466">
        <f t="shared" ref="F38:O38" si="17">F14/(1+$P$14)*$P$14</f>
        <v>75.4835094339623</v>
      </c>
      <c r="G38" s="466">
        <f t="shared" si="17"/>
        <v>176.128188679245</v>
      </c>
      <c r="H38" s="466">
        <f t="shared" si="17"/>
        <v>361.236226415094</v>
      </c>
      <c r="I38" s="466">
        <f t="shared" si="17"/>
        <v>468.873396226415</v>
      </c>
      <c r="J38" s="466">
        <f t="shared" si="17"/>
        <v>400.462075471698</v>
      </c>
      <c r="K38" s="466">
        <f t="shared" si="17"/>
        <v>524.11641509434</v>
      </c>
      <c r="L38" s="466">
        <f t="shared" si="17"/>
        <v>536.042830188679</v>
      </c>
      <c r="M38" s="466">
        <f t="shared" si="17"/>
        <v>237.94879245283</v>
      </c>
      <c r="N38" s="466">
        <f t="shared" si="17"/>
        <v>158.632528301887</v>
      </c>
      <c r="O38" s="466">
        <f t="shared" si="17"/>
        <v>136.022264150943</v>
      </c>
      <c r="P38" s="654"/>
    </row>
    <row r="39" spans="2:16">
      <c r="B39" s="29">
        <v>3.2</v>
      </c>
      <c r="C39" s="144" t="s">
        <v>143</v>
      </c>
      <c r="D39" s="466">
        <f t="shared" si="6"/>
        <v>0</v>
      </c>
      <c r="E39" s="256" t="s">
        <v>130</v>
      </c>
      <c r="F39" s="466">
        <f t="shared" ref="F39:O39" si="18">F15/(1+$P$15)*$P$15</f>
        <v>0</v>
      </c>
      <c r="G39" s="466">
        <f t="shared" si="18"/>
        <v>0</v>
      </c>
      <c r="H39" s="466">
        <f t="shared" si="18"/>
        <v>0</v>
      </c>
      <c r="I39" s="466">
        <f t="shared" si="18"/>
        <v>0</v>
      </c>
      <c r="J39" s="466">
        <f t="shared" si="18"/>
        <v>0</v>
      </c>
      <c r="K39" s="466">
        <f t="shared" si="18"/>
        <v>0</v>
      </c>
      <c r="L39" s="466">
        <f t="shared" si="18"/>
        <v>0</v>
      </c>
      <c r="M39" s="466">
        <f t="shared" si="18"/>
        <v>0</v>
      </c>
      <c r="N39" s="466">
        <f t="shared" si="18"/>
        <v>0</v>
      </c>
      <c r="O39" s="466">
        <f t="shared" si="18"/>
        <v>0</v>
      </c>
      <c r="P39" s="654"/>
    </row>
    <row r="40" spans="2:16">
      <c r="B40" s="29">
        <v>3.3</v>
      </c>
      <c r="C40" s="144" t="s">
        <v>144</v>
      </c>
      <c r="D40" s="466">
        <f t="shared" si="6"/>
        <v>3225.85188679245</v>
      </c>
      <c r="E40" s="256" t="s">
        <v>130</v>
      </c>
      <c r="F40" s="466">
        <f t="shared" ref="F40:O40" si="19">F16/(1+$P$16)*$P$16</f>
        <v>168.454528301887</v>
      </c>
      <c r="G40" s="466">
        <f t="shared" si="19"/>
        <v>393.060566037736</v>
      </c>
      <c r="H40" s="466">
        <f t="shared" si="19"/>
        <v>422.835849056604</v>
      </c>
      <c r="I40" s="466">
        <f t="shared" si="19"/>
        <v>468.062830188679</v>
      </c>
      <c r="J40" s="466">
        <f t="shared" si="19"/>
        <v>483.877924528302</v>
      </c>
      <c r="K40" s="466">
        <f t="shared" si="19"/>
        <v>367.811886792453</v>
      </c>
      <c r="L40" s="466">
        <f t="shared" si="19"/>
        <v>399.442075471698</v>
      </c>
      <c r="M40" s="466">
        <f t="shared" si="19"/>
        <v>207.11920754717</v>
      </c>
      <c r="N40" s="466">
        <f t="shared" si="19"/>
        <v>138.079471698113</v>
      </c>
      <c r="O40" s="466">
        <f t="shared" si="19"/>
        <v>177.107547169811</v>
      </c>
      <c r="P40" s="654"/>
    </row>
    <row r="41" spans="2:16">
      <c r="B41" s="29">
        <v>3.4</v>
      </c>
      <c r="C41" s="144" t="s">
        <v>145</v>
      </c>
      <c r="D41" s="466">
        <f t="shared" si="6"/>
        <v>0</v>
      </c>
      <c r="E41" s="256" t="s">
        <v>130</v>
      </c>
      <c r="F41" s="466">
        <f t="shared" ref="F41:O41" si="20">F17/(1+$P$17)*$P$17</f>
        <v>0</v>
      </c>
      <c r="G41" s="466">
        <f t="shared" si="20"/>
        <v>0</v>
      </c>
      <c r="H41" s="466">
        <f t="shared" si="20"/>
        <v>0</v>
      </c>
      <c r="I41" s="466">
        <f t="shared" si="20"/>
        <v>0</v>
      </c>
      <c r="J41" s="466">
        <f t="shared" si="20"/>
        <v>0</v>
      </c>
      <c r="K41" s="466">
        <f t="shared" si="20"/>
        <v>0</v>
      </c>
      <c r="L41" s="466">
        <f t="shared" si="20"/>
        <v>0</v>
      </c>
      <c r="M41" s="466">
        <f t="shared" si="20"/>
        <v>0</v>
      </c>
      <c r="N41" s="466">
        <f t="shared" si="20"/>
        <v>0</v>
      </c>
      <c r="O41" s="466">
        <f t="shared" si="20"/>
        <v>0</v>
      </c>
      <c r="P41" s="231"/>
    </row>
    <row r="42" spans="2:16">
      <c r="B42" s="648">
        <v>4</v>
      </c>
      <c r="C42" s="28" t="s">
        <v>146</v>
      </c>
      <c r="D42" s="460">
        <f t="shared" si="6"/>
        <v>3153.90550458716</v>
      </c>
      <c r="E42" s="256" t="s">
        <v>130</v>
      </c>
      <c r="F42" s="460">
        <f t="shared" ref="F42:O42" si="21">F18/(1+$P$18)*$P$18</f>
        <v>90.1522568807339</v>
      </c>
      <c r="G42" s="460">
        <f t="shared" si="21"/>
        <v>210.355266055046</v>
      </c>
      <c r="H42" s="460">
        <f t="shared" si="21"/>
        <v>278.633394495413</v>
      </c>
      <c r="I42" s="460">
        <f t="shared" si="21"/>
        <v>372.195412844037</v>
      </c>
      <c r="J42" s="460">
        <f t="shared" si="21"/>
        <v>433.379724770642</v>
      </c>
      <c r="K42" s="460">
        <f t="shared" si="21"/>
        <v>655.758165137615</v>
      </c>
      <c r="L42" s="460">
        <f t="shared" si="21"/>
        <v>546.480825688073</v>
      </c>
      <c r="M42" s="460">
        <f t="shared" si="21"/>
        <v>251.855009174312</v>
      </c>
      <c r="N42" s="460">
        <f t="shared" si="21"/>
        <v>167.903339449541</v>
      </c>
      <c r="O42" s="460">
        <f t="shared" si="21"/>
        <v>147.192110091743</v>
      </c>
      <c r="P42" s="231"/>
    </row>
    <row r="43" spans="2:16">
      <c r="B43" s="648">
        <v>5</v>
      </c>
      <c r="C43" s="650" t="s">
        <v>492</v>
      </c>
      <c r="D43" s="460">
        <f t="shared" si="6"/>
        <v>0</v>
      </c>
      <c r="E43" s="256" t="s">
        <v>130</v>
      </c>
      <c r="F43" s="466">
        <f t="shared" ref="F43:O43" si="22">F19/(1+$P$19)*$P$19</f>
        <v>0</v>
      </c>
      <c r="G43" s="466">
        <f t="shared" si="22"/>
        <v>0</v>
      </c>
      <c r="H43" s="466">
        <f t="shared" si="22"/>
        <v>0</v>
      </c>
      <c r="I43" s="466">
        <f t="shared" si="22"/>
        <v>0</v>
      </c>
      <c r="J43" s="466">
        <f t="shared" si="22"/>
        <v>0</v>
      </c>
      <c r="K43" s="466">
        <f t="shared" si="22"/>
        <v>0</v>
      </c>
      <c r="L43" s="466">
        <f t="shared" si="22"/>
        <v>0</v>
      </c>
      <c r="M43" s="466">
        <f t="shared" si="22"/>
        <v>0</v>
      </c>
      <c r="N43" s="466">
        <f t="shared" si="22"/>
        <v>0</v>
      </c>
      <c r="O43" s="466">
        <f t="shared" si="22"/>
        <v>0</v>
      </c>
      <c r="P43" s="231"/>
    </row>
    <row r="44" spans="2:16">
      <c r="B44" s="648">
        <v>6</v>
      </c>
      <c r="C44" s="28" t="s">
        <v>497</v>
      </c>
      <c r="D44" s="460">
        <f t="shared" si="6"/>
        <v>690.265486725664</v>
      </c>
      <c r="E44" s="256" t="s">
        <v>130</v>
      </c>
      <c r="F44" s="466">
        <f t="shared" ref="F44:O44" si="23">F20/(1+$P$20)*$P$20</f>
        <v>17.2566371681416</v>
      </c>
      <c r="G44" s="466">
        <f t="shared" si="23"/>
        <v>40.2654867256637</v>
      </c>
      <c r="H44" s="466">
        <f t="shared" si="23"/>
        <v>92.0353982300885</v>
      </c>
      <c r="I44" s="466">
        <f t="shared" si="23"/>
        <v>103.53982300885</v>
      </c>
      <c r="J44" s="466">
        <f t="shared" si="23"/>
        <v>69.0265486725664</v>
      </c>
      <c r="K44" s="466">
        <f t="shared" si="23"/>
        <v>126.548672566372</v>
      </c>
      <c r="L44" s="466">
        <f t="shared" si="23"/>
        <v>115.044247787611</v>
      </c>
      <c r="M44" s="466">
        <f t="shared" si="23"/>
        <v>41.4159292035398</v>
      </c>
      <c r="N44" s="466">
        <f t="shared" si="23"/>
        <v>27.6106194690266</v>
      </c>
      <c r="O44" s="466">
        <f t="shared" si="23"/>
        <v>57.5221238938053</v>
      </c>
      <c r="P44" s="231"/>
    </row>
    <row r="45" spans="2:16">
      <c r="B45" s="648">
        <v>7</v>
      </c>
      <c r="C45" s="28" t="s">
        <v>153</v>
      </c>
      <c r="D45" s="460">
        <f t="shared" si="6"/>
        <v>4901.74100917431</v>
      </c>
      <c r="E45" s="256" t="s">
        <v>130</v>
      </c>
      <c r="F45" s="460">
        <f t="shared" ref="F45:O45" si="24">F22/(1+$P$22)*$P$22</f>
        <v>0</v>
      </c>
      <c r="G45" s="460">
        <f t="shared" si="24"/>
        <v>0</v>
      </c>
      <c r="H45" s="460">
        <f t="shared" si="24"/>
        <v>117.839724770642</v>
      </c>
      <c r="I45" s="460">
        <f t="shared" si="24"/>
        <v>318.23752293578</v>
      </c>
      <c r="J45" s="460">
        <f t="shared" si="24"/>
        <v>560.167431192661</v>
      </c>
      <c r="K45" s="460">
        <f t="shared" si="24"/>
        <v>1139.36119266055</v>
      </c>
      <c r="L45" s="460">
        <f t="shared" si="24"/>
        <v>1194.44201834862</v>
      </c>
      <c r="M45" s="460">
        <f t="shared" si="24"/>
        <v>667.267596330275</v>
      </c>
      <c r="N45" s="460">
        <f t="shared" si="24"/>
        <v>444.845064220183</v>
      </c>
      <c r="O45" s="460">
        <f t="shared" si="24"/>
        <v>459.580458715596</v>
      </c>
      <c r="P45" s="231"/>
    </row>
    <row r="46" spans="2:16">
      <c r="B46" s="655" t="s">
        <v>498</v>
      </c>
      <c r="C46" s="656"/>
      <c r="D46" s="460">
        <f t="shared" si="6"/>
        <v>67754.50497608</v>
      </c>
      <c r="E46" s="256" t="s">
        <v>130</v>
      </c>
      <c r="F46" s="460">
        <f t="shared" ref="F46:O46" si="25">F28+F36+F37+F42+F43+F44+F45</f>
        <v>2189.79030793151</v>
      </c>
      <c r="G46" s="460">
        <f t="shared" si="25"/>
        <v>5109.51071850686</v>
      </c>
      <c r="H46" s="460">
        <f t="shared" si="25"/>
        <v>7050.28417094949</v>
      </c>
      <c r="I46" s="460">
        <f t="shared" si="25"/>
        <v>8153.04311364413</v>
      </c>
      <c r="J46" s="460">
        <f t="shared" si="25"/>
        <v>8993.55040188357</v>
      </c>
      <c r="K46" s="460">
        <f t="shared" si="25"/>
        <v>12158.9535799577</v>
      </c>
      <c r="L46" s="460">
        <f t="shared" si="25"/>
        <v>11146.1916305122</v>
      </c>
      <c r="M46" s="460">
        <f t="shared" si="25"/>
        <v>5593.09499342372</v>
      </c>
      <c r="N46" s="460">
        <f t="shared" si="25"/>
        <v>3728.72999561581</v>
      </c>
      <c r="O46" s="460">
        <f t="shared" si="25"/>
        <v>3631.35606365493</v>
      </c>
      <c r="P46" s="231"/>
    </row>
    <row r="47" spans="2:16">
      <c r="B47" s="657" t="s">
        <v>499</v>
      </c>
      <c r="C47" s="658"/>
      <c r="D47" s="460"/>
      <c r="E47" s="256" t="s">
        <v>130</v>
      </c>
      <c r="F47" s="659">
        <f>F46</f>
        <v>2189.79030793151</v>
      </c>
      <c r="G47" s="659">
        <f t="shared" ref="G47:O47" si="26">F47+G46</f>
        <v>7299.30102643838</v>
      </c>
      <c r="H47" s="659">
        <f t="shared" si="26"/>
        <v>14349.5851973879</v>
      </c>
      <c r="I47" s="659">
        <f t="shared" si="26"/>
        <v>22502.628311032</v>
      </c>
      <c r="J47" s="659">
        <f t="shared" si="26"/>
        <v>31496.1787129156</v>
      </c>
      <c r="K47" s="659">
        <f t="shared" si="26"/>
        <v>43655.1322928733</v>
      </c>
      <c r="L47" s="659">
        <f t="shared" si="26"/>
        <v>54801.3239233855</v>
      </c>
      <c r="M47" s="659">
        <f t="shared" si="26"/>
        <v>60394.4189168092</v>
      </c>
      <c r="N47" s="659">
        <f t="shared" si="26"/>
        <v>64123.1489124251</v>
      </c>
      <c r="O47" s="659">
        <f t="shared" si="26"/>
        <v>67754.50497608</v>
      </c>
    </row>
  </sheetData>
  <mergeCells count="2">
    <mergeCell ref="B46:C46"/>
    <mergeCell ref="B47:C47"/>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HS321"/>
  <sheetViews>
    <sheetView showGridLines="0" tabSelected="1" zoomScale="70" zoomScaleNormal="70" workbookViewId="0">
      <pane ySplit="6" topLeftCell="A250" activePane="bottomLeft" state="frozen"/>
      <selection/>
      <selection pane="bottomLeft" activeCell="R284" sqref="R284"/>
    </sheetView>
  </sheetViews>
  <sheetFormatPr defaultColWidth="8.78181818181818" defaultRowHeight="16.5"/>
  <cols>
    <col min="1" max="1" width="2.78181818181818" style="6" customWidth="1"/>
    <col min="2" max="2" width="8.78181818181818" style="6"/>
    <col min="3" max="3" width="31.8909090909091" style="6" customWidth="1"/>
    <col min="4" max="4" width="18.4454545454545" style="6" customWidth="1"/>
    <col min="5" max="5" width="15.8727272727273" style="6"/>
    <col min="6" max="6" width="18.3363636363636" style="6" customWidth="1"/>
    <col min="7" max="8" width="14.7818181818182" style="6" customWidth="1"/>
    <col min="9" max="14" width="14.5545454545455" style="6" customWidth="1"/>
    <col min="15" max="16" width="15.1727272727273" style="6" customWidth="1"/>
    <col min="17" max="17" width="14.4454545454545" style="6" customWidth="1"/>
    <col min="18" max="57" width="15.6636363636364" style="6" customWidth="1"/>
    <col min="58" max="66" width="15" style="6" customWidth="1"/>
    <col min="67" max="69" width="15.8727272727273" style="6"/>
    <col min="70" max="70" width="14.6272727272727" style="6"/>
    <col min="71" max="73" width="15.8727272727273" style="6"/>
    <col min="74" max="74" width="14.6272727272727" style="6"/>
    <col min="75" max="75" width="15.8727272727273" style="6"/>
    <col min="76" max="76" width="14.6272727272727" style="6"/>
    <col min="77" max="81" width="15.8727272727273" style="6"/>
    <col min="82" max="82" width="14.6272727272727" style="6"/>
    <col min="83" max="85" width="15.8727272727273" style="6"/>
    <col min="86" max="86" width="14.6272727272727" style="6"/>
    <col min="87" max="87" width="15.8727272727273" style="6"/>
    <col min="88" max="88" width="14.6272727272727" style="6"/>
    <col min="89" max="93" width="15.8727272727273" style="6"/>
    <col min="94" max="94" width="14.6272727272727" style="6"/>
    <col min="95" max="97" width="15.8727272727273" style="6"/>
    <col min="98" max="98" width="14.6272727272727" style="6"/>
    <col min="99" max="99" width="15.8727272727273" style="6"/>
    <col min="100" max="100" width="14.6272727272727" style="6"/>
    <col min="101" max="105" width="15.8727272727273" style="6"/>
    <col min="106" max="106" width="14.6272727272727" style="6"/>
    <col min="107" max="107" width="15.8727272727273" style="6"/>
    <col min="108" max="108" width="14.6272727272727" style="6"/>
    <col min="109" max="109" width="15.8727272727273" style="6"/>
    <col min="110" max="110" width="14.6272727272727" style="6"/>
    <col min="111" max="111" width="15.8727272727273" style="6"/>
    <col min="112" max="112" width="14.6272727272727" style="6"/>
    <col min="113" max="117" width="15.8727272727273" style="6"/>
    <col min="118" max="118" width="14.6272727272727" style="6"/>
    <col min="119" max="119" width="15.8727272727273" style="6"/>
    <col min="120" max="120" width="14.6272727272727" style="6"/>
    <col min="121" max="121" width="15.8727272727273" style="6"/>
    <col min="122" max="122" width="14.6272727272727" style="6"/>
    <col min="123" max="123" width="15.8727272727273" style="6"/>
    <col min="124" max="124" width="14.6272727272727" style="6"/>
    <col min="125" max="129" width="15.8727272727273" style="6"/>
    <col min="130" max="130" width="14.6272727272727" style="6"/>
    <col min="131" max="131" width="15.8727272727273" style="6"/>
    <col min="132" max="132" width="14.6272727272727" style="6"/>
    <col min="133" max="133" width="15.8727272727273" style="6"/>
    <col min="134" max="134" width="14.6272727272727" style="6"/>
    <col min="135" max="135" width="15.8727272727273" style="6"/>
    <col min="136" max="136" width="14.6272727272727" style="6"/>
    <col min="137" max="141" width="15.8727272727273" style="6"/>
    <col min="142" max="142" width="14.6272727272727" style="6"/>
    <col min="143" max="143" width="15.8727272727273" style="6"/>
    <col min="144" max="144" width="14.6272727272727" style="6"/>
    <col min="145" max="145" width="15.8727272727273" style="6"/>
    <col min="146" max="146" width="14.6272727272727" style="6"/>
    <col min="147" max="147" width="15.8727272727273" style="6"/>
    <col min="148" max="148" width="14.6272727272727" style="6"/>
    <col min="149" max="153" width="15.8727272727273" style="6"/>
    <col min="154" max="154" width="14.6272727272727" style="6"/>
    <col min="155" max="155" width="15.8727272727273" style="6"/>
    <col min="156" max="161" width="14.6272727272727" style="6"/>
    <col min="162" max="164" width="15.8727272727273" style="6"/>
    <col min="165" max="173" width="14.6272727272727" style="6"/>
    <col min="174" max="176" width="15.8727272727273" style="6"/>
    <col min="177" max="185" width="14.6272727272727" style="6"/>
    <col min="186" max="16384" width="8.78181818181818" style="6"/>
  </cols>
  <sheetData>
    <row r="2" spans="2:57">
      <c r="B2" s="437" t="s">
        <v>500</v>
      </c>
      <c r="C2" s="438"/>
      <c r="D2" s="438"/>
      <c r="E2" s="438"/>
      <c r="F2" s="439">
        <f>时间序列!D5</f>
        <v>2</v>
      </c>
      <c r="G2" s="439">
        <f>时间序列!E5</f>
        <v>9</v>
      </c>
      <c r="H2" s="439">
        <f>时间序列!F5</f>
        <v>12</v>
      </c>
      <c r="I2" s="439">
        <f>时间序列!G5</f>
        <v>12</v>
      </c>
      <c r="J2" s="439">
        <f>时间序列!H5</f>
        <v>12</v>
      </c>
      <c r="K2" s="439">
        <f>时间序列!I5</f>
        <v>12</v>
      </c>
      <c r="L2" s="439">
        <f>时间序列!J5</f>
        <v>12</v>
      </c>
      <c r="M2" s="439">
        <f>时间序列!K5</f>
        <v>8</v>
      </c>
      <c r="N2" s="439">
        <f>时间序列!L5</f>
        <v>4</v>
      </c>
      <c r="O2" s="439">
        <f>时间序列!M5</f>
        <v>7</v>
      </c>
      <c r="P2" s="439">
        <f>时间序列!N5</f>
        <v>1</v>
      </c>
      <c r="Q2" s="439">
        <f>时间序列!O5</f>
        <v>4</v>
      </c>
      <c r="R2" s="439">
        <f>时间序列!P5</f>
        <v>12</v>
      </c>
      <c r="S2" s="439">
        <f>时间序列!Q5</f>
        <v>12</v>
      </c>
      <c r="T2" s="439">
        <f>时间序列!R5</f>
        <v>12</v>
      </c>
      <c r="U2" s="439">
        <f>时间序列!S5</f>
        <v>12</v>
      </c>
      <c r="V2" s="439">
        <f>时间序列!T5</f>
        <v>12</v>
      </c>
      <c r="W2" s="439">
        <f>时间序列!U5</f>
        <v>12</v>
      </c>
      <c r="X2" s="439">
        <f>时间序列!V5</f>
        <v>12</v>
      </c>
      <c r="Y2" s="439">
        <f>时间序列!W5</f>
        <v>12</v>
      </c>
      <c r="Z2" s="439">
        <f>时间序列!X5</f>
        <v>12</v>
      </c>
      <c r="AA2" s="439">
        <f>时间序列!Y5</f>
        <v>12</v>
      </c>
      <c r="AB2" s="439">
        <f>时间序列!Z5</f>
        <v>12</v>
      </c>
      <c r="AC2" s="439">
        <f>时间序列!AA5</f>
        <v>12</v>
      </c>
      <c r="AD2" s="439">
        <f>时间序列!AB5</f>
        <v>12</v>
      </c>
      <c r="AE2" s="439">
        <f>时间序列!AC5</f>
        <v>12</v>
      </c>
      <c r="AF2" s="439">
        <f>时间序列!AD5</f>
        <v>12</v>
      </c>
      <c r="AG2" s="439">
        <f>时间序列!AE5</f>
        <v>12</v>
      </c>
      <c r="AH2" s="439">
        <f>时间序列!AF5</f>
        <v>12</v>
      </c>
      <c r="AI2" s="439">
        <f>时间序列!AG5</f>
        <v>12</v>
      </c>
      <c r="AJ2" s="439">
        <f>时间序列!AH5</f>
        <v>12</v>
      </c>
      <c r="AK2" s="439">
        <f>时间序列!AI5</f>
        <v>12</v>
      </c>
      <c r="AL2" s="439">
        <f>时间序列!AJ5</f>
        <v>12</v>
      </c>
      <c r="AM2" s="439">
        <f>时间序列!AK5</f>
        <v>12</v>
      </c>
      <c r="AN2" s="439">
        <f>时间序列!AL5</f>
        <v>12</v>
      </c>
      <c r="AO2" s="439">
        <f>时间序列!AM5</f>
        <v>12</v>
      </c>
      <c r="AP2" s="439">
        <f>时间序列!AN5</f>
        <v>12</v>
      </c>
      <c r="AQ2" s="439">
        <f>时间序列!AO5</f>
        <v>12</v>
      </c>
      <c r="AR2" s="439">
        <f>时间序列!AP5</f>
        <v>12</v>
      </c>
      <c r="AS2" s="439">
        <f>时间序列!AQ5</f>
        <v>12</v>
      </c>
      <c r="AT2" s="439">
        <f>时间序列!AR5</f>
        <v>12</v>
      </c>
      <c r="AU2" s="439">
        <f>时间序列!AS5</f>
        <v>12</v>
      </c>
      <c r="AV2" s="439">
        <f>时间序列!AT5</f>
        <v>12</v>
      </c>
      <c r="AW2" s="439">
        <f>时间序列!AU5</f>
        <v>12</v>
      </c>
      <c r="AX2" s="439">
        <f>时间序列!AV5</f>
        <v>12</v>
      </c>
      <c r="AY2" s="439">
        <f>时间序列!AW5</f>
        <v>12</v>
      </c>
      <c r="AZ2" s="439">
        <f>时间序列!AX5</f>
        <v>12</v>
      </c>
      <c r="BA2" s="439">
        <f>时间序列!AY5</f>
        <v>12</v>
      </c>
      <c r="BB2" s="439">
        <f>时间序列!AZ5</f>
        <v>12</v>
      </c>
      <c r="BC2" s="439">
        <f>时间序列!BA5</f>
        <v>12</v>
      </c>
      <c r="BD2" s="439">
        <f>时间序列!BB5</f>
        <v>12</v>
      </c>
      <c r="BE2" s="440">
        <f>时间序列!BC5</f>
        <v>7</v>
      </c>
    </row>
    <row r="3" spans="2:57">
      <c r="B3" s="441" t="s">
        <v>2</v>
      </c>
      <c r="C3" s="442" t="s">
        <v>430</v>
      </c>
      <c r="D3" s="442" t="s">
        <v>491</v>
      </c>
      <c r="E3" s="443" t="s">
        <v>9</v>
      </c>
      <c r="F3" s="444">
        <v>45016</v>
      </c>
      <c r="G3" s="445">
        <v>45291</v>
      </c>
      <c r="H3" s="445">
        <v>45657</v>
      </c>
      <c r="I3" s="445">
        <v>46022</v>
      </c>
      <c r="J3" s="445">
        <v>46387</v>
      </c>
      <c r="K3" s="445">
        <v>46752</v>
      </c>
      <c r="L3" s="445">
        <v>47118</v>
      </c>
      <c r="M3" s="446">
        <v>47361</v>
      </c>
      <c r="N3" s="445">
        <v>47483</v>
      </c>
      <c r="O3" s="446">
        <v>47695</v>
      </c>
      <c r="P3" s="447">
        <f>参数输入表!I250</f>
        <v>47726</v>
      </c>
      <c r="Q3" s="448">
        <v>47848</v>
      </c>
      <c r="R3" s="448">
        <v>48213</v>
      </c>
      <c r="S3" s="448">
        <v>48579</v>
      </c>
      <c r="T3" s="448">
        <v>48944</v>
      </c>
      <c r="U3" s="448">
        <v>49309</v>
      </c>
      <c r="V3" s="448">
        <v>49674</v>
      </c>
      <c r="W3" s="448">
        <v>50040</v>
      </c>
      <c r="X3" s="448">
        <v>50405</v>
      </c>
      <c r="Y3" s="448">
        <v>50770</v>
      </c>
      <c r="Z3" s="448">
        <v>51135</v>
      </c>
      <c r="AA3" s="448">
        <v>51501</v>
      </c>
      <c r="AB3" s="448">
        <v>51866</v>
      </c>
      <c r="AC3" s="448">
        <v>52231</v>
      </c>
      <c r="AD3" s="448">
        <v>52596</v>
      </c>
      <c r="AE3" s="448">
        <v>52962</v>
      </c>
      <c r="AF3" s="448">
        <v>53327</v>
      </c>
      <c r="AG3" s="448">
        <v>53692</v>
      </c>
      <c r="AH3" s="448">
        <v>54057</v>
      </c>
      <c r="AI3" s="448">
        <v>54423</v>
      </c>
      <c r="AJ3" s="448">
        <v>54788</v>
      </c>
      <c r="AK3" s="448">
        <v>55153</v>
      </c>
      <c r="AL3" s="448">
        <v>55518</v>
      </c>
      <c r="AM3" s="448">
        <v>55884</v>
      </c>
      <c r="AN3" s="448">
        <v>56249</v>
      </c>
      <c r="AO3" s="448">
        <v>56614</v>
      </c>
      <c r="AP3" s="448">
        <v>56979</v>
      </c>
      <c r="AQ3" s="448">
        <v>57345</v>
      </c>
      <c r="AR3" s="448">
        <v>57710</v>
      </c>
      <c r="AS3" s="448">
        <v>58075</v>
      </c>
      <c r="AT3" s="448">
        <v>58440</v>
      </c>
      <c r="AU3" s="448">
        <v>58806</v>
      </c>
      <c r="AV3" s="448">
        <v>59171</v>
      </c>
      <c r="AW3" s="448">
        <v>59536</v>
      </c>
      <c r="AX3" s="448">
        <v>59901</v>
      </c>
      <c r="AY3" s="448">
        <v>60267</v>
      </c>
      <c r="AZ3" s="448">
        <v>60632</v>
      </c>
      <c r="BA3" s="448">
        <v>60997</v>
      </c>
      <c r="BB3" s="448">
        <v>61362</v>
      </c>
      <c r="BC3" s="448">
        <v>61728</v>
      </c>
      <c r="BD3" s="448">
        <v>62093</v>
      </c>
      <c r="BE3" s="449">
        <v>62458</v>
      </c>
    </row>
    <row r="4" spans="2:57">
      <c r="B4" s="450"/>
      <c r="C4" s="451"/>
      <c r="D4" s="451"/>
      <c r="E4" s="442"/>
      <c r="F4" s="18"/>
      <c r="G4" s="18">
        <v>1</v>
      </c>
      <c r="H4" s="18">
        <v>2</v>
      </c>
      <c r="I4" s="18">
        <v>3</v>
      </c>
      <c r="J4" s="18">
        <v>4</v>
      </c>
      <c r="K4" s="18">
        <v>5</v>
      </c>
      <c r="L4" s="18">
        <v>6</v>
      </c>
      <c r="M4" s="19"/>
      <c r="N4" s="19">
        <v>7</v>
      </c>
      <c r="O4" s="19"/>
      <c r="P4" s="20"/>
      <c r="Q4" s="20">
        <v>8</v>
      </c>
      <c r="R4" s="20">
        <v>9</v>
      </c>
      <c r="S4" s="20">
        <v>10</v>
      </c>
      <c r="T4" s="20">
        <v>11</v>
      </c>
      <c r="U4" s="20">
        <v>12</v>
      </c>
      <c r="V4" s="20">
        <v>13</v>
      </c>
      <c r="W4" s="20">
        <v>14</v>
      </c>
      <c r="X4" s="20">
        <v>15</v>
      </c>
      <c r="Y4" s="20">
        <v>16</v>
      </c>
      <c r="Z4" s="20">
        <v>17</v>
      </c>
      <c r="AA4" s="20">
        <v>18</v>
      </c>
      <c r="AB4" s="20">
        <v>19</v>
      </c>
      <c r="AC4" s="20">
        <v>20</v>
      </c>
      <c r="AD4" s="20">
        <v>21</v>
      </c>
      <c r="AE4" s="20">
        <v>22</v>
      </c>
      <c r="AF4" s="20">
        <v>23</v>
      </c>
      <c r="AG4" s="20">
        <v>24</v>
      </c>
      <c r="AH4" s="20">
        <v>25</v>
      </c>
      <c r="AI4" s="20">
        <v>26</v>
      </c>
      <c r="AJ4" s="20">
        <v>27</v>
      </c>
      <c r="AK4" s="20">
        <v>28</v>
      </c>
      <c r="AL4" s="20">
        <v>29</v>
      </c>
      <c r="AM4" s="20">
        <v>30</v>
      </c>
      <c r="AN4" s="20">
        <v>31</v>
      </c>
      <c r="AO4" s="20">
        <v>32</v>
      </c>
      <c r="AP4" s="20">
        <v>33</v>
      </c>
      <c r="AQ4" s="20">
        <v>34</v>
      </c>
      <c r="AR4" s="20">
        <v>35</v>
      </c>
      <c r="AS4" s="20">
        <v>36</v>
      </c>
      <c r="AT4" s="20">
        <v>37</v>
      </c>
      <c r="AU4" s="20">
        <v>38</v>
      </c>
      <c r="AV4" s="20">
        <v>39</v>
      </c>
      <c r="AW4" s="20">
        <v>40</v>
      </c>
      <c r="AX4" s="20">
        <v>41</v>
      </c>
      <c r="AY4" s="20">
        <v>42</v>
      </c>
      <c r="AZ4" s="20">
        <v>43</v>
      </c>
      <c r="BA4" s="20">
        <v>44</v>
      </c>
      <c r="BB4" s="20">
        <v>45</v>
      </c>
      <c r="BC4" s="20">
        <v>46</v>
      </c>
      <c r="BD4" s="20">
        <v>47</v>
      </c>
      <c r="BE4" s="21">
        <v>48</v>
      </c>
    </row>
    <row r="5" ht="18" customHeight="1" spans="2:57">
      <c r="B5" s="452"/>
      <c r="C5" s="288" t="s">
        <v>29</v>
      </c>
      <c r="D5" s="453">
        <f>SUM(F5:BE5)</f>
        <v>1</v>
      </c>
      <c r="E5" s="454"/>
      <c r="F5" s="455">
        <f>参数输入表!I14</f>
        <v>0.0327765365848023</v>
      </c>
      <c r="G5" s="455">
        <f>参数输入表!I15</f>
        <v>0.0764785853645388</v>
      </c>
      <c r="H5" s="455">
        <f>参数输入表!I16</f>
        <v>0.106223778309684</v>
      </c>
      <c r="I5" s="455">
        <f>参数输入表!I17</f>
        <v>0.120564564030911</v>
      </c>
      <c r="J5" s="455">
        <f>参数输入表!I18</f>
        <v>0.131846304133589</v>
      </c>
      <c r="K5" s="455">
        <f>参数输入表!I19</f>
        <v>0.176246001388892</v>
      </c>
      <c r="L5" s="455">
        <f>参数输入表!I20</f>
        <v>0.161596723672013</v>
      </c>
      <c r="M5" s="455">
        <f>参数输入表!I21</f>
        <v>0.0816374444315258</v>
      </c>
      <c r="N5" s="455">
        <f>参数输入表!I22</f>
        <v>0.0544249629543505</v>
      </c>
      <c r="O5" s="455">
        <f>参数输入表!I23</f>
        <v>0.0582050991296923</v>
      </c>
      <c r="P5" s="455">
        <v>0</v>
      </c>
      <c r="Q5" s="455">
        <v>0</v>
      </c>
      <c r="R5" s="455">
        <v>0</v>
      </c>
      <c r="S5" s="455">
        <v>0</v>
      </c>
      <c r="T5" s="455">
        <v>0</v>
      </c>
      <c r="U5" s="455">
        <v>0</v>
      </c>
      <c r="V5" s="455">
        <v>0</v>
      </c>
      <c r="W5" s="455">
        <v>0</v>
      </c>
      <c r="X5" s="455">
        <v>0</v>
      </c>
      <c r="Y5" s="455">
        <v>0</v>
      </c>
      <c r="Z5" s="455">
        <v>0</v>
      </c>
      <c r="AA5" s="455">
        <v>0</v>
      </c>
      <c r="AB5" s="455">
        <v>0</v>
      </c>
      <c r="AC5" s="455">
        <v>0</v>
      </c>
      <c r="AD5" s="455">
        <v>0</v>
      </c>
      <c r="AE5" s="455">
        <v>0</v>
      </c>
      <c r="AF5" s="455">
        <v>0</v>
      </c>
      <c r="AG5" s="455">
        <v>0</v>
      </c>
      <c r="AH5" s="455">
        <v>0</v>
      </c>
      <c r="AI5" s="455">
        <v>0</v>
      </c>
      <c r="AJ5" s="455">
        <v>0</v>
      </c>
      <c r="AK5" s="455">
        <v>0</v>
      </c>
      <c r="AL5" s="455">
        <v>0</v>
      </c>
      <c r="AM5" s="455">
        <v>0</v>
      </c>
      <c r="AN5" s="455">
        <v>0</v>
      </c>
      <c r="AO5" s="455">
        <v>0</v>
      </c>
      <c r="AP5" s="455">
        <v>0</v>
      </c>
      <c r="AQ5" s="455">
        <v>0</v>
      </c>
      <c r="AR5" s="455">
        <v>0</v>
      </c>
      <c r="AS5" s="455">
        <v>0</v>
      </c>
      <c r="AT5" s="455">
        <v>0</v>
      </c>
      <c r="AU5" s="455">
        <v>0</v>
      </c>
      <c r="AV5" s="455">
        <v>0</v>
      </c>
      <c r="AW5" s="455">
        <v>0</v>
      </c>
      <c r="AX5" s="455">
        <v>0</v>
      </c>
      <c r="AY5" s="455">
        <v>0</v>
      </c>
      <c r="AZ5" s="455">
        <v>0</v>
      </c>
      <c r="BA5" s="455">
        <v>0</v>
      </c>
      <c r="BB5" s="455">
        <v>0</v>
      </c>
      <c r="BC5" s="455">
        <v>0</v>
      </c>
      <c r="BD5" s="455">
        <v>0</v>
      </c>
      <c r="BE5" s="456">
        <v>0</v>
      </c>
    </row>
    <row r="6" spans="2:57">
      <c r="B6" s="457"/>
      <c r="C6" s="288" t="s">
        <v>501</v>
      </c>
      <c r="D6" s="453"/>
      <c r="E6" s="458"/>
      <c r="F6" s="459">
        <f>'投产&amp;达产比例'!H10</f>
        <v>0</v>
      </c>
      <c r="G6" s="455">
        <f>AVERAGE('投产&amp;达产比例'!H12:H20)</f>
        <v>0</v>
      </c>
      <c r="H6" s="455">
        <f>AVERAGE('投产&amp;达产比例'!H21:H32)</f>
        <v>0</v>
      </c>
      <c r="I6" s="455">
        <f>AVERAGE('投产&amp;达产比例'!H33:H44)</f>
        <v>0</v>
      </c>
      <c r="J6" s="455">
        <f>AVERAGE('投产&amp;达产比例'!H45:H56)</f>
        <v>0</v>
      </c>
      <c r="K6" s="455">
        <f>AVERAGE('投产&amp;达产比例'!H57:H68)</f>
        <v>0</v>
      </c>
      <c r="L6" s="455">
        <f>AVERAGE('投产&amp;达产比例'!H69:H80)</f>
        <v>0</v>
      </c>
      <c r="M6" s="455">
        <f>AVERAGE('投产&amp;达产比例'!H81:H88)</f>
        <v>0</v>
      </c>
      <c r="N6" s="455">
        <f>AVERAGE('投产&amp;达产比例'!H89:H92)</f>
        <v>0</v>
      </c>
      <c r="O6" s="455">
        <f>AVERAGE('投产&amp;达产比例'!H93:H99)</f>
        <v>0</v>
      </c>
      <c r="P6" s="455">
        <f>AVERAGE('投产&amp;达产比例'!H100:H101)</f>
        <v>1</v>
      </c>
      <c r="Q6" s="455">
        <f>AVERAGE('投产&amp;达产比例'!H102:H104)</f>
        <v>1</v>
      </c>
      <c r="R6" s="455">
        <f>AVERAGE('投产&amp;达产比例'!H105:H116)</f>
        <v>1</v>
      </c>
      <c r="S6" s="455">
        <f>AVERAGE('投产&amp;达产比例'!H117:H128)</f>
        <v>1</v>
      </c>
      <c r="T6" s="455">
        <f>AVERAGE('投产&amp;达产比例'!H129:H140)</f>
        <v>1</v>
      </c>
      <c r="U6" s="455">
        <f>AVERAGE('投产&amp;达产比例'!H141:H152)</f>
        <v>1</v>
      </c>
      <c r="V6" s="455">
        <f>AVERAGE('投产&amp;达产比例'!H153:H164)</f>
        <v>1</v>
      </c>
      <c r="W6" s="455">
        <f>AVERAGE('投产&amp;达产比例'!H165:H176)</f>
        <v>1</v>
      </c>
      <c r="X6" s="455">
        <f>AVERAGE('投产&amp;达产比例'!H177:H188)</f>
        <v>1</v>
      </c>
      <c r="Y6" s="455">
        <f>AVERAGE('投产&amp;达产比例'!H189:H200)</f>
        <v>1</v>
      </c>
      <c r="Z6" s="455">
        <f>AVERAGE('投产&amp;达产比例'!H201:H212)</f>
        <v>1</v>
      </c>
      <c r="AA6" s="455">
        <f>AVERAGE('投产&amp;达产比例'!H213:H224)</f>
        <v>1</v>
      </c>
      <c r="AB6" s="455">
        <f>AVERAGE('投产&amp;达产比例'!H225:H236)</f>
        <v>1</v>
      </c>
      <c r="AC6" s="455">
        <f>AVERAGE('投产&amp;达产比例'!H237:H248)</f>
        <v>1</v>
      </c>
      <c r="AD6" s="455">
        <f>AVERAGE('投产&amp;达产比例'!H249:H260)</f>
        <v>1</v>
      </c>
      <c r="AE6" s="455">
        <f>AVERAGE('投产&amp;达产比例'!H261:H272)</f>
        <v>1</v>
      </c>
      <c r="AF6" s="455">
        <f>AVERAGE('投产&amp;达产比例'!H273:H284)</f>
        <v>1</v>
      </c>
      <c r="AG6" s="455">
        <f>AVERAGE('投产&amp;达产比例'!H285:H296)</f>
        <v>1</v>
      </c>
      <c r="AH6" s="455">
        <f>AVERAGE('投产&amp;达产比例'!H297:H308)</f>
        <v>1</v>
      </c>
      <c r="AI6" s="455">
        <f>AVERAGE('投产&amp;达产比例'!H309:H320)</f>
        <v>1</v>
      </c>
      <c r="AJ6" s="455">
        <f>AVERAGE('投产&amp;达产比例'!H321:H332)</f>
        <v>1</v>
      </c>
      <c r="AK6" s="455">
        <f>AVERAGE('投产&amp;达产比例'!H333:H344)</f>
        <v>1</v>
      </c>
      <c r="AL6" s="455">
        <f>AVERAGE('投产&amp;达产比例'!H345:H356)</f>
        <v>1</v>
      </c>
      <c r="AM6" s="455">
        <f>AVERAGE('投产&amp;达产比例'!H357:H368)</f>
        <v>1</v>
      </c>
      <c r="AN6" s="455">
        <f>AVERAGE('投产&amp;达产比例'!H369:H380)</f>
        <v>1</v>
      </c>
      <c r="AO6" s="455">
        <f>AVERAGE('投产&amp;达产比例'!H381:H392)</f>
        <v>1</v>
      </c>
      <c r="AP6" s="455">
        <f>AVERAGE('投产&amp;达产比例'!H393:H404)</f>
        <v>1</v>
      </c>
      <c r="AQ6" s="455">
        <f>AVERAGE('投产&amp;达产比例'!H405:H416)</f>
        <v>1</v>
      </c>
      <c r="AR6" s="455">
        <f>AVERAGE('投产&amp;达产比例'!H417:H428)</f>
        <v>1</v>
      </c>
      <c r="AS6" s="455">
        <f>AVERAGE('投产&amp;达产比例'!H429:H440)</f>
        <v>1</v>
      </c>
      <c r="AT6" s="455">
        <f>AVERAGE('投产&amp;达产比例'!H441:H452)</f>
        <v>1</v>
      </c>
      <c r="AU6" s="455">
        <f>AVERAGE('投产&amp;达产比例'!H453:H464)</f>
        <v>1</v>
      </c>
      <c r="AV6" s="455">
        <f>AVERAGE('投产&amp;达产比例'!H465:H476)</f>
        <v>1</v>
      </c>
      <c r="AW6" s="455">
        <f>AVERAGE('投产&amp;达产比例'!H477:H488)</f>
        <v>1</v>
      </c>
      <c r="AX6" s="455">
        <f>AVERAGE('投产&amp;达产比例'!H489:H500)</f>
        <v>1</v>
      </c>
      <c r="AY6" s="455">
        <f>AVERAGE('投产&amp;达产比例'!H501:H512)</f>
        <v>1</v>
      </c>
      <c r="AZ6" s="455">
        <f>AVERAGE('投产&amp;达产比例'!H513:H524)</f>
        <v>1</v>
      </c>
      <c r="BA6" s="455">
        <f>AVERAGE('投产&amp;达产比例'!H525:H536)</f>
        <v>1</v>
      </c>
      <c r="BB6" s="455">
        <f>AVERAGE('投产&amp;达产比例'!H537:H548)</f>
        <v>1</v>
      </c>
      <c r="BC6" s="455">
        <f>AVERAGE('投产&amp;达产比例'!H549:H560)</f>
        <v>1</v>
      </c>
      <c r="BD6" s="455">
        <f>AVERAGE('投产&amp;达产比例'!H561:H572)</f>
        <v>1</v>
      </c>
      <c r="BE6" s="456">
        <f>AVERAGE('投产&amp;达产比例'!H573:H579)</f>
        <v>1</v>
      </c>
    </row>
    <row r="7" ht="27" customHeight="1" spans="2:57">
      <c r="B7" s="71">
        <v>1</v>
      </c>
      <c r="C7" s="225" t="s">
        <v>502</v>
      </c>
      <c r="D7" s="460">
        <f ca="1">D8+D9+D35</f>
        <v>973381.770915316</v>
      </c>
      <c r="E7" s="50" t="s">
        <v>130</v>
      </c>
      <c r="F7" s="460">
        <f ca="1" t="shared" ref="F7:P7" si="0">SUM(F8:F9)+F35</f>
        <v>28262.7201096688</v>
      </c>
      <c r="G7" s="460">
        <f ca="1" t="shared" si="0"/>
        <v>67248.5966819334</v>
      </c>
      <c r="H7" s="460">
        <f ca="1" t="shared" si="0"/>
        <v>95902.9358091799</v>
      </c>
      <c r="I7" s="460">
        <f ca="1" t="shared" si="0"/>
        <v>111527.372453866</v>
      </c>
      <c r="J7" s="460">
        <f ca="1" t="shared" si="0"/>
        <v>124982.577606385</v>
      </c>
      <c r="K7" s="460">
        <f ca="1" t="shared" si="0"/>
        <v>167811.542912955</v>
      </c>
      <c r="L7" s="460">
        <f ca="1" t="shared" si="0"/>
        <v>160422.325243849</v>
      </c>
      <c r="M7" s="460">
        <f ca="1" t="shared" si="0"/>
        <v>87218.1893904918</v>
      </c>
      <c r="N7" s="460">
        <f ca="1" t="shared" si="0"/>
        <v>56121.9169384372</v>
      </c>
      <c r="O7" s="460">
        <f ca="1" t="shared" si="0"/>
        <v>67447.5070778898</v>
      </c>
      <c r="P7" s="461">
        <f ca="1" t="shared" si="0"/>
        <v>0</v>
      </c>
      <c r="Q7" s="460">
        <f ca="1" t="shared" ref="Q7:AL7" si="1">SUM(Q8:Q9)+Q35</f>
        <v>6436.08669065986</v>
      </c>
      <c r="R7" s="460">
        <f ca="1" t="shared" si="1"/>
        <v>0</v>
      </c>
      <c r="S7" s="460">
        <f ca="1" t="shared" si="1"/>
        <v>0</v>
      </c>
      <c r="T7" s="460">
        <f ca="1" t="shared" si="1"/>
        <v>0</v>
      </c>
      <c r="U7" s="460">
        <f ca="1" t="shared" si="1"/>
        <v>0</v>
      </c>
      <c r="V7" s="460">
        <f ca="1" t="shared" si="1"/>
        <v>0</v>
      </c>
      <c r="W7" s="460">
        <f ca="1" t="shared" si="1"/>
        <v>0</v>
      </c>
      <c r="X7" s="460">
        <f ca="1" t="shared" si="1"/>
        <v>0</v>
      </c>
      <c r="Y7" s="460">
        <f ca="1" t="shared" si="1"/>
        <v>0</v>
      </c>
      <c r="Z7" s="460">
        <f ca="1" t="shared" si="1"/>
        <v>0</v>
      </c>
      <c r="AA7" s="460">
        <f ca="1" t="shared" si="1"/>
        <v>0</v>
      </c>
      <c r="AB7" s="460">
        <f ca="1" t="shared" si="1"/>
        <v>0</v>
      </c>
      <c r="AC7" s="460">
        <f ca="1" t="shared" si="1"/>
        <v>0</v>
      </c>
      <c r="AD7" s="460">
        <f ca="1" t="shared" si="1"/>
        <v>0</v>
      </c>
      <c r="AE7" s="460">
        <f ca="1" t="shared" si="1"/>
        <v>0</v>
      </c>
      <c r="AF7" s="460">
        <f ca="1" t="shared" si="1"/>
        <v>0</v>
      </c>
      <c r="AG7" s="460">
        <f ca="1" t="shared" si="1"/>
        <v>0</v>
      </c>
      <c r="AH7" s="460">
        <f ca="1" t="shared" si="1"/>
        <v>0</v>
      </c>
      <c r="AI7" s="460">
        <f ca="1" t="shared" si="1"/>
        <v>0</v>
      </c>
      <c r="AJ7" s="460">
        <f ca="1" t="shared" si="1"/>
        <v>0</v>
      </c>
      <c r="AK7" s="460">
        <f ca="1" t="shared" si="1"/>
        <v>0</v>
      </c>
      <c r="AL7" s="460">
        <f ca="1" t="shared" si="1"/>
        <v>0</v>
      </c>
      <c r="AM7" s="460">
        <f ca="1" t="shared" ref="AM7:BE7" si="2">SUM(AM8:AM9)+AM35</f>
        <v>0</v>
      </c>
      <c r="AN7" s="460">
        <f ca="1" t="shared" si="2"/>
        <v>0</v>
      </c>
      <c r="AO7" s="460">
        <f ca="1" t="shared" si="2"/>
        <v>0</v>
      </c>
      <c r="AP7" s="460">
        <f ca="1" t="shared" si="2"/>
        <v>0</v>
      </c>
      <c r="AQ7" s="460">
        <f ca="1" t="shared" si="2"/>
        <v>0</v>
      </c>
      <c r="AR7" s="460">
        <f ca="1" t="shared" si="2"/>
        <v>0</v>
      </c>
      <c r="AS7" s="460">
        <f ca="1" t="shared" si="2"/>
        <v>0</v>
      </c>
      <c r="AT7" s="460">
        <f ca="1" t="shared" si="2"/>
        <v>0</v>
      </c>
      <c r="AU7" s="460">
        <f ca="1" t="shared" si="2"/>
        <v>0</v>
      </c>
      <c r="AV7" s="460">
        <f ca="1" t="shared" si="2"/>
        <v>0</v>
      </c>
      <c r="AW7" s="460">
        <f ca="1" t="shared" si="2"/>
        <v>0</v>
      </c>
      <c r="AX7" s="460">
        <f ca="1" t="shared" si="2"/>
        <v>0</v>
      </c>
      <c r="AY7" s="460">
        <f ca="1" t="shared" si="2"/>
        <v>0</v>
      </c>
      <c r="AZ7" s="460">
        <f ca="1" t="shared" si="2"/>
        <v>0</v>
      </c>
      <c r="BA7" s="460">
        <f ca="1" t="shared" si="2"/>
        <v>0</v>
      </c>
      <c r="BB7" s="460">
        <f ca="1" t="shared" si="2"/>
        <v>0</v>
      </c>
      <c r="BC7" s="460">
        <f ca="1" t="shared" si="2"/>
        <v>0</v>
      </c>
      <c r="BD7" s="460">
        <f ca="1" t="shared" si="2"/>
        <v>0</v>
      </c>
      <c r="BE7" s="462">
        <f ca="1" t="shared" si="2"/>
        <v>0</v>
      </c>
    </row>
    <row r="8" spans="2:57">
      <c r="B8" s="463">
        <v>1.1</v>
      </c>
      <c r="C8" s="464" t="s">
        <v>503</v>
      </c>
      <c r="D8" s="465">
        <f>SUM(F8:BE8)</f>
        <v>859973.95</v>
      </c>
      <c r="E8" s="50" t="s">
        <v>130</v>
      </c>
      <c r="F8" s="466">
        <f>参数输入表!$I$214*F5</f>
        <v>28186.967634152</v>
      </c>
      <c r="G8" s="466">
        <f>参数输入表!$I$214*G5</f>
        <v>65769.5911463546</v>
      </c>
      <c r="H8" s="466">
        <f>参数输入表!$I$214*H5</f>
        <v>91349.6822169032</v>
      </c>
      <c r="I8" s="466">
        <f>参数输入表!$I$214*I5</f>
        <v>103682.384359691</v>
      </c>
      <c r="J8" s="466">
        <f>参数输入表!$I$214*J5</f>
        <v>113384.386958664</v>
      </c>
      <c r="K8" s="466">
        <f>参数输入表!$I$214*K5</f>
        <v>151566.969986111</v>
      </c>
      <c r="L8" s="466">
        <f>参数输入表!$I$214*L5</f>
        <v>138968.97276328</v>
      </c>
      <c r="M8" s="466">
        <f>参数输入表!$I$214*M5</f>
        <v>70206.0755556847</v>
      </c>
      <c r="N8" s="466">
        <f>参数输入表!$I$214*N5</f>
        <v>46804.0503704565</v>
      </c>
      <c r="O8" s="466">
        <f>参数输入表!$I$214*O5</f>
        <v>50054.8690087031</v>
      </c>
      <c r="P8" s="467">
        <f>参数输入表!$I$214*P5</f>
        <v>0</v>
      </c>
      <c r="Q8" s="466">
        <f>参数输入表!$I$214*Q5</f>
        <v>0</v>
      </c>
      <c r="R8" s="466">
        <f>参数输入表!$I$214*R5</f>
        <v>0</v>
      </c>
      <c r="S8" s="466">
        <f>参数输入表!$I$214*S5</f>
        <v>0</v>
      </c>
      <c r="T8" s="466">
        <f>参数输入表!$I$214*T5</f>
        <v>0</v>
      </c>
      <c r="U8" s="466">
        <f>参数输入表!$I$214*U5</f>
        <v>0</v>
      </c>
      <c r="V8" s="466">
        <f>参数输入表!$I$214*V5</f>
        <v>0</v>
      </c>
      <c r="W8" s="466">
        <f>参数输入表!$I$214*W5</f>
        <v>0</v>
      </c>
      <c r="X8" s="466">
        <f>参数输入表!$I$214*X5</f>
        <v>0</v>
      </c>
      <c r="Y8" s="466">
        <f>参数输入表!$I$214*Y5</f>
        <v>0</v>
      </c>
      <c r="Z8" s="466">
        <f>参数输入表!$I$214*Z5</f>
        <v>0</v>
      </c>
      <c r="AA8" s="466">
        <f>参数输入表!$I$214*AA5</f>
        <v>0</v>
      </c>
      <c r="AB8" s="466">
        <f>参数输入表!$I$214*AB5</f>
        <v>0</v>
      </c>
      <c r="AC8" s="466">
        <f>参数输入表!$I$214*AC5</f>
        <v>0</v>
      </c>
      <c r="AD8" s="466">
        <f>参数输入表!$I$214*AD5</f>
        <v>0</v>
      </c>
      <c r="AE8" s="466">
        <f>参数输入表!$I$214*AE5</f>
        <v>0</v>
      </c>
      <c r="AF8" s="466">
        <f>参数输入表!$I$214*AF5</f>
        <v>0</v>
      </c>
      <c r="AG8" s="466">
        <f>参数输入表!$I$214*AG5</f>
        <v>0</v>
      </c>
      <c r="AH8" s="466">
        <f>参数输入表!$I$214*AH5</f>
        <v>0</v>
      </c>
      <c r="AI8" s="466">
        <f>参数输入表!$I$214*AI5</f>
        <v>0</v>
      </c>
      <c r="AJ8" s="466">
        <f>参数输入表!$I$214*AJ5</f>
        <v>0</v>
      </c>
      <c r="AK8" s="466">
        <f>参数输入表!$I$214*AK5</f>
        <v>0</v>
      </c>
      <c r="AL8" s="466">
        <f>参数输入表!$I$214*AL5</f>
        <v>0</v>
      </c>
      <c r="AM8" s="466">
        <f>参数输入表!$I$214*AM5</f>
        <v>0</v>
      </c>
      <c r="AN8" s="466">
        <f>参数输入表!$I$214*AN5</f>
        <v>0</v>
      </c>
      <c r="AO8" s="466">
        <f>参数输入表!$I$214*AO5</f>
        <v>0</v>
      </c>
      <c r="AP8" s="466">
        <f>参数输入表!$I$214*AP5</f>
        <v>0</v>
      </c>
      <c r="AQ8" s="466">
        <f>参数输入表!$I$214*AQ5</f>
        <v>0</v>
      </c>
      <c r="AR8" s="466">
        <f>参数输入表!$I$214*AR5</f>
        <v>0</v>
      </c>
      <c r="AS8" s="466">
        <f>参数输入表!$I$214*AS5</f>
        <v>0</v>
      </c>
      <c r="AT8" s="466">
        <f>参数输入表!$I$214*AT5</f>
        <v>0</v>
      </c>
      <c r="AU8" s="466">
        <f>参数输入表!$I$214*AU5</f>
        <v>0</v>
      </c>
      <c r="AV8" s="466">
        <f>参数输入表!$I$214*AV5</f>
        <v>0</v>
      </c>
      <c r="AW8" s="466">
        <f>参数输入表!$I$214*AW5</f>
        <v>0</v>
      </c>
      <c r="AX8" s="466">
        <f>参数输入表!$I$214*AX5</f>
        <v>0</v>
      </c>
      <c r="AY8" s="466">
        <f>参数输入表!$I$214*AY5</f>
        <v>0</v>
      </c>
      <c r="AZ8" s="466">
        <f>参数输入表!$I$214*AZ5</f>
        <v>0</v>
      </c>
      <c r="BA8" s="466">
        <f>参数输入表!$I$214*BA5</f>
        <v>0</v>
      </c>
      <c r="BB8" s="466">
        <f>参数输入表!$I$214*BB5</f>
        <v>0</v>
      </c>
      <c r="BC8" s="466">
        <f>参数输入表!$I$214*BC5</f>
        <v>0</v>
      </c>
      <c r="BD8" s="466">
        <f>参数输入表!$I$214*BD5</f>
        <v>0</v>
      </c>
      <c r="BE8" s="468">
        <f>参数输入表!$I$214*BE5</f>
        <v>0</v>
      </c>
    </row>
    <row r="9" spans="2:57">
      <c r="B9" s="463">
        <v>1.2</v>
      </c>
      <c r="C9" s="464" t="s">
        <v>504</v>
      </c>
      <c r="D9" s="465">
        <f ca="1">SUM(F9:BE9)</f>
        <v>106971.734224656</v>
      </c>
      <c r="E9" s="50" t="s">
        <v>130</v>
      </c>
      <c r="F9" s="466">
        <f ca="1" t="shared" ref="F9:P9" si="3">SUM(F10:F21)</f>
        <v>75.7524755167835</v>
      </c>
      <c r="G9" s="466">
        <f ca="1" t="shared" si="3"/>
        <v>1479.00553557884</v>
      </c>
      <c r="H9" s="466">
        <f ca="1" t="shared" si="3"/>
        <v>4553.25359227673</v>
      </c>
      <c r="I9" s="466">
        <f ca="1" t="shared" si="3"/>
        <v>7844.98809417524</v>
      </c>
      <c r="J9" s="466">
        <f ca="1" t="shared" si="3"/>
        <v>11598.1906477209</v>
      </c>
      <c r="K9" s="466">
        <f ca="1" t="shared" si="3"/>
        <v>16244.5729268444</v>
      </c>
      <c r="L9" s="466">
        <f ca="1" t="shared" si="3"/>
        <v>21453.352480569</v>
      </c>
      <c r="M9" s="466">
        <f ca="1" t="shared" si="3"/>
        <v>17012.1138348071</v>
      </c>
      <c r="N9" s="466">
        <f ca="1" t="shared" si="3"/>
        <v>9317.86656798074</v>
      </c>
      <c r="O9" s="466">
        <f ca="1" t="shared" si="3"/>
        <v>17392.6380691867</v>
      </c>
      <c r="P9" s="467">
        <f ca="1" t="shared" si="3"/>
        <v>0</v>
      </c>
      <c r="Q9" s="466">
        <f ca="1" t="shared" ref="Q9:BE9" si="4">SUM(Q10:Q21)</f>
        <v>0</v>
      </c>
      <c r="R9" s="466">
        <f ca="1" t="shared" si="4"/>
        <v>0</v>
      </c>
      <c r="S9" s="466">
        <f ca="1" t="shared" si="4"/>
        <v>0</v>
      </c>
      <c r="T9" s="466">
        <f ca="1" t="shared" si="4"/>
        <v>0</v>
      </c>
      <c r="U9" s="466">
        <f ca="1" t="shared" si="4"/>
        <v>0</v>
      </c>
      <c r="V9" s="466">
        <f ca="1" t="shared" si="4"/>
        <v>0</v>
      </c>
      <c r="W9" s="466">
        <f ca="1" t="shared" si="4"/>
        <v>0</v>
      </c>
      <c r="X9" s="466">
        <f ca="1" t="shared" si="4"/>
        <v>0</v>
      </c>
      <c r="Y9" s="466">
        <f ca="1" t="shared" si="4"/>
        <v>0</v>
      </c>
      <c r="Z9" s="466">
        <f ca="1" t="shared" si="4"/>
        <v>0</v>
      </c>
      <c r="AA9" s="466">
        <f ca="1" t="shared" si="4"/>
        <v>0</v>
      </c>
      <c r="AB9" s="466">
        <f ca="1" t="shared" si="4"/>
        <v>0</v>
      </c>
      <c r="AC9" s="466">
        <f ca="1" t="shared" si="4"/>
        <v>0</v>
      </c>
      <c r="AD9" s="466">
        <f ca="1" t="shared" si="4"/>
        <v>0</v>
      </c>
      <c r="AE9" s="466">
        <f ca="1" t="shared" si="4"/>
        <v>0</v>
      </c>
      <c r="AF9" s="466">
        <f ca="1" t="shared" si="4"/>
        <v>0</v>
      </c>
      <c r="AG9" s="466">
        <f ca="1" t="shared" si="4"/>
        <v>0</v>
      </c>
      <c r="AH9" s="466">
        <f ca="1" t="shared" si="4"/>
        <v>0</v>
      </c>
      <c r="AI9" s="466">
        <f ca="1" t="shared" si="4"/>
        <v>0</v>
      </c>
      <c r="AJ9" s="466">
        <f ca="1" t="shared" si="4"/>
        <v>0</v>
      </c>
      <c r="AK9" s="466">
        <f ca="1" t="shared" si="4"/>
        <v>0</v>
      </c>
      <c r="AL9" s="466">
        <f ca="1" t="shared" si="4"/>
        <v>0</v>
      </c>
      <c r="AM9" s="466">
        <f ca="1" t="shared" si="4"/>
        <v>0</v>
      </c>
      <c r="AN9" s="466">
        <f ca="1" t="shared" si="4"/>
        <v>0</v>
      </c>
      <c r="AO9" s="466">
        <f ca="1" t="shared" si="4"/>
        <v>0</v>
      </c>
      <c r="AP9" s="466">
        <f ca="1" t="shared" si="4"/>
        <v>0</v>
      </c>
      <c r="AQ9" s="466">
        <f ca="1" t="shared" si="4"/>
        <v>0</v>
      </c>
      <c r="AR9" s="466">
        <f ca="1" t="shared" si="4"/>
        <v>0</v>
      </c>
      <c r="AS9" s="466">
        <f ca="1" t="shared" si="4"/>
        <v>0</v>
      </c>
      <c r="AT9" s="466">
        <f ca="1" t="shared" si="4"/>
        <v>0</v>
      </c>
      <c r="AU9" s="466">
        <f ca="1" t="shared" si="4"/>
        <v>0</v>
      </c>
      <c r="AV9" s="466">
        <f ca="1" t="shared" si="4"/>
        <v>0</v>
      </c>
      <c r="AW9" s="466">
        <f ca="1" t="shared" si="4"/>
        <v>0</v>
      </c>
      <c r="AX9" s="466">
        <f ca="1" t="shared" si="4"/>
        <v>0</v>
      </c>
      <c r="AY9" s="466">
        <f ca="1" t="shared" si="4"/>
        <v>0</v>
      </c>
      <c r="AZ9" s="466">
        <f ca="1" t="shared" si="4"/>
        <v>0</v>
      </c>
      <c r="BA9" s="466">
        <f ca="1" t="shared" si="4"/>
        <v>0</v>
      </c>
      <c r="BB9" s="466">
        <f ca="1" t="shared" si="4"/>
        <v>0</v>
      </c>
      <c r="BC9" s="466">
        <f ca="1" t="shared" si="4"/>
        <v>0</v>
      </c>
      <c r="BD9" s="466">
        <f ca="1" t="shared" si="4"/>
        <v>0</v>
      </c>
      <c r="BE9" s="468">
        <f ca="1" t="shared" si="4"/>
        <v>0</v>
      </c>
    </row>
    <row r="10" s="192" customFormat="1" spans="2:57">
      <c r="B10" s="48"/>
      <c r="C10" s="469">
        <v>45016</v>
      </c>
      <c r="D10" s="466">
        <f ca="1">SUM(F10:BE10)</f>
        <v>6759.88578145345</v>
      </c>
      <c r="E10" s="50" t="s">
        <v>130</v>
      </c>
      <c r="F10" s="470">
        <f ca="1">IF(F3-参数输入表!$I$250&lt;=0,IF($C$10-F3&gt;=0,$F$42/2*(参数输入表!$I$251/12)*F2*(1-F6),($F$41-$F$44)*(参数输入表!$I$251/12)*F2*(1-F6)),0)</f>
        <v>0</v>
      </c>
      <c r="G10" s="470">
        <f ca="1">IF(G3-参数输入表!$I$250&lt;=0,IF($C$10-G3&gt;=0,$F$42/2*(参数输入表!$I$251/12)*G2*(1-G6),($F$41-$F$44)*(参数输入表!$I$251/12)*G2*(1-G6)),0)</f>
        <v>683.604542652614</v>
      </c>
      <c r="H10" s="470">
        <f ca="1">IF(H3-参数输入表!$I$250&lt;=0,IF($C$10-H3&gt;=0,$F$42/2*(参数输入表!$I$251/12)*H2*(1-H6),($F$41-$F$44)*(参数输入表!$I$251/12)*H2*(1-H6)),0)</f>
        <v>911.472723536818</v>
      </c>
      <c r="I10" s="470">
        <f ca="1">IF(I3-参数输入表!$I$250&lt;=0,IF($C$10-I3&gt;=0,$F$42/2*(参数输入表!$I$251/12)*I2*(1-I6),($F$41-$F$44)*(参数输入表!$I$251/12)*I2*(1-I6)),0)</f>
        <v>911.472723536818</v>
      </c>
      <c r="J10" s="470">
        <f ca="1">IF(J3-参数输入表!$I$250&lt;=0,IF($C$10-J3&gt;=0,$F$42/2*(参数输入表!$I$251/12)*J2*(1-J6),($F$41-$F$44)*(参数输入表!$I$251/12)*J2*(1-J6)),0)</f>
        <v>911.472723536818</v>
      </c>
      <c r="K10" s="470">
        <f ca="1">IF(K3-参数输入表!$I$250&lt;=0,IF($C$10-K3&gt;=0,$F$42/2*(参数输入表!$I$251/12)*K2*(1-K6),($F$41-$F$44)*(参数输入表!$I$251/12)*K2*(1-K6)),0)</f>
        <v>911.472723536818</v>
      </c>
      <c r="L10" s="470">
        <f ca="1">IF(L3-参数输入表!$I$250&lt;=0,IF($C$10-L3&gt;=0,$F$42/2*(参数输入表!$I$251/12)*L2*(1-L6),($F$41-$F$44)*(参数输入表!$I$251/12)*L2*(1-L6)),0)</f>
        <v>911.472723536818</v>
      </c>
      <c r="M10" s="470">
        <f ca="1">IF(M3-参数输入表!$I$250&lt;=0,IF($C$10-M3&gt;=0,$F$42/2*(参数输入表!$I$251/12)*M2*(1-M6),($F$41-$F$44)*(参数输入表!$I$251/12)*M2*(1-M6)),0)</f>
        <v>607.648482357879</v>
      </c>
      <c r="N10" s="470">
        <f ca="1">IF(N3-参数输入表!$I$250&lt;=0,IF($C$10-N3&gt;=0,$F$42/2*(参数输入表!$I$251/12)*N2*(1-N6),($F$41-$F$44)*(参数输入表!$I$251/12)*N2*(1-N6)),0)</f>
        <v>303.824241178939</v>
      </c>
      <c r="O10" s="470">
        <f ca="1">IF(O3-参数输入表!$I$250&lt;=0,IF($C$10-O3&gt;=0,$F$42/2*(参数输入表!$I$251/12)*O2*(1-O6),($F$41-$F$44)*(参数输入表!$I$251/12)*O2*(1-O6)),0)</f>
        <v>531.692422063144</v>
      </c>
      <c r="P10" s="470">
        <f ca="1">IF(P3-参数输入表!$I$250&lt;=0,IF($C$10-P3&gt;=0,$F$42/2*(参数输入表!$I$251/12)*P2*(1-P6),($F$41-$F$44)*(参数输入表!$I$251/12)*P2*(1-P6)),0)</f>
        <v>0</v>
      </c>
      <c r="Q10" s="470">
        <f ca="1">IF(Q3-参数输入表!$I$250&lt;=0,IF($C$10-Q3&gt;=0,$F$42/2*(参数输入表!$I$251/12)*Q2*(1-Q6),($F$41-$F$44)*(参数输入表!$I$251/12)*Q2*(1-Q6)),0)</f>
        <v>0</v>
      </c>
      <c r="R10" s="470">
        <f ca="1">IF(R3-参数输入表!$I$250&lt;=0,IF($C$10-R3&gt;=0,$F$42/2*(参数输入表!$I$251/12)*R2*(1-R6),($F$41-$F$44)*(参数输入表!$I$251/12)*R2*(1-R6)),0)</f>
        <v>0</v>
      </c>
      <c r="S10" s="470">
        <f ca="1">IF(S3-参数输入表!$I$250&lt;=0,IF($C$10-S3&gt;=0,$F$42/2*(参数输入表!$I$251/12)*S2*(1-S6),($F$41-$F$44)*(参数输入表!$I$251/12)*S2*(1-S6)),0)</f>
        <v>0</v>
      </c>
      <c r="T10" s="470">
        <f ca="1">IF(T3-参数输入表!$I$250&lt;=0,IF($C$10-T3&gt;=0,$F$42/2*(参数输入表!$I$251/12)*T2*(1-T6),($F$41-$F$44)*(参数输入表!$I$251/12)*T2*(1-T6)),0)</f>
        <v>0</v>
      </c>
      <c r="U10" s="470">
        <f ca="1">IF(U3-参数输入表!$I$250&lt;=0,IF($C$10-U3&gt;=0,$F$42/2*(参数输入表!$I$251/12)*U2*(1-U6),($F$41-$F$44)*(参数输入表!$I$251/12)*U2*(1-U6)),0)</f>
        <v>0</v>
      </c>
      <c r="V10" s="470">
        <f ca="1">IF(V3-参数输入表!$I$250&lt;=0,IF($C$10-V3&gt;=0,$F$42/2*(参数输入表!$I$251/12)*V2*(1-V6),($F$41-$F$44)*(参数输入表!$I$251/12)*V2*(1-V6)),0)</f>
        <v>0</v>
      </c>
      <c r="W10" s="470">
        <f ca="1">IF(W3-参数输入表!$I$250&lt;=0,IF($C$10-W3&gt;=0,$F$42/2*(参数输入表!$I$251/12)*W2*(1-W6),($F$41-$F$44)*(参数输入表!$I$251/12)*W2*(1-W6)),0)</f>
        <v>0</v>
      </c>
      <c r="X10" s="470">
        <f ca="1">IF(X3-参数输入表!$I$250&lt;=0,IF($C$10-X3&gt;=0,$F$42/2*(参数输入表!$I$251/12)*X2*(1-X6),($F$41-$F$44)*(参数输入表!$I$251/12)*X2*(1-X6)),0)</f>
        <v>0</v>
      </c>
      <c r="Y10" s="470">
        <f ca="1">IF(Y3-参数输入表!$I$250&lt;=0,IF($C$10-Y3&gt;=0,$F$42/2*(参数输入表!$I$251/12)*Y2*(1-Y6),($F$41-$F$44)*(参数输入表!$I$251/12)*Y2*(1-Y6)),0)</f>
        <v>0</v>
      </c>
      <c r="Z10" s="470">
        <f ca="1">IF(Z3-参数输入表!$I$250&lt;=0,IF($C$10-Z3&gt;=0,$F$42/2*(参数输入表!$I$251/12)*Z2*(1-Z6),($F$41-$F$44)*(参数输入表!$I$251/12)*Z2*(1-Z6)),0)</f>
        <v>0</v>
      </c>
      <c r="AA10" s="470">
        <f ca="1">IF(AA3-参数输入表!$I$250&lt;=0,IF($C$10-AA3&gt;=0,$F$42/2*(参数输入表!$I$251/12)*AA2*(1-AA6),($F$41-$F$44)*(参数输入表!$I$251/12)*AA2*(1-AA6)),0)</f>
        <v>0</v>
      </c>
      <c r="AB10" s="470">
        <f ca="1">IF(AB3-参数输入表!$I$250&lt;=0,IF($C$10-AB3&gt;=0,$F$42/2*(参数输入表!$I$251/12)*AB2*(1-AB6),($F$41-$F$44)*(参数输入表!$I$251/12)*AB2*(1-AB6)),0)</f>
        <v>0</v>
      </c>
      <c r="AC10" s="470">
        <f ca="1">IF(AC3-参数输入表!$I$250&lt;=0,IF($C$10-AC3&gt;=0,$F$42/2*(参数输入表!$I$251/12)*AC2*(1-AC6),($F$41-$F$44)*(参数输入表!$I$251/12)*AC2*(1-AC6)),0)</f>
        <v>0</v>
      </c>
      <c r="AD10" s="470">
        <f ca="1">IF(AD3-参数输入表!$I$250&lt;=0,IF($C$10-AD3&gt;=0,$F$42/2*(参数输入表!$I$251/12)*AD2*(1-AD6),($F$41-$F$44)*(参数输入表!$I$251/12)*AD2*(1-AD6)),0)</f>
        <v>0</v>
      </c>
      <c r="AE10" s="470">
        <f ca="1">IF(AE3-参数输入表!$I$250&lt;=0,IF($C$10-AE3&gt;=0,$F$42/2*(参数输入表!$I$251/12)*AE2*(1-AE6),($F$41-$F$44)*(参数输入表!$I$251/12)*AE2*(1-AE6)),0)</f>
        <v>0</v>
      </c>
      <c r="AF10" s="470">
        <f ca="1">IF(AF3-参数输入表!$I$250&lt;=0,IF($C$10-AF3&gt;=0,$F$42/2*(参数输入表!$I$251/12)*AF2*(1-AF6),($F$41-$F$44)*(参数输入表!$I$251/12)*AF2*(1-AF6)),0)</f>
        <v>0</v>
      </c>
      <c r="AG10" s="470">
        <f ca="1">IF(AG3-参数输入表!$I$250&lt;=0,IF($C$10-AG3&gt;=0,$F$42/2*(参数输入表!$I$251/12)*AG2*(1-AG6),($F$41-$F$44)*(参数输入表!$I$251/12)*AG2*(1-AG6)),0)</f>
        <v>0</v>
      </c>
      <c r="AH10" s="470">
        <f ca="1">IF(AH3-参数输入表!$I$250&lt;=0,IF($C$10-AH3&gt;=0,$F$42/2*(参数输入表!$I$251/12)*AH2*(1-AH6),($F$41-$F$44)*(参数输入表!$I$251/12)*AH2*(1-AH6)),0)</f>
        <v>0</v>
      </c>
      <c r="AI10" s="470">
        <f ca="1">IF(AI3-参数输入表!$I$250&lt;=0,IF($C$10-AI3&gt;=0,$F$42/2*(参数输入表!$I$251/12)*AI2*(1-AI6),($F$41-$F$44)*(参数输入表!$I$251/12)*AI2*(1-AI6)),0)</f>
        <v>0</v>
      </c>
      <c r="AJ10" s="470">
        <f ca="1">IF(AJ3-参数输入表!$I$250&lt;=0,IF($C$10-AJ3&gt;=0,$F$42/2*(参数输入表!$I$251/12)*AJ2*(1-AJ6),($F$41-$F$44)*(参数输入表!$I$251/12)*AJ2*(1-AJ6)),0)</f>
        <v>0</v>
      </c>
      <c r="AK10" s="470">
        <f ca="1">IF(AK3-参数输入表!$I$250&lt;=0,IF($C$10-AK3&gt;=0,$F$42/2*(参数输入表!$I$251/12)*AK2*(1-AK6),($F$41-$F$44)*(参数输入表!$I$251/12)*AK2*(1-AK6)),0)</f>
        <v>0</v>
      </c>
      <c r="AL10" s="470">
        <f ca="1">IF(AL3-参数输入表!$I$250&lt;=0,IF($C$10-AL3&gt;=0,$F$42/2*(参数输入表!$I$251/12)*AL2*(1-AL6),($F$41-$F$44)*(参数输入表!$I$251/12)*AL2*(1-AL6)),0)</f>
        <v>0</v>
      </c>
      <c r="AM10" s="470">
        <f ca="1">IF(AM3-参数输入表!$I$250&lt;=0,IF($C$10-AM3&gt;=0,$F$42/2*(参数输入表!$I$251/12)*AM2*(1-AM6),($F$41-$F$44)*(参数输入表!$I$251/12)*AM2*(1-AM6)),0)</f>
        <v>0</v>
      </c>
      <c r="AN10" s="470">
        <f ca="1">IF(AN3-参数输入表!$I$250&lt;=0,IF($C$10-AN3&gt;=0,$F$42/2*(参数输入表!$I$251/12)*AN2*(1-AN6),($F$41-$F$44)*(参数输入表!$I$251/12)*AN2*(1-AN6)),0)</f>
        <v>0</v>
      </c>
      <c r="AO10" s="470">
        <f ca="1">IF(AO3-参数输入表!$I$250&lt;=0,IF($C$10-AO3&gt;=0,$F$42/2*(参数输入表!$I$251/12)*AO2*(1-AO6),($F$41-$F$44)*(参数输入表!$I$251/12)*AO2*(1-AO6)),0)</f>
        <v>0</v>
      </c>
      <c r="AP10" s="470">
        <f ca="1">IF(AP3-参数输入表!$I$250&lt;=0,IF($C$10-AP3&gt;=0,$F$42/2*(参数输入表!$I$251/12)*AP2*(1-AP6),($F$41-$F$44)*(参数输入表!$I$251/12)*AP2*(1-AP6)),0)</f>
        <v>0</v>
      </c>
      <c r="AQ10" s="470">
        <f ca="1">IF(AQ3-参数输入表!$I$250&lt;=0,IF($C$10-AQ3&gt;=0,$F$42/2*(参数输入表!$I$251/12)*AQ2*(1-AQ6),($F$41-$F$44)*(参数输入表!$I$251/12)*AQ2*(1-AQ6)),0)</f>
        <v>0</v>
      </c>
      <c r="AR10" s="470">
        <f ca="1">IF(AR3-参数输入表!$I$250&lt;=0,IF($C$10-AR3&gt;=0,$F$42/2*(参数输入表!$I$251/12)*AR2*(1-AR6),($F$41-$F$44)*(参数输入表!$I$251/12)*AR2*(1-AR6)),0)</f>
        <v>0</v>
      </c>
      <c r="AS10" s="470">
        <f ca="1">IF(AS3-参数输入表!$I$250&lt;=0,IF($C$10-AS3&gt;=0,$F$42/2*(参数输入表!$I$251/12)*AS2*(1-AS6),($F$41-$F$44)*(参数输入表!$I$251/12)*AS2*(1-AS6)),0)</f>
        <v>0</v>
      </c>
      <c r="AT10" s="470">
        <f ca="1">IF(AT3-参数输入表!$I$250&lt;=0,IF($C$10-AT3&gt;=0,$F$42/2*(参数输入表!$I$251/12)*AT2*(1-AT6),($F$41-$F$44)*(参数输入表!$I$251/12)*AT2*(1-AT6)),0)</f>
        <v>0</v>
      </c>
      <c r="AU10" s="470">
        <f ca="1">IF(AU3-参数输入表!$I$250&lt;=0,IF($C$10-AU3&gt;=0,$F$42/2*(参数输入表!$I$251/12)*AU2*(1-AU6),($F$41-$F$44)*(参数输入表!$I$251/12)*AU2*(1-AU6)),0)</f>
        <v>0</v>
      </c>
      <c r="AV10" s="470">
        <f ca="1">IF(AV3-参数输入表!$I$250&lt;=0,IF($C$10-AV3&gt;=0,$F$42/2*(参数输入表!$I$251/12)*AV2*(1-AV6),($F$41-$F$44)*(参数输入表!$I$251/12)*AV2*(1-AV6)),0)</f>
        <v>0</v>
      </c>
      <c r="AW10" s="470">
        <f ca="1">IF(AW3-参数输入表!$I$250&lt;=0,IF($C$10-AW3&gt;=0,$F$42/2*(参数输入表!$I$251/12)*AW2*(1-AW6),($F$41-$F$44)*(参数输入表!$I$251/12)*AW2*(1-AW6)),0)</f>
        <v>0</v>
      </c>
      <c r="AX10" s="470">
        <f ca="1">IF(AX3-参数输入表!$I$250&lt;=0,IF($C$10-AX3&gt;=0,$F$42/2*(参数输入表!$I$251/12)*AX2*(1-AX6),($F$41-$F$44)*(参数输入表!$I$251/12)*AX2*(1-AX6)),0)</f>
        <v>0</v>
      </c>
      <c r="AY10" s="470">
        <f ca="1">IF(AY3-参数输入表!$I$250&lt;=0,IF($C$10-AY3&gt;=0,$F$42/2*(参数输入表!$I$251/12)*AY2*(1-AY6),($F$41-$F$44)*(参数输入表!$I$251/12)*AY2*(1-AY6)),0)</f>
        <v>0</v>
      </c>
      <c r="AZ10" s="470">
        <f ca="1">IF(AZ3-参数输入表!$I$250&lt;=0,IF($C$10-AZ3&gt;=0,$F$42/2*(参数输入表!$I$251/12)*AZ2*(1-AZ6),($F$41-$F$44)*(参数输入表!$I$251/12)*AZ2*(1-AZ6)),0)</f>
        <v>0</v>
      </c>
      <c r="BA10" s="470">
        <f ca="1">IF(BA3-参数输入表!$I$250&lt;=0,IF($C$10-BA3&gt;=0,$F$42/2*(参数输入表!$I$251/12)*BA2*(1-BA6),($F$41-$F$44)*(参数输入表!$I$251/12)*BA2*(1-BA6)),0)</f>
        <v>0</v>
      </c>
      <c r="BB10" s="470">
        <f ca="1">IF(BB3-参数输入表!$I$250&lt;=0,IF($C$10-BB3&gt;=0,$F$42/2*(参数输入表!$I$251/12)*BB2*(1-BB6),($F$41-$F$44)*(参数输入表!$I$251/12)*BB2*(1-BB6)),0)</f>
        <v>0</v>
      </c>
      <c r="BC10" s="470">
        <f ca="1">IF(BC3-参数输入表!$I$250&lt;=0,IF($C$10-BC3&gt;=0,$F$42/2*(参数输入表!$I$251/12)*BC2*(1-BC6),($F$41-$F$44)*(参数输入表!$I$251/12)*BC2*(1-BC6)),0)</f>
        <v>0</v>
      </c>
      <c r="BD10" s="470">
        <f ca="1">IF(BD3-参数输入表!$I$250&lt;=0,IF($C$10-BD3&gt;=0,$F$42/2*(参数输入表!$I$251/12)*BD2*(1-BD6),($F$41-$F$44)*(参数输入表!$I$251/12)*BD2*(1-BD6)),0)</f>
        <v>0</v>
      </c>
      <c r="BE10" s="471">
        <f ca="1">IF(BE3-参数输入表!$I$250&lt;=0,IF($C$10-BE3&gt;=0,$F$42/2*(参数输入表!$I$251/12)*BE2*(1-BE6),($F$41-$F$44)*(参数输入表!$I$251/12)*BE2*(1-BE6)),0)</f>
        <v>0</v>
      </c>
    </row>
    <row r="11" s="192" customFormat="1" spans="2:57">
      <c r="B11" s="48"/>
      <c r="C11" s="469">
        <v>45291</v>
      </c>
      <c r="D11" s="466">
        <f ca="1" t="shared" ref="D11:D21" si="5">SUM(F11:BE11)</f>
        <v>15073.1186759592</v>
      </c>
      <c r="E11" s="50" t="s">
        <v>130</v>
      </c>
      <c r="F11" s="472"/>
      <c r="G11" s="470">
        <f ca="1">IF(G3-参数输入表!$I$250&lt;=0,IF($C$11-G3&gt;=0,$G$42/2*(参数输入表!$I$251/12)*G2*(1-G6),($G$41-$G$44)*(参数输入表!$I$251/12)*G2*(1-G6)),0)</f>
        <v>795.400992926226</v>
      </c>
      <c r="H11" s="470">
        <f ca="1">IF(H3-参数输入表!$I$250&lt;=0,IF($C$11-H3&gt;=0,$G$42/2*(参数输入表!$I$251/12)*H2*(1-H6),($G$41-$G$44)*(参数输入表!$I$251/12)*H2*(1-H6)),0)</f>
        <v>2168.76724299235</v>
      </c>
      <c r="I11" s="470">
        <f ca="1">IF(I3-参数输入表!$I$250&lt;=0,IF($C$11-I3&gt;=0,$G$42/2*(参数输入表!$I$251/12)*I2*(1-I6),($G$41-$G$44)*(参数输入表!$I$251/12)*I2*(1-I6)),0)</f>
        <v>2168.76724299235</v>
      </c>
      <c r="J11" s="470">
        <f ca="1">IF(J3-参数输入表!$I$250&lt;=0,IF($C$11-J3&gt;=0,$G$42/2*(参数输入表!$I$251/12)*J2*(1-J6),($G$41-$G$44)*(参数输入表!$I$251/12)*J2*(1-J6)),0)</f>
        <v>2168.76724299235</v>
      </c>
      <c r="K11" s="470">
        <f ca="1">IF(K3-参数输入表!$I$250&lt;=0,IF($C$11-K3&gt;=0,$G$42/2*(参数输入表!$I$251/12)*K2*(1-K6),($G$41-$G$44)*(参数输入表!$I$251/12)*K2*(1-K6)),0)</f>
        <v>2168.76724299235</v>
      </c>
      <c r="L11" s="470">
        <f ca="1">IF(L3-参数输入表!$I$250&lt;=0,IF($C$11-L3&gt;=0,$G$42/2*(参数输入表!$I$251/12)*L2*(1-L6),($G$41-$G$44)*(参数输入表!$I$251/12)*L2*(1-L6)),0)</f>
        <v>2168.76724299235</v>
      </c>
      <c r="M11" s="470">
        <f ca="1">IF(M3-参数输入表!$I$250&lt;=0,IF($C$11-M3&gt;=0,$G$42/2*(参数输入表!$I$251/12)*M2*(1-M6),($G$41-$G$44)*(参数输入表!$I$251/12)*M2*(1-M6)),0)</f>
        <v>1445.84482866157</v>
      </c>
      <c r="N11" s="470">
        <f ca="1">IF(N3-参数输入表!$I$250&lt;=0,IF($C$11-N3&gt;=0,$G$42/2*(参数输入表!$I$251/12)*N2*(1-N6),($G$41-$G$44)*(参数输入表!$I$251/12)*N2*(1-N6)),0)</f>
        <v>722.922414330784</v>
      </c>
      <c r="O11" s="470">
        <f ca="1">IF(O3-参数输入表!$I$250&lt;=0,IF($C$11-O3&gt;=0,$G$42/2*(参数输入表!$I$251/12)*O2*(1-O6),($G$41-$G$44)*(参数输入表!$I$251/12)*O2*(1-O6)),0)</f>
        <v>1265.11422507887</v>
      </c>
      <c r="P11" s="470">
        <f ca="1">IF(P3-参数输入表!$I$250&lt;=0,IF($C$11-P3&gt;=0,$G$42/2*(参数输入表!$I$251/12)*P2*(1-P6),($G$41-$G$44)*(参数输入表!$I$251/12)*P2*(1-P6)),0)</f>
        <v>0</v>
      </c>
      <c r="Q11" s="470">
        <f ca="1">IF(Q3-参数输入表!$I$250&lt;=0,IF($C$11-Q3&gt;=0,$G$42/2*(参数输入表!$I$251/12)*Q2*(1-Q6),($G$41-$G$44)*(参数输入表!$I$251/12)*Q2*(1-Q6)),0)</f>
        <v>0</v>
      </c>
      <c r="R11" s="470">
        <f ca="1">IF(R3-参数输入表!$I$250&lt;=0,IF($C$11-R3&gt;=0,$G$42/2*(参数输入表!$I$251/12)*R2*(1-R6),($G$41-$G$44)*(参数输入表!$I$251/12)*R2*(1-R6)),0)</f>
        <v>0</v>
      </c>
      <c r="S11" s="470">
        <f ca="1">IF(S3-参数输入表!$I$250&lt;=0,IF($C$11-S3&gt;=0,$G$42/2*(参数输入表!$I$251/12)*S2*(1-S6),($G$41-$G$44)*(参数输入表!$I$251/12)*S2*(1-S6)),0)</f>
        <v>0</v>
      </c>
      <c r="T11" s="470">
        <f ca="1">IF(T3-参数输入表!$I$250&lt;=0,IF($C$11-T3&gt;=0,$G$42/2*(参数输入表!$I$251/12)*T2*(1-T6),($G$41-$G$44)*(参数输入表!$I$251/12)*T2*(1-T6)),0)</f>
        <v>0</v>
      </c>
      <c r="U11" s="470">
        <f ca="1">IF(U3-参数输入表!$I$250&lt;=0,IF($C$11-U3&gt;=0,$G$42/2*(参数输入表!$I$251/12)*U2*(1-U6),($G$41-$G$44)*(参数输入表!$I$251/12)*U2*(1-U6)),0)</f>
        <v>0</v>
      </c>
      <c r="V11" s="470">
        <f ca="1">IF(V3-参数输入表!$I$250&lt;=0,IF($C$11-V3&gt;=0,$G$42/2*(参数输入表!$I$251/12)*V2*(1-V6),($G$41-$G$44)*(参数输入表!$I$251/12)*V2*(1-V6)),0)</f>
        <v>0</v>
      </c>
      <c r="W11" s="470">
        <f ca="1">IF(W3-参数输入表!$I$250&lt;=0,IF($C$11-W3&gt;=0,$G$42/2*(参数输入表!$I$251/12)*W2*(1-W6),($G$41-$G$44)*(参数输入表!$I$251/12)*W2*(1-W6)),0)</f>
        <v>0</v>
      </c>
      <c r="X11" s="470">
        <f ca="1">IF(X3-参数输入表!$I$250&lt;=0,IF($C$11-X3&gt;=0,$G$42/2*(参数输入表!$I$251/12)*X2*(1-X6),($G$41-$G$44)*(参数输入表!$I$251/12)*X2*(1-X6)),0)</f>
        <v>0</v>
      </c>
      <c r="Y11" s="470">
        <f ca="1">IF(Y3-参数输入表!$I$250&lt;=0,IF($C$11-Y3&gt;=0,$G$42/2*(参数输入表!$I$251/12)*Y2*(1-Y6),($G$41-$G$44)*(参数输入表!$I$251/12)*Y2*(1-Y6)),0)</f>
        <v>0</v>
      </c>
      <c r="Z11" s="470">
        <f ca="1">IF(Z3-参数输入表!$I$250&lt;=0,IF($C$11-Z3&gt;=0,$G$42/2*(参数输入表!$I$251/12)*Z2*(1-Z6),($G$41-$G$44)*(参数输入表!$I$251/12)*Z2*(1-Z6)),0)</f>
        <v>0</v>
      </c>
      <c r="AA11" s="470">
        <f ca="1">IF(AA3-参数输入表!$I$250&lt;=0,IF($C$11-AA3&gt;=0,$G$42/2*(参数输入表!$I$251/12)*AA2*(1-AA6),($G$41-$G$44)*(参数输入表!$I$251/12)*AA2*(1-AA6)),0)</f>
        <v>0</v>
      </c>
      <c r="AB11" s="470">
        <f ca="1">IF(AB3-参数输入表!$I$250&lt;=0,IF($C$11-AB3&gt;=0,$G$42/2*(参数输入表!$I$251/12)*AB2*(1-AB6),($G$41-$G$44)*(参数输入表!$I$251/12)*AB2*(1-AB6)),0)</f>
        <v>0</v>
      </c>
      <c r="AC11" s="470">
        <f ca="1">IF(AC3-参数输入表!$I$250&lt;=0,IF($C$11-AC3&gt;=0,$G$42/2*(参数输入表!$I$251/12)*AC2*(1-AC6),($G$41-$G$44)*(参数输入表!$I$251/12)*AC2*(1-AC6)),0)</f>
        <v>0</v>
      </c>
      <c r="AD11" s="470">
        <f ca="1">IF(AD3-参数输入表!$I$250&lt;=0,IF($C$11-AD3&gt;=0,$G$42/2*(参数输入表!$I$251/12)*AD2*(1-AD6),($G$41-$G$44)*(参数输入表!$I$251/12)*AD2*(1-AD6)),0)</f>
        <v>0</v>
      </c>
      <c r="AE11" s="470">
        <f ca="1">IF(AE3-参数输入表!$I$250&lt;=0,IF($C$11-AE3&gt;=0,$G$42/2*(参数输入表!$I$251/12)*AE2*(1-AE6),($G$41-$G$44)*(参数输入表!$I$251/12)*AE2*(1-AE6)),0)</f>
        <v>0</v>
      </c>
      <c r="AF11" s="470">
        <f ca="1">IF(AF3-参数输入表!$I$250&lt;=0,IF($C$11-AF3&gt;=0,$G$42/2*(参数输入表!$I$251/12)*AF2*(1-AF6),($G$41-$G$44)*(参数输入表!$I$251/12)*AF2*(1-AF6)),0)</f>
        <v>0</v>
      </c>
      <c r="AG11" s="470">
        <f ca="1">IF(AG3-参数输入表!$I$250&lt;=0,IF($C$11-AG3&gt;=0,$G$42/2*(参数输入表!$I$251/12)*AG2*(1-AG6),($G$41-$G$44)*(参数输入表!$I$251/12)*AG2*(1-AG6)),0)</f>
        <v>0</v>
      </c>
      <c r="AH11" s="470">
        <f ca="1">IF(AH3-参数输入表!$I$250&lt;=0,IF($C$11-AH3&gt;=0,$G$42/2*(参数输入表!$I$251/12)*AH2*(1-AH6),($G$41-$G$44)*(参数输入表!$I$251/12)*AH2*(1-AH6)),0)</f>
        <v>0</v>
      </c>
      <c r="AI11" s="470">
        <f ca="1">IF(AI3-参数输入表!$I$250&lt;=0,IF($C$11-AI3&gt;=0,$G$42/2*(参数输入表!$I$251/12)*AI2*(1-AI6),($G$41-$G$44)*(参数输入表!$I$251/12)*AI2*(1-AI6)),0)</f>
        <v>0</v>
      </c>
      <c r="AJ11" s="470">
        <f ca="1">IF(AJ3-参数输入表!$I$250&lt;=0,IF($C$11-AJ3&gt;=0,$G$42/2*(参数输入表!$I$251/12)*AJ2*(1-AJ6),($G$41-$G$44)*(参数输入表!$I$251/12)*AJ2*(1-AJ6)),0)</f>
        <v>0</v>
      </c>
      <c r="AK11" s="470">
        <f ca="1">IF(AK3-参数输入表!$I$250&lt;=0,IF($C$11-AK3&gt;=0,$G$42/2*(参数输入表!$I$251/12)*AK2*(1-AK6),($G$41-$G$44)*(参数输入表!$I$251/12)*AK2*(1-AK6)),0)</f>
        <v>0</v>
      </c>
      <c r="AL11" s="470">
        <f ca="1">IF(AL3-参数输入表!$I$250&lt;=0,IF($C$11-AL3&gt;=0,$G$42/2*(参数输入表!$I$251/12)*AL2*(1-AL6),($G$41-$G$44)*(参数输入表!$I$251/12)*AL2*(1-AL6)),0)</f>
        <v>0</v>
      </c>
      <c r="AM11" s="470">
        <f ca="1">IF(AM3-参数输入表!$I$250&lt;=0,IF($C$11-AM3&gt;=0,$G$42/2*(参数输入表!$I$251/12)*AM2*(1-AM6),($G$41-$G$44)*(参数输入表!$I$251/12)*AM2*(1-AM6)),0)</f>
        <v>0</v>
      </c>
      <c r="AN11" s="470">
        <f ca="1">IF(AN3-参数输入表!$I$250&lt;=0,IF($C$11-AN3&gt;=0,$G$42/2*(参数输入表!$I$251/12)*AN2*(1-AN6),($G$41-$G$44)*(参数输入表!$I$251/12)*AN2*(1-AN6)),0)</f>
        <v>0</v>
      </c>
      <c r="AO11" s="470">
        <f ca="1">IF(AO3-参数输入表!$I$250&lt;=0,IF($C$11-AO3&gt;=0,$G$42/2*(参数输入表!$I$251/12)*AO2*(1-AO6),($G$41-$G$44)*(参数输入表!$I$251/12)*AO2*(1-AO6)),0)</f>
        <v>0</v>
      </c>
      <c r="AP11" s="470">
        <f ca="1">IF(AP3-参数输入表!$I$250&lt;=0,IF($C$11-AP3&gt;=0,$G$42/2*(参数输入表!$I$251/12)*AP2*(1-AP6),($G$41-$G$44)*(参数输入表!$I$251/12)*AP2*(1-AP6)),0)</f>
        <v>0</v>
      </c>
      <c r="AQ11" s="470">
        <f ca="1">IF(AQ3-参数输入表!$I$250&lt;=0,IF($C$11-AQ3&gt;=0,$G$42/2*(参数输入表!$I$251/12)*AQ2*(1-AQ6),($G$41-$G$44)*(参数输入表!$I$251/12)*AQ2*(1-AQ6)),0)</f>
        <v>0</v>
      </c>
      <c r="AR11" s="470">
        <f ca="1">IF(AR3-参数输入表!$I$250&lt;=0,IF($C$11-AR3&gt;=0,$G$42/2*(参数输入表!$I$251/12)*AR2*(1-AR6),($G$41-$G$44)*(参数输入表!$I$251/12)*AR2*(1-AR6)),0)</f>
        <v>0</v>
      </c>
      <c r="AS11" s="470">
        <f ca="1">IF(AS3-参数输入表!$I$250&lt;=0,IF($C$11-AS3&gt;=0,$G$42/2*(参数输入表!$I$251/12)*AS2*(1-AS6),($G$41-$G$44)*(参数输入表!$I$251/12)*AS2*(1-AS6)),0)</f>
        <v>0</v>
      </c>
      <c r="AT11" s="470">
        <f ca="1">IF(AT3-参数输入表!$I$250&lt;=0,IF($C$11-AT3&gt;=0,$G$42/2*(参数输入表!$I$251/12)*AT2*(1-AT6),($G$41-$G$44)*(参数输入表!$I$251/12)*AT2*(1-AT6)),0)</f>
        <v>0</v>
      </c>
      <c r="AU11" s="470">
        <f ca="1">IF(AU3-参数输入表!$I$250&lt;=0,IF($C$11-AU3&gt;=0,$G$42/2*(参数输入表!$I$251/12)*AU2*(1-AU6),($G$41-$G$44)*(参数输入表!$I$251/12)*AU2*(1-AU6)),0)</f>
        <v>0</v>
      </c>
      <c r="AV11" s="470">
        <f ca="1">IF(AV3-参数输入表!$I$250&lt;=0,IF($C$11-AV3&gt;=0,$G$42/2*(参数输入表!$I$251/12)*AV2*(1-AV6),($G$41-$G$44)*(参数输入表!$I$251/12)*AV2*(1-AV6)),0)</f>
        <v>0</v>
      </c>
      <c r="AW11" s="470">
        <f ca="1">IF(AW3-参数输入表!$I$250&lt;=0,IF($C$11-AW3&gt;=0,$G$42/2*(参数输入表!$I$251/12)*AW2*(1-AW6),($G$41-$G$44)*(参数输入表!$I$251/12)*AW2*(1-AW6)),0)</f>
        <v>0</v>
      </c>
      <c r="AX11" s="470">
        <f ca="1">IF(AX3-参数输入表!$I$250&lt;=0,IF($C$11-AX3&gt;=0,$G$42/2*(参数输入表!$I$251/12)*AX2*(1-AX6),($G$41-$G$44)*(参数输入表!$I$251/12)*AX2*(1-AX6)),0)</f>
        <v>0</v>
      </c>
      <c r="AY11" s="470">
        <f ca="1">IF(AY3-参数输入表!$I$250&lt;=0,IF($C$11-AY3&gt;=0,$G$42/2*(参数输入表!$I$251/12)*AY2*(1-AY6),($G$41-$G$44)*(参数输入表!$I$251/12)*AY2*(1-AY6)),0)</f>
        <v>0</v>
      </c>
      <c r="AZ11" s="470">
        <f ca="1">IF(AZ3-参数输入表!$I$250&lt;=0,IF($C$11-AZ3&gt;=0,$G$42/2*(参数输入表!$I$251/12)*AZ2*(1-AZ6),($G$41-$G$44)*(参数输入表!$I$251/12)*AZ2*(1-AZ6)),0)</f>
        <v>0</v>
      </c>
      <c r="BA11" s="470">
        <f ca="1">IF(BA3-参数输入表!$I$250&lt;=0,IF($C$11-BA3&gt;=0,$G$42/2*(参数输入表!$I$251/12)*BA2*(1-BA6),($G$41-$G$44)*(参数输入表!$I$251/12)*BA2*(1-BA6)),0)</f>
        <v>0</v>
      </c>
      <c r="BB11" s="470">
        <f ca="1">IF(BB3-参数输入表!$I$250&lt;=0,IF($C$11-BB3&gt;=0,$G$42/2*(参数输入表!$I$251/12)*BB2*(1-BB6),($G$41-$G$44)*(参数输入表!$I$251/12)*BB2*(1-BB6)),0)</f>
        <v>0</v>
      </c>
      <c r="BC11" s="470">
        <f ca="1">IF(BC3-参数输入表!$I$250&lt;=0,IF($C$11-BC3&gt;=0,$G$42/2*(参数输入表!$I$251/12)*BC2*(1-BC6),($G$41-$G$44)*(参数输入表!$I$251/12)*BC2*(1-BC6)),0)</f>
        <v>0</v>
      </c>
      <c r="BD11" s="470">
        <f ca="1">IF(BD3-参数输入表!$I$250&lt;=0,IF($C$11-BD3&gt;=0,$G$42/2*(参数输入表!$I$251/12)*BD2*(1-BD6),($G$41-$G$44)*(参数输入表!$I$251/12)*BD2*(1-BD6)),0)</f>
        <v>0</v>
      </c>
      <c r="BE11" s="471">
        <f ca="1">IF(BE3-参数输入表!$I$250&lt;=0,IF($C$11-BE3&gt;=0,$G$42/2*(参数输入表!$I$251/12)*BE2*(1-BE6),($G$41-$G$44)*(参数输入表!$I$251/12)*BE2*(1-BE6)),0)</f>
        <v>0</v>
      </c>
    </row>
    <row r="12" s="192" customFormat="1" spans="2:57">
      <c r="B12" s="48"/>
      <c r="C12" s="469">
        <v>45657</v>
      </c>
      <c r="D12" s="466">
        <f ca="1" t="shared" si="5"/>
        <v>18741.536004888</v>
      </c>
      <c r="E12" s="50" t="s">
        <v>130</v>
      </c>
      <c r="F12" s="472"/>
      <c r="G12" s="472"/>
      <c r="H12" s="470">
        <f ca="1">IF(H3-参数输入表!$I$250&lt;=0,IF($C$12-H3&gt;=0,$H$42/2*(参数输入表!$I$251/12)*H2*(1-H6),($H$41-$H$44)*(参数输入表!$I$251/12)*H2*(1-H6)),0)</f>
        <v>1473.01362574756</v>
      </c>
      <c r="I12" s="470">
        <f ca="1">IF(I3-参数输入表!$I$250&lt;=0,IF($C$12-I3&gt;=0,$H$42/2*(参数输入表!$I$251/12)*I2*(1-I6),($H$41-$H$44)*(参数输入表!$I$251/12)*I2*(1-I6)),0)</f>
        <v>3092.86967984605</v>
      </c>
      <c r="J12" s="470">
        <f ca="1">IF(J3-参数输入表!$I$250&lt;=0,IF($C$12-J3&gt;=0,$H$42/2*(参数输入表!$I$251/12)*J2*(1-J6),($H$41-$H$44)*(参数输入表!$I$251/12)*J2*(1-J6)),0)</f>
        <v>3092.86967984605</v>
      </c>
      <c r="K12" s="470">
        <f ca="1">IF(K3-参数输入表!$I$250&lt;=0,IF($C$12-K3&gt;=0,$H$42/2*(参数输入表!$I$251/12)*K2*(1-K6),($H$41-$H$44)*(参数输入表!$I$251/12)*K2*(1-K6)),0)</f>
        <v>3092.86967984605</v>
      </c>
      <c r="L12" s="470">
        <f ca="1">IF(L3-参数输入表!$I$250&lt;=0,IF($C$12-L3&gt;=0,$H$42/2*(参数输入表!$I$251/12)*L2*(1-L6),($H$41-$H$44)*(参数输入表!$I$251/12)*L2*(1-L6)),0)</f>
        <v>3092.86967984605</v>
      </c>
      <c r="M12" s="470">
        <f ca="1">IF(M3-参数输入表!$I$250&lt;=0,IF($C$12-M3&gt;=0,$H$42/2*(参数输入表!$I$251/12)*M2*(1-M6),($H$41-$H$44)*(参数输入表!$I$251/12)*M2*(1-M6)),0)</f>
        <v>2061.91311989737</v>
      </c>
      <c r="N12" s="470">
        <f ca="1">IF(N3-参数输入表!$I$250&lt;=0,IF($C$12-N3&gt;=0,$H$42/2*(参数输入表!$I$251/12)*N2*(1-N6),($H$41-$H$44)*(参数输入表!$I$251/12)*N2*(1-N6)),0)</f>
        <v>1030.95655994868</v>
      </c>
      <c r="O12" s="470">
        <f ca="1">IF(O3-参数输入表!$I$250&lt;=0,IF($C$12-O3&gt;=0,$H$42/2*(参数输入表!$I$251/12)*O2*(1-O6),($H$41-$H$44)*(参数输入表!$I$251/12)*O2*(1-O6)),0)</f>
        <v>1804.1739799102</v>
      </c>
      <c r="P12" s="470">
        <f ca="1">IF(P3-参数输入表!$I$250&lt;=0,IF($C$12-P3&gt;=0,$H$42/2*(参数输入表!$I$251/12)*P2*(1-P6),($H$41-$H$44)*(参数输入表!$I$251/12)*P2*(1-P6)),0)</f>
        <v>0</v>
      </c>
      <c r="Q12" s="470">
        <f ca="1">IF(Q3-参数输入表!$I$250&lt;=0,IF($C$12-Q3&gt;=0,$H$42/2*(参数输入表!$I$251/12)*Q2*(1-Q6),($H$41-$H$44)*(参数输入表!$I$251/12)*Q2*(1-Q6)),0)</f>
        <v>0</v>
      </c>
      <c r="R12" s="470">
        <f ca="1">IF(R3-参数输入表!$I$250&lt;=0,IF($C$12-R3&gt;=0,$H$42/2*(参数输入表!$I$251/12)*R2*(1-R6),($H$41-$H$44)*(参数输入表!$I$251/12)*R2*(1-R6)),0)</f>
        <v>0</v>
      </c>
      <c r="S12" s="470">
        <f ca="1">IF(S3-参数输入表!$I$250&lt;=0,IF($C$12-S3&gt;=0,$H$42/2*(参数输入表!$I$251/12)*S2*(1-S6),($H$41-$H$44)*(参数输入表!$I$251/12)*S2*(1-S6)),0)</f>
        <v>0</v>
      </c>
      <c r="T12" s="470">
        <f ca="1">IF(T3-参数输入表!$I$250&lt;=0,IF($C$12-T3&gt;=0,$H$42/2*(参数输入表!$I$251/12)*T2*(1-T6),($H$41-$H$44)*(参数输入表!$I$251/12)*T2*(1-T6)),0)</f>
        <v>0</v>
      </c>
      <c r="U12" s="470">
        <f ca="1">IF(U3-参数输入表!$I$250&lt;=0,IF($C$12-U3&gt;=0,$H$42/2*(参数输入表!$I$251/12)*U2*(1-U6),($H$41-$H$44)*(参数输入表!$I$251/12)*U2*(1-U6)),0)</f>
        <v>0</v>
      </c>
      <c r="V12" s="470">
        <f ca="1">IF(V3-参数输入表!$I$250&lt;=0,IF($C$12-V3&gt;=0,$H$42/2*(参数输入表!$I$251/12)*V2*(1-V6),($H$41-$H$44)*(参数输入表!$I$251/12)*V2*(1-V6)),0)</f>
        <v>0</v>
      </c>
      <c r="W12" s="470">
        <f ca="1">IF(W3-参数输入表!$I$250&lt;=0,IF($C$12-W3&gt;=0,$H$42/2*(参数输入表!$I$251/12)*W2*(1-W6),($H$41-$H$44)*(参数输入表!$I$251/12)*W2*(1-W6)),0)</f>
        <v>0</v>
      </c>
      <c r="X12" s="470">
        <f ca="1">IF(X3-参数输入表!$I$250&lt;=0,IF($C$12-X3&gt;=0,$H$42/2*(参数输入表!$I$251/12)*X2*(1-X6),($H$41-$H$44)*(参数输入表!$I$251/12)*X2*(1-X6)),0)</f>
        <v>0</v>
      </c>
      <c r="Y12" s="470">
        <f ca="1">IF(Y3-参数输入表!$I$250&lt;=0,IF($C$12-Y3&gt;=0,$H$42/2*(参数输入表!$I$251/12)*Y2*(1-Y6),($H$41-$H$44)*(参数输入表!$I$251/12)*Y2*(1-Y6)),0)</f>
        <v>0</v>
      </c>
      <c r="Z12" s="470">
        <f ca="1">IF(Z3-参数输入表!$I$250&lt;=0,IF($C$12-Z3&gt;=0,$H$42/2*(参数输入表!$I$251/12)*Z2*(1-Z6),($H$41-$H$44)*(参数输入表!$I$251/12)*Z2*(1-Z6)),0)</f>
        <v>0</v>
      </c>
      <c r="AA12" s="470">
        <f ca="1">IF(AA3-参数输入表!$I$250&lt;=0,IF($C$12-AA3&gt;=0,$H$42/2*(参数输入表!$I$251/12)*AA2*(1-AA6),($H$41-$H$44)*(参数输入表!$I$251/12)*AA2*(1-AA6)),0)</f>
        <v>0</v>
      </c>
      <c r="AB12" s="470">
        <f ca="1">IF(AB3-参数输入表!$I$250&lt;=0,IF($C$12-AB3&gt;=0,$H$42/2*(参数输入表!$I$251/12)*AB2*(1-AB6),($H$41-$H$44)*(参数输入表!$I$251/12)*AB2*(1-AB6)),0)</f>
        <v>0</v>
      </c>
      <c r="AC12" s="470">
        <f ca="1">IF(AC3-参数输入表!$I$250&lt;=0,IF($C$12-AC3&gt;=0,$H$42/2*(参数输入表!$I$251/12)*AC2*(1-AC6),($H$41-$H$44)*(参数输入表!$I$251/12)*AC2*(1-AC6)),0)</f>
        <v>0</v>
      </c>
      <c r="AD12" s="470">
        <f ca="1">IF(AD3-参数输入表!$I$250&lt;=0,IF($C$12-AD3&gt;=0,$H$42/2*(参数输入表!$I$251/12)*AD2*(1-AD6),($H$41-$H$44)*(参数输入表!$I$251/12)*AD2*(1-AD6)),0)</f>
        <v>0</v>
      </c>
      <c r="AE12" s="470">
        <f ca="1">IF(AE3-参数输入表!$I$250&lt;=0,IF($C$12-AE3&gt;=0,$H$42/2*(参数输入表!$I$251/12)*AE2*(1-AE6),($H$41-$H$44)*(参数输入表!$I$251/12)*AE2*(1-AE6)),0)</f>
        <v>0</v>
      </c>
      <c r="AF12" s="470">
        <f ca="1">IF(AF3-参数输入表!$I$250&lt;=0,IF($C$12-AF3&gt;=0,$H$42/2*(参数输入表!$I$251/12)*AF2*(1-AF6),($H$41-$H$44)*(参数输入表!$I$251/12)*AF2*(1-AF6)),0)</f>
        <v>0</v>
      </c>
      <c r="AG12" s="470">
        <f ca="1">IF(AG3-参数输入表!$I$250&lt;=0,IF($C$12-AG3&gt;=0,$H$42/2*(参数输入表!$I$251/12)*AG2*(1-AG6),($H$41-$H$44)*(参数输入表!$I$251/12)*AG2*(1-AG6)),0)</f>
        <v>0</v>
      </c>
      <c r="AH12" s="470">
        <f ca="1">IF(AH3-参数输入表!$I$250&lt;=0,IF($C$12-AH3&gt;=0,$H$42/2*(参数输入表!$I$251/12)*AH2*(1-AH6),($H$41-$H$44)*(参数输入表!$I$251/12)*AH2*(1-AH6)),0)</f>
        <v>0</v>
      </c>
      <c r="AI12" s="470">
        <f ca="1">IF(AI3-参数输入表!$I$250&lt;=0,IF($C$12-AI3&gt;=0,$H$42/2*(参数输入表!$I$251/12)*AI2*(1-AI6),($H$41-$H$44)*(参数输入表!$I$251/12)*AI2*(1-AI6)),0)</f>
        <v>0</v>
      </c>
      <c r="AJ12" s="470">
        <f ca="1">IF(AJ3-参数输入表!$I$250&lt;=0,IF($C$12-AJ3&gt;=0,$H$42/2*(参数输入表!$I$251/12)*AJ2*(1-AJ6),($H$41-$H$44)*(参数输入表!$I$251/12)*AJ2*(1-AJ6)),0)</f>
        <v>0</v>
      </c>
      <c r="AK12" s="470">
        <f ca="1">IF(AK3-参数输入表!$I$250&lt;=0,IF($C$12-AK3&gt;=0,$H$42/2*(参数输入表!$I$251/12)*AK2*(1-AK6),($H$41-$H$44)*(参数输入表!$I$251/12)*AK2*(1-AK6)),0)</f>
        <v>0</v>
      </c>
      <c r="AL12" s="470">
        <f ca="1">IF(AL3-参数输入表!$I$250&lt;=0,IF($C$12-AL3&gt;=0,$H$42/2*(参数输入表!$I$251/12)*AL2*(1-AL6),($H$41-$H$44)*(参数输入表!$I$251/12)*AL2*(1-AL6)),0)</f>
        <v>0</v>
      </c>
      <c r="AM12" s="470">
        <f ca="1">IF(AM3-参数输入表!$I$250&lt;=0,IF($C$12-AM3&gt;=0,$H$42/2*(参数输入表!$I$251/12)*AM2*(1-AM6),($H$41-$H$44)*(参数输入表!$I$251/12)*AM2*(1-AM6)),0)</f>
        <v>0</v>
      </c>
      <c r="AN12" s="470">
        <f ca="1">IF(AN3-参数输入表!$I$250&lt;=0,IF($C$12-AN3&gt;=0,$H$42/2*(参数输入表!$I$251/12)*AN2*(1-AN6),($H$41-$H$44)*(参数输入表!$I$251/12)*AN2*(1-AN6)),0)</f>
        <v>0</v>
      </c>
      <c r="AO12" s="470">
        <f ca="1">IF(AO3-参数输入表!$I$250&lt;=0,IF($C$12-AO3&gt;=0,$H$42/2*(参数输入表!$I$251/12)*AO2*(1-AO6),($H$41-$H$44)*(参数输入表!$I$251/12)*AO2*(1-AO6)),0)</f>
        <v>0</v>
      </c>
      <c r="AP12" s="470">
        <f ca="1">IF(AP3-参数输入表!$I$250&lt;=0,IF($C$12-AP3&gt;=0,$H$42/2*(参数输入表!$I$251/12)*AP2*(1-AP6),($H$41-$H$44)*(参数输入表!$I$251/12)*AP2*(1-AP6)),0)</f>
        <v>0</v>
      </c>
      <c r="AQ12" s="470">
        <f ca="1">IF(AQ3-参数输入表!$I$250&lt;=0,IF($C$12-AQ3&gt;=0,$H$42/2*(参数输入表!$I$251/12)*AQ2*(1-AQ6),($H$41-$H$44)*(参数输入表!$I$251/12)*AQ2*(1-AQ6)),0)</f>
        <v>0</v>
      </c>
      <c r="AR12" s="470">
        <f ca="1">IF(AR3-参数输入表!$I$250&lt;=0,IF($C$12-AR3&gt;=0,$H$42/2*(参数输入表!$I$251/12)*AR2*(1-AR6),($H$41-$H$44)*(参数输入表!$I$251/12)*AR2*(1-AR6)),0)</f>
        <v>0</v>
      </c>
      <c r="AS12" s="470">
        <f ca="1">IF(AS3-参数输入表!$I$250&lt;=0,IF($C$12-AS3&gt;=0,$H$42/2*(参数输入表!$I$251/12)*AS2*(1-AS6),($H$41-$H$44)*(参数输入表!$I$251/12)*AS2*(1-AS6)),0)</f>
        <v>0</v>
      </c>
      <c r="AT12" s="470">
        <f ca="1">IF(AT3-参数输入表!$I$250&lt;=0,IF($C$12-AT3&gt;=0,$H$42/2*(参数输入表!$I$251/12)*AT2*(1-AT6),($H$41-$H$44)*(参数输入表!$I$251/12)*AT2*(1-AT6)),0)</f>
        <v>0</v>
      </c>
      <c r="AU12" s="470">
        <f ca="1">IF(AU3-参数输入表!$I$250&lt;=0,IF($C$12-AU3&gt;=0,$H$42/2*(参数输入表!$I$251/12)*AU2*(1-AU6),($H$41-$H$44)*(参数输入表!$I$251/12)*AU2*(1-AU6)),0)</f>
        <v>0</v>
      </c>
      <c r="AV12" s="470">
        <f ca="1">IF(AV3-参数输入表!$I$250&lt;=0,IF($C$12-AV3&gt;=0,$H$42/2*(参数输入表!$I$251/12)*AV2*(1-AV6),($H$41-$H$44)*(参数输入表!$I$251/12)*AV2*(1-AV6)),0)</f>
        <v>0</v>
      </c>
      <c r="AW12" s="470">
        <f ca="1">IF(AW3-参数输入表!$I$250&lt;=0,IF($C$12-AW3&gt;=0,$H$42/2*(参数输入表!$I$251/12)*AW2*(1-AW6),($H$41-$H$44)*(参数输入表!$I$251/12)*AW2*(1-AW6)),0)</f>
        <v>0</v>
      </c>
      <c r="AX12" s="470">
        <f ca="1">IF(AX3-参数输入表!$I$250&lt;=0,IF($C$12-AX3&gt;=0,$H$42/2*(参数输入表!$I$251/12)*AX2*(1-AX6),($H$41-$H$44)*(参数输入表!$I$251/12)*AX2*(1-AX6)),0)</f>
        <v>0</v>
      </c>
      <c r="AY12" s="470">
        <f ca="1">IF(AY3-参数输入表!$I$250&lt;=0,IF($C$12-AY3&gt;=0,$H$42/2*(参数输入表!$I$251/12)*AY2*(1-AY6),($H$41-$H$44)*(参数输入表!$I$251/12)*AY2*(1-AY6)),0)</f>
        <v>0</v>
      </c>
      <c r="AZ12" s="470">
        <f ca="1">IF(AZ3-参数输入表!$I$250&lt;=0,IF($C$12-AZ3&gt;=0,$H$42/2*(参数输入表!$I$251/12)*AZ2*(1-AZ6),($H$41-$H$44)*(参数输入表!$I$251/12)*AZ2*(1-AZ6)),0)</f>
        <v>0</v>
      </c>
      <c r="BA12" s="470">
        <f ca="1">IF(BA3-参数输入表!$I$250&lt;=0,IF($C$12-BA3&gt;=0,$H$42/2*(参数输入表!$I$251/12)*BA2*(1-BA6),($H$41-$H$44)*(参数输入表!$I$251/12)*BA2*(1-BA6)),0)</f>
        <v>0</v>
      </c>
      <c r="BB12" s="470">
        <f ca="1">IF(BB3-参数输入表!$I$250&lt;=0,IF($C$12-BB3&gt;=0,$H$42/2*(参数输入表!$I$251/12)*BB2*(1-BB6),($H$41-$H$44)*(参数输入表!$I$251/12)*BB2*(1-BB6)),0)</f>
        <v>0</v>
      </c>
      <c r="BC12" s="470">
        <f ca="1">IF(BC3-参数输入表!$I$250&lt;=0,IF($C$12-BC3&gt;=0,$H$42/2*(参数输入表!$I$251/12)*BC2*(1-BC6),($H$41-$H$44)*(参数输入表!$I$251/12)*BC2*(1-BC6)),0)</f>
        <v>0</v>
      </c>
      <c r="BD12" s="470">
        <f ca="1">IF(BD3-参数输入表!$I$250&lt;=0,IF($C$12-BD3&gt;=0,$H$42/2*(参数输入表!$I$251/12)*BD2*(1-BD6),($H$41-$H$44)*(参数输入表!$I$251/12)*BD2*(1-BD6)),0)</f>
        <v>0</v>
      </c>
      <c r="BE12" s="471">
        <f ca="1">IF(BE3-参数输入表!$I$250&lt;=0,IF($C$12-BE3&gt;=0,$H$42/2*(参数输入表!$I$251/12)*BE2*(1-BE6),($H$41-$H$44)*(参数输入表!$I$251/12)*BE2*(1-BE6)),0)</f>
        <v>0</v>
      </c>
    </row>
    <row r="13" s="192" customFormat="1" spans="2:57">
      <c r="B13" s="48"/>
      <c r="C13" s="469">
        <v>46022</v>
      </c>
      <c r="D13" s="466">
        <f ca="1" t="shared" si="5"/>
        <v>18157.0181886371</v>
      </c>
      <c r="E13" s="50" t="s">
        <v>130</v>
      </c>
      <c r="F13" s="472"/>
      <c r="G13" s="472"/>
      <c r="H13" s="472"/>
      <c r="I13" s="470">
        <f ca="1">IF(I3-参数输入表!$I$250&lt;=0,IF($C$13-I3&gt;=0,$I$42/2*(参数输入表!$I$251/12)*I2*(1-I6),($I$41-$I$44)*(参数输入表!$I$251/12)*I2*(1-I6)),0)</f>
        <v>1671.87844780002</v>
      </c>
      <c r="J13" s="470">
        <f ca="1">IF(J3-参数输入表!$I$250&lt;=0,IF($C$13-J3&gt;=0,$I$42/2*(参数输入表!$I$251/12)*J2*(1-J6),($I$41-$I$44)*(参数输入表!$I$251/12)*J2*(1-J6)),0)</f>
        <v>3596.75776163719</v>
      </c>
      <c r="K13" s="470">
        <f ca="1">IF(K3-参数输入表!$I$250&lt;=0,IF($C$13-K3&gt;=0,$I$42/2*(参数输入表!$I$251/12)*K2*(1-K6),($I$41-$I$44)*(参数输入表!$I$251/12)*K2*(1-K6)),0)</f>
        <v>3596.75776163719</v>
      </c>
      <c r="L13" s="470">
        <f ca="1">IF(L3-参数输入表!$I$250&lt;=0,IF($C$13-L3&gt;=0,$I$42/2*(参数输入表!$I$251/12)*L2*(1-L6),($I$41-$I$44)*(参数输入表!$I$251/12)*L2*(1-L6)),0)</f>
        <v>3596.75776163719</v>
      </c>
      <c r="M13" s="470">
        <f ca="1">IF(M3-参数输入表!$I$250&lt;=0,IF($C$13-M3&gt;=0,$I$42/2*(参数输入表!$I$251/12)*M2*(1-M6),($I$41-$I$44)*(参数输入表!$I$251/12)*M2*(1-M6)),0)</f>
        <v>2397.83850775812</v>
      </c>
      <c r="N13" s="470">
        <f ca="1">IF(N3-参数输入表!$I$250&lt;=0,IF($C$13-N3&gt;=0,$I$42/2*(参数输入表!$I$251/12)*N2*(1-N6),($I$41-$I$44)*(参数输入表!$I$251/12)*N2*(1-N6)),0)</f>
        <v>1198.91925387906</v>
      </c>
      <c r="O13" s="470">
        <f ca="1">IF(O3-参数输入表!$I$250&lt;=0,IF($C$13-O3&gt;=0,$I$42/2*(参数输入表!$I$251/12)*O2*(1-O6),($I$41-$I$44)*(参数输入表!$I$251/12)*O2*(1-O6)),0)</f>
        <v>2098.10869428836</v>
      </c>
      <c r="P13" s="470">
        <f ca="1">IF(P3-参数输入表!$I$250&lt;=0,IF($C$13-P3&gt;=0,$I$42/2*(参数输入表!$I$251/12)*P2*(1-P6),($I$41-$I$44)*(参数输入表!$I$251/12)*P2*(1-P6)),0)</f>
        <v>0</v>
      </c>
      <c r="Q13" s="470">
        <f ca="1">IF(Q3-参数输入表!$I$250&lt;=0,IF($C$13-Q3&gt;=0,$I$42/2*(参数输入表!$I$251/12)*Q2*(1-Q6),($I$41-$I$44)*(参数输入表!$I$251/12)*Q2*(1-Q6)),0)</f>
        <v>0</v>
      </c>
      <c r="R13" s="470">
        <f ca="1">IF(R3-参数输入表!$I$250&lt;=0,IF($C$13-R3&gt;=0,$I$42/2*(参数输入表!$I$251/12)*R2*(1-R6),($I$41-$I$44)*(参数输入表!$I$251/12)*R2*(1-R6)),0)</f>
        <v>0</v>
      </c>
      <c r="S13" s="470">
        <f ca="1">IF(S3-参数输入表!$I$250&lt;=0,IF($C$13-S3&gt;=0,$I$42/2*(参数输入表!$I$251/12)*S2*(1-S6),($I$41-$I$44)*(参数输入表!$I$251/12)*S2*(1-S6)),0)</f>
        <v>0</v>
      </c>
      <c r="T13" s="470">
        <f ca="1">IF(T3-参数输入表!$I$250&lt;=0,IF($C$13-T3&gt;=0,$I$42/2*(参数输入表!$I$251/12)*T2*(1-T6),($I$41-$I$44)*(参数输入表!$I$251/12)*T2*(1-T6)),0)</f>
        <v>0</v>
      </c>
      <c r="U13" s="470">
        <f ca="1">IF(U3-参数输入表!$I$250&lt;=0,IF($C$13-U3&gt;=0,$I$42/2*(参数输入表!$I$251/12)*U2*(1-U6),($I$41-$I$44)*(参数输入表!$I$251/12)*U2*(1-U6)),0)</f>
        <v>0</v>
      </c>
      <c r="V13" s="470">
        <f ca="1">IF(V3-参数输入表!$I$250&lt;=0,IF($C$13-V3&gt;=0,$I$42/2*(参数输入表!$I$251/12)*V2*(1-V6),($I$41-$I$44)*(参数输入表!$I$251/12)*V2*(1-V6)),0)</f>
        <v>0</v>
      </c>
      <c r="W13" s="470">
        <f ca="1">IF(W3-参数输入表!$I$250&lt;=0,IF($C$13-W3&gt;=0,$I$42/2*(参数输入表!$I$251/12)*W2*(1-W6),($I$41-$I$44)*(参数输入表!$I$251/12)*W2*(1-W6)),0)</f>
        <v>0</v>
      </c>
      <c r="X13" s="470">
        <f ca="1">IF(X3-参数输入表!$I$250&lt;=0,IF($C$13-X3&gt;=0,$I$42/2*(参数输入表!$I$251/12)*X2*(1-X6),($I$41-$I$44)*(参数输入表!$I$251/12)*X2*(1-X6)),0)</f>
        <v>0</v>
      </c>
      <c r="Y13" s="470">
        <f ca="1">IF(Y3-参数输入表!$I$250&lt;=0,IF($C$13-Y3&gt;=0,$I$42/2*(参数输入表!$I$251/12)*Y2*(1-Y6),($I$41-$I$44)*(参数输入表!$I$251/12)*Y2*(1-Y6)),0)</f>
        <v>0</v>
      </c>
      <c r="Z13" s="470">
        <f ca="1">IF(Z3-参数输入表!$I$250&lt;=0,IF($C$13-Z3&gt;=0,$I$42/2*(参数输入表!$I$251/12)*Z2*(1-Z6),($I$41-$I$44)*(参数输入表!$I$251/12)*Z2*(1-Z6)),0)</f>
        <v>0</v>
      </c>
      <c r="AA13" s="470">
        <f ca="1">IF(AA3-参数输入表!$I$250&lt;=0,IF($C$13-AA3&gt;=0,$I$42/2*(参数输入表!$I$251/12)*AA2*(1-AA6),($I$41-$I$44)*(参数输入表!$I$251/12)*AA2*(1-AA6)),0)</f>
        <v>0</v>
      </c>
      <c r="AB13" s="470">
        <f ca="1">IF(AB3-参数输入表!$I$250&lt;=0,IF($C$13-AB3&gt;=0,$I$42/2*(参数输入表!$I$251/12)*AB2*(1-AB6),($I$41-$I$44)*(参数输入表!$I$251/12)*AB2*(1-AB6)),0)</f>
        <v>0</v>
      </c>
      <c r="AC13" s="470">
        <f ca="1">IF(AC3-参数输入表!$I$250&lt;=0,IF($C$13-AC3&gt;=0,$I$42/2*(参数输入表!$I$251/12)*AC2*(1-AC6),($I$41-$I$44)*(参数输入表!$I$251/12)*AC2*(1-AC6)),0)</f>
        <v>0</v>
      </c>
      <c r="AD13" s="470">
        <f ca="1">IF(AD3-参数输入表!$I$250&lt;=0,IF($C$13-AD3&gt;=0,$I$42/2*(参数输入表!$I$251/12)*AD2*(1-AD6),($I$41-$I$44)*(参数输入表!$I$251/12)*AD2*(1-AD6)),0)</f>
        <v>0</v>
      </c>
      <c r="AE13" s="470">
        <f ca="1">IF(AE3-参数输入表!$I$250&lt;=0,IF($C$13-AE3&gt;=0,$I$42/2*(参数输入表!$I$251/12)*AE2*(1-AE6),($I$41-$I$44)*(参数输入表!$I$251/12)*AE2*(1-AE6)),0)</f>
        <v>0</v>
      </c>
      <c r="AF13" s="470">
        <f ca="1">IF(AF3-参数输入表!$I$250&lt;=0,IF($C$13-AF3&gt;=0,$I$42/2*(参数输入表!$I$251/12)*AF2*(1-AF6),($I$41-$I$44)*(参数输入表!$I$251/12)*AF2*(1-AF6)),0)</f>
        <v>0</v>
      </c>
      <c r="AG13" s="470">
        <f ca="1">IF(AG3-参数输入表!$I$250&lt;=0,IF($C$13-AG3&gt;=0,$I$42/2*(参数输入表!$I$251/12)*AG2*(1-AG6),($I$41-$I$44)*(参数输入表!$I$251/12)*AG2*(1-AG6)),0)</f>
        <v>0</v>
      </c>
      <c r="AH13" s="470">
        <f ca="1">IF(AH3-参数输入表!$I$250&lt;=0,IF($C$13-AH3&gt;=0,$I$42/2*(参数输入表!$I$251/12)*AH2*(1-AH6),($I$41-$I$44)*(参数输入表!$I$251/12)*AH2*(1-AH6)),0)</f>
        <v>0</v>
      </c>
      <c r="AI13" s="470">
        <f ca="1">IF(AI3-参数输入表!$I$250&lt;=0,IF($C$13-AI3&gt;=0,$I$42/2*(参数输入表!$I$251/12)*AI2*(1-AI6),($I$41-$I$44)*(参数输入表!$I$251/12)*AI2*(1-AI6)),0)</f>
        <v>0</v>
      </c>
      <c r="AJ13" s="470">
        <f ca="1">IF(AJ3-参数输入表!$I$250&lt;=0,IF($C$13-AJ3&gt;=0,$I$42/2*(参数输入表!$I$251/12)*AJ2*(1-AJ6),($I$41-$I$44)*(参数输入表!$I$251/12)*AJ2*(1-AJ6)),0)</f>
        <v>0</v>
      </c>
      <c r="AK13" s="470">
        <f ca="1">IF(AK3-参数输入表!$I$250&lt;=0,IF($C$13-AK3&gt;=0,$I$42/2*(参数输入表!$I$251/12)*AK2*(1-AK6),($I$41-$I$44)*(参数输入表!$I$251/12)*AK2*(1-AK6)),0)</f>
        <v>0</v>
      </c>
      <c r="AL13" s="470">
        <f ca="1">IF(AL3-参数输入表!$I$250&lt;=0,IF($C$13-AL3&gt;=0,$I$42/2*(参数输入表!$I$251/12)*AL2*(1-AL6),($I$41-$I$44)*(参数输入表!$I$251/12)*AL2*(1-AL6)),0)</f>
        <v>0</v>
      </c>
      <c r="AM13" s="470">
        <f ca="1">IF(AM3-参数输入表!$I$250&lt;=0,IF($C$13-AM3&gt;=0,$I$42/2*(参数输入表!$I$251/12)*AM2*(1-AM6),($I$41-$I$44)*(参数输入表!$I$251/12)*AM2*(1-AM6)),0)</f>
        <v>0</v>
      </c>
      <c r="AN13" s="470">
        <f ca="1">IF(AN3-参数输入表!$I$250&lt;=0,IF($C$13-AN3&gt;=0,$I$42/2*(参数输入表!$I$251/12)*AN2*(1-AN6),($I$41-$I$44)*(参数输入表!$I$251/12)*AN2*(1-AN6)),0)</f>
        <v>0</v>
      </c>
      <c r="AO13" s="470">
        <f ca="1">IF(AO3-参数输入表!$I$250&lt;=0,IF($C$13-AO3&gt;=0,$I$42/2*(参数输入表!$I$251/12)*AO2*(1-AO6),($I$41-$I$44)*(参数输入表!$I$251/12)*AO2*(1-AO6)),0)</f>
        <v>0</v>
      </c>
      <c r="AP13" s="470">
        <f ca="1">IF(AP3-参数输入表!$I$250&lt;=0,IF($C$13-AP3&gt;=0,$I$42/2*(参数输入表!$I$251/12)*AP2*(1-AP6),($I$41-$I$44)*(参数输入表!$I$251/12)*AP2*(1-AP6)),0)</f>
        <v>0</v>
      </c>
      <c r="AQ13" s="470">
        <f ca="1">IF(AQ3-参数输入表!$I$250&lt;=0,IF($C$13-AQ3&gt;=0,$I$42/2*(参数输入表!$I$251/12)*AQ2*(1-AQ6),($I$41-$I$44)*(参数输入表!$I$251/12)*AQ2*(1-AQ6)),0)</f>
        <v>0</v>
      </c>
      <c r="AR13" s="470">
        <f ca="1">IF(AR3-参数输入表!$I$250&lt;=0,IF($C$13-AR3&gt;=0,$I$42/2*(参数输入表!$I$251/12)*AR2*(1-AR6),($I$41-$I$44)*(参数输入表!$I$251/12)*AR2*(1-AR6)),0)</f>
        <v>0</v>
      </c>
      <c r="AS13" s="470">
        <f ca="1">IF(AS3-参数输入表!$I$250&lt;=0,IF($C$13-AS3&gt;=0,$I$42/2*(参数输入表!$I$251/12)*AS2*(1-AS6),($I$41-$I$44)*(参数输入表!$I$251/12)*AS2*(1-AS6)),0)</f>
        <v>0</v>
      </c>
      <c r="AT13" s="470">
        <f ca="1">IF(AT3-参数输入表!$I$250&lt;=0,IF($C$13-AT3&gt;=0,$I$42/2*(参数输入表!$I$251/12)*AT2*(1-AT6),($I$41-$I$44)*(参数输入表!$I$251/12)*AT2*(1-AT6)),0)</f>
        <v>0</v>
      </c>
      <c r="AU13" s="470">
        <f ca="1">IF(AU3-参数输入表!$I$250&lt;=0,IF($C$13-AU3&gt;=0,$I$42/2*(参数输入表!$I$251/12)*AU2*(1-AU6),($I$41-$I$44)*(参数输入表!$I$251/12)*AU2*(1-AU6)),0)</f>
        <v>0</v>
      </c>
      <c r="AV13" s="470">
        <f ca="1">IF(AV3-参数输入表!$I$250&lt;=0,IF($C$13-AV3&gt;=0,$I$42/2*(参数输入表!$I$251/12)*AV2*(1-AV6),($I$41-$I$44)*(参数输入表!$I$251/12)*AV2*(1-AV6)),0)</f>
        <v>0</v>
      </c>
      <c r="AW13" s="470">
        <f ca="1">IF(AW3-参数输入表!$I$250&lt;=0,IF($C$13-AW3&gt;=0,$I$42/2*(参数输入表!$I$251/12)*AW2*(1-AW6),($I$41-$I$44)*(参数输入表!$I$251/12)*AW2*(1-AW6)),0)</f>
        <v>0</v>
      </c>
      <c r="AX13" s="470">
        <f ca="1">IF(AX3-参数输入表!$I$250&lt;=0,IF($C$13-AX3&gt;=0,$I$42/2*(参数输入表!$I$251/12)*AX2*(1-AX6),($I$41-$I$44)*(参数输入表!$I$251/12)*AX2*(1-AX6)),0)</f>
        <v>0</v>
      </c>
      <c r="AY13" s="470">
        <f ca="1">IF(AY3-参数输入表!$I$250&lt;=0,IF($C$13-AY3&gt;=0,$I$42/2*(参数输入表!$I$251/12)*AY2*(1-AY6),($I$41-$I$44)*(参数输入表!$I$251/12)*AY2*(1-AY6)),0)</f>
        <v>0</v>
      </c>
      <c r="AZ13" s="470">
        <f ca="1">IF(AZ3-参数输入表!$I$250&lt;=0,IF($C$13-AZ3&gt;=0,$I$42/2*(参数输入表!$I$251/12)*AZ2*(1-AZ6),($I$41-$I$44)*(参数输入表!$I$251/12)*AZ2*(1-AZ6)),0)</f>
        <v>0</v>
      </c>
      <c r="BA13" s="470">
        <f ca="1">IF(BA3-参数输入表!$I$250&lt;=0,IF($C$13-BA3&gt;=0,$I$42/2*(参数输入表!$I$251/12)*BA2*(1-BA6),($I$41-$I$44)*(参数输入表!$I$251/12)*BA2*(1-BA6)),0)</f>
        <v>0</v>
      </c>
      <c r="BB13" s="470">
        <f ca="1">IF(BB3-参数输入表!$I$250&lt;=0,IF($C$13-BB3&gt;=0,$I$42/2*(参数输入表!$I$251/12)*BB2*(1-BB6),($I$41-$I$44)*(参数输入表!$I$251/12)*BB2*(1-BB6)),0)</f>
        <v>0</v>
      </c>
      <c r="BC13" s="470">
        <f ca="1">IF(BC3-参数输入表!$I$250&lt;=0,IF($C$13-BC3&gt;=0,$I$42/2*(参数输入表!$I$251/12)*BC2*(1-BC6),($I$41-$I$44)*(参数输入表!$I$251/12)*BC2*(1-BC6)),0)</f>
        <v>0</v>
      </c>
      <c r="BD13" s="470">
        <f ca="1">IF(BD3-参数输入表!$I$250&lt;=0,IF($C$13-BD3&gt;=0,$I$42/2*(参数输入表!$I$251/12)*BD2*(1-BD6),($I$41-$I$44)*(参数输入表!$I$251/12)*BD2*(1-BD6)),0)</f>
        <v>0</v>
      </c>
      <c r="BE13" s="471">
        <f ca="1">IF(BE3-参数输入表!$I$250&lt;=0,IF($C$13-BE3&gt;=0,$I$42/2*(参数输入表!$I$251/12)*BE2*(1-BE6),($I$41-$I$44)*(参数输入表!$I$251/12)*BE2*(1-BE6)),0)</f>
        <v>0</v>
      </c>
    </row>
    <row r="14" s="192" customFormat="1" spans="2:57">
      <c r="B14" s="48"/>
      <c r="C14" s="469">
        <v>46387</v>
      </c>
      <c r="D14" s="466">
        <f ca="1" t="shared" si="5"/>
        <v>16271.6223643463</v>
      </c>
      <c r="E14" s="50" t="s">
        <v>130</v>
      </c>
      <c r="F14" s="472"/>
      <c r="G14" s="472"/>
      <c r="H14" s="472"/>
      <c r="I14" s="472"/>
      <c r="J14" s="470">
        <f ca="1">IF(J3-参数输入表!$I$250&lt;=0,IF($C$14-J3&gt;=0,$J$42/2*(参数输入表!$I$251/12)*J2*(1-J6),($J$41-$J$44)*(参数输入表!$I$251/12)*J2*(1-J6)),0)</f>
        <v>1828.32323970846</v>
      </c>
      <c r="K14" s="470">
        <f ca="1">IF(K3-参数输入表!$I$250&lt;=0,IF($C$14-K3&gt;=0,$J$42/2*(参数输入表!$I$251/12)*K2*(1-K6),($J$41-$J$44)*(参数输入表!$I$251/12)*K2*(1-K6)),0)</f>
        <v>4030.68812780591</v>
      </c>
      <c r="L14" s="470">
        <f ca="1">IF(L3-参数输入表!$I$250&lt;=0,IF($C$14-L3&gt;=0,$J$42/2*(参数输入表!$I$251/12)*L2*(1-L6),($J$41-$J$44)*(参数输入表!$I$251/12)*L2*(1-L6)),0)</f>
        <v>4030.68812780591</v>
      </c>
      <c r="M14" s="470">
        <f ca="1">IF(M3-参数输入表!$I$250&lt;=0,IF($C$14-M3&gt;=0,$J$42/2*(参数输入表!$I$251/12)*M2*(1-M6),($J$41-$J$44)*(参数输入表!$I$251/12)*M2*(1-M6)),0)</f>
        <v>2687.12541853727</v>
      </c>
      <c r="N14" s="470">
        <f ca="1">IF(N3-参数输入表!$I$250&lt;=0,IF($C$14-N3&gt;=0,$J$42/2*(参数输入表!$I$251/12)*N2*(1-N6),($J$41-$J$44)*(参数输入表!$I$251/12)*N2*(1-N6)),0)</f>
        <v>1343.56270926864</v>
      </c>
      <c r="O14" s="470">
        <f ca="1">IF(O3-参数输入表!$I$250&lt;=0,IF($C$14-O3&gt;=0,$J$42/2*(参数输入表!$I$251/12)*O2*(1-O6),($J$41-$J$44)*(参数输入表!$I$251/12)*O2*(1-O6)),0)</f>
        <v>2351.23474122012</v>
      </c>
      <c r="P14" s="470">
        <f ca="1">IF(P3-参数输入表!$I$250&lt;=0,IF($C$14-P3&gt;=0,$J$42/2*(参数输入表!$I$251/12)*P2*(1-P6),($J$41-$J$44)*(参数输入表!$I$251/12)*P2*(1-P6)),0)</f>
        <v>0</v>
      </c>
      <c r="Q14" s="470">
        <f ca="1">IF(Q3-参数输入表!$I$250&lt;=0,IF($C$14-Q3&gt;=0,$J$42/2*(参数输入表!$I$251/12)*Q2*(1-Q6),($J$41-$J$44)*(参数输入表!$I$251/12)*Q2*(1-Q6)),0)</f>
        <v>0</v>
      </c>
      <c r="R14" s="470">
        <f ca="1">IF(R3-参数输入表!$I$250&lt;=0,IF($C$14-R3&gt;=0,$J$42/2*(参数输入表!$I$251/12)*R2*(1-R6),($J$41-$J$44)*(参数输入表!$I$251/12)*R2*(1-R6)),0)</f>
        <v>0</v>
      </c>
      <c r="S14" s="470">
        <f ca="1">IF(S3-参数输入表!$I$250&lt;=0,IF($C$14-S3&gt;=0,$J$42/2*(参数输入表!$I$251/12)*S2*(1-S6),($J$41-$J$44)*(参数输入表!$I$251/12)*S2*(1-S6)),0)</f>
        <v>0</v>
      </c>
      <c r="T14" s="470">
        <f ca="1">IF(T3-参数输入表!$I$250&lt;=0,IF($C$14-T3&gt;=0,$J$42/2*(参数输入表!$I$251/12)*T2*(1-T6),($J$41-$J$44)*(参数输入表!$I$251/12)*T2*(1-T6)),0)</f>
        <v>0</v>
      </c>
      <c r="U14" s="470">
        <f ca="1">IF(U3-参数输入表!$I$250&lt;=0,IF($C$14-U3&gt;=0,$J$42/2*(参数输入表!$I$251/12)*U2*(1-U6),($J$41-$J$44)*(参数输入表!$I$251/12)*U2*(1-U6)),0)</f>
        <v>0</v>
      </c>
      <c r="V14" s="470">
        <f ca="1">IF(V3-参数输入表!$I$250&lt;=0,IF($C$14-V3&gt;=0,$J$42/2*(参数输入表!$I$251/12)*V2*(1-V6),($J$41-$J$44)*(参数输入表!$I$251/12)*V2*(1-V6)),0)</f>
        <v>0</v>
      </c>
      <c r="W14" s="470">
        <f ca="1">IF(W3-参数输入表!$I$250&lt;=0,IF($C$14-W3&gt;=0,$J$42/2*(参数输入表!$I$251/12)*W2*(1-W6),($J$41-$J$44)*(参数输入表!$I$251/12)*W2*(1-W6)),0)</f>
        <v>0</v>
      </c>
      <c r="X14" s="470">
        <f ca="1">IF(X3-参数输入表!$I$250&lt;=0,IF($C$14-X3&gt;=0,$J$42/2*(参数输入表!$I$251/12)*X2*(1-X6),($J$41-$J$44)*(参数输入表!$I$251/12)*X2*(1-X6)),0)</f>
        <v>0</v>
      </c>
      <c r="Y14" s="470">
        <f ca="1">IF(Y3-参数输入表!$I$250&lt;=0,IF($C$14-Y3&gt;=0,$J$42/2*(参数输入表!$I$251/12)*Y2*(1-Y6),($J$41-$J$44)*(参数输入表!$I$251/12)*Y2*(1-Y6)),0)</f>
        <v>0</v>
      </c>
      <c r="Z14" s="470">
        <f ca="1">IF(Z3-参数输入表!$I$250&lt;=0,IF($C$14-Z3&gt;=0,$J$42/2*(参数输入表!$I$251/12)*Z2*(1-Z6),($J$41-$J$44)*(参数输入表!$I$251/12)*Z2*(1-Z6)),0)</f>
        <v>0</v>
      </c>
      <c r="AA14" s="470">
        <f ca="1">IF(AA3-参数输入表!$I$250&lt;=0,IF($C$14-AA3&gt;=0,$J$42/2*(参数输入表!$I$251/12)*AA2*(1-AA6),($J$41-$J$44)*(参数输入表!$I$251/12)*AA2*(1-AA6)),0)</f>
        <v>0</v>
      </c>
      <c r="AB14" s="470">
        <f ca="1">IF(AB3-参数输入表!$I$250&lt;=0,IF($C$14-AB3&gt;=0,$J$42/2*(参数输入表!$I$251/12)*AB2*(1-AB6),($J$41-$J$44)*(参数输入表!$I$251/12)*AB2*(1-AB6)),0)</f>
        <v>0</v>
      </c>
      <c r="AC14" s="470">
        <f ca="1">IF(AC3-参数输入表!$I$250&lt;=0,IF($C$14-AC3&gt;=0,$J$42/2*(参数输入表!$I$251/12)*AC2*(1-AC6),($J$41-$J$44)*(参数输入表!$I$251/12)*AC2*(1-AC6)),0)</f>
        <v>0</v>
      </c>
      <c r="AD14" s="470">
        <f ca="1">IF(AD3-参数输入表!$I$250&lt;=0,IF($C$14-AD3&gt;=0,$J$42/2*(参数输入表!$I$251/12)*AD2*(1-AD6),($J$41-$J$44)*(参数输入表!$I$251/12)*AD2*(1-AD6)),0)</f>
        <v>0</v>
      </c>
      <c r="AE14" s="470">
        <f ca="1">IF(AE3-参数输入表!$I$250&lt;=0,IF($C$14-AE3&gt;=0,$J$42/2*(参数输入表!$I$251/12)*AE2*(1-AE6),($J$41-$J$44)*(参数输入表!$I$251/12)*AE2*(1-AE6)),0)</f>
        <v>0</v>
      </c>
      <c r="AF14" s="470">
        <f ca="1">IF(AF3-参数输入表!$I$250&lt;=0,IF($C$14-AF3&gt;=0,$J$42/2*(参数输入表!$I$251/12)*AF2*(1-AF6),($J$41-$J$44)*(参数输入表!$I$251/12)*AF2*(1-AF6)),0)</f>
        <v>0</v>
      </c>
      <c r="AG14" s="470">
        <f ca="1">IF(AG3-参数输入表!$I$250&lt;=0,IF($C$14-AG3&gt;=0,$J$42/2*(参数输入表!$I$251/12)*AG2*(1-AG6),($J$41-$J$44)*(参数输入表!$I$251/12)*AG2*(1-AG6)),0)</f>
        <v>0</v>
      </c>
      <c r="AH14" s="470">
        <f ca="1">IF(AH3-参数输入表!$I$250&lt;=0,IF($C$14-AH3&gt;=0,$J$42/2*(参数输入表!$I$251/12)*AH2*(1-AH6),($J$41-$J$44)*(参数输入表!$I$251/12)*AH2*(1-AH6)),0)</f>
        <v>0</v>
      </c>
      <c r="AI14" s="470">
        <f ca="1">IF(AI3-参数输入表!$I$250&lt;=0,IF($C$14-AI3&gt;=0,$J$42/2*(参数输入表!$I$251/12)*AI2*(1-AI6),($J$41-$J$44)*(参数输入表!$I$251/12)*AI2*(1-AI6)),0)</f>
        <v>0</v>
      </c>
      <c r="AJ14" s="470">
        <f ca="1">IF(AJ3-参数输入表!$I$250&lt;=0,IF($C$14-AJ3&gt;=0,$J$42/2*(参数输入表!$I$251/12)*AJ2*(1-AJ6),($J$41-$J$44)*(参数输入表!$I$251/12)*AJ2*(1-AJ6)),0)</f>
        <v>0</v>
      </c>
      <c r="AK14" s="470">
        <f ca="1">IF(AK3-参数输入表!$I$250&lt;=0,IF($C$14-AK3&gt;=0,$J$42/2*(参数输入表!$I$251/12)*AK2*(1-AK6),($J$41-$J$44)*(参数输入表!$I$251/12)*AK2*(1-AK6)),0)</f>
        <v>0</v>
      </c>
      <c r="AL14" s="470">
        <f ca="1">IF(AL3-参数输入表!$I$250&lt;=0,IF($C$14-AL3&gt;=0,$J$42/2*(参数输入表!$I$251/12)*AL2*(1-AL6),($J$41-$J$44)*(参数输入表!$I$251/12)*AL2*(1-AL6)),0)</f>
        <v>0</v>
      </c>
      <c r="AM14" s="470">
        <f ca="1">IF(AM3-参数输入表!$I$250&lt;=0,IF($C$14-AM3&gt;=0,$J$42/2*(参数输入表!$I$251/12)*AM2*(1-AM6),($J$41-$J$44)*(参数输入表!$I$251/12)*AM2*(1-AM6)),0)</f>
        <v>0</v>
      </c>
      <c r="AN14" s="470">
        <f ca="1">IF(AN3-参数输入表!$I$250&lt;=0,IF($C$14-AN3&gt;=0,$J$42/2*(参数输入表!$I$251/12)*AN2*(1-AN6),($J$41-$J$44)*(参数输入表!$I$251/12)*AN2*(1-AN6)),0)</f>
        <v>0</v>
      </c>
      <c r="AO14" s="470">
        <f ca="1">IF(AO3-参数输入表!$I$250&lt;=0,IF($C$14-AO3&gt;=0,$J$42/2*(参数输入表!$I$251/12)*AO2*(1-AO6),($J$41-$J$44)*(参数输入表!$I$251/12)*AO2*(1-AO6)),0)</f>
        <v>0</v>
      </c>
      <c r="AP14" s="470">
        <f ca="1">IF(AP3-参数输入表!$I$250&lt;=0,IF($C$14-AP3&gt;=0,$J$42/2*(参数输入表!$I$251/12)*AP2*(1-AP6),($J$41-$J$44)*(参数输入表!$I$251/12)*AP2*(1-AP6)),0)</f>
        <v>0</v>
      </c>
      <c r="AQ14" s="470">
        <f ca="1">IF(AQ3-参数输入表!$I$250&lt;=0,IF($C$14-AQ3&gt;=0,$J$42/2*(参数输入表!$I$251/12)*AQ2*(1-AQ6),($J$41-$J$44)*(参数输入表!$I$251/12)*AQ2*(1-AQ6)),0)</f>
        <v>0</v>
      </c>
      <c r="AR14" s="470">
        <f ca="1">IF(AR3-参数输入表!$I$250&lt;=0,IF($C$14-AR3&gt;=0,$J$42/2*(参数输入表!$I$251/12)*AR2*(1-AR6),($J$41-$J$44)*(参数输入表!$I$251/12)*AR2*(1-AR6)),0)</f>
        <v>0</v>
      </c>
      <c r="AS14" s="470">
        <f ca="1">IF(AS3-参数输入表!$I$250&lt;=0,IF($C$14-AS3&gt;=0,$J$42/2*(参数输入表!$I$251/12)*AS2*(1-AS6),($J$41-$J$44)*(参数输入表!$I$251/12)*AS2*(1-AS6)),0)</f>
        <v>0</v>
      </c>
      <c r="AT14" s="470">
        <f ca="1">IF(AT3-参数输入表!$I$250&lt;=0,IF($C$14-AT3&gt;=0,$J$42/2*(参数输入表!$I$251/12)*AT2*(1-AT6),($J$41-$J$44)*(参数输入表!$I$251/12)*AT2*(1-AT6)),0)</f>
        <v>0</v>
      </c>
      <c r="AU14" s="470">
        <f ca="1">IF(AU3-参数输入表!$I$250&lt;=0,IF($C$14-AU3&gt;=0,$J$42/2*(参数输入表!$I$251/12)*AU2*(1-AU6),($J$41-$J$44)*(参数输入表!$I$251/12)*AU2*(1-AU6)),0)</f>
        <v>0</v>
      </c>
      <c r="AV14" s="470">
        <f ca="1">IF(AV3-参数输入表!$I$250&lt;=0,IF($C$14-AV3&gt;=0,$J$42/2*(参数输入表!$I$251/12)*AV2*(1-AV6),($J$41-$J$44)*(参数输入表!$I$251/12)*AV2*(1-AV6)),0)</f>
        <v>0</v>
      </c>
      <c r="AW14" s="470">
        <f ca="1">IF(AW3-参数输入表!$I$250&lt;=0,IF($C$14-AW3&gt;=0,$J$42/2*(参数输入表!$I$251/12)*AW2*(1-AW6),($J$41-$J$44)*(参数输入表!$I$251/12)*AW2*(1-AW6)),0)</f>
        <v>0</v>
      </c>
      <c r="AX14" s="470">
        <f ca="1">IF(AX3-参数输入表!$I$250&lt;=0,IF($C$14-AX3&gt;=0,$J$42/2*(参数输入表!$I$251/12)*AX2*(1-AX6),($J$41-$J$44)*(参数输入表!$I$251/12)*AX2*(1-AX6)),0)</f>
        <v>0</v>
      </c>
      <c r="AY14" s="470">
        <f ca="1">IF(AY3-参数输入表!$I$250&lt;=0,IF($C$14-AY3&gt;=0,$J$42/2*(参数输入表!$I$251/12)*AY2*(1-AY6),($J$41-$J$44)*(参数输入表!$I$251/12)*AY2*(1-AY6)),0)</f>
        <v>0</v>
      </c>
      <c r="AZ14" s="470">
        <f ca="1">IF(AZ3-参数输入表!$I$250&lt;=0,IF($C$14-AZ3&gt;=0,$J$42/2*(参数输入表!$I$251/12)*AZ2*(1-AZ6),($J$41-$J$44)*(参数输入表!$I$251/12)*AZ2*(1-AZ6)),0)</f>
        <v>0</v>
      </c>
      <c r="BA14" s="470">
        <f ca="1">IF(BA3-参数输入表!$I$250&lt;=0,IF($C$14-BA3&gt;=0,$J$42/2*(参数输入表!$I$251/12)*BA2*(1-BA6),($J$41-$J$44)*(参数输入表!$I$251/12)*BA2*(1-BA6)),0)</f>
        <v>0</v>
      </c>
      <c r="BB14" s="470">
        <f ca="1">IF(BB3-参数输入表!$I$250&lt;=0,IF($C$14-BB3&gt;=0,$J$42/2*(参数输入表!$I$251/12)*BB2*(1-BB6),($J$41-$J$44)*(参数输入表!$I$251/12)*BB2*(1-BB6)),0)</f>
        <v>0</v>
      </c>
      <c r="BC14" s="470">
        <f ca="1">IF(BC3-参数输入表!$I$250&lt;=0,IF($C$14-BC3&gt;=0,$J$42/2*(参数输入表!$I$251/12)*BC2*(1-BC6),($J$41-$J$44)*(参数输入表!$I$251/12)*BC2*(1-BC6)),0)</f>
        <v>0</v>
      </c>
      <c r="BD14" s="470">
        <f ca="1">IF(BD3-参数输入表!$I$250&lt;=0,IF($C$14-BD3&gt;=0,$J$42/2*(参数输入表!$I$251/12)*BD2*(1-BD6),($J$41-$J$44)*(参数输入表!$I$251/12)*BD2*(1-BD6)),0)</f>
        <v>0</v>
      </c>
      <c r="BE14" s="471">
        <f ca="1">IF(BE3-参数输入表!$I$250&lt;=0,IF($C$14-BE3&gt;=0,$J$42/2*(参数输入表!$I$251/12)*BE2*(1-BE6),($J$41-$J$44)*(参数输入表!$I$251/12)*BE2*(1-BE6)),0)</f>
        <v>0</v>
      </c>
    </row>
    <row r="15" s="192" customFormat="1" spans="2:57">
      <c r="B15" s="48"/>
      <c r="C15" s="469">
        <v>46752</v>
      </c>
      <c r="D15" s="466">
        <f ca="1" t="shared" si="5"/>
        <v>16424.8165599616</v>
      </c>
      <c r="E15" s="50" t="s">
        <v>130</v>
      </c>
      <c r="F15" s="472"/>
      <c r="G15" s="472"/>
      <c r="H15" s="472"/>
      <c r="I15" s="472"/>
      <c r="J15" s="472"/>
      <c r="K15" s="470">
        <f ca="1">IF(K3-参数输入表!$I$250&lt;=0,IF($C$15-K3&gt;=0,$K$42/2*(参数输入表!$I$251/12)*K2*(1-K6),($K$41-$K$44)*(参数输入表!$I$251/12)*K2*(1-K6)),0)</f>
        <v>2444.01739102604</v>
      </c>
      <c r="L15" s="470">
        <f ca="1">IF(L3-参数输入表!$I$250&lt;=0,IF($C$15-L3&gt;=0,$K$42/2*(参数输入表!$I$251/12)*L2*(1-L6),($K$41-$K$44)*(参数输入表!$I$251/12)*L2*(1-L6)),0)</f>
        <v>5411.92225894281</v>
      </c>
      <c r="M15" s="470">
        <f ca="1">IF(M3-参数输入表!$I$250&lt;=0,IF($C$15-M3&gt;=0,$K$42/2*(参数输入表!$I$251/12)*M2*(1-M6),($K$41-$K$44)*(参数输入表!$I$251/12)*M2*(1-M6)),0)</f>
        <v>3607.94817262854</v>
      </c>
      <c r="N15" s="470">
        <f ca="1">IF(N3-参数输入表!$I$250&lt;=0,IF($C$15-N3&gt;=0,$K$42/2*(参数输入表!$I$251/12)*N2*(1-N6),($K$41-$K$44)*(参数输入表!$I$251/12)*N2*(1-N6)),0)</f>
        <v>1803.97408631427</v>
      </c>
      <c r="O15" s="470">
        <f ca="1">IF(O3-参数输入表!$I$250&lt;=0,IF($C$15-O3&gt;=0,$K$42/2*(参数输入表!$I$251/12)*O2*(1-O6),($K$41-$K$44)*(参数输入表!$I$251/12)*O2*(1-O6)),0)</f>
        <v>3156.95465104997</v>
      </c>
      <c r="P15" s="470">
        <f ca="1">IF(P3-参数输入表!$I$250&lt;=0,IF($C$15-P3&gt;=0,$K$42/2*(参数输入表!$I$251/12)*P2*(1-P6),($K$41-$K$44)*(参数输入表!$I$251/12)*P2*(1-P6)),0)</f>
        <v>0</v>
      </c>
      <c r="Q15" s="470">
        <f ca="1">IF(Q3-参数输入表!$I$250&lt;=0,IF($C$15-Q3&gt;=0,$K$42/2*(参数输入表!$I$251/12)*Q2*(1-Q6),($K$41-$K$44)*(参数输入表!$I$251/12)*Q2*(1-Q6)),0)</f>
        <v>0</v>
      </c>
      <c r="R15" s="470">
        <f ca="1">IF(R3-参数输入表!$I$250&lt;=0,IF($C$15-R3&gt;=0,$K$42/2*(参数输入表!$I$251/12)*R2*(1-R6),($K$41-$K$44)*(参数输入表!$I$251/12)*R2*(1-R6)),0)</f>
        <v>0</v>
      </c>
      <c r="S15" s="470">
        <f ca="1">IF(S3-参数输入表!$I$250&lt;=0,IF($C$15-S3&gt;=0,$K$42/2*(参数输入表!$I$251/12)*S2*(1-S6),($K$41-$K$44)*(参数输入表!$I$251/12)*S2*(1-S6)),0)</f>
        <v>0</v>
      </c>
      <c r="T15" s="470">
        <f ca="1">IF(T3-参数输入表!$I$250&lt;=0,IF($C$15-T3&gt;=0,$K$42/2*(参数输入表!$I$251/12)*T2*(1-T6),($K$41-$K$44)*(参数输入表!$I$251/12)*T2*(1-T6)),0)</f>
        <v>0</v>
      </c>
      <c r="U15" s="470">
        <f ca="1">IF(U3-参数输入表!$I$250&lt;=0,IF($C$15-U3&gt;=0,$K$42/2*(参数输入表!$I$251/12)*U2*(1-U6),($K$41-$K$44)*(参数输入表!$I$251/12)*U2*(1-U6)),0)</f>
        <v>0</v>
      </c>
      <c r="V15" s="470">
        <f ca="1">IF(V3-参数输入表!$I$250&lt;=0,IF($C$15-V3&gt;=0,$K$42/2*(参数输入表!$I$251/12)*V2*(1-V6),($K$41-$K$44)*(参数输入表!$I$251/12)*V2*(1-V6)),0)</f>
        <v>0</v>
      </c>
      <c r="W15" s="470">
        <f ca="1">IF(W3-参数输入表!$I$250&lt;=0,IF($C$15-W3&gt;=0,$K$42/2*(参数输入表!$I$251/12)*W2*(1-W6),($K$41-$K$44)*(参数输入表!$I$251/12)*W2*(1-W6)),0)</f>
        <v>0</v>
      </c>
      <c r="X15" s="470">
        <f ca="1">IF(X3-参数输入表!$I$250&lt;=0,IF($C$15-X3&gt;=0,$K$42/2*(参数输入表!$I$251/12)*X2*(1-X6),($K$41-$K$44)*(参数输入表!$I$251/12)*X2*(1-X6)),0)</f>
        <v>0</v>
      </c>
      <c r="Y15" s="470">
        <f ca="1">IF(Y3-参数输入表!$I$250&lt;=0,IF($C$15-Y3&gt;=0,$K$42/2*(参数输入表!$I$251/12)*Y2*(1-Y6),($K$41-$K$44)*(参数输入表!$I$251/12)*Y2*(1-Y6)),0)</f>
        <v>0</v>
      </c>
      <c r="Z15" s="470">
        <f ca="1">IF(Z3-参数输入表!$I$250&lt;=0,IF($C$15-Z3&gt;=0,$K$42/2*(参数输入表!$I$251/12)*Z2*(1-Z6),($K$41-$K$44)*(参数输入表!$I$251/12)*Z2*(1-Z6)),0)</f>
        <v>0</v>
      </c>
      <c r="AA15" s="470">
        <f ca="1">IF(AA3-参数输入表!$I$250&lt;=0,IF($C$15-AA3&gt;=0,$K$42/2*(参数输入表!$I$251/12)*AA2*(1-AA6),($K$41-$K$44)*(参数输入表!$I$251/12)*AA2*(1-AA6)),0)</f>
        <v>0</v>
      </c>
      <c r="AB15" s="470">
        <f ca="1">IF(AB3-参数输入表!$I$250&lt;=0,IF($C$15-AB3&gt;=0,$K$42/2*(参数输入表!$I$251/12)*AB2*(1-AB6),($K$41-$K$44)*(参数输入表!$I$251/12)*AB2*(1-AB6)),0)</f>
        <v>0</v>
      </c>
      <c r="AC15" s="470">
        <f ca="1">IF(AC3-参数输入表!$I$250&lt;=0,IF($C$15-AC3&gt;=0,$K$42/2*(参数输入表!$I$251/12)*AC2*(1-AC6),($K$41-$K$44)*(参数输入表!$I$251/12)*AC2*(1-AC6)),0)</f>
        <v>0</v>
      </c>
      <c r="AD15" s="470">
        <f ca="1">IF(AD3-参数输入表!$I$250&lt;=0,IF($C$15-AD3&gt;=0,$K$42/2*(参数输入表!$I$251/12)*AD2*(1-AD6),($K$41-$K$44)*(参数输入表!$I$251/12)*AD2*(1-AD6)),0)</f>
        <v>0</v>
      </c>
      <c r="AE15" s="470">
        <f ca="1">IF(AE3-参数输入表!$I$250&lt;=0,IF($C$15-AE3&gt;=0,$K$42/2*(参数输入表!$I$251/12)*AE2*(1-AE6),($K$41-$K$44)*(参数输入表!$I$251/12)*AE2*(1-AE6)),0)</f>
        <v>0</v>
      </c>
      <c r="AF15" s="470">
        <f ca="1">IF(AF3-参数输入表!$I$250&lt;=0,IF($C$15-AF3&gt;=0,$K$42/2*(参数输入表!$I$251/12)*AF2*(1-AF6),($K$41-$K$44)*(参数输入表!$I$251/12)*AF2*(1-AF6)),0)</f>
        <v>0</v>
      </c>
      <c r="AG15" s="470">
        <f ca="1">IF(AG3-参数输入表!$I$250&lt;=0,IF($C$15-AG3&gt;=0,$K$42/2*(参数输入表!$I$251/12)*AG2*(1-AG6),($K$41-$K$44)*(参数输入表!$I$251/12)*AG2*(1-AG6)),0)</f>
        <v>0</v>
      </c>
      <c r="AH15" s="470">
        <f ca="1">IF(AH3-参数输入表!$I$250&lt;=0,IF($C$15-AH3&gt;=0,$K$42/2*(参数输入表!$I$251/12)*AH2*(1-AH6),($K$41-$K$44)*(参数输入表!$I$251/12)*AH2*(1-AH6)),0)</f>
        <v>0</v>
      </c>
      <c r="AI15" s="470">
        <f ca="1">IF(AI3-参数输入表!$I$250&lt;=0,IF($C$15-AI3&gt;=0,$K$42/2*(参数输入表!$I$251/12)*AI2*(1-AI6),($K$41-$K$44)*(参数输入表!$I$251/12)*AI2*(1-AI6)),0)</f>
        <v>0</v>
      </c>
      <c r="AJ15" s="470">
        <f ca="1">IF(AJ3-参数输入表!$I$250&lt;=0,IF($C$15-AJ3&gt;=0,$K$42/2*(参数输入表!$I$251/12)*AJ2*(1-AJ6),($K$41-$K$44)*(参数输入表!$I$251/12)*AJ2*(1-AJ6)),0)</f>
        <v>0</v>
      </c>
      <c r="AK15" s="470">
        <f ca="1">IF(AK3-参数输入表!$I$250&lt;=0,IF($C$15-AK3&gt;=0,$K$42/2*(参数输入表!$I$251/12)*AK2*(1-AK6),($K$41-$K$44)*(参数输入表!$I$251/12)*AK2*(1-AK6)),0)</f>
        <v>0</v>
      </c>
      <c r="AL15" s="470">
        <f ca="1">IF(AL3-参数输入表!$I$250&lt;=0,IF($C$15-AL3&gt;=0,$K$42/2*(参数输入表!$I$251/12)*AL2*(1-AL6),($K$41-$K$44)*(参数输入表!$I$251/12)*AL2*(1-AL6)),0)</f>
        <v>0</v>
      </c>
      <c r="AM15" s="470">
        <f ca="1">IF(AM3-参数输入表!$I$250&lt;=0,IF($C$15-AM3&gt;=0,$K$42/2*(参数输入表!$I$251/12)*AM2*(1-AM6),($K$41-$K$44)*(参数输入表!$I$251/12)*AM2*(1-AM6)),0)</f>
        <v>0</v>
      </c>
      <c r="AN15" s="470">
        <f ca="1">IF(AN3-参数输入表!$I$250&lt;=0,IF($C$15-AN3&gt;=0,$K$42/2*(参数输入表!$I$251/12)*AN2*(1-AN6),($K$41-$K$44)*(参数输入表!$I$251/12)*AN2*(1-AN6)),0)</f>
        <v>0</v>
      </c>
      <c r="AO15" s="470">
        <f ca="1">IF(AO3-参数输入表!$I$250&lt;=0,IF($C$15-AO3&gt;=0,$K$42/2*(参数输入表!$I$251/12)*AO2*(1-AO6),($K$41-$K$44)*(参数输入表!$I$251/12)*AO2*(1-AO6)),0)</f>
        <v>0</v>
      </c>
      <c r="AP15" s="470">
        <f ca="1">IF(AP3-参数输入表!$I$250&lt;=0,IF($C$15-AP3&gt;=0,$K$42/2*(参数输入表!$I$251/12)*AP2*(1-AP6),($K$41-$K$44)*(参数输入表!$I$251/12)*AP2*(1-AP6)),0)</f>
        <v>0</v>
      </c>
      <c r="AQ15" s="470">
        <f ca="1">IF(AQ3-参数输入表!$I$250&lt;=0,IF($C$15-AQ3&gt;=0,$K$42/2*(参数输入表!$I$251/12)*AQ2*(1-AQ6),($K$41-$K$44)*(参数输入表!$I$251/12)*AQ2*(1-AQ6)),0)</f>
        <v>0</v>
      </c>
      <c r="AR15" s="470">
        <f ca="1">IF(AR3-参数输入表!$I$250&lt;=0,IF($C$15-AR3&gt;=0,$K$42/2*(参数输入表!$I$251/12)*AR2*(1-AR6),($K$41-$K$44)*(参数输入表!$I$251/12)*AR2*(1-AR6)),0)</f>
        <v>0</v>
      </c>
      <c r="AS15" s="470">
        <f ca="1">IF(AS3-参数输入表!$I$250&lt;=0,IF($C$15-AS3&gt;=0,$K$42/2*(参数输入表!$I$251/12)*AS2*(1-AS6),($K$41-$K$44)*(参数输入表!$I$251/12)*AS2*(1-AS6)),0)</f>
        <v>0</v>
      </c>
      <c r="AT15" s="470">
        <f ca="1">IF(AT3-参数输入表!$I$250&lt;=0,IF($C$15-AT3&gt;=0,$K$42/2*(参数输入表!$I$251/12)*AT2*(1-AT6),($K$41-$K$44)*(参数输入表!$I$251/12)*AT2*(1-AT6)),0)</f>
        <v>0</v>
      </c>
      <c r="AU15" s="470">
        <f ca="1">IF(AU3-参数输入表!$I$250&lt;=0,IF($C$15-AU3&gt;=0,$K$42/2*(参数输入表!$I$251/12)*AU2*(1-AU6),($K$41-$K$44)*(参数输入表!$I$251/12)*AU2*(1-AU6)),0)</f>
        <v>0</v>
      </c>
      <c r="AV15" s="470">
        <f ca="1">IF(AV3-参数输入表!$I$250&lt;=0,IF($C$15-AV3&gt;=0,$K$42/2*(参数输入表!$I$251/12)*AV2*(1-AV6),($K$41-$K$44)*(参数输入表!$I$251/12)*AV2*(1-AV6)),0)</f>
        <v>0</v>
      </c>
      <c r="AW15" s="470">
        <f ca="1">IF(AW3-参数输入表!$I$250&lt;=0,IF($C$15-AW3&gt;=0,$K$42/2*(参数输入表!$I$251/12)*AW2*(1-AW6),($K$41-$K$44)*(参数输入表!$I$251/12)*AW2*(1-AW6)),0)</f>
        <v>0</v>
      </c>
      <c r="AX15" s="470">
        <f ca="1">IF(AX3-参数输入表!$I$250&lt;=0,IF($C$15-AX3&gt;=0,$K$42/2*(参数输入表!$I$251/12)*AX2*(1-AX6),($K$41-$K$44)*(参数输入表!$I$251/12)*AX2*(1-AX6)),0)</f>
        <v>0</v>
      </c>
      <c r="AY15" s="470">
        <f ca="1">IF(AY3-参数输入表!$I$250&lt;=0,IF($C$15-AY3&gt;=0,$K$42/2*(参数输入表!$I$251/12)*AY2*(1-AY6),($K$41-$K$44)*(参数输入表!$I$251/12)*AY2*(1-AY6)),0)</f>
        <v>0</v>
      </c>
      <c r="AZ15" s="470">
        <f ca="1">IF(AZ3-参数输入表!$I$250&lt;=0,IF($C$15-AZ3&gt;=0,$K$42/2*(参数输入表!$I$251/12)*AZ2*(1-AZ6),($K$41-$K$44)*(参数输入表!$I$251/12)*AZ2*(1-AZ6)),0)</f>
        <v>0</v>
      </c>
      <c r="BA15" s="470">
        <f ca="1">IF(BA3-参数输入表!$I$250&lt;=0,IF($C$15-BA3&gt;=0,$K$42/2*(参数输入表!$I$251/12)*BA2*(1-BA6),($K$41-$K$44)*(参数输入表!$I$251/12)*BA2*(1-BA6)),0)</f>
        <v>0</v>
      </c>
      <c r="BB15" s="470">
        <f ca="1">IF(BB3-参数输入表!$I$250&lt;=0,IF($C$15-BB3&gt;=0,$K$42/2*(参数输入表!$I$251/12)*BB2*(1-BB6),($K$41-$K$44)*(参数输入表!$I$251/12)*BB2*(1-BB6)),0)</f>
        <v>0</v>
      </c>
      <c r="BC15" s="470">
        <f ca="1">IF(BC3-参数输入表!$I$250&lt;=0,IF($C$15-BC3&gt;=0,$K$42/2*(参数输入表!$I$251/12)*BC2*(1-BC6),($K$41-$K$44)*(参数输入表!$I$251/12)*BC2*(1-BC6)),0)</f>
        <v>0</v>
      </c>
      <c r="BD15" s="470">
        <f ca="1">IF(BD3-参数输入表!$I$250&lt;=0,IF($C$15-BD3&gt;=0,$K$42/2*(参数输入表!$I$251/12)*BD2*(1-BD6),($K$41-$K$44)*(参数输入表!$I$251/12)*BD2*(1-BD6)),0)</f>
        <v>0</v>
      </c>
      <c r="BE15" s="471">
        <f ca="1">IF(BE3-参数输入表!$I$250&lt;=0,IF($C$15-BE3&gt;=0,$K$42/2*(参数输入表!$I$251/12)*BE2*(1-BE6),($K$41-$K$44)*(参数输入表!$I$251/12)*BE2*(1-BE6)),0)</f>
        <v>0</v>
      </c>
    </row>
    <row r="16" s="192" customFormat="1" spans="2:57">
      <c r="B16" s="48"/>
      <c r="C16" s="469">
        <v>47118</v>
      </c>
      <c r="D16" s="466">
        <f ca="1" t="shared" si="5"/>
        <v>10432.4396685719</v>
      </c>
      <c r="E16" s="50" t="s">
        <v>130</v>
      </c>
      <c r="F16" s="472"/>
      <c r="G16" s="472"/>
      <c r="H16" s="472"/>
      <c r="I16" s="472"/>
      <c r="J16" s="472"/>
      <c r="K16" s="472"/>
      <c r="L16" s="470">
        <f ca="1">IF(L3-参数输入表!$I$250&lt;=0,IF($C$16-L3&gt;=0,$L$42/2*(参数输入表!$I$251/12)*L2*(1-L6),($L$41-$L$44)*(参数输入表!$I$251/12)*L2*(1-L6)),0)</f>
        <v>2240.87468580789</v>
      </c>
      <c r="M16" s="470">
        <f ca="1">IF(M3-参数输入表!$I$250&lt;=0,IF($C$16-M3&gt;=0,$L$42/2*(参数输入表!$I$251/12)*M2*(1-M6),($L$41-$L$44)*(参数输入表!$I$251/12)*M2*(1-M6)),0)</f>
        <v>3449.07999274275</v>
      </c>
      <c r="N16" s="470">
        <f ca="1">IF(N3-参数输入表!$I$250&lt;=0,IF($C$16-N3&gt;=0,$L$42/2*(参数输入表!$I$251/12)*N2*(1-N6),($L$41-$L$44)*(参数输入表!$I$251/12)*N2*(1-N6)),0)</f>
        <v>1724.53999637138</v>
      </c>
      <c r="O16" s="470">
        <f ca="1">IF(O3-参数输入表!$I$250&lt;=0,IF($C$16-O3&gt;=0,$L$42/2*(参数输入表!$I$251/12)*O2*(1-O6),($L$41-$L$44)*(参数输入表!$I$251/12)*O2*(1-O6)),0)</f>
        <v>3017.94499364991</v>
      </c>
      <c r="P16" s="470">
        <f ca="1">IF(P3-参数输入表!$I$250&lt;=0,IF($C$16-P3&gt;=0,$L$42/2*(参数输入表!$I$251/12)*P2*(1-P6),($L$41-$L$44)*(参数输入表!$I$251/12)*P2*(1-P6)),0)</f>
        <v>0</v>
      </c>
      <c r="Q16" s="470">
        <f ca="1">IF(Q3-参数输入表!$I$250&lt;=0,IF($C$16-Q3&gt;=0,$L$42/2*(参数输入表!$I$251/12)*Q2*(1-Q6),($L$41-$L$44)*(参数输入表!$I$251/12)*Q2*(1-Q6)),0)</f>
        <v>0</v>
      </c>
      <c r="R16" s="470">
        <f ca="1">IF(R3-参数输入表!$I$250&lt;=0,IF($C$16-R3&gt;=0,$L$42/2*(参数输入表!$I$251/12)*R2*(1-R6),($L$41-$L$44)*(参数输入表!$I$251/12)*R2*(1-R6)),0)</f>
        <v>0</v>
      </c>
      <c r="S16" s="470">
        <f ca="1">IF(S3-参数输入表!$I$250&lt;=0,IF($C$16-S3&gt;=0,$L$42/2*(参数输入表!$I$251/12)*S2*(1-S6),($L$41-$L$44)*(参数输入表!$I$251/12)*S2*(1-S6)),0)</f>
        <v>0</v>
      </c>
      <c r="T16" s="470">
        <f ca="1">IF(T3-参数输入表!$I$250&lt;=0,IF($C$16-T3&gt;=0,$L$42/2*(参数输入表!$I$251/12)*T2*(1-T6),($L$41-$L$44)*(参数输入表!$I$251/12)*T2*(1-T6)),0)</f>
        <v>0</v>
      </c>
      <c r="U16" s="470">
        <f ca="1">IF(U3-参数输入表!$I$250&lt;=0,IF($C$16-U3&gt;=0,$L$42/2*(参数输入表!$I$251/12)*U2*(1-U6),($L$41-$L$44)*(参数输入表!$I$251/12)*U2*(1-U6)),0)</f>
        <v>0</v>
      </c>
      <c r="V16" s="470">
        <f ca="1">IF(V3-参数输入表!$I$250&lt;=0,IF($C$16-V3&gt;=0,$L$42/2*(参数输入表!$I$251/12)*V2*(1-V6),($L$41-$L$44)*(参数输入表!$I$251/12)*V2*(1-V6)),0)</f>
        <v>0</v>
      </c>
      <c r="W16" s="470">
        <f ca="1">IF(W3-参数输入表!$I$250&lt;=0,IF($C$16-W3&gt;=0,$L$42/2*(参数输入表!$I$251/12)*W2*(1-W6),($L$41-$L$44)*(参数输入表!$I$251/12)*W2*(1-W6)),0)</f>
        <v>0</v>
      </c>
      <c r="X16" s="470">
        <f ca="1">IF(X3-参数输入表!$I$250&lt;=0,IF($C$16-X3&gt;=0,$L$42/2*(参数输入表!$I$251/12)*X2*(1-X6),($L$41-$L$44)*(参数输入表!$I$251/12)*X2*(1-X6)),0)</f>
        <v>0</v>
      </c>
      <c r="Y16" s="470">
        <f ca="1">IF(Y3-参数输入表!$I$250&lt;=0,IF($C$16-Y3&gt;=0,$L$42/2*(参数输入表!$I$251/12)*Y2*(1-Y6),($L$41-$L$44)*(参数输入表!$I$251/12)*Y2*(1-Y6)),0)</f>
        <v>0</v>
      </c>
      <c r="Z16" s="470">
        <f ca="1">IF(Z3-参数输入表!$I$250&lt;=0,IF($C$16-Z3&gt;=0,$L$42/2*(参数输入表!$I$251/12)*Z2*(1-Z6),($L$41-$L$44)*(参数输入表!$I$251/12)*Z2*(1-Z6)),0)</f>
        <v>0</v>
      </c>
      <c r="AA16" s="470">
        <f ca="1">IF(AA3-参数输入表!$I$250&lt;=0,IF($C$16-AA3&gt;=0,$L$42/2*(参数输入表!$I$251/12)*AA2*(1-AA6),($L$41-$L$44)*(参数输入表!$I$251/12)*AA2*(1-AA6)),0)</f>
        <v>0</v>
      </c>
      <c r="AB16" s="470">
        <f ca="1">IF(AB3-参数输入表!$I$250&lt;=0,IF($C$16-AB3&gt;=0,$L$42/2*(参数输入表!$I$251/12)*AB2*(1-AB6),($L$41-$L$44)*(参数输入表!$I$251/12)*AB2*(1-AB6)),0)</f>
        <v>0</v>
      </c>
      <c r="AC16" s="470">
        <f ca="1">IF(AC3-参数输入表!$I$250&lt;=0,IF($C$16-AC3&gt;=0,$L$42/2*(参数输入表!$I$251/12)*AC2*(1-AC6),($L$41-$L$44)*(参数输入表!$I$251/12)*AC2*(1-AC6)),0)</f>
        <v>0</v>
      </c>
      <c r="AD16" s="470">
        <f ca="1">IF(AD3-参数输入表!$I$250&lt;=0,IF($C$16-AD3&gt;=0,$L$42/2*(参数输入表!$I$251/12)*AD2*(1-AD6),($L$41-$L$44)*(参数输入表!$I$251/12)*AD2*(1-AD6)),0)</f>
        <v>0</v>
      </c>
      <c r="AE16" s="470">
        <f ca="1">IF(AE3-参数输入表!$I$250&lt;=0,IF($C$16-AE3&gt;=0,$L$42/2*(参数输入表!$I$251/12)*AE2*(1-AE6),($L$41-$L$44)*(参数输入表!$I$251/12)*AE2*(1-AE6)),0)</f>
        <v>0</v>
      </c>
      <c r="AF16" s="470">
        <f ca="1">IF(AF3-参数输入表!$I$250&lt;=0,IF($C$16-AF3&gt;=0,$L$42/2*(参数输入表!$I$251/12)*AF2*(1-AF6),($L$41-$L$44)*(参数输入表!$I$251/12)*AF2*(1-AF6)),0)</f>
        <v>0</v>
      </c>
      <c r="AG16" s="470">
        <f ca="1">IF(AG3-参数输入表!$I$250&lt;=0,IF($C$16-AG3&gt;=0,$L$42/2*(参数输入表!$I$251/12)*AG2*(1-AG6),($L$41-$L$44)*(参数输入表!$I$251/12)*AG2*(1-AG6)),0)</f>
        <v>0</v>
      </c>
      <c r="AH16" s="470">
        <f ca="1">IF(AH3-参数输入表!$I$250&lt;=0,IF($C$16-AH3&gt;=0,$L$42/2*(参数输入表!$I$251/12)*AH2*(1-AH6),($L$41-$L$44)*(参数输入表!$I$251/12)*AH2*(1-AH6)),0)</f>
        <v>0</v>
      </c>
      <c r="AI16" s="470">
        <f ca="1">IF(AI3-参数输入表!$I$250&lt;=0,IF($C$16-AI3&gt;=0,$L$42/2*(参数输入表!$I$251/12)*AI2*(1-AI6),($L$41-$L$44)*(参数输入表!$I$251/12)*AI2*(1-AI6)),0)</f>
        <v>0</v>
      </c>
      <c r="AJ16" s="470">
        <f ca="1">IF(AJ3-参数输入表!$I$250&lt;=0,IF($C$16-AJ3&gt;=0,$L$42/2*(参数输入表!$I$251/12)*AJ2*(1-AJ6),($L$41-$L$44)*(参数输入表!$I$251/12)*AJ2*(1-AJ6)),0)</f>
        <v>0</v>
      </c>
      <c r="AK16" s="470">
        <f ca="1">IF(AK3-参数输入表!$I$250&lt;=0,IF($C$16-AK3&gt;=0,$L$42/2*(参数输入表!$I$251/12)*AK2*(1-AK6),($L$41-$L$44)*(参数输入表!$I$251/12)*AK2*(1-AK6)),0)</f>
        <v>0</v>
      </c>
      <c r="AL16" s="470">
        <f ca="1">IF(AL3-参数输入表!$I$250&lt;=0,IF($C$16-AL3&gt;=0,$L$42/2*(参数输入表!$I$251/12)*AL2*(1-AL6),($L$41-$L$44)*(参数输入表!$I$251/12)*AL2*(1-AL6)),0)</f>
        <v>0</v>
      </c>
      <c r="AM16" s="470">
        <f ca="1">IF(AM3-参数输入表!$I$250&lt;=0,IF($C$16-AM3&gt;=0,$L$42/2*(参数输入表!$I$251/12)*AM2*(1-AM6),($L$41-$L$44)*(参数输入表!$I$251/12)*AM2*(1-AM6)),0)</f>
        <v>0</v>
      </c>
      <c r="AN16" s="470">
        <f ca="1">IF(AN3-参数输入表!$I$250&lt;=0,IF($C$16-AN3&gt;=0,$L$42/2*(参数输入表!$I$251/12)*AN2*(1-AN6),($L$41-$L$44)*(参数输入表!$I$251/12)*AN2*(1-AN6)),0)</f>
        <v>0</v>
      </c>
      <c r="AO16" s="470">
        <f ca="1">IF(AO3-参数输入表!$I$250&lt;=0,IF($C$16-AO3&gt;=0,$L$42/2*(参数输入表!$I$251/12)*AO2*(1-AO6),($L$41-$L$44)*(参数输入表!$I$251/12)*AO2*(1-AO6)),0)</f>
        <v>0</v>
      </c>
      <c r="AP16" s="470">
        <f ca="1">IF(AP3-参数输入表!$I$250&lt;=0,IF($C$16-AP3&gt;=0,$L$42/2*(参数输入表!$I$251/12)*AP2*(1-AP6),($L$41-$L$44)*(参数输入表!$I$251/12)*AP2*(1-AP6)),0)</f>
        <v>0</v>
      </c>
      <c r="AQ16" s="470">
        <f ca="1">IF(AQ3-参数输入表!$I$250&lt;=0,IF($C$16-AQ3&gt;=0,$L$42/2*(参数输入表!$I$251/12)*AQ2*(1-AQ6),($L$41-$L$44)*(参数输入表!$I$251/12)*AQ2*(1-AQ6)),0)</f>
        <v>0</v>
      </c>
      <c r="AR16" s="470">
        <f ca="1">IF(AR3-参数输入表!$I$250&lt;=0,IF($C$16-AR3&gt;=0,$L$42/2*(参数输入表!$I$251/12)*AR2*(1-AR6),($L$41-$L$44)*(参数输入表!$I$251/12)*AR2*(1-AR6)),0)</f>
        <v>0</v>
      </c>
      <c r="AS16" s="470">
        <f ca="1">IF(AS3-参数输入表!$I$250&lt;=0,IF($C$16-AS3&gt;=0,$L$42/2*(参数输入表!$I$251/12)*AS2*(1-AS6),($L$41-$L$44)*(参数输入表!$I$251/12)*AS2*(1-AS6)),0)</f>
        <v>0</v>
      </c>
      <c r="AT16" s="470">
        <f ca="1">IF(AT3-参数输入表!$I$250&lt;=0,IF($C$16-AT3&gt;=0,$L$42/2*(参数输入表!$I$251/12)*AT2*(1-AT6),($L$41-$L$44)*(参数输入表!$I$251/12)*AT2*(1-AT6)),0)</f>
        <v>0</v>
      </c>
      <c r="AU16" s="470">
        <f ca="1">IF(AU3-参数输入表!$I$250&lt;=0,IF($C$16-AU3&gt;=0,$L$42/2*(参数输入表!$I$251/12)*AU2*(1-AU6),($L$41-$L$44)*(参数输入表!$I$251/12)*AU2*(1-AU6)),0)</f>
        <v>0</v>
      </c>
      <c r="AV16" s="470">
        <f ca="1">IF(AV3-参数输入表!$I$250&lt;=0,IF($C$16-AV3&gt;=0,$L$42/2*(参数输入表!$I$251/12)*AV2*(1-AV6),($L$41-$L$44)*(参数输入表!$I$251/12)*AV2*(1-AV6)),0)</f>
        <v>0</v>
      </c>
      <c r="AW16" s="470">
        <f ca="1">IF(AW3-参数输入表!$I$250&lt;=0,IF($C$16-AW3&gt;=0,$L$42/2*(参数输入表!$I$251/12)*AW2*(1-AW6),($L$41-$L$44)*(参数输入表!$I$251/12)*AW2*(1-AW6)),0)</f>
        <v>0</v>
      </c>
      <c r="AX16" s="470">
        <f ca="1">IF(AX3-参数输入表!$I$250&lt;=0,IF($C$16-AX3&gt;=0,$L$42/2*(参数输入表!$I$251/12)*AX2*(1-AX6),($L$41-$L$44)*(参数输入表!$I$251/12)*AX2*(1-AX6)),0)</f>
        <v>0</v>
      </c>
      <c r="AY16" s="470">
        <f ca="1">IF(AY3-参数输入表!$I$250&lt;=0,IF($C$16-AY3&gt;=0,$L$42/2*(参数输入表!$I$251/12)*AY2*(1-AY6),($L$41-$L$44)*(参数输入表!$I$251/12)*AY2*(1-AY6)),0)</f>
        <v>0</v>
      </c>
      <c r="AZ16" s="470">
        <f ca="1">IF(AZ3-参数输入表!$I$250&lt;=0,IF($C$16-AZ3&gt;=0,$L$42/2*(参数输入表!$I$251/12)*AZ2*(1-AZ6),($L$41-$L$44)*(参数输入表!$I$251/12)*AZ2*(1-AZ6)),0)</f>
        <v>0</v>
      </c>
      <c r="BA16" s="470">
        <f ca="1">IF(BA3-参数输入表!$I$250&lt;=0,IF($C$16-BA3&gt;=0,$L$42/2*(参数输入表!$I$251/12)*BA2*(1-BA6),($L$41-$L$44)*(参数输入表!$I$251/12)*BA2*(1-BA6)),0)</f>
        <v>0</v>
      </c>
      <c r="BB16" s="470">
        <f ca="1">IF(BB3-参数输入表!$I$250&lt;=0,IF($C$16-BB3&gt;=0,$L$42/2*(参数输入表!$I$251/12)*BB2*(1-BB6),($L$41-$L$44)*(参数输入表!$I$251/12)*BB2*(1-BB6)),0)</f>
        <v>0</v>
      </c>
      <c r="BC16" s="470">
        <f ca="1">IF(BC3-参数输入表!$I$250&lt;=0,IF($C$16-BC3&gt;=0,$L$42/2*(参数输入表!$I$251/12)*BC2*(1-BC6),($L$41-$L$44)*(参数输入表!$I$251/12)*BC2*(1-BC6)),0)</f>
        <v>0</v>
      </c>
      <c r="BD16" s="470">
        <f ca="1">IF(BD3-参数输入表!$I$250&lt;=0,IF($C$16-BD3&gt;=0,$L$42/2*(参数输入表!$I$251/12)*BD2*(1-BD6),($L$41-$L$44)*(参数输入表!$I$251/12)*BD2*(1-BD6)),0)</f>
        <v>0</v>
      </c>
      <c r="BE16" s="471">
        <f ca="1">IF(BE3-参数输入表!$I$250&lt;=0,IF($C$16-BE3&gt;=0,$L$42/2*(参数输入表!$I$251/12)*BE2*(1-BE6),($L$41-$L$44)*(参数输入表!$I$251/12)*BE2*(1-BE6)),0)</f>
        <v>0</v>
      </c>
    </row>
    <row r="17" s="192" customFormat="1" spans="2:57">
      <c r="B17" s="48"/>
      <c r="C17" s="469">
        <v>47361</v>
      </c>
      <c r="D17" s="466">
        <f ca="1" t="shared" si="5"/>
        <v>3333.10303608003</v>
      </c>
      <c r="E17" s="50" t="s">
        <v>130</v>
      </c>
      <c r="F17" s="472"/>
      <c r="G17" s="472"/>
      <c r="H17" s="472"/>
      <c r="I17" s="472"/>
      <c r="J17" s="472"/>
      <c r="K17" s="472"/>
      <c r="L17" s="472"/>
      <c r="M17" s="470">
        <f ca="1">IF(M3-参数输入表!$I$250&lt;=0,IF($C$17-M3&gt;=0,$M$42/2*(参数输入表!$I$251/12)*M2*(1-M6),($M$41-$M$44)*(参数输入表!$I$251/12)*M2*(1-M6)),0)</f>
        <v>754.71531222361</v>
      </c>
      <c r="N17" s="470">
        <f ca="1">IF(N3-参数输入表!$I$250&lt;=0,IF($C$17-N3&gt;=0,$M$42/2*(参数输入表!$I$251/12)*N2*(1-N6),($M$41-$M$44)*(参数输入表!$I$251/12)*N2*(1-N6)),0)</f>
        <v>937.595535947787</v>
      </c>
      <c r="O17" s="470">
        <f ca="1">IF(O3-参数输入表!$I$250&lt;=0,IF($C$17-O3&gt;=0,$M$42/2*(参数输入表!$I$251/12)*O2*(1-O6),($M$41-$M$44)*(参数输入表!$I$251/12)*O2*(1-O6)),0)</f>
        <v>1640.79218790863</v>
      </c>
      <c r="P17" s="470">
        <f ca="1">IF(P3-参数输入表!$I$250&lt;=0,IF($C$17-P3&gt;=0,$M$42/2*(参数输入表!$I$251/12)*P2*(1-P6),($M$41-$M$44)*(参数输入表!$I$251/12)*P2*(1-P6)),0)</f>
        <v>0</v>
      </c>
      <c r="Q17" s="470">
        <f ca="1">IF(Q3-参数输入表!$I$250&lt;=0,IF($C$17-Q3&gt;=0,$M$42/2*(参数输入表!$I$251/12)*Q2*(1-Q6),($M$41-$M$44)*(参数输入表!$I$251/12)*Q2*(1-Q6)),0)</f>
        <v>0</v>
      </c>
      <c r="R17" s="470">
        <f ca="1">IF(R3-参数输入表!$I$250&lt;=0,IF($C$17-R3&gt;=0,$M$42/2*(参数输入表!$I$251/12)*R2*(1-R6),($M$41-$M$44)*(参数输入表!$I$251/12)*R2*(1-R6)),0)</f>
        <v>0</v>
      </c>
      <c r="S17" s="470">
        <f ca="1">IF(S3-参数输入表!$I$250&lt;=0,IF($C$17-S3&gt;=0,$M$42/2*(参数输入表!$I$251/12)*S2*(1-S6),($M$41-$M$44)*(参数输入表!$I$251/12)*S2*(1-S6)),0)</f>
        <v>0</v>
      </c>
      <c r="T17" s="470">
        <f ca="1">IF(T3-参数输入表!$I$250&lt;=0,IF($C$17-T3&gt;=0,$M$42/2*(参数输入表!$I$251/12)*T2*(1-T6),($M$41-$M$44)*(参数输入表!$I$251/12)*T2*(1-T6)),0)</f>
        <v>0</v>
      </c>
      <c r="U17" s="470">
        <f ca="1">IF(U3-参数输入表!$I$250&lt;=0,IF($C$17-U3&gt;=0,$M$42/2*(参数输入表!$I$251/12)*U2*(1-U6),($M$41-$M$44)*(参数输入表!$I$251/12)*U2*(1-U6)),0)</f>
        <v>0</v>
      </c>
      <c r="V17" s="470">
        <f ca="1">IF(V3-参数输入表!$I$250&lt;=0,IF($C$17-V3&gt;=0,$M$42/2*(参数输入表!$I$251/12)*V2*(1-V6),($M$41-$M$44)*(参数输入表!$I$251/12)*V2*(1-V6)),0)</f>
        <v>0</v>
      </c>
      <c r="W17" s="470">
        <f ca="1">IF(W3-参数输入表!$I$250&lt;=0,IF($C$17-W3&gt;=0,$M$42/2*(参数输入表!$I$251/12)*W2*(1-W6),($M$41-$M$44)*(参数输入表!$I$251/12)*W2*(1-W6)),0)</f>
        <v>0</v>
      </c>
      <c r="X17" s="470">
        <f ca="1">IF(X3-参数输入表!$I$250&lt;=0,IF($C$17-X3&gt;=0,$M$42/2*(参数输入表!$I$251/12)*X2*(1-X6),($M$41-$M$44)*(参数输入表!$I$251/12)*X2*(1-X6)),0)</f>
        <v>0</v>
      </c>
      <c r="Y17" s="470">
        <f ca="1">IF(Y3-参数输入表!$I$250&lt;=0,IF($C$17-Y3&gt;=0,$M$42/2*(参数输入表!$I$251/12)*Y2*(1-Y6),($M$41-$M$44)*(参数输入表!$I$251/12)*Y2*(1-Y6)),0)</f>
        <v>0</v>
      </c>
      <c r="Z17" s="470">
        <f ca="1">IF(Z3-参数输入表!$I$250&lt;=0,IF($C$17-Z3&gt;=0,$M$42/2*(参数输入表!$I$251/12)*Z2*(1-Z6),($M$41-$M$44)*(参数输入表!$I$251/12)*Z2*(1-Z6)),0)</f>
        <v>0</v>
      </c>
      <c r="AA17" s="470">
        <f ca="1">IF(AA3-参数输入表!$I$250&lt;=0,IF($C$17-AA3&gt;=0,$M$42/2*(参数输入表!$I$251/12)*AA2*(1-AA6),($M$41-$M$44)*(参数输入表!$I$251/12)*AA2*(1-AA6)),0)</f>
        <v>0</v>
      </c>
      <c r="AB17" s="470">
        <f ca="1">IF(AB3-参数输入表!$I$250&lt;=0,IF($C$17-AB3&gt;=0,$M$42/2*(参数输入表!$I$251/12)*AB2*(1-AB6),($M$41-$M$44)*(参数输入表!$I$251/12)*AB2*(1-AB6)),0)</f>
        <v>0</v>
      </c>
      <c r="AC17" s="470">
        <f ca="1">IF(AC3-参数输入表!$I$250&lt;=0,IF($C$17-AC3&gt;=0,$M$42/2*(参数输入表!$I$251/12)*AC2*(1-AC6),($M$41-$M$44)*(参数输入表!$I$251/12)*AC2*(1-AC6)),0)</f>
        <v>0</v>
      </c>
      <c r="AD17" s="470">
        <f ca="1">IF(AD3-参数输入表!$I$250&lt;=0,IF($C$17-AD3&gt;=0,$M$42/2*(参数输入表!$I$251/12)*AD2*(1-AD6),($M$41-$M$44)*(参数输入表!$I$251/12)*AD2*(1-AD6)),0)</f>
        <v>0</v>
      </c>
      <c r="AE17" s="470">
        <f ca="1">IF(AE3-参数输入表!$I$250&lt;=0,IF($C$17-AE3&gt;=0,$M$42/2*(参数输入表!$I$251/12)*AE2*(1-AE6),($M$41-$M$44)*(参数输入表!$I$251/12)*AE2*(1-AE6)),0)</f>
        <v>0</v>
      </c>
      <c r="AF17" s="470">
        <f ca="1">IF(AF3-参数输入表!$I$250&lt;=0,IF($C$17-AF3&gt;=0,$M$42/2*(参数输入表!$I$251/12)*AF2*(1-AF6),($M$41-$M$44)*(参数输入表!$I$251/12)*AF2*(1-AF6)),0)</f>
        <v>0</v>
      </c>
      <c r="AG17" s="470">
        <f ca="1">IF(AG3-参数输入表!$I$250&lt;=0,IF($C$17-AG3&gt;=0,$M$42/2*(参数输入表!$I$251/12)*AG2*(1-AG6),($M$41-$M$44)*(参数输入表!$I$251/12)*AG2*(1-AG6)),0)</f>
        <v>0</v>
      </c>
      <c r="AH17" s="470">
        <f ca="1">IF(AH3-参数输入表!$I$250&lt;=0,IF($C$17-AH3&gt;=0,$M$42/2*(参数输入表!$I$251/12)*AH2*(1-AH6),($M$41-$M$44)*(参数输入表!$I$251/12)*AH2*(1-AH6)),0)</f>
        <v>0</v>
      </c>
      <c r="AI17" s="470">
        <f ca="1">IF(AI3-参数输入表!$I$250&lt;=0,IF($C$17-AI3&gt;=0,$M$42/2*(参数输入表!$I$251/12)*AI2*(1-AI6),($M$41-$M$44)*(参数输入表!$I$251/12)*AI2*(1-AI6)),0)</f>
        <v>0</v>
      </c>
      <c r="AJ17" s="470">
        <f ca="1">IF(AJ3-参数输入表!$I$250&lt;=0,IF($C$17-AJ3&gt;=0,$M$42/2*(参数输入表!$I$251/12)*AJ2*(1-AJ6),($M$41-$M$44)*(参数输入表!$I$251/12)*AJ2*(1-AJ6)),0)</f>
        <v>0</v>
      </c>
      <c r="AK17" s="470">
        <f ca="1">IF(AK3-参数输入表!$I$250&lt;=0,IF($C$17-AK3&gt;=0,$M$42/2*(参数输入表!$I$251/12)*AK2*(1-AK6),($M$41-$M$44)*(参数输入表!$I$251/12)*AK2*(1-AK6)),0)</f>
        <v>0</v>
      </c>
      <c r="AL17" s="470">
        <f ca="1">IF(AL3-参数输入表!$I$250&lt;=0,IF($C$17-AL3&gt;=0,$M$42/2*(参数输入表!$I$251/12)*AL2*(1-AL6),($M$41-$M$44)*(参数输入表!$I$251/12)*AL2*(1-AL6)),0)</f>
        <v>0</v>
      </c>
      <c r="AM17" s="470">
        <f ca="1">IF(AM3-参数输入表!$I$250&lt;=0,IF($C$17-AM3&gt;=0,$M$42/2*(参数输入表!$I$251/12)*AM2*(1-AM6),($M$41-$M$44)*(参数输入表!$I$251/12)*AM2*(1-AM6)),0)</f>
        <v>0</v>
      </c>
      <c r="AN17" s="470">
        <f ca="1">IF(AN3-参数输入表!$I$250&lt;=0,IF($C$17-AN3&gt;=0,$M$42/2*(参数输入表!$I$251/12)*AN2*(1-AN6),($M$41-$M$44)*(参数输入表!$I$251/12)*AN2*(1-AN6)),0)</f>
        <v>0</v>
      </c>
      <c r="AO17" s="470">
        <f ca="1">IF(AO3-参数输入表!$I$250&lt;=0,IF($C$17-AO3&gt;=0,$M$42/2*(参数输入表!$I$251/12)*AO2*(1-AO6),($M$41-$M$44)*(参数输入表!$I$251/12)*AO2*(1-AO6)),0)</f>
        <v>0</v>
      </c>
      <c r="AP17" s="470">
        <f ca="1">IF(AP3-参数输入表!$I$250&lt;=0,IF($C$17-AP3&gt;=0,$M$42/2*(参数输入表!$I$251/12)*AP2*(1-AP6),($M$41-$M$44)*(参数输入表!$I$251/12)*AP2*(1-AP6)),0)</f>
        <v>0</v>
      </c>
      <c r="AQ17" s="470">
        <f ca="1">IF(AQ3-参数输入表!$I$250&lt;=0,IF($C$17-AQ3&gt;=0,$M$42/2*(参数输入表!$I$251/12)*AQ2*(1-AQ6),($M$41-$M$44)*(参数输入表!$I$251/12)*AQ2*(1-AQ6)),0)</f>
        <v>0</v>
      </c>
      <c r="AR17" s="470">
        <f ca="1">IF(AR3-参数输入表!$I$250&lt;=0,IF($C$17-AR3&gt;=0,$M$42/2*(参数输入表!$I$251/12)*AR2*(1-AR6),($M$41-$M$44)*(参数输入表!$I$251/12)*AR2*(1-AR6)),0)</f>
        <v>0</v>
      </c>
      <c r="AS17" s="470">
        <f ca="1">IF(AS3-参数输入表!$I$250&lt;=0,IF($C$17-AS3&gt;=0,$M$42/2*(参数输入表!$I$251/12)*AS2*(1-AS6),($M$41-$M$44)*(参数输入表!$I$251/12)*AS2*(1-AS6)),0)</f>
        <v>0</v>
      </c>
      <c r="AT17" s="470">
        <f ca="1">IF(AT3-参数输入表!$I$250&lt;=0,IF($C$17-AT3&gt;=0,$M$42/2*(参数输入表!$I$251/12)*AT2*(1-AT6),($M$41-$M$44)*(参数输入表!$I$251/12)*AT2*(1-AT6)),0)</f>
        <v>0</v>
      </c>
      <c r="AU17" s="470">
        <f ca="1">IF(AU3-参数输入表!$I$250&lt;=0,IF($C$17-AU3&gt;=0,$M$42/2*(参数输入表!$I$251/12)*AU2*(1-AU6),($M$41-$M$44)*(参数输入表!$I$251/12)*AU2*(1-AU6)),0)</f>
        <v>0</v>
      </c>
      <c r="AV17" s="470">
        <f ca="1">IF(AV3-参数输入表!$I$250&lt;=0,IF($C$17-AV3&gt;=0,$M$42/2*(参数输入表!$I$251/12)*AV2*(1-AV6),($M$41-$M$44)*(参数输入表!$I$251/12)*AV2*(1-AV6)),0)</f>
        <v>0</v>
      </c>
      <c r="AW17" s="470">
        <f ca="1">IF(AW3-参数输入表!$I$250&lt;=0,IF($C$17-AW3&gt;=0,$M$42/2*(参数输入表!$I$251/12)*AW2*(1-AW6),($M$41-$M$44)*(参数输入表!$I$251/12)*AW2*(1-AW6)),0)</f>
        <v>0</v>
      </c>
      <c r="AX17" s="470">
        <f ca="1">IF(AX3-参数输入表!$I$250&lt;=0,IF($C$17-AX3&gt;=0,$M$42/2*(参数输入表!$I$251/12)*AX2*(1-AX6),($M$41-$M$44)*(参数输入表!$I$251/12)*AX2*(1-AX6)),0)</f>
        <v>0</v>
      </c>
      <c r="AY17" s="470">
        <f ca="1">IF(AY3-参数输入表!$I$250&lt;=0,IF($C$17-AY3&gt;=0,$M$42/2*(参数输入表!$I$251/12)*AY2*(1-AY6),($M$41-$M$44)*(参数输入表!$I$251/12)*AY2*(1-AY6)),0)</f>
        <v>0</v>
      </c>
      <c r="AZ17" s="470">
        <f ca="1">IF(AZ3-参数输入表!$I$250&lt;=0,IF($C$17-AZ3&gt;=0,$M$42/2*(参数输入表!$I$251/12)*AZ2*(1-AZ6),($M$41-$M$44)*(参数输入表!$I$251/12)*AZ2*(1-AZ6)),0)</f>
        <v>0</v>
      </c>
      <c r="BA17" s="470">
        <f ca="1">IF(BA3-参数输入表!$I$250&lt;=0,IF($C$17-BA3&gt;=0,$M$42/2*(参数输入表!$I$251/12)*BA2*(1-BA6),($M$41-$M$44)*(参数输入表!$I$251/12)*BA2*(1-BA6)),0)</f>
        <v>0</v>
      </c>
      <c r="BB17" s="470">
        <f ca="1">IF(BB3-参数输入表!$I$250&lt;=0,IF($C$17-BB3&gt;=0,$M$42/2*(参数输入表!$I$251/12)*BB2*(1-BB6),($M$41-$M$44)*(参数输入表!$I$251/12)*BB2*(1-BB6)),0)</f>
        <v>0</v>
      </c>
      <c r="BC17" s="470">
        <f ca="1">IF(BC3-参数输入表!$I$250&lt;=0,IF($C$17-BC3&gt;=0,$M$42/2*(参数输入表!$I$251/12)*BC2*(1-BC6),($M$41-$M$44)*(参数输入表!$I$251/12)*BC2*(1-BC6)),0)</f>
        <v>0</v>
      </c>
      <c r="BD17" s="470">
        <f ca="1">IF(BD3-参数输入表!$I$250&lt;=0,IF($C$17-BD3&gt;=0,$M$42/2*(参数输入表!$I$251/12)*BD2*(1-BD6),($M$41-$M$44)*(参数输入表!$I$251/12)*BD2*(1-BD6)),0)</f>
        <v>0</v>
      </c>
      <c r="BE17" s="471">
        <f ca="1">IF(BE3-参数输入表!$I$250&lt;=0,IF($C$17-BE3&gt;=0,$M$42/2*(参数输入表!$I$251/12)*BE2*(1-BE6),($M$41-$M$44)*(参数输入表!$I$251/12)*BE2*(1-BE6)),0)</f>
        <v>0</v>
      </c>
    </row>
    <row r="18" s="192" customFormat="1" spans="2:57">
      <c r="B18" s="48"/>
      <c r="C18" s="469">
        <v>47483</v>
      </c>
      <c r="D18" s="466">
        <f ca="1" t="shared" si="5"/>
        <v>1307.36533314555</v>
      </c>
      <c r="E18" s="50" t="s">
        <v>130</v>
      </c>
      <c r="F18" s="472"/>
      <c r="G18" s="472"/>
      <c r="H18" s="472"/>
      <c r="I18" s="472"/>
      <c r="J18" s="472"/>
      <c r="K18" s="472"/>
      <c r="L18" s="472"/>
      <c r="M18" s="472"/>
      <c r="N18" s="470">
        <f ca="1">IF(N3-参数输入表!$I$250&lt;=0,IF($C$18-N3&gt;=0,$N$42/2*(参数输入表!$I$251/12)*N2*(1-N6),($N$41-$N$44)*(参数输入表!$I$251/12)*N2*(1-N6)),0)</f>
        <v>251.571770741204</v>
      </c>
      <c r="O18" s="470">
        <f ca="1">IF(O3-参数输入表!$I$250&lt;=0,IF($C$18-O3&gt;=0,$N$42/2*(参数输入表!$I$251/12)*O2*(1-O6),($N$41-$N$44)*(参数输入表!$I$251/12)*O2*(1-O6)),0)</f>
        <v>1055.79356240435</v>
      </c>
      <c r="P18" s="470">
        <f ca="1">IF(P3-参数输入表!$I$250&lt;=0,IF($C$18-P3&gt;=0,$N$42/2*(参数输入表!$I$251/12)*P2*(1-P6),($N$41-$N$44)*(参数输入表!$I$251/12)*P2*(1-P6)),0)</f>
        <v>0</v>
      </c>
      <c r="Q18" s="470">
        <f ca="1">IF(Q3-参数输入表!$I$250&lt;=0,IF($C$18-Q3&gt;=0,$N$42/2*(参数输入表!$I$251/12)*Q2*(1-Q6),($N$41-$N$44)*(参数输入表!$I$251/12)*Q2*(1-Q6)),0)</f>
        <v>0</v>
      </c>
      <c r="R18" s="470">
        <f ca="1">IF(R3-参数输入表!$I$250&lt;=0,IF($C$18-R3&gt;=0,$N$42/2*(参数输入表!$I$251/12)*R2*(1-R6),($N$41-$N$44)*(参数输入表!$I$251/12)*R2*(1-R6)),0)</f>
        <v>0</v>
      </c>
      <c r="S18" s="470">
        <f ca="1">IF(S3-参数输入表!$I$250&lt;=0,IF($C$18-S3&gt;=0,$N$42/2*(参数输入表!$I$251/12)*S2*(1-S6),($N$41-$N$44)*(参数输入表!$I$251/12)*S2*(1-S6)),0)</f>
        <v>0</v>
      </c>
      <c r="T18" s="470">
        <f ca="1">IF(T3-参数输入表!$I$250&lt;=0,IF($C$18-T3&gt;=0,$N$42/2*(参数输入表!$I$251/12)*T2*(1-T6),($N$41-$N$44)*(参数输入表!$I$251/12)*T2*(1-T6)),0)</f>
        <v>0</v>
      </c>
      <c r="U18" s="470">
        <f ca="1">IF(U3-参数输入表!$I$250&lt;=0,IF($C$18-U3&gt;=0,$N$42/2*(参数输入表!$I$251/12)*U2*(1-U6),($N$41-$N$44)*(参数输入表!$I$251/12)*U2*(1-U6)),0)</f>
        <v>0</v>
      </c>
      <c r="V18" s="470">
        <f ca="1">IF(V3-参数输入表!$I$250&lt;=0,IF($C$18-V3&gt;=0,$N$42/2*(参数输入表!$I$251/12)*V2*(1-V6),($N$41-$N$44)*(参数输入表!$I$251/12)*V2*(1-V6)),0)</f>
        <v>0</v>
      </c>
      <c r="W18" s="470">
        <f ca="1">IF(W3-参数输入表!$I$250&lt;=0,IF($C$18-W3&gt;=0,$N$42/2*(参数输入表!$I$251/12)*W2*(1-W6),($N$41-$N$44)*(参数输入表!$I$251/12)*W2*(1-W6)),0)</f>
        <v>0</v>
      </c>
      <c r="X18" s="470">
        <f ca="1">IF(X3-参数输入表!$I$250&lt;=0,IF($C$18-X3&gt;=0,$N$42/2*(参数输入表!$I$251/12)*X2*(1-X6),($N$41-$N$44)*(参数输入表!$I$251/12)*X2*(1-X6)),0)</f>
        <v>0</v>
      </c>
      <c r="Y18" s="470">
        <f ca="1">IF(Y3-参数输入表!$I$250&lt;=0,IF($C$18-Y3&gt;=0,$N$42/2*(参数输入表!$I$251/12)*Y2*(1-Y6),($N$41-$N$44)*(参数输入表!$I$251/12)*Y2*(1-Y6)),0)</f>
        <v>0</v>
      </c>
      <c r="Z18" s="470">
        <f ca="1">IF(Z3-参数输入表!$I$250&lt;=0,IF($C$18-Z3&gt;=0,$N$42/2*(参数输入表!$I$251/12)*Z2*(1-Z6),($N$41-$N$44)*(参数输入表!$I$251/12)*Z2*(1-Z6)),0)</f>
        <v>0</v>
      </c>
      <c r="AA18" s="470">
        <f ca="1">IF(AA3-参数输入表!$I$250&lt;=0,IF($C$18-AA3&gt;=0,$N$42/2*(参数输入表!$I$251/12)*AA2*(1-AA6),($N$41-$N$44)*(参数输入表!$I$251/12)*AA2*(1-AA6)),0)</f>
        <v>0</v>
      </c>
      <c r="AB18" s="470">
        <f ca="1">IF(AB3-参数输入表!$I$250&lt;=0,IF($C$18-AB3&gt;=0,$N$42/2*(参数输入表!$I$251/12)*AB2*(1-AB6),($N$41-$N$44)*(参数输入表!$I$251/12)*AB2*(1-AB6)),0)</f>
        <v>0</v>
      </c>
      <c r="AC18" s="470">
        <f ca="1">IF(AC3-参数输入表!$I$250&lt;=0,IF($C$18-AC3&gt;=0,$N$42/2*(参数输入表!$I$251/12)*AC2*(1-AC6),($N$41-$N$44)*(参数输入表!$I$251/12)*AC2*(1-AC6)),0)</f>
        <v>0</v>
      </c>
      <c r="AD18" s="470">
        <f ca="1">IF(AD3-参数输入表!$I$250&lt;=0,IF($C$18-AD3&gt;=0,$N$42/2*(参数输入表!$I$251/12)*AD2*(1-AD6),($N$41-$N$44)*(参数输入表!$I$251/12)*AD2*(1-AD6)),0)</f>
        <v>0</v>
      </c>
      <c r="AE18" s="470">
        <f ca="1">IF(AE3-参数输入表!$I$250&lt;=0,IF($C$18-AE3&gt;=0,$N$42/2*(参数输入表!$I$251/12)*AE2*(1-AE6),($N$41-$N$44)*(参数输入表!$I$251/12)*AE2*(1-AE6)),0)</f>
        <v>0</v>
      </c>
      <c r="AF18" s="470">
        <f ca="1">IF(AF3-参数输入表!$I$250&lt;=0,IF($C$18-AF3&gt;=0,$N$42/2*(参数输入表!$I$251/12)*AF2*(1-AF6),($N$41-$N$44)*(参数输入表!$I$251/12)*AF2*(1-AF6)),0)</f>
        <v>0</v>
      </c>
      <c r="AG18" s="470">
        <f ca="1">IF(AG3-参数输入表!$I$250&lt;=0,IF($C$18-AG3&gt;=0,$N$42/2*(参数输入表!$I$251/12)*AG2*(1-AG6),($N$41-$N$44)*(参数输入表!$I$251/12)*AG2*(1-AG6)),0)</f>
        <v>0</v>
      </c>
      <c r="AH18" s="470">
        <f ca="1">IF(AH3-参数输入表!$I$250&lt;=0,IF($C$18-AH3&gt;=0,$N$42/2*(参数输入表!$I$251/12)*AH2*(1-AH6),($N$41-$N$44)*(参数输入表!$I$251/12)*AH2*(1-AH6)),0)</f>
        <v>0</v>
      </c>
      <c r="AI18" s="470">
        <f ca="1">IF(AI3-参数输入表!$I$250&lt;=0,IF($C$18-AI3&gt;=0,$N$42/2*(参数输入表!$I$251/12)*AI2*(1-AI6),($N$41-$N$44)*(参数输入表!$I$251/12)*AI2*(1-AI6)),0)</f>
        <v>0</v>
      </c>
      <c r="AJ18" s="470">
        <f ca="1">IF(AJ3-参数输入表!$I$250&lt;=0,IF($C$18-AJ3&gt;=0,$N$42/2*(参数输入表!$I$251/12)*AJ2*(1-AJ6),($N$41-$N$44)*(参数输入表!$I$251/12)*AJ2*(1-AJ6)),0)</f>
        <v>0</v>
      </c>
      <c r="AK18" s="470">
        <f ca="1">IF(AK3-参数输入表!$I$250&lt;=0,IF($C$18-AK3&gt;=0,$N$42/2*(参数输入表!$I$251/12)*AK2*(1-AK6),($N$41-$N$44)*(参数输入表!$I$251/12)*AK2*(1-AK6)),0)</f>
        <v>0</v>
      </c>
      <c r="AL18" s="470">
        <f ca="1">IF(AL3-参数输入表!$I$250&lt;=0,IF($C$18-AL3&gt;=0,$N$42/2*(参数输入表!$I$251/12)*AL2*(1-AL6),($N$41-$N$44)*(参数输入表!$I$251/12)*AL2*(1-AL6)),0)</f>
        <v>0</v>
      </c>
      <c r="AM18" s="470">
        <f ca="1">IF(AM3-参数输入表!$I$250&lt;=0,IF($C$18-AM3&gt;=0,$N$42/2*(参数输入表!$I$251/12)*AM2*(1-AM6),($N$41-$N$44)*(参数输入表!$I$251/12)*AM2*(1-AM6)),0)</f>
        <v>0</v>
      </c>
      <c r="AN18" s="470">
        <f ca="1">IF(AN3-参数输入表!$I$250&lt;=0,IF($C$18-AN3&gt;=0,$N$42/2*(参数输入表!$I$251/12)*AN2*(1-AN6),($N$41-$N$44)*(参数输入表!$I$251/12)*AN2*(1-AN6)),0)</f>
        <v>0</v>
      </c>
      <c r="AO18" s="470">
        <f ca="1">IF(AO3-参数输入表!$I$250&lt;=0,IF($C$18-AO3&gt;=0,$N$42/2*(参数输入表!$I$251/12)*AO2*(1-AO6),($N$41-$N$44)*(参数输入表!$I$251/12)*AO2*(1-AO6)),0)</f>
        <v>0</v>
      </c>
      <c r="AP18" s="470">
        <f ca="1">IF(AP3-参数输入表!$I$250&lt;=0,IF($C$18-AP3&gt;=0,$N$42/2*(参数输入表!$I$251/12)*AP2*(1-AP6),($N$41-$N$44)*(参数输入表!$I$251/12)*AP2*(1-AP6)),0)</f>
        <v>0</v>
      </c>
      <c r="AQ18" s="470">
        <f ca="1">IF(AQ3-参数输入表!$I$250&lt;=0,IF($C$18-AQ3&gt;=0,$N$42/2*(参数输入表!$I$251/12)*AQ2*(1-AQ6),($N$41-$N$44)*(参数输入表!$I$251/12)*AQ2*(1-AQ6)),0)</f>
        <v>0</v>
      </c>
      <c r="AR18" s="470">
        <f ca="1">IF(AR3-参数输入表!$I$250&lt;=0,IF($C$18-AR3&gt;=0,$N$42/2*(参数输入表!$I$251/12)*AR2*(1-AR6),($N$41-$N$44)*(参数输入表!$I$251/12)*AR2*(1-AR6)),0)</f>
        <v>0</v>
      </c>
      <c r="AS18" s="470">
        <f ca="1">IF(AS3-参数输入表!$I$250&lt;=0,IF($C$18-AS3&gt;=0,$N$42/2*(参数输入表!$I$251/12)*AS2*(1-AS6),($N$41-$N$44)*(参数输入表!$I$251/12)*AS2*(1-AS6)),0)</f>
        <v>0</v>
      </c>
      <c r="AT18" s="470">
        <f ca="1">IF(AT3-参数输入表!$I$250&lt;=0,IF($C$18-AT3&gt;=0,$N$42/2*(参数输入表!$I$251/12)*AT2*(1-AT6),($N$41-$N$44)*(参数输入表!$I$251/12)*AT2*(1-AT6)),0)</f>
        <v>0</v>
      </c>
      <c r="AU18" s="470">
        <f ca="1">IF(AU3-参数输入表!$I$250&lt;=0,IF($C$18-AU3&gt;=0,$N$42/2*(参数输入表!$I$251/12)*AU2*(1-AU6),($N$41-$N$44)*(参数输入表!$I$251/12)*AU2*(1-AU6)),0)</f>
        <v>0</v>
      </c>
      <c r="AV18" s="470">
        <f ca="1">IF(AV3-参数输入表!$I$250&lt;=0,IF($C$18-AV3&gt;=0,$N$42/2*(参数输入表!$I$251/12)*AV2*(1-AV6),($N$41-$N$44)*(参数输入表!$I$251/12)*AV2*(1-AV6)),0)</f>
        <v>0</v>
      </c>
      <c r="AW18" s="470">
        <f ca="1">IF(AW3-参数输入表!$I$250&lt;=0,IF($C$18-AW3&gt;=0,$N$42/2*(参数输入表!$I$251/12)*AW2*(1-AW6),($N$41-$N$44)*(参数输入表!$I$251/12)*AW2*(1-AW6)),0)</f>
        <v>0</v>
      </c>
      <c r="AX18" s="470">
        <f ca="1">IF(AX3-参数输入表!$I$250&lt;=0,IF($C$18-AX3&gt;=0,$N$42/2*(参数输入表!$I$251/12)*AX2*(1-AX6),($N$41-$N$44)*(参数输入表!$I$251/12)*AX2*(1-AX6)),0)</f>
        <v>0</v>
      </c>
      <c r="AY18" s="470">
        <f ca="1">IF(AY3-参数输入表!$I$250&lt;=0,IF($C$18-AY3&gt;=0,$N$42/2*(参数输入表!$I$251/12)*AY2*(1-AY6),($N$41-$N$44)*(参数输入表!$I$251/12)*AY2*(1-AY6)),0)</f>
        <v>0</v>
      </c>
      <c r="AZ18" s="470">
        <f ca="1">IF(AZ3-参数输入表!$I$250&lt;=0,IF($C$18-AZ3&gt;=0,$N$42/2*(参数输入表!$I$251/12)*AZ2*(1-AZ6),($N$41-$N$44)*(参数输入表!$I$251/12)*AZ2*(1-AZ6)),0)</f>
        <v>0</v>
      </c>
      <c r="BA18" s="470">
        <f ca="1">IF(BA3-参数输入表!$I$250&lt;=0,IF($C$18-BA3&gt;=0,$N$42/2*(参数输入表!$I$251/12)*BA2*(1-BA6),($N$41-$N$44)*(参数输入表!$I$251/12)*BA2*(1-BA6)),0)</f>
        <v>0</v>
      </c>
      <c r="BB18" s="470">
        <f ca="1">IF(BB3-参数输入表!$I$250&lt;=0,IF($C$18-BB3&gt;=0,$N$42/2*(参数输入表!$I$251/12)*BB2*(1-BB6),($N$41-$N$44)*(参数输入表!$I$251/12)*BB2*(1-BB6)),0)</f>
        <v>0</v>
      </c>
      <c r="BC18" s="470">
        <f ca="1">IF(BC3-参数输入表!$I$250&lt;=0,IF($C$18-BC3&gt;=0,$N$42/2*(参数输入表!$I$251/12)*BC2*(1-BC6),($N$41-$N$44)*(参数输入表!$I$251/12)*BC2*(1-BC6)),0)</f>
        <v>0</v>
      </c>
      <c r="BD18" s="470">
        <f ca="1">IF(BD3-参数输入表!$I$250&lt;=0,IF($C$18-BD3&gt;=0,$N$42/2*(参数输入表!$I$251/12)*BD2*(1-BD6),($N$41-$N$44)*(参数输入表!$I$251/12)*BD2*(1-BD6)),0)</f>
        <v>0</v>
      </c>
      <c r="BE18" s="471">
        <f ca="1">IF(BE3-参数输入表!$I$250&lt;=0,IF($C$18-BE3&gt;=0,$N$42/2*(参数输入表!$I$251/12)*BE2*(1-BE6),($N$41-$N$44)*(参数输入表!$I$251/12)*BE2*(1-BE6)),0)</f>
        <v>0</v>
      </c>
    </row>
    <row r="19" s="192" customFormat="1" spans="2:57">
      <c r="B19" s="48"/>
      <c r="C19" s="469">
        <v>47695</v>
      </c>
      <c r="D19" s="466">
        <f ca="1" t="shared" si="5"/>
        <v>470.828611613113</v>
      </c>
      <c r="E19" s="50" t="s">
        <v>130</v>
      </c>
      <c r="F19" s="472"/>
      <c r="G19" s="472"/>
      <c r="H19" s="472"/>
      <c r="I19" s="472"/>
      <c r="J19" s="472"/>
      <c r="K19" s="472"/>
      <c r="L19" s="472"/>
      <c r="M19" s="472"/>
      <c r="N19" s="472"/>
      <c r="O19" s="470">
        <f ca="1">IF(O3-参数输入表!$I$250&lt;=0,IF($C$19-O3&gt;=0,$O$42/2*(参数输入表!$I$251/12)*O2*(1-O6),($O$41-$O$44)*(参数输入表!$I$251/12)*O2*(1-O6)),0)</f>
        <v>470.828611613113</v>
      </c>
      <c r="P19" s="470">
        <f ca="1">IF(P3-参数输入表!$I$250&lt;=0,IF($C$19-P3&gt;=0,$O$42/2*(参数输入表!$I$251/12)*P2*(1-P6),($O$41-$O$44)*(参数输入表!$I$251/12)*P2*(1-P6)),0)</f>
        <v>0</v>
      </c>
      <c r="Q19" s="470">
        <f ca="1">IF(Q3-参数输入表!$I$250&lt;=0,IF($C$19-Q3&gt;=0,$O$42/2*(参数输入表!$I$251/12)*Q2*(1-Q6),($O$41-$O$44)*(参数输入表!$I$251/12)*Q2*(1-Q6)),0)</f>
        <v>0</v>
      </c>
      <c r="R19" s="470">
        <f ca="1">IF(R3-参数输入表!$I$250&lt;=0,IF($C$19-R3&gt;=0,$O$42/2*(参数输入表!$I$251/12)*R2*(1-R6),($O$41-$O$44)*(参数输入表!$I$251/12)*R2*(1-R6)),0)</f>
        <v>0</v>
      </c>
      <c r="S19" s="470">
        <f ca="1">IF(S3-参数输入表!$I$250&lt;=0,IF($C$19-S3&gt;=0,$O$42/2*(参数输入表!$I$251/12)*S2*(1-S6),($O$41-$O$44)*(参数输入表!$I$251/12)*S2*(1-S6)),0)</f>
        <v>0</v>
      </c>
      <c r="T19" s="470">
        <f ca="1">IF(T3-参数输入表!$I$250&lt;=0,IF($C$19-T3&gt;=0,$O$42/2*(参数输入表!$I$251/12)*T2*(1-T6),($O$41-$O$44)*(参数输入表!$I$251/12)*T2*(1-T6)),0)</f>
        <v>0</v>
      </c>
      <c r="U19" s="470">
        <f ca="1">IF(U3-参数输入表!$I$250&lt;=0,IF($C$19-U3&gt;=0,$O$42/2*(参数输入表!$I$251/12)*U2*(1-U6),($O$41-$O$44)*(参数输入表!$I$251/12)*U2*(1-U6)),0)</f>
        <v>0</v>
      </c>
      <c r="V19" s="470">
        <f ca="1">IF(V3-参数输入表!$I$250&lt;=0,IF($C$19-V3&gt;=0,$O$42/2*(参数输入表!$I$251/12)*V2*(1-V6),($O$41-$O$44)*(参数输入表!$I$251/12)*V2*(1-V6)),0)</f>
        <v>0</v>
      </c>
      <c r="W19" s="470">
        <f ca="1">IF(W3-参数输入表!$I$250&lt;=0,IF($C$19-W3&gt;=0,$O$42/2*(参数输入表!$I$251/12)*W2*(1-W6),($O$41-$O$44)*(参数输入表!$I$251/12)*W2*(1-W6)),0)</f>
        <v>0</v>
      </c>
      <c r="X19" s="470">
        <f ca="1">IF(X3-参数输入表!$I$250&lt;=0,IF($C$19-X3&gt;=0,$O$42/2*(参数输入表!$I$251/12)*X2*(1-X6),($O$41-$O$44)*(参数输入表!$I$251/12)*X2*(1-X6)),0)</f>
        <v>0</v>
      </c>
      <c r="Y19" s="470">
        <f ca="1">IF(Y3-参数输入表!$I$250&lt;=0,IF($C$19-Y3&gt;=0,$O$42/2*(参数输入表!$I$251/12)*Y2*(1-Y6),($O$41-$O$44)*(参数输入表!$I$251/12)*Y2*(1-Y6)),0)</f>
        <v>0</v>
      </c>
      <c r="Z19" s="470">
        <f ca="1">IF(Z3-参数输入表!$I$250&lt;=0,IF($C$19-Z3&gt;=0,$O$42/2*(参数输入表!$I$251/12)*Z2*(1-Z6),($O$41-$O$44)*(参数输入表!$I$251/12)*Z2*(1-Z6)),0)</f>
        <v>0</v>
      </c>
      <c r="AA19" s="470">
        <f ca="1">IF(AA3-参数输入表!$I$250&lt;=0,IF($C$19-AA3&gt;=0,$O$42/2*(参数输入表!$I$251/12)*AA2*(1-AA6),($O$41-$O$44)*(参数输入表!$I$251/12)*AA2*(1-AA6)),0)</f>
        <v>0</v>
      </c>
      <c r="AB19" s="470">
        <f ca="1">IF(AB3-参数输入表!$I$250&lt;=0,IF($C$19-AB3&gt;=0,$O$42/2*(参数输入表!$I$251/12)*AB2*(1-AB6),($O$41-$O$44)*(参数输入表!$I$251/12)*AB2*(1-AB6)),0)</f>
        <v>0</v>
      </c>
      <c r="AC19" s="470">
        <f ca="1">IF(AC3-参数输入表!$I$250&lt;=0,IF($C$19-AC3&gt;=0,$O$42/2*(参数输入表!$I$251/12)*AC2*(1-AC6),($O$41-$O$44)*(参数输入表!$I$251/12)*AC2*(1-AC6)),0)</f>
        <v>0</v>
      </c>
      <c r="AD19" s="470">
        <f ca="1">IF(AD3-参数输入表!$I$250&lt;=0,IF($C$19-AD3&gt;=0,$O$42/2*(参数输入表!$I$251/12)*AD2*(1-AD6),($O$41-$O$44)*(参数输入表!$I$251/12)*AD2*(1-AD6)),0)</f>
        <v>0</v>
      </c>
      <c r="AE19" s="470">
        <f ca="1">IF(AE3-参数输入表!$I$250&lt;=0,IF($C$19-AE3&gt;=0,$O$42/2*(参数输入表!$I$251/12)*AE2*(1-AE6),($O$41-$O$44)*(参数输入表!$I$251/12)*AE2*(1-AE6)),0)</f>
        <v>0</v>
      </c>
      <c r="AF19" s="470">
        <f ca="1">IF(AF3-参数输入表!$I$250&lt;=0,IF($C$19-AF3&gt;=0,$O$42/2*(参数输入表!$I$251/12)*AF2*(1-AF6),($O$41-$O$44)*(参数输入表!$I$251/12)*AF2*(1-AF6)),0)</f>
        <v>0</v>
      </c>
      <c r="AG19" s="470">
        <f ca="1">IF(AG3-参数输入表!$I$250&lt;=0,IF($C$19-AG3&gt;=0,$O$42/2*(参数输入表!$I$251/12)*AG2*(1-AG6),($O$41-$O$44)*(参数输入表!$I$251/12)*AG2*(1-AG6)),0)</f>
        <v>0</v>
      </c>
      <c r="AH19" s="470">
        <f ca="1">IF(AH3-参数输入表!$I$250&lt;=0,IF($C$19-AH3&gt;=0,$O$42/2*(参数输入表!$I$251/12)*AH2*(1-AH6),($O$41-$O$44)*(参数输入表!$I$251/12)*AH2*(1-AH6)),0)</f>
        <v>0</v>
      </c>
      <c r="AI19" s="470">
        <f ca="1">IF(AI3-参数输入表!$I$250&lt;=0,IF($C$19-AI3&gt;=0,$O$42/2*(参数输入表!$I$251/12)*AI2*(1-AI6),($O$41-$O$44)*(参数输入表!$I$251/12)*AI2*(1-AI6)),0)</f>
        <v>0</v>
      </c>
      <c r="AJ19" s="470">
        <f ca="1">IF(AJ3-参数输入表!$I$250&lt;=0,IF($C$19-AJ3&gt;=0,$O$42/2*(参数输入表!$I$251/12)*AJ2*(1-AJ6),($O$41-$O$44)*(参数输入表!$I$251/12)*AJ2*(1-AJ6)),0)</f>
        <v>0</v>
      </c>
      <c r="AK19" s="470">
        <f ca="1">IF(AK3-参数输入表!$I$250&lt;=0,IF($C$19-AK3&gt;=0,$O$42/2*(参数输入表!$I$251/12)*AK2*(1-AK6),($O$41-$O$44)*(参数输入表!$I$251/12)*AK2*(1-AK6)),0)</f>
        <v>0</v>
      </c>
      <c r="AL19" s="470">
        <f ca="1">IF(AL3-参数输入表!$I$250&lt;=0,IF($C$19-AL3&gt;=0,$O$42/2*(参数输入表!$I$251/12)*AL2*(1-AL6),($O$41-$O$44)*(参数输入表!$I$251/12)*AL2*(1-AL6)),0)</f>
        <v>0</v>
      </c>
      <c r="AM19" s="470">
        <f ca="1">IF(AM3-参数输入表!$I$250&lt;=0,IF($C$19-AM3&gt;=0,$O$42/2*(参数输入表!$I$251/12)*AM2*(1-AM6),($O$41-$O$44)*(参数输入表!$I$251/12)*AM2*(1-AM6)),0)</f>
        <v>0</v>
      </c>
      <c r="AN19" s="470">
        <f ca="1">IF(AN3-参数输入表!$I$250&lt;=0,IF($C$19-AN3&gt;=0,$O$42/2*(参数输入表!$I$251/12)*AN2*(1-AN6),($O$41-$O$44)*(参数输入表!$I$251/12)*AN2*(1-AN6)),0)</f>
        <v>0</v>
      </c>
      <c r="AO19" s="470">
        <f ca="1">IF(AO3-参数输入表!$I$250&lt;=0,IF($C$19-AO3&gt;=0,$O$42/2*(参数输入表!$I$251/12)*AO2*(1-AO6),($O$41-$O$44)*(参数输入表!$I$251/12)*AO2*(1-AO6)),0)</f>
        <v>0</v>
      </c>
      <c r="AP19" s="470">
        <f ca="1">IF(AP3-参数输入表!$I$250&lt;=0,IF($C$19-AP3&gt;=0,$O$42/2*(参数输入表!$I$251/12)*AP2*(1-AP6),($O$41-$O$44)*(参数输入表!$I$251/12)*AP2*(1-AP6)),0)</f>
        <v>0</v>
      </c>
      <c r="AQ19" s="470">
        <f ca="1">IF(AQ3-参数输入表!$I$250&lt;=0,IF($C$19-AQ3&gt;=0,$O$42/2*(参数输入表!$I$251/12)*AQ2*(1-AQ6),($O$41-$O$44)*(参数输入表!$I$251/12)*AQ2*(1-AQ6)),0)</f>
        <v>0</v>
      </c>
      <c r="AR19" s="470">
        <f ca="1">IF(AR3-参数输入表!$I$250&lt;=0,IF($C$19-AR3&gt;=0,$O$42/2*(参数输入表!$I$251/12)*AR2*(1-AR6),($O$41-$O$44)*(参数输入表!$I$251/12)*AR2*(1-AR6)),0)</f>
        <v>0</v>
      </c>
      <c r="AS19" s="470">
        <f ca="1">IF(AS3-参数输入表!$I$250&lt;=0,IF($C$19-AS3&gt;=0,$O$42/2*(参数输入表!$I$251/12)*AS2*(1-AS6),($O$41-$O$44)*(参数输入表!$I$251/12)*AS2*(1-AS6)),0)</f>
        <v>0</v>
      </c>
      <c r="AT19" s="470">
        <f ca="1">IF(AT3-参数输入表!$I$250&lt;=0,IF($C$19-AT3&gt;=0,$O$42/2*(参数输入表!$I$251/12)*AT2*(1-AT6),($O$41-$O$44)*(参数输入表!$I$251/12)*AT2*(1-AT6)),0)</f>
        <v>0</v>
      </c>
      <c r="AU19" s="470">
        <f ca="1">IF(AU3-参数输入表!$I$250&lt;=0,IF($C$19-AU3&gt;=0,$O$42/2*(参数输入表!$I$251/12)*AU2*(1-AU6),($O$41-$O$44)*(参数输入表!$I$251/12)*AU2*(1-AU6)),0)</f>
        <v>0</v>
      </c>
      <c r="AV19" s="470">
        <f ca="1">IF(AV3-参数输入表!$I$250&lt;=0,IF($C$19-AV3&gt;=0,$O$42/2*(参数输入表!$I$251/12)*AV2*(1-AV6),($O$41-$O$44)*(参数输入表!$I$251/12)*AV2*(1-AV6)),0)</f>
        <v>0</v>
      </c>
      <c r="AW19" s="470">
        <f ca="1">IF(AW3-参数输入表!$I$250&lt;=0,IF($C$19-AW3&gt;=0,$O$42/2*(参数输入表!$I$251/12)*AW2*(1-AW6),($O$41-$O$44)*(参数输入表!$I$251/12)*AW2*(1-AW6)),0)</f>
        <v>0</v>
      </c>
      <c r="AX19" s="470">
        <f ca="1">IF(AX3-参数输入表!$I$250&lt;=0,IF($C$19-AX3&gt;=0,$O$42/2*(参数输入表!$I$251/12)*AX2*(1-AX6),($O$41-$O$44)*(参数输入表!$I$251/12)*AX2*(1-AX6)),0)</f>
        <v>0</v>
      </c>
      <c r="AY19" s="470">
        <f ca="1">IF(AY3-参数输入表!$I$250&lt;=0,IF($C$19-AY3&gt;=0,$O$42/2*(参数输入表!$I$251/12)*AY2*(1-AY6),($O$41-$O$44)*(参数输入表!$I$251/12)*AY2*(1-AY6)),0)</f>
        <v>0</v>
      </c>
      <c r="AZ19" s="470">
        <f ca="1">IF(AZ3-参数输入表!$I$250&lt;=0,IF($C$19-AZ3&gt;=0,$O$42/2*(参数输入表!$I$251/12)*AZ2*(1-AZ6),($O$41-$O$44)*(参数输入表!$I$251/12)*AZ2*(1-AZ6)),0)</f>
        <v>0</v>
      </c>
      <c r="BA19" s="470">
        <f ca="1">IF(BA3-参数输入表!$I$250&lt;=0,IF($C$19-BA3&gt;=0,$O$42/2*(参数输入表!$I$251/12)*BA2*(1-BA6),($O$41-$O$44)*(参数输入表!$I$251/12)*BA2*(1-BA6)),0)</f>
        <v>0</v>
      </c>
      <c r="BB19" s="470">
        <f ca="1">IF(BB3-参数输入表!$I$250&lt;=0,IF($C$19-BB3&gt;=0,$O$42/2*(参数输入表!$I$251/12)*BB2*(1-BB6),($O$41-$O$44)*(参数输入表!$I$251/12)*BB2*(1-BB6)),0)</f>
        <v>0</v>
      </c>
      <c r="BC19" s="470">
        <f ca="1">IF(BC3-参数输入表!$I$250&lt;=0,IF($C$19-BC3&gt;=0,$O$42/2*(参数输入表!$I$251/12)*BC2*(1-BC6),($O$41-$O$44)*(参数输入表!$I$251/12)*BC2*(1-BC6)),0)</f>
        <v>0</v>
      </c>
      <c r="BD19" s="470">
        <f ca="1">IF(BD3-参数输入表!$I$250&lt;=0,IF($C$19-BD3&gt;=0,$O$42/2*(参数输入表!$I$251/12)*BD2*(1-BD6),($O$41-$O$44)*(参数输入表!$I$251/12)*BD2*(1-BD6)),0)</f>
        <v>0</v>
      </c>
      <c r="BE19" s="471">
        <f ca="1">IF(BE3-参数输入表!$I$250&lt;=0,IF($C$19-BE3&gt;=0,$O$42/2*(参数输入表!$I$251/12)*BE2*(1-BE6),($O$41-$O$44)*(参数输入表!$I$251/12)*BE2*(1-BE6)),0)</f>
        <v>0</v>
      </c>
    </row>
    <row r="20" s="192" customFormat="1" spans="2:57">
      <c r="B20" s="48"/>
      <c r="C20" s="469">
        <f>P3</f>
        <v>47726</v>
      </c>
      <c r="D20" s="466">
        <f ca="1" t="shared" si="5"/>
        <v>0</v>
      </c>
      <c r="E20" s="50" t="s">
        <v>130</v>
      </c>
      <c r="F20" s="472"/>
      <c r="G20" s="472"/>
      <c r="H20" s="472"/>
      <c r="I20" s="472"/>
      <c r="J20" s="472"/>
      <c r="K20" s="472"/>
      <c r="L20" s="472"/>
      <c r="M20" s="472"/>
      <c r="N20" s="472"/>
      <c r="O20" s="472"/>
      <c r="P20" s="470">
        <f ca="1">IF(P3-参数输入表!$I$250&lt;=0,IF($C$20-P3&gt;=0,$P$42/2*(参数输入表!$I$251/12)*P2*(1-P6),($P$41-$P$44)*(参数输入表!$I$251/12)*P2*(1-P6)),0)</f>
        <v>0</v>
      </c>
      <c r="Q20" s="470">
        <f ca="1">IF(Q3-参数输入表!$I$250&lt;=0,IF($C$20-Q3&gt;=0,$P$42/2*(参数输入表!$I$251/12)*Q2*(1-Q6),($P$41-$P$44)*(参数输入表!$I$251/12)*Q2*(1-Q6)),0)</f>
        <v>0</v>
      </c>
      <c r="R20" s="470">
        <f ca="1">IF(R3-参数输入表!$I$250&lt;=0,IF($C$20-R3&gt;=0,$P$42/2*(参数输入表!$I$251/12)*R2*(1-R6),($P$41-$P$44)*(参数输入表!$I$251/12)*R2*(1-R6)),0)</f>
        <v>0</v>
      </c>
      <c r="S20" s="470">
        <f ca="1">IF(S3-参数输入表!$I$250&lt;=0,IF($C$20-S3&gt;=0,$P$42/2*(参数输入表!$I$251/12)*S2*(1-S6),($P$41-$P$44)*(参数输入表!$I$251/12)*S2*(1-S6)),0)</f>
        <v>0</v>
      </c>
      <c r="T20" s="470">
        <f ca="1">IF(T3-参数输入表!$I$250&lt;=0,IF($C$20-T3&gt;=0,$P$42/2*(参数输入表!$I$251/12)*T2*(1-T6),($P$41-$P$44)*(参数输入表!$I$251/12)*T2*(1-T6)),0)</f>
        <v>0</v>
      </c>
      <c r="U20" s="470">
        <f ca="1">IF(U3-参数输入表!$I$250&lt;=0,IF($C$20-U3&gt;=0,$P$42/2*(参数输入表!$I$251/12)*U2*(1-U6),($P$41-$P$44)*(参数输入表!$I$251/12)*U2*(1-U6)),0)</f>
        <v>0</v>
      </c>
      <c r="V20" s="470">
        <f ca="1">IF(V3-参数输入表!$I$250&lt;=0,IF($C$20-V3&gt;=0,$P$42/2*(参数输入表!$I$251/12)*V2*(1-V6),($P$41-$P$44)*(参数输入表!$I$251/12)*V2*(1-V6)),0)</f>
        <v>0</v>
      </c>
      <c r="W20" s="470">
        <f ca="1">IF(W3-参数输入表!$I$250&lt;=0,IF($C$20-W3&gt;=0,$P$42/2*(参数输入表!$I$251/12)*W2*(1-W6),($P$41-$P$44)*(参数输入表!$I$251/12)*W2*(1-W6)),0)</f>
        <v>0</v>
      </c>
      <c r="X20" s="470">
        <f ca="1">IF(X3-参数输入表!$I$250&lt;=0,IF($C$20-X3&gt;=0,$P$42/2*(参数输入表!$I$251/12)*X2*(1-X6),($P$41-$P$44)*(参数输入表!$I$251/12)*X2*(1-X6)),0)</f>
        <v>0</v>
      </c>
      <c r="Y20" s="470">
        <f ca="1">IF(Y3-参数输入表!$I$250&lt;=0,IF($C$20-Y3&gt;=0,$P$42/2*(参数输入表!$I$251/12)*Y2*(1-Y6),($P$41-$P$44)*(参数输入表!$I$251/12)*Y2*(1-Y6)),0)</f>
        <v>0</v>
      </c>
      <c r="Z20" s="470">
        <f ca="1">IF(Z3-参数输入表!$I$250&lt;=0,IF($C$20-Z3&gt;=0,$P$42/2*(参数输入表!$I$251/12)*Z2*(1-Z6),($P$41-$P$44)*(参数输入表!$I$251/12)*Z2*(1-Z6)),0)</f>
        <v>0</v>
      </c>
      <c r="AA20" s="470">
        <f ca="1">IF(AA3-参数输入表!$I$250&lt;=0,IF($C$20-AA3&gt;=0,$P$42/2*(参数输入表!$I$251/12)*AA2*(1-AA6),($P$41-$P$44)*(参数输入表!$I$251/12)*AA2*(1-AA6)),0)</f>
        <v>0</v>
      </c>
      <c r="AB20" s="470">
        <f ca="1">IF(AB3-参数输入表!$I$250&lt;=0,IF($C$20-AB3&gt;=0,$P$42/2*(参数输入表!$I$251/12)*AB2*(1-AB6),($P$41-$P$44)*(参数输入表!$I$251/12)*AB2*(1-AB6)),0)</f>
        <v>0</v>
      </c>
      <c r="AC20" s="470">
        <f ca="1">IF(AC3-参数输入表!$I$250&lt;=0,IF($C$20-AC3&gt;=0,$P$42/2*(参数输入表!$I$251/12)*AC2*(1-AC6),($P$41-$P$44)*(参数输入表!$I$251/12)*AC2*(1-AC6)),0)</f>
        <v>0</v>
      </c>
      <c r="AD20" s="470">
        <f ca="1">IF(AD3-参数输入表!$I$250&lt;=0,IF($C$20-AD3&gt;=0,$P$42/2*(参数输入表!$I$251/12)*AD2*(1-AD6),($P$41-$P$44)*(参数输入表!$I$251/12)*AD2*(1-AD6)),0)</f>
        <v>0</v>
      </c>
      <c r="AE20" s="470">
        <f ca="1">IF(AE3-参数输入表!$I$250&lt;=0,IF($C$20-AE3&gt;=0,$P$42/2*(参数输入表!$I$251/12)*AE2*(1-AE6),($P$41-$P$44)*(参数输入表!$I$251/12)*AE2*(1-AE6)),0)</f>
        <v>0</v>
      </c>
      <c r="AF20" s="470">
        <f ca="1">IF(AF3-参数输入表!$I$250&lt;=0,IF($C$20-AF3&gt;=0,$P$42/2*(参数输入表!$I$251/12)*AF2*(1-AF6),($P$41-$P$44)*(参数输入表!$I$251/12)*AF2*(1-AF6)),0)</f>
        <v>0</v>
      </c>
      <c r="AG20" s="470">
        <f ca="1">IF(AG3-参数输入表!$I$250&lt;=0,IF($C$20-AG3&gt;=0,$P$42/2*(参数输入表!$I$251/12)*AG2*(1-AG6),($P$41-$P$44)*(参数输入表!$I$251/12)*AG2*(1-AG6)),0)</f>
        <v>0</v>
      </c>
      <c r="AH20" s="470">
        <f ca="1">IF(AH3-参数输入表!$I$250&lt;=0,IF($C$20-AH3&gt;=0,$P$42/2*(参数输入表!$I$251/12)*AH2*(1-AH6),($P$41-$P$44)*(参数输入表!$I$251/12)*AH2*(1-AH6)),0)</f>
        <v>0</v>
      </c>
      <c r="AI20" s="470">
        <f ca="1">IF(AI3-参数输入表!$I$250&lt;=0,IF($C$20-AI3&gt;=0,$P$42/2*(参数输入表!$I$251/12)*AI2*(1-AI6),($P$41-$P$44)*(参数输入表!$I$251/12)*AI2*(1-AI6)),0)</f>
        <v>0</v>
      </c>
      <c r="AJ20" s="470">
        <f ca="1">IF(AJ3-参数输入表!$I$250&lt;=0,IF($C$20-AJ3&gt;=0,$P$42/2*(参数输入表!$I$251/12)*AJ2*(1-AJ6),($P$41-$P$44)*(参数输入表!$I$251/12)*AJ2*(1-AJ6)),0)</f>
        <v>0</v>
      </c>
      <c r="AK20" s="470">
        <f ca="1">IF(AK3-参数输入表!$I$250&lt;=0,IF($C$20-AK3&gt;=0,$P$42/2*(参数输入表!$I$251/12)*AK2*(1-AK6),($P$41-$P$44)*(参数输入表!$I$251/12)*AK2*(1-AK6)),0)</f>
        <v>0</v>
      </c>
      <c r="AL20" s="470">
        <f ca="1">IF(AL3-参数输入表!$I$250&lt;=0,IF($C$20-AL3&gt;=0,$P$42/2*(参数输入表!$I$251/12)*AL2*(1-AL6),($P$41-$P$44)*(参数输入表!$I$251/12)*AL2*(1-AL6)),0)</f>
        <v>0</v>
      </c>
      <c r="AM20" s="470">
        <f ca="1">IF(AM3-参数输入表!$I$250&lt;=0,IF($C$20-AM3&gt;=0,$P$42/2*(参数输入表!$I$251/12)*AM2*(1-AM6),($P$41-$P$44)*(参数输入表!$I$251/12)*AM2*(1-AM6)),0)</f>
        <v>0</v>
      </c>
      <c r="AN20" s="470">
        <f ca="1">IF(AN3-参数输入表!$I$250&lt;=0,IF($C$20-AN3&gt;=0,$P$42/2*(参数输入表!$I$251/12)*AN2*(1-AN6),($P$41-$P$44)*(参数输入表!$I$251/12)*AN2*(1-AN6)),0)</f>
        <v>0</v>
      </c>
      <c r="AO20" s="470">
        <f ca="1">IF(AO3-参数输入表!$I$250&lt;=0,IF($C$20-AO3&gt;=0,$P$42/2*(参数输入表!$I$251/12)*AO2*(1-AO6),($P$41-$P$44)*(参数输入表!$I$251/12)*AO2*(1-AO6)),0)</f>
        <v>0</v>
      </c>
      <c r="AP20" s="470">
        <f ca="1">IF(AP3-参数输入表!$I$250&lt;=0,IF($C$20-AP3&gt;=0,$P$42/2*(参数输入表!$I$251/12)*AP2*(1-AP6),($P$41-$P$44)*(参数输入表!$I$251/12)*AP2*(1-AP6)),0)</f>
        <v>0</v>
      </c>
      <c r="AQ20" s="470">
        <f ca="1">IF(AQ3-参数输入表!$I$250&lt;=0,IF($C$20-AQ3&gt;=0,$P$42/2*(参数输入表!$I$251/12)*AQ2*(1-AQ6),($P$41-$P$44)*(参数输入表!$I$251/12)*AQ2*(1-AQ6)),0)</f>
        <v>0</v>
      </c>
      <c r="AR20" s="470">
        <f ca="1">IF(AR3-参数输入表!$I$250&lt;=0,IF($C$20-AR3&gt;=0,$P$42/2*(参数输入表!$I$251/12)*AR2*(1-AR6),($P$41-$P$44)*(参数输入表!$I$251/12)*AR2*(1-AR6)),0)</f>
        <v>0</v>
      </c>
      <c r="AS20" s="470">
        <f ca="1">IF(AS3-参数输入表!$I$250&lt;=0,IF($C$20-AS3&gt;=0,$P$42/2*(参数输入表!$I$251/12)*AS2*(1-AS6),($P$41-$P$44)*(参数输入表!$I$251/12)*AS2*(1-AS6)),0)</f>
        <v>0</v>
      </c>
      <c r="AT20" s="470">
        <f ca="1">IF(AT3-参数输入表!$I$250&lt;=0,IF($C$20-AT3&gt;=0,$P$42/2*(参数输入表!$I$251/12)*AT2*(1-AT6),($P$41-$P$44)*(参数输入表!$I$251/12)*AT2*(1-AT6)),0)</f>
        <v>0</v>
      </c>
      <c r="AU20" s="470">
        <f ca="1">IF(AU3-参数输入表!$I$250&lt;=0,IF($C$20-AU3&gt;=0,$P$42/2*(参数输入表!$I$251/12)*AU2*(1-AU6),($P$41-$P$44)*(参数输入表!$I$251/12)*AU2*(1-AU6)),0)</f>
        <v>0</v>
      </c>
      <c r="AV20" s="470">
        <f ca="1">IF(AV3-参数输入表!$I$250&lt;=0,IF($C$20-AV3&gt;=0,$P$42/2*(参数输入表!$I$251/12)*AV2*(1-AV6),($P$41-$P$44)*(参数输入表!$I$251/12)*AV2*(1-AV6)),0)</f>
        <v>0</v>
      </c>
      <c r="AW20" s="470">
        <f ca="1">IF(AW3-参数输入表!$I$250&lt;=0,IF($C$20-AW3&gt;=0,$P$42/2*(参数输入表!$I$251/12)*AW2*(1-AW6),($P$41-$P$44)*(参数输入表!$I$251/12)*AW2*(1-AW6)),0)</f>
        <v>0</v>
      </c>
      <c r="AX20" s="470">
        <f ca="1">IF(AX3-参数输入表!$I$250&lt;=0,IF($C$20-AX3&gt;=0,$P$42/2*(参数输入表!$I$251/12)*AX2*(1-AX6),($P$41-$P$44)*(参数输入表!$I$251/12)*AX2*(1-AX6)),0)</f>
        <v>0</v>
      </c>
      <c r="AY20" s="470">
        <f ca="1">IF(AY3-参数输入表!$I$250&lt;=0,IF($C$20-AY3&gt;=0,$P$42/2*(参数输入表!$I$251/12)*AY2*(1-AY6),($P$41-$P$44)*(参数输入表!$I$251/12)*AY2*(1-AY6)),0)</f>
        <v>0</v>
      </c>
      <c r="AZ20" s="470">
        <f ca="1">IF(AZ3-参数输入表!$I$250&lt;=0,IF($C$20-AZ3&gt;=0,$P$42/2*(参数输入表!$I$251/12)*AZ2*(1-AZ6),($P$41-$P$44)*(参数输入表!$I$251/12)*AZ2*(1-AZ6)),0)</f>
        <v>0</v>
      </c>
      <c r="BA20" s="470">
        <f ca="1">IF(BA3-参数输入表!$I$250&lt;=0,IF($C$20-BA3&gt;=0,$P$42/2*(参数输入表!$I$251/12)*BA2*(1-BA6),($P$41-$P$44)*(参数输入表!$I$251/12)*BA2*(1-BA6)),0)</f>
        <v>0</v>
      </c>
      <c r="BB20" s="470">
        <f ca="1">IF(BB3-参数输入表!$I$250&lt;=0,IF($C$20-BB3&gt;=0,$P$42/2*(参数输入表!$I$251/12)*BB2*(1-BB6),($P$41-$P$44)*(参数输入表!$I$251/12)*BB2*(1-BB6)),0)</f>
        <v>0</v>
      </c>
      <c r="BC20" s="470">
        <f ca="1">IF(BC3-参数输入表!$I$250&lt;=0,IF($C$20-BC3&gt;=0,$P$42/2*(参数输入表!$I$251/12)*BC2*(1-BC6),($P$41-$P$44)*(参数输入表!$I$251/12)*BC2*(1-BC6)),0)</f>
        <v>0</v>
      </c>
      <c r="BD20" s="470">
        <f ca="1">IF(BD3-参数输入表!$I$250&lt;=0,IF($C$20-BD3&gt;=0,$P$42/2*(参数输入表!$I$251/12)*BD2*(1-BD6),($P$41-$P$44)*(参数输入表!$I$251/12)*BD2*(1-BD6)),0)</f>
        <v>0</v>
      </c>
      <c r="BE20" s="471">
        <f ca="1">IF(BE3-参数输入表!$I$250&lt;=0,IF($C$20-BE3&gt;=0,$P$42/2*(参数输入表!$I$251/12)*BE2*(1-BE6),($P$41-$P$44)*(参数输入表!$I$251/12)*BE2*(1-BE6)),0)</f>
        <v>0</v>
      </c>
    </row>
    <row r="21" s="192" customFormat="1" spans="2:57">
      <c r="B21" s="48"/>
      <c r="C21" s="469">
        <v>47848</v>
      </c>
      <c r="D21" s="466">
        <f ca="1" t="shared" si="5"/>
        <v>0</v>
      </c>
      <c r="E21" s="50" t="s">
        <v>130</v>
      </c>
      <c r="F21" s="472"/>
      <c r="G21" s="472"/>
      <c r="H21" s="472"/>
      <c r="I21" s="472"/>
      <c r="J21" s="472"/>
      <c r="K21" s="472"/>
      <c r="L21" s="472"/>
      <c r="M21" s="472"/>
      <c r="N21" s="472"/>
      <c r="O21" s="472"/>
      <c r="P21" s="472"/>
      <c r="Q21" s="470">
        <f ca="1">IF(Q3-参数输入表!$I$250&lt;=0,IF($C$21-Q3&gt;=0,$Q$42/2*(参数输入表!$I$251/12)*Q2*(1-Q6),($Q$41-$Q$44)*(参数输入表!$I$251/12)*Q2*(1-Q6)),0)</f>
        <v>0</v>
      </c>
      <c r="R21" s="470">
        <f ca="1">IF(R3-参数输入表!$I$250&lt;=0,IF($C$21-R3&gt;=0,$Q$42/2*(参数输入表!$I$251/12)*R2*(1-R6),($Q$41-$Q$44)*(参数输入表!$I$251/12)*R2*(1-R6)),0)</f>
        <v>0</v>
      </c>
      <c r="S21" s="470">
        <f ca="1">IF(S3-参数输入表!$I$250&lt;=0,IF($C$21-S3&gt;=0,$Q$42/2*(参数输入表!$I$251/12)*S2*(1-S6),($Q$41-$Q$44)*(参数输入表!$I$251/12)*S2*(1-S6)),0)</f>
        <v>0</v>
      </c>
      <c r="T21" s="470">
        <f ca="1">IF(T3-参数输入表!$I$250&lt;=0,IF($C$21-T3&gt;=0,$Q$42/2*(参数输入表!$I$251/12)*T2*(1-T6),($Q$41-$Q$44)*(参数输入表!$I$251/12)*T2*(1-T6)),0)</f>
        <v>0</v>
      </c>
      <c r="U21" s="470">
        <f ca="1">IF(U3-参数输入表!$I$250&lt;=0,IF($C$21-U3&gt;=0,$Q$42/2*(参数输入表!$I$251/12)*U2*(1-U6),($Q$41-$Q$44)*(参数输入表!$I$251/12)*U2*(1-U6)),0)</f>
        <v>0</v>
      </c>
      <c r="V21" s="470">
        <f ca="1">IF(V3-参数输入表!$I$250&lt;=0,IF($C$21-V3&gt;=0,$Q$42/2*(参数输入表!$I$251/12)*V2*(1-V6),($Q$41-$Q$44)*(参数输入表!$I$251/12)*V2*(1-V6)),0)</f>
        <v>0</v>
      </c>
      <c r="W21" s="470">
        <f ca="1">IF(W3-参数输入表!$I$250&lt;=0,IF($C$21-W3&gt;=0,$Q$42/2*(参数输入表!$I$251/12)*W2*(1-W6),($Q$41-$Q$44)*(参数输入表!$I$251/12)*W2*(1-W6)),0)</f>
        <v>0</v>
      </c>
      <c r="X21" s="470">
        <f ca="1">IF(X3-参数输入表!$I$250&lt;=0,IF($C$21-X3&gt;=0,$Q$42/2*(参数输入表!$I$251/12)*X2*(1-X6),($Q$41-$Q$44)*(参数输入表!$I$251/12)*X2*(1-X6)),0)</f>
        <v>0</v>
      </c>
      <c r="Y21" s="470">
        <f ca="1">IF(Y3-参数输入表!$I$250&lt;=0,IF($C$21-Y3&gt;=0,$Q$42/2*(参数输入表!$I$251/12)*Y2*(1-Y6),($Q$41-$Q$44)*(参数输入表!$I$251/12)*Y2*(1-Y6)),0)</f>
        <v>0</v>
      </c>
      <c r="Z21" s="470">
        <f ca="1">IF(Z3-参数输入表!$I$250&lt;=0,IF($C$21-Z3&gt;=0,$Q$42/2*(参数输入表!$I$251/12)*Z2*(1-Z6),($Q$41-$Q$44)*(参数输入表!$I$251/12)*Z2*(1-Z6)),0)</f>
        <v>0</v>
      </c>
      <c r="AA21" s="470">
        <f ca="1">IF(AA3-参数输入表!$I$250&lt;=0,IF($C$21-AA3&gt;=0,$Q$42/2*(参数输入表!$I$251/12)*AA2*(1-AA6),($Q$41-$Q$44)*(参数输入表!$I$251/12)*AA2*(1-AA6)),0)</f>
        <v>0</v>
      </c>
      <c r="AB21" s="470">
        <f ca="1">IF(AB3-参数输入表!$I$250&lt;=0,IF($C$21-AB3&gt;=0,$Q$42/2*(参数输入表!$I$251/12)*AB2*(1-AB6),($Q$41-$Q$44)*(参数输入表!$I$251/12)*AB2*(1-AB6)),0)</f>
        <v>0</v>
      </c>
      <c r="AC21" s="470">
        <f ca="1">IF(AC3-参数输入表!$I$250&lt;=0,IF($C$21-AC3&gt;=0,$Q$42/2*(参数输入表!$I$251/12)*AC2*(1-AC6),($Q$41-$Q$44)*(参数输入表!$I$251/12)*AC2*(1-AC6)),0)</f>
        <v>0</v>
      </c>
      <c r="AD21" s="470">
        <f ca="1">IF(AD3-参数输入表!$I$250&lt;=0,IF($C$21-AD3&gt;=0,$Q$42/2*(参数输入表!$I$251/12)*AD2*(1-AD6),($Q$41-$Q$44)*(参数输入表!$I$251/12)*AD2*(1-AD6)),0)</f>
        <v>0</v>
      </c>
      <c r="AE21" s="470">
        <f ca="1">IF(AE3-参数输入表!$I$250&lt;=0,IF($C$21-AE3&gt;=0,$Q$42/2*(参数输入表!$I$251/12)*AE2*(1-AE6),($Q$41-$Q$44)*(参数输入表!$I$251/12)*AE2*(1-AE6)),0)</f>
        <v>0</v>
      </c>
      <c r="AF21" s="470">
        <f ca="1">IF(AF3-参数输入表!$I$250&lt;=0,IF($C$21-AF3&gt;=0,$Q$42/2*(参数输入表!$I$251/12)*AF2*(1-AF6),($Q$41-$Q$44)*(参数输入表!$I$251/12)*AF2*(1-AF6)),0)</f>
        <v>0</v>
      </c>
      <c r="AG21" s="470">
        <f ca="1">IF(AG3-参数输入表!$I$250&lt;=0,IF($C$21-AG3&gt;=0,$Q$42/2*(参数输入表!$I$251/12)*AG2*(1-AG6),($Q$41-$Q$44)*(参数输入表!$I$251/12)*AG2*(1-AG6)),0)</f>
        <v>0</v>
      </c>
      <c r="AH21" s="470">
        <f ca="1">IF(AH3-参数输入表!$I$250&lt;=0,IF($C$21-AH3&gt;=0,$Q$42/2*(参数输入表!$I$251/12)*AH2*(1-AH6),($Q$41-$Q$44)*(参数输入表!$I$251/12)*AH2*(1-AH6)),0)</f>
        <v>0</v>
      </c>
      <c r="AI21" s="470">
        <f ca="1">IF(AI3-参数输入表!$I$250&lt;=0,IF($C$21-AI3&gt;=0,$Q$42/2*(参数输入表!$I$251/12)*AI2*(1-AI6),($Q$41-$Q$44)*(参数输入表!$I$251/12)*AI2*(1-AI6)),0)</f>
        <v>0</v>
      </c>
      <c r="AJ21" s="470">
        <f ca="1">IF(AJ3-参数输入表!$I$250&lt;=0,IF($C$21-AJ3&gt;=0,$Q$42/2*(参数输入表!$I$251/12)*AJ2*(1-AJ6),($Q$41-$Q$44)*(参数输入表!$I$251/12)*AJ2*(1-AJ6)),0)</f>
        <v>0</v>
      </c>
      <c r="AK21" s="470">
        <f ca="1">IF(AK3-参数输入表!$I$250&lt;=0,IF($C$21-AK3&gt;=0,$Q$42/2*(参数输入表!$I$251/12)*AK2*(1-AK6),($Q$41-$Q$44)*(参数输入表!$I$251/12)*AK2*(1-AK6)),0)</f>
        <v>0</v>
      </c>
      <c r="AL21" s="470">
        <f ca="1">IF(AL3-参数输入表!$I$250&lt;=0,IF($C$21-AL3&gt;=0,$Q$42/2*(参数输入表!$I$251/12)*AL2*(1-AL6),($Q$41-$Q$44)*(参数输入表!$I$251/12)*AL2*(1-AL6)),0)</f>
        <v>0</v>
      </c>
      <c r="AM21" s="470">
        <f ca="1">IF(AM3-参数输入表!$I$250&lt;=0,IF($C$21-AM3&gt;=0,$Q$42/2*(参数输入表!$I$251/12)*AM2*(1-AM6),($Q$41-$Q$44)*(参数输入表!$I$251/12)*AM2*(1-AM6)),0)</f>
        <v>0</v>
      </c>
      <c r="AN21" s="470">
        <f ca="1">IF(AN3-参数输入表!$I$250&lt;=0,IF($C$21-AN3&gt;=0,$Q$42/2*(参数输入表!$I$251/12)*AN2*(1-AN6),($Q$41-$Q$44)*(参数输入表!$I$251/12)*AN2*(1-AN6)),0)</f>
        <v>0</v>
      </c>
      <c r="AO21" s="470">
        <f ca="1">IF(AO3-参数输入表!$I$250&lt;=0,IF($C$21-AO3&gt;=0,$Q$42/2*(参数输入表!$I$251/12)*AO2*(1-AO6),($Q$41-$Q$44)*(参数输入表!$I$251/12)*AO2*(1-AO6)),0)</f>
        <v>0</v>
      </c>
      <c r="AP21" s="470">
        <f ca="1">IF(AP3-参数输入表!$I$250&lt;=0,IF($C$21-AP3&gt;=0,$Q$42/2*(参数输入表!$I$251/12)*AP2*(1-AP6),($Q$41-$Q$44)*(参数输入表!$I$251/12)*AP2*(1-AP6)),0)</f>
        <v>0</v>
      </c>
      <c r="AQ21" s="470">
        <f ca="1">IF(AQ3-参数输入表!$I$250&lt;=0,IF($C$21-AQ3&gt;=0,$Q$42/2*(参数输入表!$I$251/12)*AQ2*(1-AQ6),($Q$41-$Q$44)*(参数输入表!$I$251/12)*AQ2*(1-AQ6)),0)</f>
        <v>0</v>
      </c>
      <c r="AR21" s="470">
        <f ca="1">IF(AR3-参数输入表!$I$250&lt;=0,IF($C$21-AR3&gt;=0,$Q$42/2*(参数输入表!$I$251/12)*AR2*(1-AR6),($Q$41-$Q$44)*(参数输入表!$I$251/12)*AR2*(1-AR6)),0)</f>
        <v>0</v>
      </c>
      <c r="AS21" s="470">
        <f ca="1">IF(AS3-参数输入表!$I$250&lt;=0,IF($C$21-AS3&gt;=0,$Q$42/2*(参数输入表!$I$251/12)*AS2*(1-AS6),($Q$41-$Q$44)*(参数输入表!$I$251/12)*AS2*(1-AS6)),0)</f>
        <v>0</v>
      </c>
      <c r="AT21" s="470">
        <f ca="1">IF(AT3-参数输入表!$I$250&lt;=0,IF($C$21-AT3&gt;=0,$Q$42/2*(参数输入表!$I$251/12)*AT2*(1-AT6),($Q$41-$Q$44)*(参数输入表!$I$251/12)*AT2*(1-AT6)),0)</f>
        <v>0</v>
      </c>
      <c r="AU21" s="470">
        <f ca="1">IF(AU3-参数输入表!$I$250&lt;=0,IF($C$21-AU3&gt;=0,$Q$42/2*(参数输入表!$I$251/12)*AU2*(1-AU6),($Q$41-$Q$44)*(参数输入表!$I$251/12)*AU2*(1-AU6)),0)</f>
        <v>0</v>
      </c>
      <c r="AV21" s="470">
        <f ca="1">IF(AV3-参数输入表!$I$250&lt;=0,IF($C$21-AV3&gt;=0,$Q$42/2*(参数输入表!$I$251/12)*AV2*(1-AV6),($Q$41-$Q$44)*(参数输入表!$I$251/12)*AV2*(1-AV6)),0)</f>
        <v>0</v>
      </c>
      <c r="AW21" s="470">
        <f ca="1">IF(AW3-参数输入表!$I$250&lt;=0,IF($C$21-AW3&gt;=0,$Q$42/2*(参数输入表!$I$251/12)*AW2*(1-AW6),($Q$41-$Q$44)*(参数输入表!$I$251/12)*AW2*(1-AW6)),0)</f>
        <v>0</v>
      </c>
      <c r="AX21" s="470">
        <f ca="1">IF(AX3-参数输入表!$I$250&lt;=0,IF($C$21-AX3&gt;=0,$Q$42/2*(参数输入表!$I$251/12)*AX2*(1-AX6),($Q$41-$Q$44)*(参数输入表!$I$251/12)*AX2*(1-AX6)),0)</f>
        <v>0</v>
      </c>
      <c r="AY21" s="470">
        <f ca="1">IF(AY3-参数输入表!$I$250&lt;=0,IF($C$21-AY3&gt;=0,$Q$42/2*(参数输入表!$I$251/12)*AY2*(1-AY6),($Q$41-$Q$44)*(参数输入表!$I$251/12)*AY2*(1-AY6)),0)</f>
        <v>0</v>
      </c>
      <c r="AZ21" s="470">
        <f ca="1">IF(AZ3-参数输入表!$I$250&lt;=0,IF($C$21-AZ3&gt;=0,$Q$42/2*(参数输入表!$I$251/12)*AZ2*(1-AZ6),($Q$41-$Q$44)*(参数输入表!$I$251/12)*AZ2*(1-AZ6)),0)</f>
        <v>0</v>
      </c>
      <c r="BA21" s="470">
        <f ca="1">IF(BA3-参数输入表!$I$250&lt;=0,IF($C$21-BA3&gt;=0,$Q$42/2*(参数输入表!$I$251/12)*BA2*(1-BA6),($Q$41-$Q$44)*(参数输入表!$I$251/12)*BA2*(1-BA6)),0)</f>
        <v>0</v>
      </c>
      <c r="BB21" s="470">
        <f ca="1">IF(BB3-参数输入表!$I$250&lt;=0,IF($C$21-BB3&gt;=0,$Q$42/2*(参数输入表!$I$251/12)*BB2*(1-BB6),($Q$41-$Q$44)*(参数输入表!$I$251/12)*BB2*(1-BB6)),0)</f>
        <v>0</v>
      </c>
      <c r="BC21" s="470">
        <f ca="1">IF(BC3-参数输入表!$I$250&lt;=0,IF($C$21-BC3&gt;=0,$Q$42/2*(参数输入表!$I$251/12)*BC2*(1-BC6),($Q$41-$Q$44)*(参数输入表!$I$251/12)*BC2*(1-BC6)),0)</f>
        <v>0</v>
      </c>
      <c r="BD21" s="470">
        <f ca="1">IF(BD3-参数输入表!$I$250&lt;=0,IF($C$21-BD3&gt;=0,$Q$42/2*(参数输入表!$I$251/12)*BD2*(1-BD6),($Q$41-$Q$44)*(参数输入表!$I$251/12)*BD2*(1-BD6)),0)</f>
        <v>0</v>
      </c>
      <c r="BE21" s="471">
        <f ca="1">IF(BE3-参数输入表!$I$250&lt;=0,IF($C$21-BE3&gt;=0,$Q$42/2*(参数输入表!$I$251/12)*BE2*(1-BE6),($Q$41-$Q$44)*(参数输入表!$I$251/12)*BE2*(1-BE6)),0)</f>
        <v>0</v>
      </c>
    </row>
    <row r="22" s="4" customFormat="1" spans="2:57">
      <c r="B22" s="301"/>
      <c r="C22" s="473" t="s">
        <v>505</v>
      </c>
      <c r="D22" s="474">
        <f ca="1" t="shared" ref="D22:D35" si="6">SUM(F22:BE22)</f>
        <v>109570.40075101</v>
      </c>
      <c r="E22" s="475" t="s">
        <v>130</v>
      </c>
      <c r="F22" s="476">
        <f ca="1">SUM(F23:F34)</f>
        <v>75.7524755167835</v>
      </c>
      <c r="G22" s="476">
        <f ca="1" t="shared" ref="G22:Q22" si="7">SUM(G23:G34)</f>
        <v>1479.00553557884</v>
      </c>
      <c r="H22" s="476">
        <f ca="1" t="shared" si="7"/>
        <v>4553.25359227673</v>
      </c>
      <c r="I22" s="476">
        <f ca="1" t="shared" si="7"/>
        <v>7844.98809417524</v>
      </c>
      <c r="J22" s="476">
        <f ca="1" t="shared" si="7"/>
        <v>11598.1906477209</v>
      </c>
      <c r="K22" s="476">
        <f ca="1" t="shared" si="7"/>
        <v>16244.5729268444</v>
      </c>
      <c r="L22" s="476">
        <f ca="1" t="shared" si="7"/>
        <v>21453.352480569</v>
      </c>
      <c r="M22" s="476">
        <f ca="1" t="shared" si="7"/>
        <v>17012.1138348071</v>
      </c>
      <c r="N22" s="476">
        <f ca="1" t="shared" si="7"/>
        <v>9317.86656798074</v>
      </c>
      <c r="O22" s="476">
        <f ca="1" t="shared" si="7"/>
        <v>17392.6380691867</v>
      </c>
      <c r="P22" s="476">
        <f ca="1" t="shared" si="7"/>
        <v>2598.66652635376</v>
      </c>
      <c r="Q22" s="476">
        <f ca="1" t="shared" si="7"/>
        <v>0</v>
      </c>
      <c r="R22" s="476">
        <f ca="1" t="shared" ref="R22:BE22" si="8">SUM(R23:R34)</f>
        <v>0</v>
      </c>
      <c r="S22" s="476">
        <f ca="1" t="shared" si="8"/>
        <v>0</v>
      </c>
      <c r="T22" s="476">
        <f ca="1" t="shared" si="8"/>
        <v>0</v>
      </c>
      <c r="U22" s="476">
        <f ca="1" t="shared" si="8"/>
        <v>0</v>
      </c>
      <c r="V22" s="476">
        <f ca="1" t="shared" si="8"/>
        <v>0</v>
      </c>
      <c r="W22" s="476">
        <f ca="1" t="shared" si="8"/>
        <v>0</v>
      </c>
      <c r="X22" s="476">
        <f ca="1" t="shared" si="8"/>
        <v>0</v>
      </c>
      <c r="Y22" s="476">
        <f ca="1" t="shared" si="8"/>
        <v>0</v>
      </c>
      <c r="Z22" s="476">
        <f ca="1" t="shared" si="8"/>
        <v>0</v>
      </c>
      <c r="AA22" s="476">
        <f ca="1" t="shared" si="8"/>
        <v>0</v>
      </c>
      <c r="AB22" s="476">
        <f ca="1" t="shared" si="8"/>
        <v>0</v>
      </c>
      <c r="AC22" s="476">
        <f ca="1" t="shared" si="8"/>
        <v>0</v>
      </c>
      <c r="AD22" s="476">
        <f ca="1" t="shared" si="8"/>
        <v>0</v>
      </c>
      <c r="AE22" s="476">
        <f ca="1" t="shared" si="8"/>
        <v>0</v>
      </c>
      <c r="AF22" s="476">
        <f ca="1" t="shared" si="8"/>
        <v>0</v>
      </c>
      <c r="AG22" s="476">
        <f ca="1" t="shared" si="8"/>
        <v>0</v>
      </c>
      <c r="AH22" s="476">
        <f ca="1" t="shared" si="8"/>
        <v>0</v>
      </c>
      <c r="AI22" s="476">
        <f ca="1" t="shared" si="8"/>
        <v>0</v>
      </c>
      <c r="AJ22" s="476">
        <f ca="1" t="shared" si="8"/>
        <v>0</v>
      </c>
      <c r="AK22" s="476">
        <f ca="1" t="shared" si="8"/>
        <v>0</v>
      </c>
      <c r="AL22" s="476">
        <f ca="1" t="shared" si="8"/>
        <v>0</v>
      </c>
      <c r="AM22" s="476">
        <f ca="1" t="shared" si="8"/>
        <v>0</v>
      </c>
      <c r="AN22" s="476">
        <f ca="1" t="shared" si="8"/>
        <v>0</v>
      </c>
      <c r="AO22" s="476">
        <f ca="1" t="shared" si="8"/>
        <v>0</v>
      </c>
      <c r="AP22" s="476">
        <f ca="1" t="shared" si="8"/>
        <v>0</v>
      </c>
      <c r="AQ22" s="476">
        <f ca="1" t="shared" si="8"/>
        <v>0</v>
      </c>
      <c r="AR22" s="476">
        <f ca="1" t="shared" si="8"/>
        <v>0</v>
      </c>
      <c r="AS22" s="476">
        <f ca="1" t="shared" si="8"/>
        <v>0</v>
      </c>
      <c r="AT22" s="476">
        <f ca="1" t="shared" si="8"/>
        <v>0</v>
      </c>
      <c r="AU22" s="476">
        <f ca="1" t="shared" si="8"/>
        <v>0</v>
      </c>
      <c r="AV22" s="476">
        <f ca="1" t="shared" si="8"/>
        <v>0</v>
      </c>
      <c r="AW22" s="476">
        <f ca="1" t="shared" si="8"/>
        <v>0</v>
      </c>
      <c r="AX22" s="476">
        <f ca="1" t="shared" si="8"/>
        <v>0</v>
      </c>
      <c r="AY22" s="476">
        <f ca="1" t="shared" si="8"/>
        <v>0</v>
      </c>
      <c r="AZ22" s="476">
        <f ca="1" t="shared" si="8"/>
        <v>0</v>
      </c>
      <c r="BA22" s="476">
        <f ca="1" t="shared" si="8"/>
        <v>0</v>
      </c>
      <c r="BB22" s="476">
        <f ca="1" t="shared" si="8"/>
        <v>0</v>
      </c>
      <c r="BC22" s="476">
        <f ca="1" t="shared" si="8"/>
        <v>0</v>
      </c>
      <c r="BD22" s="476">
        <f ca="1" t="shared" si="8"/>
        <v>0</v>
      </c>
      <c r="BE22" s="477">
        <f ca="1" t="shared" si="8"/>
        <v>0</v>
      </c>
    </row>
    <row r="23" s="4" customFormat="1" spans="2:57">
      <c r="B23" s="478"/>
      <c r="C23" s="469">
        <v>45016</v>
      </c>
      <c r="D23" s="466">
        <f ca="1" t="shared" si="6"/>
        <v>6835.84184174818</v>
      </c>
      <c r="E23" s="50" t="s">
        <v>130</v>
      </c>
      <c r="F23" s="479">
        <f ca="1">IF(F3-参数输入表!$I$250&lt;=0,IF($C$23-F3&gt;=0,$F$42/2*(参数输入表!$I$251/12)*F2,($F$41-$F$44)*(参数输入表!$I$251/12)*F2),0)</f>
        <v>75.7524755167835</v>
      </c>
      <c r="G23" s="479">
        <f ca="1">IF(G3-参数输入表!$I$250&lt;=0,IF($C$23-G3&gt;=0,$F$42/2*(参数输入表!$I$251/12)*G2,($F$41-$F$44)*(参数输入表!$I$251/12)*G2),0)</f>
        <v>683.604542652614</v>
      </c>
      <c r="H23" s="479">
        <f ca="1">IF(H3-参数输入表!$I$250&lt;=0,IF($C$23-H3&gt;=0,$F$42/2*(参数输入表!$I$251/12)*H2,($F$41-$F$44)*(参数输入表!$I$251/12)*H2),0)</f>
        <v>911.472723536818</v>
      </c>
      <c r="I23" s="479">
        <f ca="1">IF(I3-参数输入表!$I$250&lt;=0,IF($C$23-I3&gt;=0,$F$42/2*(参数输入表!$I$251/12)*I2,($F$41-$F$44)*(参数输入表!$I$251/12)*I2),0)</f>
        <v>911.472723536818</v>
      </c>
      <c r="J23" s="479">
        <f ca="1">IF(J3-参数输入表!$I$250&lt;=0,IF($C$23-J3&gt;=0,$F$42/2*(参数输入表!$I$251/12)*J2,($F$41-$F$44)*(参数输入表!$I$251/12)*J2),0)</f>
        <v>911.472723536818</v>
      </c>
      <c r="K23" s="479">
        <f ca="1">IF(K3-参数输入表!$I$250&lt;=0,IF($C$23-K3&gt;=0,$F$42/2*(参数输入表!$I$251/12)*K2,($F$41-$F$44)*(参数输入表!$I$251/12)*K2),0)</f>
        <v>911.472723536818</v>
      </c>
      <c r="L23" s="479">
        <f ca="1">IF(L3-参数输入表!$I$250&lt;=0,IF($C$23-L3&gt;=0,$F$42/2*(参数输入表!$I$251/12)*L2,($F$41-$F$44)*(参数输入表!$I$251/12)*L2),0)</f>
        <v>911.472723536818</v>
      </c>
      <c r="M23" s="479">
        <f ca="1">IF(M3-参数输入表!$I$250&lt;=0,IF($C$23-M3&gt;=0,$F$42/2*(参数输入表!$I$251/12)*M2,($F$41-$F$44)*(参数输入表!$I$251/12)*M2),0)</f>
        <v>607.648482357879</v>
      </c>
      <c r="N23" s="479">
        <f ca="1">IF(N3-参数输入表!$I$250&lt;=0,IF($C$23-N3&gt;=0,$F$42/2*(参数输入表!$I$251/12)*N2,($F$41-$F$44)*(参数输入表!$I$251/12)*N2),0)</f>
        <v>303.824241178939</v>
      </c>
      <c r="O23" s="479">
        <f ca="1">IF(O3-参数输入表!$I$250&lt;=0,IF($C$23-O3&gt;=0,$F$42/2*(参数输入表!$I$251/12)*O2,($F$41-$F$44)*(参数输入表!$I$251/12)*O2),0)</f>
        <v>531.692422063144</v>
      </c>
      <c r="P23" s="479">
        <f ca="1">IF(P3-参数输入表!$I$250&lt;=0,IF($C$23-P3&gt;=0,$F$42/2*(参数输入表!$I$251/12)*P2,($F$41-$F$44)*(参数输入表!$I$251/12)*P2),0)</f>
        <v>75.9560602947348</v>
      </c>
      <c r="Q23" s="479">
        <f ca="1">IF(Q3-参数输入表!$I$250&lt;=0,IF($C$23-Q3&gt;=0,$F$42/2*(参数输入表!$I$251/12)*Q2,($F$41-$F$44)*(参数输入表!$I$251/12)*Q2),0)</f>
        <v>0</v>
      </c>
      <c r="R23" s="479">
        <f ca="1">IF(R3-参数输入表!$I$250&lt;=0,IF($C$23-R3&gt;=0,$F$42/2*(参数输入表!$I$251/12)*R2,($F$41-$F$44)*(参数输入表!$I$251/12)*R2),0)</f>
        <v>0</v>
      </c>
      <c r="S23" s="479">
        <f ca="1">IF(S3-参数输入表!$I$250&lt;=0,IF($C$23-S3&gt;=0,$F$42/2*(参数输入表!$I$251/12)*S2,($F$41-$F$44)*(参数输入表!$I$251/12)*S2),0)</f>
        <v>0</v>
      </c>
      <c r="T23" s="479">
        <f ca="1">IF(T3-参数输入表!$I$250&lt;=0,IF($C$23-T3&gt;=0,$F$42/2*(参数输入表!$I$251/12)*T2,($F$41-$F$44)*(参数输入表!$I$251/12)*T2),0)</f>
        <v>0</v>
      </c>
      <c r="U23" s="479">
        <f ca="1">IF(U3-参数输入表!$I$250&lt;=0,IF($C$23-U3&gt;=0,$F$42/2*(参数输入表!$I$251/12)*U2,($F$41-$F$44)*(参数输入表!$I$251/12)*U2),0)</f>
        <v>0</v>
      </c>
      <c r="V23" s="479">
        <f ca="1">IF(V3-参数输入表!$I$250&lt;=0,IF($C$23-V3&gt;=0,$F$42/2*(参数输入表!$I$251/12)*V2,($F$41-$F$44)*(参数输入表!$I$251/12)*V2),0)</f>
        <v>0</v>
      </c>
      <c r="W23" s="479">
        <f ca="1">IF(W3-参数输入表!$I$250&lt;=0,IF($C$23-W3&gt;=0,$F$42/2*(参数输入表!$I$251/12)*W2,($F$41-$F$44)*(参数输入表!$I$251/12)*W2),0)</f>
        <v>0</v>
      </c>
      <c r="X23" s="479">
        <f ca="1">IF(X3-参数输入表!$I$250&lt;=0,IF($C$23-X3&gt;=0,$F$42/2*(参数输入表!$I$251/12)*X2,($F$41-$F$44)*(参数输入表!$I$251/12)*X2),0)</f>
        <v>0</v>
      </c>
      <c r="Y23" s="479">
        <f ca="1">IF(Y3-参数输入表!$I$250&lt;=0,IF($C$23-Y3&gt;=0,$F$42/2*(参数输入表!$I$251/12)*Y2,($F$41-$F$44)*(参数输入表!$I$251/12)*Y2),0)</f>
        <v>0</v>
      </c>
      <c r="Z23" s="479">
        <f ca="1">IF(Z3-参数输入表!$I$250&lt;=0,IF($C$23-Z3&gt;=0,$F$42/2*(参数输入表!$I$251/12)*Z2,($F$41-$F$44)*(参数输入表!$I$251/12)*Z2),0)</f>
        <v>0</v>
      </c>
      <c r="AA23" s="479">
        <f ca="1">IF(AA3-参数输入表!$I$250&lt;=0,IF($C$23-AA3&gt;=0,$F$42/2*(参数输入表!$I$251/12)*AA2,($F$41-$F$44)*(参数输入表!$I$251/12)*AA2),0)</f>
        <v>0</v>
      </c>
      <c r="AB23" s="479">
        <f ca="1">IF(AB3-参数输入表!$I$250&lt;=0,IF($C$23-AB3&gt;=0,$F$42/2*(参数输入表!$I$251/12)*AB2,($F$41-$F$44)*(参数输入表!$I$251/12)*AB2),0)</f>
        <v>0</v>
      </c>
      <c r="AC23" s="479">
        <f ca="1">IF(AC3-参数输入表!$I$250&lt;=0,IF($C$23-AC3&gt;=0,$F$42/2*(参数输入表!$I$251/12)*AC2,($F$41-$F$44)*(参数输入表!$I$251/12)*AC2),0)</f>
        <v>0</v>
      </c>
      <c r="AD23" s="479">
        <f ca="1">IF(AD3-参数输入表!$I$250&lt;=0,IF($C$23-AD3&gt;=0,$F$42/2*(参数输入表!$I$251/12)*AD2,($F$41-$F$44)*(参数输入表!$I$251/12)*AD2),0)</f>
        <v>0</v>
      </c>
      <c r="AE23" s="479">
        <f ca="1">IF(AE3-参数输入表!$I$250&lt;=0,IF($C$23-AE3&gt;=0,$F$42/2*(参数输入表!$I$251/12)*AE2,($F$41-$F$44)*(参数输入表!$I$251/12)*AE2),0)</f>
        <v>0</v>
      </c>
      <c r="AF23" s="479">
        <f ca="1">IF(AF3-参数输入表!$I$250&lt;=0,IF($C$23-AF3&gt;=0,$F$42/2*(参数输入表!$I$251/12)*AF2,($F$41-$F$44)*(参数输入表!$I$251/12)*AF2),0)</f>
        <v>0</v>
      </c>
      <c r="AG23" s="479">
        <f ca="1">IF(AG3-参数输入表!$I$250&lt;=0,IF($C$23-AG3&gt;=0,$F$42/2*(参数输入表!$I$251/12)*AG2,($F$41-$F$44)*(参数输入表!$I$251/12)*AG2),0)</f>
        <v>0</v>
      </c>
      <c r="AH23" s="479">
        <f ca="1">IF(AH3-参数输入表!$I$250&lt;=0,IF($C$23-AH3&gt;=0,$F$42/2*(参数输入表!$I$251/12)*AH2,($F$41-$F$44)*(参数输入表!$I$251/12)*AH2),0)</f>
        <v>0</v>
      </c>
      <c r="AI23" s="479">
        <f ca="1">IF(AI3-参数输入表!$I$250&lt;=0,IF($C$23-AI3&gt;=0,$F$42/2*(参数输入表!$I$251/12)*AI2,($F$41-$F$44)*(参数输入表!$I$251/12)*AI2),0)</f>
        <v>0</v>
      </c>
      <c r="AJ23" s="479">
        <f ca="1">IF(AJ3-参数输入表!$I$250&lt;=0,IF($C$23-AJ3&gt;=0,$F$42/2*(参数输入表!$I$251/12)*AJ2,($F$41-$F$44)*(参数输入表!$I$251/12)*AJ2),0)</f>
        <v>0</v>
      </c>
      <c r="AK23" s="479">
        <f ca="1">IF(AK3-参数输入表!$I$250&lt;=0,IF($C$23-AK3&gt;=0,$F$42/2*(参数输入表!$I$251/12)*AK2,($F$41-$F$44)*(参数输入表!$I$251/12)*AK2),0)</f>
        <v>0</v>
      </c>
      <c r="AL23" s="479">
        <f ca="1">IF(AL3-参数输入表!$I$250&lt;=0,IF($C$23-AL3&gt;=0,$F$42/2*(参数输入表!$I$251/12)*AL2,($F$41-$F$44)*(参数输入表!$I$251/12)*AL2),0)</f>
        <v>0</v>
      </c>
      <c r="AM23" s="479">
        <f ca="1">IF(AM3-参数输入表!$I$250&lt;=0,IF($C$23-AM3&gt;=0,$F$42/2*(参数输入表!$I$251/12)*AM2,($F$41-$F$44)*(参数输入表!$I$251/12)*AM2),0)</f>
        <v>0</v>
      </c>
      <c r="AN23" s="479">
        <f ca="1">IF(AN3-参数输入表!$I$250&lt;=0,IF($C$23-AN3&gt;=0,$F$42/2*(参数输入表!$I$251/12)*AN2,($F$41-$F$44)*(参数输入表!$I$251/12)*AN2),0)</f>
        <v>0</v>
      </c>
      <c r="AO23" s="479">
        <f ca="1">IF(AO3-参数输入表!$I$250&lt;=0,IF($C$23-AO3&gt;=0,$F$42/2*(参数输入表!$I$251/12)*AO2,($F$41-$F$44)*(参数输入表!$I$251/12)*AO2),0)</f>
        <v>0</v>
      </c>
      <c r="AP23" s="479">
        <f ca="1">IF(AP3-参数输入表!$I$250&lt;=0,IF($C$23-AP3&gt;=0,$F$42/2*(参数输入表!$I$251/12)*AP2,($F$41-$F$44)*(参数输入表!$I$251/12)*AP2),0)</f>
        <v>0</v>
      </c>
      <c r="AQ23" s="479">
        <f ca="1">IF(AQ3-参数输入表!$I$250&lt;=0,IF($C$23-AQ3&gt;=0,$F$42/2*(参数输入表!$I$251/12)*AQ2,($F$41-$F$44)*(参数输入表!$I$251/12)*AQ2),0)</f>
        <v>0</v>
      </c>
      <c r="AR23" s="479">
        <f ca="1">IF(AR3-参数输入表!$I$250&lt;=0,IF($C$23-AR3&gt;=0,$F$42/2*(参数输入表!$I$251/12)*AR2,($F$41-$F$44)*(参数输入表!$I$251/12)*AR2),0)</f>
        <v>0</v>
      </c>
      <c r="AS23" s="479">
        <f ca="1">IF(AS3-参数输入表!$I$250&lt;=0,IF($C$23-AS3&gt;=0,$F$42/2*(参数输入表!$I$251/12)*AS2,($F$41-$F$44)*(参数输入表!$I$251/12)*AS2),0)</f>
        <v>0</v>
      </c>
      <c r="AT23" s="479">
        <f ca="1">IF(AT3-参数输入表!$I$250&lt;=0,IF($C$23-AT3&gt;=0,$F$42/2*(参数输入表!$I$251/12)*AT2,($F$41-$F$44)*(参数输入表!$I$251/12)*AT2),0)</f>
        <v>0</v>
      </c>
      <c r="AU23" s="479">
        <f ca="1">IF(AU3-参数输入表!$I$250&lt;=0,IF($C$23-AU3&gt;=0,$F$42/2*(参数输入表!$I$251/12)*AU2,($F$41-$F$44)*(参数输入表!$I$251/12)*AU2),0)</f>
        <v>0</v>
      </c>
      <c r="AV23" s="479">
        <f ca="1">IF(AV3-参数输入表!$I$250&lt;=0,IF($C$23-AV3&gt;=0,$F$42/2*(参数输入表!$I$251/12)*AV2,($F$41-$F$44)*(参数输入表!$I$251/12)*AV2),0)</f>
        <v>0</v>
      </c>
      <c r="AW23" s="479">
        <f ca="1">IF(AW3-参数输入表!$I$250&lt;=0,IF($C$23-AW3&gt;=0,$F$42/2*(参数输入表!$I$251/12)*AW2,($F$41-$F$44)*(参数输入表!$I$251/12)*AW2),0)</f>
        <v>0</v>
      </c>
      <c r="AX23" s="479">
        <f ca="1">IF(AX3-参数输入表!$I$250&lt;=0,IF($C$23-AX3&gt;=0,$F$42/2*(参数输入表!$I$251/12)*AX2,($F$41-$F$44)*(参数输入表!$I$251/12)*AX2),0)</f>
        <v>0</v>
      </c>
      <c r="AY23" s="479">
        <f ca="1">IF(AY3-参数输入表!$I$250&lt;=0,IF($C$23-AY3&gt;=0,$F$42/2*(参数输入表!$I$251/12)*AY2,($F$41-$F$44)*(参数输入表!$I$251/12)*AY2),0)</f>
        <v>0</v>
      </c>
      <c r="AZ23" s="479">
        <f ca="1">IF(AZ3-参数输入表!$I$250&lt;=0,IF($C$23-AZ3&gt;=0,$F$42/2*(参数输入表!$I$251/12)*AZ2,($F$41-$F$44)*(参数输入表!$I$251/12)*AZ2),0)</f>
        <v>0</v>
      </c>
      <c r="BA23" s="479">
        <f ca="1">IF(BA3-参数输入表!$I$250&lt;=0,IF($C$23-BA3&gt;=0,$F$42/2*(参数输入表!$I$251/12)*BA2,($F$41-$F$44)*(参数输入表!$I$251/12)*BA2),0)</f>
        <v>0</v>
      </c>
      <c r="BB23" s="479">
        <f ca="1">IF(BB3-参数输入表!$I$250&lt;=0,IF($C$23-BB3&gt;=0,$F$42/2*(参数输入表!$I$251/12)*BB2,($F$41-$F$44)*(参数输入表!$I$251/12)*BB2),0)</f>
        <v>0</v>
      </c>
      <c r="BC23" s="479">
        <f ca="1">IF(BC3-参数输入表!$I$250&lt;=0,IF($C$23-BC3&gt;=0,$F$42/2*(参数输入表!$I$251/12)*BC2,($F$41-$F$44)*(参数输入表!$I$251/12)*BC2),0)</f>
        <v>0</v>
      </c>
      <c r="BD23" s="479">
        <f ca="1">IF(BD3-参数输入表!$I$250&lt;=0,IF($C$23-BD3&gt;=0,$F$42/2*(参数输入表!$I$251/12)*BD2,($F$41-$F$44)*(参数输入表!$I$251/12)*BD2),0)</f>
        <v>0</v>
      </c>
      <c r="BE23" s="480">
        <f ca="1">IF(BE3-参数输入表!$I$250&lt;=0,IF($C$23-BE3&gt;=0,$F$42/2*(参数输入表!$I$251/12)*BE2,($F$41-$F$44)*(参数输入表!$I$251/12)*BE2),0)</f>
        <v>0</v>
      </c>
    </row>
    <row r="24" s="4" customFormat="1" spans="2:57">
      <c r="B24" s="478"/>
      <c r="C24" s="469">
        <v>45291</v>
      </c>
      <c r="D24" s="466">
        <f ca="1" t="shared" si="6"/>
        <v>15253.8492795419</v>
      </c>
      <c r="E24" s="50" t="s">
        <v>130</v>
      </c>
      <c r="F24" s="481"/>
      <c r="G24" s="479">
        <f ca="1">IF(G3-参数输入表!$I$250&lt;=0,IF($C$24-G3&gt;=0,$G$42/2*(参数输入表!$I$251/12)*G2,($G$41-$G$44)*(参数输入表!$I$251/12)*G2),0)</f>
        <v>795.400992926226</v>
      </c>
      <c r="H24" s="479">
        <f ca="1">IF(H3-参数输入表!$I$250&lt;=0,IF($C$24-H3&gt;=0,$G$42/2*(参数输入表!$I$251/12)*H2,($G$41-$G$44)*(参数输入表!$I$251/12)*H2),0)</f>
        <v>2168.76724299235</v>
      </c>
      <c r="I24" s="479">
        <f ca="1">IF(I3-参数输入表!$I$250&lt;=0,IF($C$24-I3&gt;=0,$G$42/2*(参数输入表!$I$251/12)*I2,($G$41-$G$44)*(参数输入表!$I$251/12)*I2),0)</f>
        <v>2168.76724299235</v>
      </c>
      <c r="J24" s="479">
        <f ca="1">IF(J3-参数输入表!$I$250&lt;=0,IF($C$24-J3&gt;=0,$G$42/2*(参数输入表!$I$251/12)*J2,($G$41-$G$44)*(参数输入表!$I$251/12)*J2),0)</f>
        <v>2168.76724299235</v>
      </c>
      <c r="K24" s="479">
        <f ca="1">IF(K3-参数输入表!$I$250&lt;=0,IF($C$24-K3&gt;=0,$G$42/2*(参数输入表!$I$251/12)*K2,($G$41-$G$44)*(参数输入表!$I$251/12)*K2),0)</f>
        <v>2168.76724299235</v>
      </c>
      <c r="L24" s="479">
        <f ca="1">IF(L3-参数输入表!$I$250&lt;=0,IF($C$24-L3&gt;=0,$G$42/2*(参数输入表!$I$251/12)*L2,($G$41-$G$44)*(参数输入表!$I$251/12)*L2),0)</f>
        <v>2168.76724299235</v>
      </c>
      <c r="M24" s="479">
        <f ca="1">IF(M3-参数输入表!$I$250&lt;=0,IF($C$24-M3&gt;=0,$G$42/2*(参数输入表!$I$251/12)*M2,($G$41-$G$44)*(参数输入表!$I$251/12)*M2),0)</f>
        <v>1445.84482866157</v>
      </c>
      <c r="N24" s="479">
        <f ca="1">IF(N3-参数输入表!$I$250&lt;=0,IF($C$24-N3&gt;=0,$G$42/2*(参数输入表!$I$251/12)*N2,($G$41-$G$44)*(参数输入表!$I$251/12)*N2),0)</f>
        <v>722.922414330784</v>
      </c>
      <c r="O24" s="479">
        <f ca="1">IF(O3-参数输入表!$I$250&lt;=0,IF($C$24-O3&gt;=0,$G$42/2*(参数输入表!$I$251/12)*O2,($G$41-$G$44)*(参数输入表!$I$251/12)*O2),0)</f>
        <v>1265.11422507887</v>
      </c>
      <c r="P24" s="479">
        <f ca="1">IF(P3-参数输入表!$I$250&lt;=0,IF($C$24-P3&gt;=0,$G$42/2*(参数输入表!$I$251/12)*P2,($G$41-$G$44)*(参数输入表!$I$251/12)*P2),0)</f>
        <v>180.730603582696</v>
      </c>
      <c r="Q24" s="479">
        <f ca="1">IF(Q3-参数输入表!$I$250&lt;=0,IF($C$24-Q3&gt;=0,$G$42/2*(参数输入表!$I$251/12)*Q2,($G$41-$G$44)*(参数输入表!$I$251/12)*Q2),0)</f>
        <v>0</v>
      </c>
      <c r="R24" s="479">
        <f ca="1">IF(R3-参数输入表!$I$250&lt;=0,IF($C$24-R3&gt;=0,$G$42/2*(参数输入表!$I$251/12)*R2,($G$41-$G$44)*(参数输入表!$I$251/12)*R2),0)</f>
        <v>0</v>
      </c>
      <c r="S24" s="479">
        <f ca="1">IF(S3-参数输入表!$I$250&lt;=0,IF($C$24-S3&gt;=0,$G$42/2*(参数输入表!$I$251/12)*S2,($G$41-$G$44)*(参数输入表!$I$251/12)*S2),0)</f>
        <v>0</v>
      </c>
      <c r="T24" s="479">
        <f ca="1">IF(T3-参数输入表!$I$250&lt;=0,IF($C$24-T3&gt;=0,$G$42/2*(参数输入表!$I$251/12)*T2,($G$41-$G$44)*(参数输入表!$I$251/12)*T2),0)</f>
        <v>0</v>
      </c>
      <c r="U24" s="479">
        <f ca="1">IF(U3-参数输入表!$I$250&lt;=0,IF($C$24-U3&gt;=0,$G$42/2*(参数输入表!$I$251/12)*U2,($G$41-$G$44)*(参数输入表!$I$251/12)*U2),0)</f>
        <v>0</v>
      </c>
      <c r="V24" s="479">
        <f ca="1">IF(V3-参数输入表!$I$250&lt;=0,IF($C$24-V3&gt;=0,$G$42/2*(参数输入表!$I$251/12)*V2,($G$41-$G$44)*(参数输入表!$I$251/12)*V2),0)</f>
        <v>0</v>
      </c>
      <c r="W24" s="479">
        <f ca="1">IF(W3-参数输入表!$I$250&lt;=0,IF($C$24-W3&gt;=0,$G$42/2*(参数输入表!$I$251/12)*W2,($G$41-$G$44)*(参数输入表!$I$251/12)*W2),0)</f>
        <v>0</v>
      </c>
      <c r="X24" s="479">
        <f ca="1">IF(X3-参数输入表!$I$250&lt;=0,IF($C$24-X3&gt;=0,$G$42/2*(参数输入表!$I$251/12)*X2,($G$41-$G$44)*(参数输入表!$I$251/12)*X2),0)</f>
        <v>0</v>
      </c>
      <c r="Y24" s="479">
        <f ca="1">IF(Y3-参数输入表!$I$250&lt;=0,IF($C$24-Y3&gt;=0,$G$42/2*(参数输入表!$I$251/12)*Y2,($G$41-$G$44)*(参数输入表!$I$251/12)*Y2),0)</f>
        <v>0</v>
      </c>
      <c r="Z24" s="479">
        <f ca="1">IF(Z3-参数输入表!$I$250&lt;=0,IF($C$24-Z3&gt;=0,$G$42/2*(参数输入表!$I$251/12)*Z2,($G$41-$G$44)*(参数输入表!$I$251/12)*Z2),0)</f>
        <v>0</v>
      </c>
      <c r="AA24" s="479">
        <f ca="1">IF(AA3-参数输入表!$I$250&lt;=0,IF($C$24-AA3&gt;=0,$G$42/2*(参数输入表!$I$251/12)*AA2,($G$41-$G$44)*(参数输入表!$I$251/12)*AA2),0)</f>
        <v>0</v>
      </c>
      <c r="AB24" s="479">
        <f ca="1">IF(AB3-参数输入表!$I$250&lt;=0,IF($C$24-AB3&gt;=0,$G$42/2*(参数输入表!$I$251/12)*AB2,($G$41-$G$44)*(参数输入表!$I$251/12)*AB2),0)</f>
        <v>0</v>
      </c>
      <c r="AC24" s="479">
        <f ca="1">IF(AC3-参数输入表!$I$250&lt;=0,IF($C$24-AC3&gt;=0,$G$42/2*(参数输入表!$I$251/12)*AC2,($G$41-$G$44)*(参数输入表!$I$251/12)*AC2),0)</f>
        <v>0</v>
      </c>
      <c r="AD24" s="479">
        <f ca="1">IF(AD3-参数输入表!$I$250&lt;=0,IF($C$24-AD3&gt;=0,$G$42/2*(参数输入表!$I$251/12)*AD2,($G$41-$G$44)*(参数输入表!$I$251/12)*AD2),0)</f>
        <v>0</v>
      </c>
      <c r="AE24" s="479">
        <f ca="1">IF(AE3-参数输入表!$I$250&lt;=0,IF($C$24-AE3&gt;=0,$G$42/2*(参数输入表!$I$251/12)*AE2,($G$41-$G$44)*(参数输入表!$I$251/12)*AE2),0)</f>
        <v>0</v>
      </c>
      <c r="AF24" s="479">
        <f ca="1">IF(AF3-参数输入表!$I$250&lt;=0,IF($C$24-AF3&gt;=0,$G$42/2*(参数输入表!$I$251/12)*AF2,($G$41-$G$44)*(参数输入表!$I$251/12)*AF2),0)</f>
        <v>0</v>
      </c>
      <c r="AG24" s="479">
        <f ca="1">IF(AG3-参数输入表!$I$250&lt;=0,IF($C$24-AG3&gt;=0,$G$42/2*(参数输入表!$I$251/12)*AG2,($G$41-$G$44)*(参数输入表!$I$251/12)*AG2),0)</f>
        <v>0</v>
      </c>
      <c r="AH24" s="479">
        <f ca="1">IF(AH3-参数输入表!$I$250&lt;=0,IF($C$24-AH3&gt;=0,$G$42/2*(参数输入表!$I$251/12)*AH2,($G$41-$G$44)*(参数输入表!$I$251/12)*AH2),0)</f>
        <v>0</v>
      </c>
      <c r="AI24" s="479">
        <f ca="1">IF(AI3-参数输入表!$I$250&lt;=0,IF($C$24-AI3&gt;=0,$G$42/2*(参数输入表!$I$251/12)*AI2,($G$41-$G$44)*(参数输入表!$I$251/12)*AI2),0)</f>
        <v>0</v>
      </c>
      <c r="AJ24" s="479">
        <f ca="1">IF(AJ3-参数输入表!$I$250&lt;=0,IF($C$24-AJ3&gt;=0,$G$42/2*(参数输入表!$I$251/12)*AJ2,($G$41-$G$44)*(参数输入表!$I$251/12)*AJ2),0)</f>
        <v>0</v>
      </c>
      <c r="AK24" s="479">
        <f ca="1">IF(AK3-参数输入表!$I$250&lt;=0,IF($C$24-AK3&gt;=0,$G$42/2*(参数输入表!$I$251/12)*AK2,($G$41-$G$44)*(参数输入表!$I$251/12)*AK2),0)</f>
        <v>0</v>
      </c>
      <c r="AL24" s="479">
        <f ca="1">IF(AL3-参数输入表!$I$250&lt;=0,IF($C$24-AL3&gt;=0,$G$42/2*(参数输入表!$I$251/12)*AL2,($G$41-$G$44)*(参数输入表!$I$251/12)*AL2),0)</f>
        <v>0</v>
      </c>
      <c r="AM24" s="479">
        <f ca="1">IF(AM3-参数输入表!$I$250&lt;=0,IF($C$24-AM3&gt;=0,$G$42/2*(参数输入表!$I$251/12)*AM2,($G$41-$G$44)*(参数输入表!$I$251/12)*AM2),0)</f>
        <v>0</v>
      </c>
      <c r="AN24" s="479">
        <f ca="1">IF(AN3-参数输入表!$I$250&lt;=0,IF($C$24-AN3&gt;=0,$G$42/2*(参数输入表!$I$251/12)*AN2,($G$41-$G$44)*(参数输入表!$I$251/12)*AN2),0)</f>
        <v>0</v>
      </c>
      <c r="AO24" s="479">
        <f ca="1">IF(AO3-参数输入表!$I$250&lt;=0,IF($C$24-AO3&gt;=0,$G$42/2*(参数输入表!$I$251/12)*AO2,($G$41-$G$44)*(参数输入表!$I$251/12)*AO2),0)</f>
        <v>0</v>
      </c>
      <c r="AP24" s="479">
        <f ca="1">IF(AP3-参数输入表!$I$250&lt;=0,IF($C$24-AP3&gt;=0,$G$42/2*(参数输入表!$I$251/12)*AP2,($G$41-$G$44)*(参数输入表!$I$251/12)*AP2),0)</f>
        <v>0</v>
      </c>
      <c r="AQ24" s="479">
        <f ca="1">IF(AQ3-参数输入表!$I$250&lt;=0,IF($C$24-AQ3&gt;=0,$G$42/2*(参数输入表!$I$251/12)*AQ2,($G$41-$G$44)*(参数输入表!$I$251/12)*AQ2),0)</f>
        <v>0</v>
      </c>
      <c r="AR24" s="479">
        <f ca="1">IF(AR3-参数输入表!$I$250&lt;=0,IF($C$24-AR3&gt;=0,$G$42/2*(参数输入表!$I$251/12)*AR2,($G$41-$G$44)*(参数输入表!$I$251/12)*AR2),0)</f>
        <v>0</v>
      </c>
      <c r="AS24" s="479">
        <f ca="1">IF(AS3-参数输入表!$I$250&lt;=0,IF($C$24-AS3&gt;=0,$G$42/2*(参数输入表!$I$251/12)*AS2,($G$41-$G$44)*(参数输入表!$I$251/12)*AS2),0)</f>
        <v>0</v>
      </c>
      <c r="AT24" s="479">
        <f ca="1">IF(AT3-参数输入表!$I$250&lt;=0,IF($C$24-AT3&gt;=0,$G$42/2*(参数输入表!$I$251/12)*AT2,($G$41-$G$44)*(参数输入表!$I$251/12)*AT2),0)</f>
        <v>0</v>
      </c>
      <c r="AU24" s="479">
        <f ca="1">IF(AU3-参数输入表!$I$250&lt;=0,IF($C$24-AU3&gt;=0,$G$42/2*(参数输入表!$I$251/12)*AU2,($G$41-$G$44)*(参数输入表!$I$251/12)*AU2),0)</f>
        <v>0</v>
      </c>
      <c r="AV24" s="479">
        <f ca="1">IF(AV3-参数输入表!$I$250&lt;=0,IF($C$24-AV3&gt;=0,$G$42/2*(参数输入表!$I$251/12)*AV2,($G$41-$G$44)*(参数输入表!$I$251/12)*AV2),0)</f>
        <v>0</v>
      </c>
      <c r="AW24" s="479">
        <f ca="1">IF(AW3-参数输入表!$I$250&lt;=0,IF($C$24-AW3&gt;=0,$G$42/2*(参数输入表!$I$251/12)*AW2,($G$41-$G$44)*(参数输入表!$I$251/12)*AW2),0)</f>
        <v>0</v>
      </c>
      <c r="AX24" s="479">
        <f ca="1">IF(AX3-参数输入表!$I$250&lt;=0,IF($C$24-AX3&gt;=0,$G$42/2*(参数输入表!$I$251/12)*AX2,($G$41-$G$44)*(参数输入表!$I$251/12)*AX2),0)</f>
        <v>0</v>
      </c>
      <c r="AY24" s="479">
        <f ca="1">IF(AY3-参数输入表!$I$250&lt;=0,IF($C$24-AY3&gt;=0,$G$42/2*(参数输入表!$I$251/12)*AY2,($G$41-$G$44)*(参数输入表!$I$251/12)*AY2),0)</f>
        <v>0</v>
      </c>
      <c r="AZ24" s="479">
        <f ca="1">IF(AZ3-参数输入表!$I$250&lt;=0,IF($C$24-AZ3&gt;=0,$G$42/2*(参数输入表!$I$251/12)*AZ2,($G$41-$G$44)*(参数输入表!$I$251/12)*AZ2),0)</f>
        <v>0</v>
      </c>
      <c r="BA24" s="479">
        <f ca="1">IF(BA3-参数输入表!$I$250&lt;=0,IF($C$24-BA3&gt;=0,$G$42/2*(参数输入表!$I$251/12)*BA2,($G$41-$G$44)*(参数输入表!$I$251/12)*BA2),0)</f>
        <v>0</v>
      </c>
      <c r="BB24" s="479">
        <f ca="1">IF(BB3-参数输入表!$I$250&lt;=0,IF($C$24-BB3&gt;=0,$G$42/2*(参数输入表!$I$251/12)*BB2,($G$41-$G$44)*(参数输入表!$I$251/12)*BB2),0)</f>
        <v>0</v>
      </c>
      <c r="BC24" s="479">
        <f ca="1">IF(BC3-参数输入表!$I$250&lt;=0,IF($C$24-BC3&gt;=0,$G$42/2*(参数输入表!$I$251/12)*BC2,($G$41-$G$44)*(参数输入表!$I$251/12)*BC2),0)</f>
        <v>0</v>
      </c>
      <c r="BD24" s="479">
        <f ca="1">IF(BD3-参数输入表!$I$250&lt;=0,IF($C$24-BD3&gt;=0,$G$42/2*(参数输入表!$I$251/12)*BD2,($G$41-$G$44)*(参数输入表!$I$251/12)*BD2),0)</f>
        <v>0</v>
      </c>
      <c r="BE24" s="480">
        <f ca="1">IF(BE3-参数输入表!$I$250&lt;=0,IF($C$24-BE3&gt;=0,$G$42/2*(参数输入表!$I$251/12)*BE2,($G$41-$G$44)*(参数输入表!$I$251/12)*BE2),0)</f>
        <v>0</v>
      </c>
    </row>
    <row r="25" s="4" customFormat="1" spans="2:57">
      <c r="B25" s="478"/>
      <c r="C25" s="469">
        <v>45657</v>
      </c>
      <c r="D25" s="466">
        <f ca="1" t="shared" si="6"/>
        <v>18999.2751448752</v>
      </c>
      <c r="E25" s="50" t="s">
        <v>130</v>
      </c>
      <c r="F25" s="481"/>
      <c r="G25" s="481"/>
      <c r="H25" s="479">
        <f ca="1">IF(H3-参数输入表!$I$250&lt;=0,IF($C$25-H3&gt;=0,$H$42/2*(参数输入表!$I$251/12)*H2,($H$41-$H$44)*(参数输入表!$I$251/12)*H2),0)</f>
        <v>1473.01362574756</v>
      </c>
      <c r="I25" s="479">
        <f ca="1">IF(I3-参数输入表!$I$250&lt;=0,IF($C$25-I3&gt;=0,$H$42/2*(参数输入表!$I$251/12)*I2,($H$41-$H$44)*(参数输入表!$I$251/12)*I2),0)</f>
        <v>3092.86967984605</v>
      </c>
      <c r="J25" s="479">
        <f ca="1">IF(J3-参数输入表!$I$250&lt;=0,IF($C$25-J3&gt;=0,$H$42/2*(参数输入表!$I$251/12)*J2,($H$41-$H$44)*(参数输入表!$I$251/12)*J2),0)</f>
        <v>3092.86967984605</v>
      </c>
      <c r="K25" s="479">
        <f ca="1">IF(K3-参数输入表!$I$250&lt;=0,IF($C$25-K3&gt;=0,$H$42/2*(参数输入表!$I$251/12)*K2,($H$41-$H$44)*(参数输入表!$I$251/12)*K2),0)</f>
        <v>3092.86967984605</v>
      </c>
      <c r="L25" s="479">
        <f ca="1">IF(L3-参数输入表!$I$250&lt;=0,IF($C$25-L3&gt;=0,$H$42/2*(参数输入表!$I$251/12)*L2,($H$41-$H$44)*(参数输入表!$I$251/12)*L2),0)</f>
        <v>3092.86967984605</v>
      </c>
      <c r="M25" s="479">
        <f ca="1">IF(M3-参数输入表!$I$250&lt;=0,IF($C$25-M3&gt;=0,$H$42/2*(参数输入表!$I$251/12)*M2,($H$41-$H$44)*(参数输入表!$I$251/12)*M2),0)</f>
        <v>2061.91311989737</v>
      </c>
      <c r="N25" s="479">
        <f ca="1">IF(N3-参数输入表!$I$250&lt;=0,IF($C$25-N3&gt;=0,$H$42/2*(参数输入表!$I$251/12)*N2,($H$41-$H$44)*(参数输入表!$I$251/12)*N2),0)</f>
        <v>1030.95655994868</v>
      </c>
      <c r="O25" s="479">
        <f ca="1">IF(O3-参数输入表!$I$250&lt;=0,IF($C$25-O3&gt;=0,$H$42/2*(参数输入表!$I$251/12)*O2,($H$41-$H$44)*(参数输入表!$I$251/12)*O2),0)</f>
        <v>1804.1739799102</v>
      </c>
      <c r="P25" s="479">
        <f ca="1">IF(P3-参数输入表!$I$250&lt;=0,IF($C$25-P3&gt;=0,$H$42/2*(参数输入表!$I$251/12)*P2,($H$41-$H$44)*(参数输入表!$I$251/12)*P2),0)</f>
        <v>257.739139987171</v>
      </c>
      <c r="Q25" s="479">
        <f ca="1">IF(Q3-参数输入表!$I$250&lt;=0,IF($C$25-Q3&gt;=0,$H$42/2*(参数输入表!$I$251/12)*Q2,($H$41-$H$44)*(参数输入表!$I$251/12)*Q2),0)</f>
        <v>0</v>
      </c>
      <c r="R25" s="479">
        <f ca="1">IF(R3-参数输入表!$I$250&lt;=0,IF($C$25-R3&gt;=0,$H$42/2*(参数输入表!$I$251/12)*R2,($H$41-$H$44)*(参数输入表!$I$251/12)*R2),0)</f>
        <v>0</v>
      </c>
      <c r="S25" s="479">
        <f ca="1">IF(S3-参数输入表!$I$250&lt;=0,IF($C$25-S3&gt;=0,$H$42/2*(参数输入表!$I$251/12)*S2,($H$41-$H$44)*(参数输入表!$I$251/12)*S2),0)</f>
        <v>0</v>
      </c>
      <c r="T25" s="479">
        <f ca="1">IF(T3-参数输入表!$I$250&lt;=0,IF($C$25-T3&gt;=0,$H$42/2*(参数输入表!$I$251/12)*T2,($H$41-$H$44)*(参数输入表!$I$251/12)*T2),0)</f>
        <v>0</v>
      </c>
      <c r="U25" s="479">
        <f ca="1">IF(U3-参数输入表!$I$250&lt;=0,IF($C$25-U3&gt;=0,$H$42/2*(参数输入表!$I$251/12)*U2,($H$41-$H$44)*(参数输入表!$I$251/12)*U2),0)</f>
        <v>0</v>
      </c>
      <c r="V25" s="479">
        <f ca="1">IF(V3-参数输入表!$I$250&lt;=0,IF($C$25-V3&gt;=0,$H$42/2*(参数输入表!$I$251/12)*V2,($H$41-$H$44)*(参数输入表!$I$251/12)*V2),0)</f>
        <v>0</v>
      </c>
      <c r="W25" s="479">
        <f ca="1">IF(W3-参数输入表!$I$250&lt;=0,IF($C$25-W3&gt;=0,$H$42/2*(参数输入表!$I$251/12)*W2,($H$41-$H$44)*(参数输入表!$I$251/12)*W2),0)</f>
        <v>0</v>
      </c>
      <c r="X25" s="479">
        <f ca="1">IF(X3-参数输入表!$I$250&lt;=0,IF($C$25-X3&gt;=0,$H$42/2*(参数输入表!$I$251/12)*X2,($H$41-$H$44)*(参数输入表!$I$251/12)*X2),0)</f>
        <v>0</v>
      </c>
      <c r="Y25" s="479">
        <f ca="1">IF(Y3-参数输入表!$I$250&lt;=0,IF($C$25-Y3&gt;=0,$H$42/2*(参数输入表!$I$251/12)*Y2,($H$41-$H$44)*(参数输入表!$I$251/12)*Y2),0)</f>
        <v>0</v>
      </c>
      <c r="Z25" s="479">
        <f ca="1">IF(Z3-参数输入表!$I$250&lt;=0,IF($C$25-Z3&gt;=0,$H$42/2*(参数输入表!$I$251/12)*Z2,($H$41-$H$44)*(参数输入表!$I$251/12)*Z2),0)</f>
        <v>0</v>
      </c>
      <c r="AA25" s="479">
        <f ca="1">IF(AA3-参数输入表!$I$250&lt;=0,IF($C$25-AA3&gt;=0,$H$42/2*(参数输入表!$I$251/12)*AA2,($H$41-$H$44)*(参数输入表!$I$251/12)*AA2),0)</f>
        <v>0</v>
      </c>
      <c r="AB25" s="479">
        <f ca="1">IF(AB3-参数输入表!$I$250&lt;=0,IF($C$25-AB3&gt;=0,$H$42/2*(参数输入表!$I$251/12)*AB2,($H$41-$H$44)*(参数输入表!$I$251/12)*AB2),0)</f>
        <v>0</v>
      </c>
      <c r="AC25" s="479">
        <f ca="1">IF(AC3-参数输入表!$I$250&lt;=0,IF($C$25-AC3&gt;=0,$H$42/2*(参数输入表!$I$251/12)*AC2,($H$41-$H$44)*(参数输入表!$I$251/12)*AC2),0)</f>
        <v>0</v>
      </c>
      <c r="AD25" s="479">
        <f ca="1">IF(AD3-参数输入表!$I$250&lt;=0,IF($C$25-AD3&gt;=0,$H$42/2*(参数输入表!$I$251/12)*AD2,($H$41-$H$44)*(参数输入表!$I$251/12)*AD2),0)</f>
        <v>0</v>
      </c>
      <c r="AE25" s="479">
        <f ca="1">IF(AE3-参数输入表!$I$250&lt;=0,IF($C$25-AE3&gt;=0,$H$42/2*(参数输入表!$I$251/12)*AE2,($H$41-$H$44)*(参数输入表!$I$251/12)*AE2),0)</f>
        <v>0</v>
      </c>
      <c r="AF25" s="479">
        <f ca="1">IF(AF3-参数输入表!$I$250&lt;=0,IF($C$25-AF3&gt;=0,$H$42/2*(参数输入表!$I$251/12)*AF2,($H$41-$H$44)*(参数输入表!$I$251/12)*AF2),0)</f>
        <v>0</v>
      </c>
      <c r="AG25" s="479">
        <f ca="1">IF(AG3-参数输入表!$I$250&lt;=0,IF($C$25-AG3&gt;=0,$H$42/2*(参数输入表!$I$251/12)*AG2,($H$41-$H$44)*(参数输入表!$I$251/12)*AG2),0)</f>
        <v>0</v>
      </c>
      <c r="AH25" s="479">
        <f ca="1">IF(AH3-参数输入表!$I$250&lt;=0,IF($C$25-AH3&gt;=0,$H$42/2*(参数输入表!$I$251/12)*AH2,($H$41-$H$44)*(参数输入表!$I$251/12)*AH2),0)</f>
        <v>0</v>
      </c>
      <c r="AI25" s="479">
        <f ca="1">IF(AI3-参数输入表!$I$250&lt;=0,IF($C$25-AI3&gt;=0,$H$42/2*(参数输入表!$I$251/12)*AI2,($H$41-$H$44)*(参数输入表!$I$251/12)*AI2),0)</f>
        <v>0</v>
      </c>
      <c r="AJ25" s="479">
        <f ca="1">IF(AJ3-参数输入表!$I$250&lt;=0,IF($C$25-AJ3&gt;=0,$H$42/2*(参数输入表!$I$251/12)*AJ2,($H$41-$H$44)*(参数输入表!$I$251/12)*AJ2),0)</f>
        <v>0</v>
      </c>
      <c r="AK25" s="479">
        <f ca="1">IF(AK3-参数输入表!$I$250&lt;=0,IF($C$25-AK3&gt;=0,$H$42/2*(参数输入表!$I$251/12)*AK2,($H$41-$H$44)*(参数输入表!$I$251/12)*AK2),0)</f>
        <v>0</v>
      </c>
      <c r="AL25" s="479">
        <f ca="1">IF(AL3-参数输入表!$I$250&lt;=0,IF($C$25-AL3&gt;=0,$H$42/2*(参数输入表!$I$251/12)*AL2,($H$41-$H$44)*(参数输入表!$I$251/12)*AL2),0)</f>
        <v>0</v>
      </c>
      <c r="AM25" s="479">
        <f ca="1">IF(AM3-参数输入表!$I$250&lt;=0,IF($C$25-AM3&gt;=0,$H$42/2*(参数输入表!$I$251/12)*AM2,($H$41-$H$44)*(参数输入表!$I$251/12)*AM2),0)</f>
        <v>0</v>
      </c>
      <c r="AN25" s="479">
        <f ca="1">IF(AN3-参数输入表!$I$250&lt;=0,IF($C$25-AN3&gt;=0,$H$42/2*(参数输入表!$I$251/12)*AN2,($H$41-$H$44)*(参数输入表!$I$251/12)*AN2),0)</f>
        <v>0</v>
      </c>
      <c r="AO25" s="479">
        <f ca="1">IF(AO3-参数输入表!$I$250&lt;=0,IF($C$25-AO3&gt;=0,$H$42/2*(参数输入表!$I$251/12)*AO2,($H$41-$H$44)*(参数输入表!$I$251/12)*AO2),0)</f>
        <v>0</v>
      </c>
      <c r="AP25" s="479">
        <f ca="1">IF(AP3-参数输入表!$I$250&lt;=0,IF($C$25-AP3&gt;=0,$H$42/2*(参数输入表!$I$251/12)*AP2,($H$41-$H$44)*(参数输入表!$I$251/12)*AP2),0)</f>
        <v>0</v>
      </c>
      <c r="AQ25" s="479">
        <f ca="1">IF(AQ3-参数输入表!$I$250&lt;=0,IF($C$25-AQ3&gt;=0,$H$42/2*(参数输入表!$I$251/12)*AQ2,($H$41-$H$44)*(参数输入表!$I$251/12)*AQ2),0)</f>
        <v>0</v>
      </c>
      <c r="AR25" s="479">
        <f ca="1">IF(AR3-参数输入表!$I$250&lt;=0,IF($C$25-AR3&gt;=0,$H$42/2*(参数输入表!$I$251/12)*AR2,($H$41-$H$44)*(参数输入表!$I$251/12)*AR2),0)</f>
        <v>0</v>
      </c>
      <c r="AS25" s="479">
        <f ca="1">IF(AS3-参数输入表!$I$250&lt;=0,IF($C$25-AS3&gt;=0,$H$42/2*(参数输入表!$I$251/12)*AS2,($H$41-$H$44)*(参数输入表!$I$251/12)*AS2),0)</f>
        <v>0</v>
      </c>
      <c r="AT25" s="479">
        <f ca="1">IF(AT3-参数输入表!$I$250&lt;=0,IF($C$25-AT3&gt;=0,$H$42/2*(参数输入表!$I$251/12)*AT2,($H$41-$H$44)*(参数输入表!$I$251/12)*AT2),0)</f>
        <v>0</v>
      </c>
      <c r="AU25" s="479">
        <f ca="1">IF(AU3-参数输入表!$I$250&lt;=0,IF($C$25-AU3&gt;=0,$H$42/2*(参数输入表!$I$251/12)*AU2,($H$41-$H$44)*(参数输入表!$I$251/12)*AU2),0)</f>
        <v>0</v>
      </c>
      <c r="AV25" s="479">
        <f ca="1">IF(AV3-参数输入表!$I$250&lt;=0,IF($C$25-AV3&gt;=0,$H$42/2*(参数输入表!$I$251/12)*AV2,($H$41-$H$44)*(参数输入表!$I$251/12)*AV2),0)</f>
        <v>0</v>
      </c>
      <c r="AW25" s="479">
        <f ca="1">IF(AW3-参数输入表!$I$250&lt;=0,IF($C$25-AW3&gt;=0,$H$42/2*(参数输入表!$I$251/12)*AW2,($H$41-$H$44)*(参数输入表!$I$251/12)*AW2),0)</f>
        <v>0</v>
      </c>
      <c r="AX25" s="479">
        <f ca="1">IF(AX3-参数输入表!$I$250&lt;=0,IF($C$25-AX3&gt;=0,$H$42/2*(参数输入表!$I$251/12)*AX2,($H$41-$H$44)*(参数输入表!$I$251/12)*AX2),0)</f>
        <v>0</v>
      </c>
      <c r="AY25" s="479">
        <f ca="1">IF(AY3-参数输入表!$I$250&lt;=0,IF($C$25-AY3&gt;=0,$H$42/2*(参数输入表!$I$251/12)*AY2,($H$41-$H$44)*(参数输入表!$I$251/12)*AY2),0)</f>
        <v>0</v>
      </c>
      <c r="AZ25" s="479">
        <f ca="1">IF(AZ3-参数输入表!$I$250&lt;=0,IF($C$25-AZ3&gt;=0,$H$42/2*(参数输入表!$I$251/12)*AZ2,($H$41-$H$44)*(参数输入表!$I$251/12)*AZ2),0)</f>
        <v>0</v>
      </c>
      <c r="BA25" s="479">
        <f ca="1">IF(BA3-参数输入表!$I$250&lt;=0,IF($C$25-BA3&gt;=0,$H$42/2*(参数输入表!$I$251/12)*BA2,($H$41-$H$44)*(参数输入表!$I$251/12)*BA2),0)</f>
        <v>0</v>
      </c>
      <c r="BB25" s="479">
        <f ca="1">IF(BB3-参数输入表!$I$250&lt;=0,IF($C$25-BB3&gt;=0,$H$42/2*(参数输入表!$I$251/12)*BB2,($H$41-$H$44)*(参数输入表!$I$251/12)*BB2),0)</f>
        <v>0</v>
      </c>
      <c r="BC25" s="479">
        <f ca="1">IF(BC3-参数输入表!$I$250&lt;=0,IF($C$25-BC3&gt;=0,$H$42/2*(参数输入表!$I$251/12)*BC2,($H$41-$H$44)*(参数输入表!$I$251/12)*BC2),0)</f>
        <v>0</v>
      </c>
      <c r="BD25" s="479">
        <f ca="1">IF(BD3-参数输入表!$I$250&lt;=0,IF($C$25-BD3&gt;=0,$H$42/2*(参数输入表!$I$251/12)*BD2,($H$41-$H$44)*(参数输入表!$I$251/12)*BD2),0)</f>
        <v>0</v>
      </c>
      <c r="BE25" s="480">
        <f ca="1">IF(BE3-参数输入表!$I$250&lt;=0,IF($C$25-BE3&gt;=0,$H$42/2*(参数输入表!$I$251/12)*BE2,($H$41-$H$44)*(参数输入表!$I$251/12)*BE2),0)</f>
        <v>0</v>
      </c>
    </row>
    <row r="26" s="4" customFormat="1" spans="2:57">
      <c r="B26" s="478"/>
      <c r="C26" s="469">
        <v>46022</v>
      </c>
      <c r="D26" s="466">
        <f ca="1" t="shared" si="6"/>
        <v>18456.7480021069</v>
      </c>
      <c r="E26" s="50" t="s">
        <v>130</v>
      </c>
      <c r="F26" s="481"/>
      <c r="G26" s="481"/>
      <c r="H26" s="481"/>
      <c r="I26" s="479">
        <f ca="1">IF(I3-参数输入表!$I$250&lt;=0,IF($C$26-I3&gt;=0,$I$42/2*(参数输入表!$I$251/12)*I2,($I$41-$I$44)*(参数输入表!$I$251/12)*I2),0)</f>
        <v>1671.87844780002</v>
      </c>
      <c r="J26" s="479">
        <f ca="1">IF(J3-参数输入表!$I$250&lt;=0,IF($C$26-J3&gt;=0,$I$42/2*(参数输入表!$I$251/12)*J2,($I$41-$I$44)*(参数输入表!$I$251/12)*J2),0)</f>
        <v>3596.75776163719</v>
      </c>
      <c r="K26" s="479">
        <f ca="1">IF(K3-参数输入表!$I$250&lt;=0,IF($C$26-K3&gt;=0,$I$42/2*(参数输入表!$I$251/12)*K2,($I$41-$I$44)*(参数输入表!$I$251/12)*K2),0)</f>
        <v>3596.75776163719</v>
      </c>
      <c r="L26" s="479">
        <f ca="1">IF(L3-参数输入表!$I$250&lt;=0,IF($C$26-L3&gt;=0,$I$42/2*(参数输入表!$I$251/12)*L2,($I$41-$I$44)*(参数输入表!$I$251/12)*L2),0)</f>
        <v>3596.75776163719</v>
      </c>
      <c r="M26" s="479">
        <f ca="1">IF(M3-参数输入表!$I$250&lt;=0,IF($C$26-M3&gt;=0,$I$42/2*(参数输入表!$I$251/12)*M2,($I$41-$I$44)*(参数输入表!$I$251/12)*M2),0)</f>
        <v>2397.83850775812</v>
      </c>
      <c r="N26" s="479">
        <f ca="1">IF(N3-参数输入表!$I$250&lt;=0,IF($C$26-N3&gt;=0,$I$42/2*(参数输入表!$I$251/12)*N2,($I$41-$I$44)*(参数输入表!$I$251/12)*N2),0)</f>
        <v>1198.91925387906</v>
      </c>
      <c r="O26" s="479">
        <f ca="1">IF(O3-参数输入表!$I$250&lt;=0,IF($C$26-O3&gt;=0,$I$42/2*(参数输入表!$I$251/12)*O2,($I$41-$I$44)*(参数输入表!$I$251/12)*O2),0)</f>
        <v>2098.10869428836</v>
      </c>
      <c r="P26" s="479">
        <f ca="1">IF(P3-参数输入表!$I$250&lt;=0,IF($C$26-P3&gt;=0,$I$42/2*(参数输入表!$I$251/12)*P2,($I$41-$I$44)*(参数输入表!$I$251/12)*P2),0)</f>
        <v>299.729813469765</v>
      </c>
      <c r="Q26" s="479">
        <f ca="1">IF(Q3-参数输入表!$I$250&lt;=0,IF($C$26-Q3&gt;=0,$I$42/2*(参数输入表!$I$251/12)*Q2,($I$41-$I$44)*(参数输入表!$I$251/12)*Q2),0)</f>
        <v>0</v>
      </c>
      <c r="R26" s="479">
        <f ca="1">IF(R3-参数输入表!$I$250&lt;=0,IF($C$26-R3&gt;=0,$I$42/2*(参数输入表!$I$251/12)*R2,($I$41-$I$44)*(参数输入表!$I$251/12)*R2),0)</f>
        <v>0</v>
      </c>
      <c r="S26" s="479">
        <f ca="1">IF(S3-参数输入表!$I$250&lt;=0,IF($C$26-S3&gt;=0,$I$42/2*(参数输入表!$I$251/12)*S2,($I$41-$I$44)*(参数输入表!$I$251/12)*S2),0)</f>
        <v>0</v>
      </c>
      <c r="T26" s="479">
        <f ca="1">IF(T3-参数输入表!$I$250&lt;=0,IF($C$26-T3&gt;=0,$I$42/2*(参数输入表!$I$251/12)*T2,($I$41-$I$44)*(参数输入表!$I$251/12)*T2),0)</f>
        <v>0</v>
      </c>
      <c r="U26" s="479">
        <f ca="1">IF(U3-参数输入表!$I$250&lt;=0,IF($C$26-U3&gt;=0,$I$42/2*(参数输入表!$I$251/12)*U2,($I$41-$I$44)*(参数输入表!$I$251/12)*U2),0)</f>
        <v>0</v>
      </c>
      <c r="V26" s="479">
        <f ca="1">IF(V3-参数输入表!$I$250&lt;=0,IF($C$26-V3&gt;=0,$I$42/2*(参数输入表!$I$251/12)*V2,($I$41-$I$44)*(参数输入表!$I$251/12)*V2),0)</f>
        <v>0</v>
      </c>
      <c r="W26" s="479">
        <f ca="1">IF(W3-参数输入表!$I$250&lt;=0,IF($C$26-W3&gt;=0,$I$42/2*(参数输入表!$I$251/12)*W2,($I$41-$I$44)*(参数输入表!$I$251/12)*W2),0)</f>
        <v>0</v>
      </c>
      <c r="X26" s="479">
        <f ca="1">IF(X3-参数输入表!$I$250&lt;=0,IF($C$26-X3&gt;=0,$I$42/2*(参数输入表!$I$251/12)*X2,($I$41-$I$44)*(参数输入表!$I$251/12)*X2),0)</f>
        <v>0</v>
      </c>
      <c r="Y26" s="479">
        <f ca="1">IF(Y3-参数输入表!$I$250&lt;=0,IF($C$26-Y3&gt;=0,$I$42/2*(参数输入表!$I$251/12)*Y2,($I$41-$I$44)*(参数输入表!$I$251/12)*Y2),0)</f>
        <v>0</v>
      </c>
      <c r="Z26" s="479">
        <f ca="1">IF(Z3-参数输入表!$I$250&lt;=0,IF($C$26-Z3&gt;=0,$I$42/2*(参数输入表!$I$251/12)*Z2,($I$41-$I$44)*(参数输入表!$I$251/12)*Z2),0)</f>
        <v>0</v>
      </c>
      <c r="AA26" s="479">
        <f ca="1">IF(AA3-参数输入表!$I$250&lt;=0,IF($C$26-AA3&gt;=0,$I$42/2*(参数输入表!$I$251/12)*AA2,($I$41-$I$44)*(参数输入表!$I$251/12)*AA2),0)</f>
        <v>0</v>
      </c>
      <c r="AB26" s="479">
        <f ca="1">IF(AB3-参数输入表!$I$250&lt;=0,IF($C$26-AB3&gt;=0,$I$42/2*(参数输入表!$I$251/12)*AB2,($I$41-$I$44)*(参数输入表!$I$251/12)*AB2),0)</f>
        <v>0</v>
      </c>
      <c r="AC26" s="479">
        <f ca="1">IF(AC3-参数输入表!$I$250&lt;=0,IF($C$26-AC3&gt;=0,$I$42/2*(参数输入表!$I$251/12)*AC2,($I$41-$I$44)*(参数输入表!$I$251/12)*AC2),0)</f>
        <v>0</v>
      </c>
      <c r="AD26" s="479">
        <f ca="1">IF(AD3-参数输入表!$I$250&lt;=0,IF($C$26-AD3&gt;=0,$I$42/2*(参数输入表!$I$251/12)*AD2,($I$41-$I$44)*(参数输入表!$I$251/12)*AD2),0)</f>
        <v>0</v>
      </c>
      <c r="AE26" s="479">
        <f ca="1">IF(AE3-参数输入表!$I$250&lt;=0,IF($C$26-AE3&gt;=0,$I$42/2*(参数输入表!$I$251/12)*AE2,($I$41-$I$44)*(参数输入表!$I$251/12)*AE2),0)</f>
        <v>0</v>
      </c>
      <c r="AF26" s="479">
        <f ca="1">IF(AF3-参数输入表!$I$250&lt;=0,IF($C$26-AF3&gt;=0,$I$42/2*(参数输入表!$I$251/12)*AF2,($I$41-$I$44)*(参数输入表!$I$251/12)*AF2),0)</f>
        <v>0</v>
      </c>
      <c r="AG26" s="479">
        <f ca="1">IF(AG3-参数输入表!$I$250&lt;=0,IF($C$26-AG3&gt;=0,$I$42/2*(参数输入表!$I$251/12)*AG2,($I$41-$I$44)*(参数输入表!$I$251/12)*AG2),0)</f>
        <v>0</v>
      </c>
      <c r="AH26" s="479">
        <f ca="1">IF(AH3-参数输入表!$I$250&lt;=0,IF($C$26-AH3&gt;=0,$I$42/2*(参数输入表!$I$251/12)*AH2,($I$41-$I$44)*(参数输入表!$I$251/12)*AH2),0)</f>
        <v>0</v>
      </c>
      <c r="AI26" s="479">
        <f ca="1">IF(AI3-参数输入表!$I$250&lt;=0,IF($C$26-AI3&gt;=0,$I$42/2*(参数输入表!$I$251/12)*AI2,($I$41-$I$44)*(参数输入表!$I$251/12)*AI2),0)</f>
        <v>0</v>
      </c>
      <c r="AJ26" s="479">
        <f ca="1">IF(AJ3-参数输入表!$I$250&lt;=0,IF($C$26-AJ3&gt;=0,$I$42/2*(参数输入表!$I$251/12)*AJ2,($I$41-$I$44)*(参数输入表!$I$251/12)*AJ2),0)</f>
        <v>0</v>
      </c>
      <c r="AK26" s="479">
        <f ca="1">IF(AK3-参数输入表!$I$250&lt;=0,IF($C$26-AK3&gt;=0,$I$42/2*(参数输入表!$I$251/12)*AK2,($I$41-$I$44)*(参数输入表!$I$251/12)*AK2),0)</f>
        <v>0</v>
      </c>
      <c r="AL26" s="479">
        <f ca="1">IF(AL3-参数输入表!$I$250&lt;=0,IF($C$26-AL3&gt;=0,$I$42/2*(参数输入表!$I$251/12)*AL2,($I$41-$I$44)*(参数输入表!$I$251/12)*AL2),0)</f>
        <v>0</v>
      </c>
      <c r="AM26" s="479">
        <f ca="1">IF(AM3-参数输入表!$I$250&lt;=0,IF($C$26-AM3&gt;=0,$I$42/2*(参数输入表!$I$251/12)*AM2,($I$41-$I$44)*(参数输入表!$I$251/12)*AM2),0)</f>
        <v>0</v>
      </c>
      <c r="AN26" s="479">
        <f ca="1">IF(AN3-参数输入表!$I$250&lt;=0,IF($C$26-AN3&gt;=0,$I$42/2*(参数输入表!$I$251/12)*AN2,($I$41-$I$44)*(参数输入表!$I$251/12)*AN2),0)</f>
        <v>0</v>
      </c>
      <c r="AO26" s="479">
        <f ca="1">IF(AO3-参数输入表!$I$250&lt;=0,IF($C$26-AO3&gt;=0,$I$42/2*(参数输入表!$I$251/12)*AO2,($I$41-$I$44)*(参数输入表!$I$251/12)*AO2),0)</f>
        <v>0</v>
      </c>
      <c r="AP26" s="479">
        <f ca="1">IF(AP3-参数输入表!$I$250&lt;=0,IF($C$26-AP3&gt;=0,$I$42/2*(参数输入表!$I$251/12)*AP2,($I$41-$I$44)*(参数输入表!$I$251/12)*AP2),0)</f>
        <v>0</v>
      </c>
      <c r="AQ26" s="479">
        <f ca="1">IF(AQ3-参数输入表!$I$250&lt;=0,IF($C$26-AQ3&gt;=0,$I$42/2*(参数输入表!$I$251/12)*AQ2,($I$41-$I$44)*(参数输入表!$I$251/12)*AQ2),0)</f>
        <v>0</v>
      </c>
      <c r="AR26" s="479">
        <f ca="1">IF(AR3-参数输入表!$I$250&lt;=0,IF($C$26-AR3&gt;=0,$I$42/2*(参数输入表!$I$251/12)*AR2,($I$41-$I$44)*(参数输入表!$I$251/12)*AR2),0)</f>
        <v>0</v>
      </c>
      <c r="AS26" s="479">
        <f ca="1">IF(AS3-参数输入表!$I$250&lt;=0,IF($C$26-AS3&gt;=0,$I$42/2*(参数输入表!$I$251/12)*AS2,($I$41-$I$44)*(参数输入表!$I$251/12)*AS2),0)</f>
        <v>0</v>
      </c>
      <c r="AT26" s="479">
        <f ca="1">IF(AT3-参数输入表!$I$250&lt;=0,IF($C$26-AT3&gt;=0,$I$42/2*(参数输入表!$I$251/12)*AT2,($I$41-$I$44)*(参数输入表!$I$251/12)*AT2),0)</f>
        <v>0</v>
      </c>
      <c r="AU26" s="479">
        <f ca="1">IF(AU3-参数输入表!$I$250&lt;=0,IF($C$26-AU3&gt;=0,$I$42/2*(参数输入表!$I$251/12)*AU2,($I$41-$I$44)*(参数输入表!$I$251/12)*AU2),0)</f>
        <v>0</v>
      </c>
      <c r="AV26" s="479">
        <f ca="1">IF(AV3-参数输入表!$I$250&lt;=0,IF($C$26-AV3&gt;=0,$I$42/2*(参数输入表!$I$251/12)*AV2,($I$41-$I$44)*(参数输入表!$I$251/12)*AV2),0)</f>
        <v>0</v>
      </c>
      <c r="AW26" s="479">
        <f ca="1">IF(AW3-参数输入表!$I$250&lt;=0,IF($C$26-AW3&gt;=0,$I$42/2*(参数输入表!$I$251/12)*AW2,($I$41-$I$44)*(参数输入表!$I$251/12)*AW2),0)</f>
        <v>0</v>
      </c>
      <c r="AX26" s="479">
        <f ca="1">IF(AX3-参数输入表!$I$250&lt;=0,IF($C$26-AX3&gt;=0,$I$42/2*(参数输入表!$I$251/12)*AX2,($I$41-$I$44)*(参数输入表!$I$251/12)*AX2),0)</f>
        <v>0</v>
      </c>
      <c r="AY26" s="479">
        <f ca="1">IF(AY3-参数输入表!$I$250&lt;=0,IF($C$26-AY3&gt;=0,$I$42/2*(参数输入表!$I$251/12)*AY2,($I$41-$I$44)*(参数输入表!$I$251/12)*AY2),0)</f>
        <v>0</v>
      </c>
      <c r="AZ26" s="479">
        <f ca="1">IF(AZ3-参数输入表!$I$250&lt;=0,IF($C$26-AZ3&gt;=0,$I$42/2*(参数输入表!$I$251/12)*AZ2,($I$41-$I$44)*(参数输入表!$I$251/12)*AZ2),0)</f>
        <v>0</v>
      </c>
      <c r="BA26" s="479">
        <f ca="1">IF(BA3-参数输入表!$I$250&lt;=0,IF($C$26-BA3&gt;=0,$I$42/2*(参数输入表!$I$251/12)*BA2,($I$41-$I$44)*(参数输入表!$I$251/12)*BA2),0)</f>
        <v>0</v>
      </c>
      <c r="BB26" s="479">
        <f ca="1">IF(BB3-参数输入表!$I$250&lt;=0,IF($C$26-BB3&gt;=0,$I$42/2*(参数输入表!$I$251/12)*BB2,($I$41-$I$44)*(参数输入表!$I$251/12)*BB2),0)</f>
        <v>0</v>
      </c>
      <c r="BC26" s="479">
        <f ca="1">IF(BC3-参数输入表!$I$250&lt;=0,IF($C$26-BC3&gt;=0,$I$42/2*(参数输入表!$I$251/12)*BC2,($I$41-$I$44)*(参数输入表!$I$251/12)*BC2),0)</f>
        <v>0</v>
      </c>
      <c r="BD26" s="479">
        <f ca="1">IF(BD3-参数输入表!$I$250&lt;=0,IF($C$26-BD3&gt;=0,$I$42/2*(参数输入表!$I$251/12)*BD2,($I$41-$I$44)*(参数输入表!$I$251/12)*BD2),0)</f>
        <v>0</v>
      </c>
      <c r="BE26" s="480">
        <f ca="1">IF(BE3-参数输入表!$I$250&lt;=0,IF($C$26-BE3&gt;=0,$I$42/2*(参数输入表!$I$251/12)*BE2,($I$41-$I$44)*(参数输入表!$I$251/12)*BE2),0)</f>
        <v>0</v>
      </c>
    </row>
    <row r="27" s="4" customFormat="1" spans="2:57">
      <c r="B27" s="478"/>
      <c r="C27" s="469">
        <v>46387</v>
      </c>
      <c r="D27" s="466">
        <f ca="1" t="shared" si="6"/>
        <v>16607.5130416635</v>
      </c>
      <c r="E27" s="50" t="s">
        <v>130</v>
      </c>
      <c r="F27" s="481"/>
      <c r="G27" s="481"/>
      <c r="H27" s="481"/>
      <c r="I27" s="481"/>
      <c r="J27" s="479">
        <f ca="1">IF(J3-参数输入表!$I$250&lt;=0,IF($C$27-J3&gt;=0,$J$42/2*(参数输入表!$I$251/12)*J2,($J$41-$J$44)*(参数输入表!$I$251/12)*J2),0)</f>
        <v>1828.32323970846</v>
      </c>
      <c r="K27" s="479">
        <f ca="1">IF(K3-参数输入表!$I$250&lt;=0,IF($C$27-K3&gt;=0,$J$42/2*(参数输入表!$I$251/12)*K2,($J$41-$J$44)*(参数输入表!$I$251/12)*K2),0)</f>
        <v>4030.68812780591</v>
      </c>
      <c r="L27" s="479">
        <f ca="1">IF(L3-参数输入表!$I$250&lt;=0,IF($C$27-L3&gt;=0,$J$42/2*(参数输入表!$I$251/12)*L2,($J$41-$J$44)*(参数输入表!$I$251/12)*L2),0)</f>
        <v>4030.68812780591</v>
      </c>
      <c r="M27" s="479">
        <f ca="1">IF(M3-参数输入表!$I$250&lt;=0,IF($C$27-M3&gt;=0,$J$42/2*(参数输入表!$I$251/12)*M2,($J$41-$J$44)*(参数输入表!$I$251/12)*M2),0)</f>
        <v>2687.12541853727</v>
      </c>
      <c r="N27" s="479">
        <f ca="1">IF(N3-参数输入表!$I$250&lt;=0,IF($C$27-N3&gt;=0,$J$42/2*(参数输入表!$I$251/12)*N2,($J$41-$J$44)*(参数输入表!$I$251/12)*N2),0)</f>
        <v>1343.56270926864</v>
      </c>
      <c r="O27" s="479">
        <f ca="1">IF(O3-参数输入表!$I$250&lt;=0,IF($C$27-O3&gt;=0,$J$42/2*(参数输入表!$I$251/12)*O2,($J$41-$J$44)*(参数输入表!$I$251/12)*O2),0)</f>
        <v>2351.23474122012</v>
      </c>
      <c r="P27" s="479">
        <f ca="1">IF(P3-参数输入表!$I$250&lt;=0,IF($C$27-P3&gt;=0,$J$42/2*(参数输入表!$I$251/12)*P2,($J$41-$J$44)*(参数输入表!$I$251/12)*P2),0)</f>
        <v>335.890677317159</v>
      </c>
      <c r="Q27" s="479">
        <f ca="1">IF(Q3-参数输入表!$I$250&lt;=0,IF($C$27-Q3&gt;=0,$J$42/2*(参数输入表!$I$251/12)*Q2,($J$41-$J$44)*(参数输入表!$I$251/12)*Q2),0)</f>
        <v>0</v>
      </c>
      <c r="R27" s="479">
        <f ca="1">IF(R3-参数输入表!$I$250&lt;=0,IF($C$27-R3&gt;=0,$J$42/2*(参数输入表!$I$251/12)*R2,($J$41-$J$44)*(参数输入表!$I$251/12)*R2),0)</f>
        <v>0</v>
      </c>
      <c r="S27" s="479">
        <f ca="1">IF(S3-参数输入表!$I$250&lt;=0,IF($C$27-S3&gt;=0,$J$42/2*(参数输入表!$I$251/12)*S2,($J$41-$J$44)*(参数输入表!$I$251/12)*S2),0)</f>
        <v>0</v>
      </c>
      <c r="T27" s="479">
        <f ca="1">IF(T3-参数输入表!$I$250&lt;=0,IF($C$27-T3&gt;=0,$J$42/2*(参数输入表!$I$251/12)*T2,($J$41-$J$44)*(参数输入表!$I$251/12)*T2),0)</f>
        <v>0</v>
      </c>
      <c r="U27" s="479">
        <f ca="1">IF(U3-参数输入表!$I$250&lt;=0,IF($C$27-U3&gt;=0,$J$42/2*(参数输入表!$I$251/12)*U2,($J$41-$J$44)*(参数输入表!$I$251/12)*U2),0)</f>
        <v>0</v>
      </c>
      <c r="V27" s="479">
        <f ca="1">IF(V3-参数输入表!$I$250&lt;=0,IF($C$27-V3&gt;=0,$J$42/2*(参数输入表!$I$251/12)*V2,($J$41-$J$44)*(参数输入表!$I$251/12)*V2),0)</f>
        <v>0</v>
      </c>
      <c r="W27" s="479">
        <f ca="1">IF(W3-参数输入表!$I$250&lt;=0,IF($C$27-W3&gt;=0,$J$42/2*(参数输入表!$I$251/12)*W2,($J$41-$J$44)*(参数输入表!$I$251/12)*W2),0)</f>
        <v>0</v>
      </c>
      <c r="X27" s="479">
        <f ca="1">IF(X3-参数输入表!$I$250&lt;=0,IF($C$27-X3&gt;=0,$J$42/2*(参数输入表!$I$251/12)*X2,($J$41-$J$44)*(参数输入表!$I$251/12)*X2),0)</f>
        <v>0</v>
      </c>
      <c r="Y27" s="479">
        <f ca="1">IF(Y3-参数输入表!$I$250&lt;=0,IF($C$27-Y3&gt;=0,$J$42/2*(参数输入表!$I$251/12)*Y2,($J$41-$J$44)*(参数输入表!$I$251/12)*Y2),0)</f>
        <v>0</v>
      </c>
      <c r="Z27" s="479">
        <f ca="1">IF(Z3-参数输入表!$I$250&lt;=0,IF($C$27-Z3&gt;=0,$J$42/2*(参数输入表!$I$251/12)*Z2,($J$41-$J$44)*(参数输入表!$I$251/12)*Z2),0)</f>
        <v>0</v>
      </c>
      <c r="AA27" s="479">
        <f ca="1">IF(AA3-参数输入表!$I$250&lt;=0,IF($C$27-AA3&gt;=0,$J$42/2*(参数输入表!$I$251/12)*AA2,($J$41-$J$44)*(参数输入表!$I$251/12)*AA2),0)</f>
        <v>0</v>
      </c>
      <c r="AB27" s="479">
        <f ca="1">IF(AB3-参数输入表!$I$250&lt;=0,IF($C$27-AB3&gt;=0,$J$42/2*(参数输入表!$I$251/12)*AB2,($J$41-$J$44)*(参数输入表!$I$251/12)*AB2),0)</f>
        <v>0</v>
      </c>
      <c r="AC27" s="479">
        <f ca="1">IF(AC3-参数输入表!$I$250&lt;=0,IF($C$27-AC3&gt;=0,$J$42/2*(参数输入表!$I$251/12)*AC2,($J$41-$J$44)*(参数输入表!$I$251/12)*AC2),0)</f>
        <v>0</v>
      </c>
      <c r="AD27" s="479">
        <f ca="1">IF(AD3-参数输入表!$I$250&lt;=0,IF($C$27-AD3&gt;=0,$J$42/2*(参数输入表!$I$251/12)*AD2,($J$41-$J$44)*(参数输入表!$I$251/12)*AD2),0)</f>
        <v>0</v>
      </c>
      <c r="AE27" s="479">
        <f ca="1">IF(AE3-参数输入表!$I$250&lt;=0,IF($C$27-AE3&gt;=0,$J$42/2*(参数输入表!$I$251/12)*AE2,($J$41-$J$44)*(参数输入表!$I$251/12)*AE2),0)</f>
        <v>0</v>
      </c>
      <c r="AF27" s="479">
        <f ca="1">IF(AF3-参数输入表!$I$250&lt;=0,IF($C$27-AF3&gt;=0,$J$42/2*(参数输入表!$I$251/12)*AF2,($J$41-$J$44)*(参数输入表!$I$251/12)*AF2),0)</f>
        <v>0</v>
      </c>
      <c r="AG27" s="479">
        <f ca="1">IF(AG3-参数输入表!$I$250&lt;=0,IF($C$27-AG3&gt;=0,$J$42/2*(参数输入表!$I$251/12)*AG2,($J$41-$J$44)*(参数输入表!$I$251/12)*AG2),0)</f>
        <v>0</v>
      </c>
      <c r="AH27" s="479">
        <f ca="1">IF(AH3-参数输入表!$I$250&lt;=0,IF($C$27-AH3&gt;=0,$J$42/2*(参数输入表!$I$251/12)*AH2,($J$41-$J$44)*(参数输入表!$I$251/12)*AH2),0)</f>
        <v>0</v>
      </c>
      <c r="AI27" s="479">
        <f ca="1">IF(AI3-参数输入表!$I$250&lt;=0,IF($C$27-AI3&gt;=0,$J$42/2*(参数输入表!$I$251/12)*AI2,($J$41-$J$44)*(参数输入表!$I$251/12)*AI2),0)</f>
        <v>0</v>
      </c>
      <c r="AJ27" s="479">
        <f ca="1">IF(AJ3-参数输入表!$I$250&lt;=0,IF($C$27-AJ3&gt;=0,$J$42/2*(参数输入表!$I$251/12)*AJ2,($J$41-$J$44)*(参数输入表!$I$251/12)*AJ2),0)</f>
        <v>0</v>
      </c>
      <c r="AK27" s="479">
        <f ca="1">IF(AK3-参数输入表!$I$250&lt;=0,IF($C$27-AK3&gt;=0,$J$42/2*(参数输入表!$I$251/12)*AK2,($J$41-$J$44)*(参数输入表!$I$251/12)*AK2),0)</f>
        <v>0</v>
      </c>
      <c r="AL27" s="479">
        <f ca="1">IF(AL3-参数输入表!$I$250&lt;=0,IF($C$27-AL3&gt;=0,$J$42/2*(参数输入表!$I$251/12)*AL2,($J$41-$J$44)*(参数输入表!$I$251/12)*AL2),0)</f>
        <v>0</v>
      </c>
      <c r="AM27" s="479">
        <f ca="1">IF(AM3-参数输入表!$I$250&lt;=0,IF($C$27-AM3&gt;=0,$J$42/2*(参数输入表!$I$251/12)*AM2,($J$41-$J$44)*(参数输入表!$I$251/12)*AM2),0)</f>
        <v>0</v>
      </c>
      <c r="AN27" s="479">
        <f ca="1">IF(AN3-参数输入表!$I$250&lt;=0,IF($C$27-AN3&gt;=0,$J$42/2*(参数输入表!$I$251/12)*AN2,($J$41-$J$44)*(参数输入表!$I$251/12)*AN2),0)</f>
        <v>0</v>
      </c>
      <c r="AO27" s="479">
        <f ca="1">IF(AO3-参数输入表!$I$250&lt;=0,IF($C$27-AO3&gt;=0,$J$42/2*(参数输入表!$I$251/12)*AO2,($J$41-$J$44)*(参数输入表!$I$251/12)*AO2),0)</f>
        <v>0</v>
      </c>
      <c r="AP27" s="479">
        <f ca="1">IF(AP3-参数输入表!$I$250&lt;=0,IF($C$27-AP3&gt;=0,$J$42/2*(参数输入表!$I$251/12)*AP2,($J$41-$J$44)*(参数输入表!$I$251/12)*AP2),0)</f>
        <v>0</v>
      </c>
      <c r="AQ27" s="479">
        <f ca="1">IF(AQ3-参数输入表!$I$250&lt;=0,IF($C$27-AQ3&gt;=0,$J$42/2*(参数输入表!$I$251/12)*AQ2,($J$41-$J$44)*(参数输入表!$I$251/12)*AQ2),0)</f>
        <v>0</v>
      </c>
      <c r="AR27" s="479">
        <f ca="1">IF(AR3-参数输入表!$I$250&lt;=0,IF($C$27-AR3&gt;=0,$J$42/2*(参数输入表!$I$251/12)*AR2,($J$41-$J$44)*(参数输入表!$I$251/12)*AR2),0)</f>
        <v>0</v>
      </c>
      <c r="AS27" s="479">
        <f ca="1">IF(AS3-参数输入表!$I$250&lt;=0,IF($C$27-AS3&gt;=0,$J$42/2*(参数输入表!$I$251/12)*AS2,($J$41-$J$44)*(参数输入表!$I$251/12)*AS2),0)</f>
        <v>0</v>
      </c>
      <c r="AT27" s="479">
        <f ca="1">IF(AT3-参数输入表!$I$250&lt;=0,IF($C$27-AT3&gt;=0,$J$42/2*(参数输入表!$I$251/12)*AT2,($J$41-$J$44)*(参数输入表!$I$251/12)*AT2),0)</f>
        <v>0</v>
      </c>
      <c r="AU27" s="479">
        <f ca="1">IF(AU3-参数输入表!$I$250&lt;=0,IF($C$27-AU3&gt;=0,$J$42/2*(参数输入表!$I$251/12)*AU2,($J$41-$J$44)*(参数输入表!$I$251/12)*AU2),0)</f>
        <v>0</v>
      </c>
      <c r="AV27" s="479">
        <f ca="1">IF(AV3-参数输入表!$I$250&lt;=0,IF($C$27-AV3&gt;=0,$J$42/2*(参数输入表!$I$251/12)*AV2,($J$41-$J$44)*(参数输入表!$I$251/12)*AV2),0)</f>
        <v>0</v>
      </c>
      <c r="AW27" s="479">
        <f ca="1">IF(AW3-参数输入表!$I$250&lt;=0,IF($C$27-AW3&gt;=0,$J$42/2*(参数输入表!$I$251/12)*AW2,($J$41-$J$44)*(参数输入表!$I$251/12)*AW2),0)</f>
        <v>0</v>
      </c>
      <c r="AX27" s="479">
        <f ca="1">IF(AX3-参数输入表!$I$250&lt;=0,IF($C$27-AX3&gt;=0,$J$42/2*(参数输入表!$I$251/12)*AX2,($J$41-$J$44)*(参数输入表!$I$251/12)*AX2),0)</f>
        <v>0</v>
      </c>
      <c r="AY27" s="479">
        <f ca="1">IF(AY3-参数输入表!$I$250&lt;=0,IF($C$27-AY3&gt;=0,$J$42/2*(参数输入表!$I$251/12)*AY2,($J$41-$J$44)*(参数输入表!$I$251/12)*AY2),0)</f>
        <v>0</v>
      </c>
      <c r="AZ27" s="479">
        <f ca="1">IF(AZ3-参数输入表!$I$250&lt;=0,IF($C$27-AZ3&gt;=0,$J$42/2*(参数输入表!$I$251/12)*AZ2,($J$41-$J$44)*(参数输入表!$I$251/12)*AZ2),0)</f>
        <v>0</v>
      </c>
      <c r="BA27" s="479">
        <f ca="1">IF(BA3-参数输入表!$I$250&lt;=0,IF($C$27-BA3&gt;=0,$J$42/2*(参数输入表!$I$251/12)*BA2,($J$41-$J$44)*(参数输入表!$I$251/12)*BA2),0)</f>
        <v>0</v>
      </c>
      <c r="BB27" s="479">
        <f ca="1">IF(BB3-参数输入表!$I$250&lt;=0,IF($C$27-BB3&gt;=0,$J$42/2*(参数输入表!$I$251/12)*BB2,($J$41-$J$44)*(参数输入表!$I$251/12)*BB2),0)</f>
        <v>0</v>
      </c>
      <c r="BC27" s="479">
        <f ca="1">IF(BC3-参数输入表!$I$250&lt;=0,IF($C$27-BC3&gt;=0,$J$42/2*(参数输入表!$I$251/12)*BC2,($J$41-$J$44)*(参数输入表!$I$251/12)*BC2),0)</f>
        <v>0</v>
      </c>
      <c r="BD27" s="479">
        <f ca="1">IF(BD3-参数输入表!$I$250&lt;=0,IF($C$27-BD3&gt;=0,$J$42/2*(参数输入表!$I$251/12)*BD2,($J$41-$J$44)*(参数输入表!$I$251/12)*BD2),0)</f>
        <v>0</v>
      </c>
      <c r="BE27" s="480">
        <f ca="1">IF(BE3-参数输入表!$I$250&lt;=0,IF($C$27-BE3&gt;=0,$J$42/2*(参数输入表!$I$251/12)*BE2,($J$41-$J$44)*(参数输入表!$I$251/12)*BE2),0)</f>
        <v>0</v>
      </c>
    </row>
    <row r="28" s="4" customFormat="1" spans="2:57">
      <c r="B28" s="478"/>
      <c r="C28" s="469">
        <v>46752</v>
      </c>
      <c r="D28" s="466">
        <f ca="1" t="shared" si="6"/>
        <v>16875.8100815402</v>
      </c>
      <c r="E28" s="50" t="s">
        <v>130</v>
      </c>
      <c r="F28" s="481"/>
      <c r="G28" s="481"/>
      <c r="H28" s="481"/>
      <c r="I28" s="481"/>
      <c r="J28" s="481"/>
      <c r="K28" s="479">
        <f ca="1">IF(K3-参数输入表!$I$250&lt;=0,IF($C$28-K3&gt;=0,$K$42/2*(参数输入表!$I$251/12)*K2,($K$41-$K$44)*(参数输入表!$I$251/12)*K2),0)</f>
        <v>2444.01739102604</v>
      </c>
      <c r="L28" s="479">
        <f ca="1">IF(L3-参数输入表!$I$250&lt;=0,IF($C$28-L3&gt;=0,$K$42/2*(参数输入表!$I$251/12)*L2,($K$41-$K$44)*(参数输入表!$I$251/12)*L2),0)</f>
        <v>5411.92225894281</v>
      </c>
      <c r="M28" s="479">
        <f ca="1">IF(M3-参数输入表!$I$250&lt;=0,IF($C$28-M3&gt;=0,$K$42/2*(参数输入表!$I$251/12)*M2,($K$41-$K$44)*(参数输入表!$I$251/12)*M2),0)</f>
        <v>3607.94817262854</v>
      </c>
      <c r="N28" s="479">
        <f ca="1">IF(N3-参数输入表!$I$250&lt;=0,IF($C$28-N3&gt;=0,$K$42/2*(参数输入表!$I$251/12)*N2,($K$41-$K$44)*(参数输入表!$I$251/12)*N2),0)</f>
        <v>1803.97408631427</v>
      </c>
      <c r="O28" s="479">
        <f ca="1">IF(O3-参数输入表!$I$250&lt;=0,IF($C$28-O3&gt;=0,$K$42/2*(参数输入表!$I$251/12)*O2,($K$41-$K$44)*(参数输入表!$I$251/12)*O2),0)</f>
        <v>3156.95465104997</v>
      </c>
      <c r="P28" s="479">
        <f ca="1">IF(P3-参数输入表!$I$250&lt;=0,IF($C$28-P3&gt;=0,$K$42/2*(参数输入表!$I$251/12)*P2,($K$41-$K$44)*(参数输入表!$I$251/12)*P2),0)</f>
        <v>450.993521578567</v>
      </c>
      <c r="Q28" s="479">
        <f ca="1">IF(Q3-参数输入表!$I$250&lt;=0,IF($C$28-Q3&gt;=0,$K$42/2*(参数输入表!$I$251/12)*Q2,($K$41-$K$44)*(参数输入表!$I$251/12)*Q2),0)</f>
        <v>0</v>
      </c>
      <c r="R28" s="479">
        <f ca="1">IF(R3-参数输入表!$I$250&lt;=0,IF($C$28-R3&gt;=0,$K$42/2*(参数输入表!$I$251/12)*R2,($K$41-$K$44)*(参数输入表!$I$251/12)*R2),0)</f>
        <v>0</v>
      </c>
      <c r="S28" s="479">
        <f ca="1">IF(S3-参数输入表!$I$250&lt;=0,IF($C$28-S3&gt;=0,$K$42/2*(参数输入表!$I$251/12)*S2,($K$41-$K$44)*(参数输入表!$I$251/12)*S2),0)</f>
        <v>0</v>
      </c>
      <c r="T28" s="479">
        <f ca="1">IF(T3-参数输入表!$I$250&lt;=0,IF($C$28-T3&gt;=0,$K$42/2*(参数输入表!$I$251/12)*T2,($K$41-$K$44)*(参数输入表!$I$251/12)*T2),0)</f>
        <v>0</v>
      </c>
      <c r="U28" s="479">
        <f ca="1">IF(U3-参数输入表!$I$250&lt;=0,IF($C$28-U3&gt;=0,$K$42/2*(参数输入表!$I$251/12)*U2,($K$41-$K$44)*(参数输入表!$I$251/12)*U2),0)</f>
        <v>0</v>
      </c>
      <c r="V28" s="479">
        <f ca="1">IF(V3-参数输入表!$I$250&lt;=0,IF($C$28-V3&gt;=0,$K$42/2*(参数输入表!$I$251/12)*V2,($K$41-$K$44)*(参数输入表!$I$251/12)*V2),0)</f>
        <v>0</v>
      </c>
      <c r="W28" s="479">
        <f ca="1">IF(W3-参数输入表!$I$250&lt;=0,IF($C$28-W3&gt;=0,$K$42/2*(参数输入表!$I$251/12)*W2,($K$41-$K$44)*(参数输入表!$I$251/12)*W2),0)</f>
        <v>0</v>
      </c>
      <c r="X28" s="479">
        <f ca="1">IF(X3-参数输入表!$I$250&lt;=0,IF($C$28-X3&gt;=0,$K$42/2*(参数输入表!$I$251/12)*X2,($K$41-$K$44)*(参数输入表!$I$251/12)*X2),0)</f>
        <v>0</v>
      </c>
      <c r="Y28" s="479">
        <f ca="1">IF(Y3-参数输入表!$I$250&lt;=0,IF($C$28-Y3&gt;=0,$K$42/2*(参数输入表!$I$251/12)*Y2,($K$41-$K$44)*(参数输入表!$I$251/12)*Y2),0)</f>
        <v>0</v>
      </c>
      <c r="Z28" s="479">
        <f ca="1">IF(Z3-参数输入表!$I$250&lt;=0,IF($C$28-Z3&gt;=0,$K$42/2*(参数输入表!$I$251/12)*Z2,($K$41-$K$44)*(参数输入表!$I$251/12)*Z2),0)</f>
        <v>0</v>
      </c>
      <c r="AA28" s="479">
        <f ca="1">IF(AA3-参数输入表!$I$250&lt;=0,IF($C$28-AA3&gt;=0,$K$42/2*(参数输入表!$I$251/12)*AA2,($K$41-$K$44)*(参数输入表!$I$251/12)*AA2),0)</f>
        <v>0</v>
      </c>
      <c r="AB28" s="479">
        <f ca="1">IF(AB3-参数输入表!$I$250&lt;=0,IF($C$28-AB3&gt;=0,$K$42/2*(参数输入表!$I$251/12)*AB2,($K$41-$K$44)*(参数输入表!$I$251/12)*AB2),0)</f>
        <v>0</v>
      </c>
      <c r="AC28" s="479">
        <f ca="1">IF(AC3-参数输入表!$I$250&lt;=0,IF($C$28-AC3&gt;=0,$K$42/2*(参数输入表!$I$251/12)*AC2,($K$41-$K$44)*(参数输入表!$I$251/12)*AC2),0)</f>
        <v>0</v>
      </c>
      <c r="AD28" s="479">
        <f ca="1">IF(AD3-参数输入表!$I$250&lt;=0,IF($C$28-AD3&gt;=0,$K$42/2*(参数输入表!$I$251/12)*AD2,($K$41-$K$44)*(参数输入表!$I$251/12)*AD2),0)</f>
        <v>0</v>
      </c>
      <c r="AE28" s="479">
        <f ca="1">IF(AE3-参数输入表!$I$250&lt;=0,IF($C$28-AE3&gt;=0,$K$42/2*(参数输入表!$I$251/12)*AE2,($K$41-$K$44)*(参数输入表!$I$251/12)*AE2),0)</f>
        <v>0</v>
      </c>
      <c r="AF28" s="479">
        <f ca="1">IF(AF3-参数输入表!$I$250&lt;=0,IF($C$28-AF3&gt;=0,$K$42/2*(参数输入表!$I$251/12)*AF2,($K$41-$K$44)*(参数输入表!$I$251/12)*AF2),0)</f>
        <v>0</v>
      </c>
      <c r="AG28" s="479">
        <f ca="1">IF(AG3-参数输入表!$I$250&lt;=0,IF($C$28-AG3&gt;=0,$K$42/2*(参数输入表!$I$251/12)*AG2,($K$41-$K$44)*(参数输入表!$I$251/12)*AG2),0)</f>
        <v>0</v>
      </c>
      <c r="AH28" s="479">
        <f ca="1">IF(AH3-参数输入表!$I$250&lt;=0,IF($C$28-AH3&gt;=0,$K$42/2*(参数输入表!$I$251/12)*AH2,($K$41-$K$44)*(参数输入表!$I$251/12)*AH2),0)</f>
        <v>0</v>
      </c>
      <c r="AI28" s="479">
        <f ca="1">IF(AI3-参数输入表!$I$250&lt;=0,IF($C$28-AI3&gt;=0,$K$42/2*(参数输入表!$I$251/12)*AI2,($K$41-$K$44)*(参数输入表!$I$251/12)*AI2),0)</f>
        <v>0</v>
      </c>
      <c r="AJ28" s="479">
        <f ca="1">IF(AJ3-参数输入表!$I$250&lt;=0,IF($C$28-AJ3&gt;=0,$K$42/2*(参数输入表!$I$251/12)*AJ2,($K$41-$K$44)*(参数输入表!$I$251/12)*AJ2),0)</f>
        <v>0</v>
      </c>
      <c r="AK28" s="479">
        <f ca="1">IF(AK3-参数输入表!$I$250&lt;=0,IF($C$28-AK3&gt;=0,$K$42/2*(参数输入表!$I$251/12)*AK2,($K$41-$K$44)*(参数输入表!$I$251/12)*AK2),0)</f>
        <v>0</v>
      </c>
      <c r="AL28" s="479">
        <f ca="1">IF(AL3-参数输入表!$I$250&lt;=0,IF($C$28-AL3&gt;=0,$K$42/2*(参数输入表!$I$251/12)*AL2,($K$41-$K$44)*(参数输入表!$I$251/12)*AL2),0)</f>
        <v>0</v>
      </c>
      <c r="AM28" s="479">
        <f ca="1">IF(AM3-参数输入表!$I$250&lt;=0,IF($C$28-AM3&gt;=0,$K$42/2*(参数输入表!$I$251/12)*AM2,($K$41-$K$44)*(参数输入表!$I$251/12)*AM2),0)</f>
        <v>0</v>
      </c>
      <c r="AN28" s="479">
        <f ca="1">IF(AN3-参数输入表!$I$250&lt;=0,IF($C$28-AN3&gt;=0,$K$42/2*(参数输入表!$I$251/12)*AN2,($K$41-$K$44)*(参数输入表!$I$251/12)*AN2),0)</f>
        <v>0</v>
      </c>
      <c r="AO28" s="479">
        <f ca="1">IF(AO3-参数输入表!$I$250&lt;=0,IF($C$28-AO3&gt;=0,$K$42/2*(参数输入表!$I$251/12)*AO2,($K$41-$K$44)*(参数输入表!$I$251/12)*AO2),0)</f>
        <v>0</v>
      </c>
      <c r="AP28" s="479">
        <f ca="1">IF(AP3-参数输入表!$I$250&lt;=0,IF($C$28-AP3&gt;=0,$K$42/2*(参数输入表!$I$251/12)*AP2,($K$41-$K$44)*(参数输入表!$I$251/12)*AP2),0)</f>
        <v>0</v>
      </c>
      <c r="AQ28" s="479">
        <f ca="1">IF(AQ3-参数输入表!$I$250&lt;=0,IF($C$28-AQ3&gt;=0,$K$42/2*(参数输入表!$I$251/12)*AQ2,($K$41-$K$44)*(参数输入表!$I$251/12)*AQ2),0)</f>
        <v>0</v>
      </c>
      <c r="AR28" s="479">
        <f ca="1">IF(AR3-参数输入表!$I$250&lt;=0,IF($C$28-AR3&gt;=0,$K$42/2*(参数输入表!$I$251/12)*AR2,($K$41-$K$44)*(参数输入表!$I$251/12)*AR2),0)</f>
        <v>0</v>
      </c>
      <c r="AS28" s="479">
        <f ca="1">IF(AS3-参数输入表!$I$250&lt;=0,IF($C$28-AS3&gt;=0,$K$42/2*(参数输入表!$I$251/12)*AS2,($K$41-$K$44)*(参数输入表!$I$251/12)*AS2),0)</f>
        <v>0</v>
      </c>
      <c r="AT28" s="479">
        <f ca="1">IF(AT3-参数输入表!$I$250&lt;=0,IF($C$28-AT3&gt;=0,$K$42/2*(参数输入表!$I$251/12)*AT2,($K$41-$K$44)*(参数输入表!$I$251/12)*AT2),0)</f>
        <v>0</v>
      </c>
      <c r="AU28" s="479">
        <f ca="1">IF(AU3-参数输入表!$I$250&lt;=0,IF($C$28-AU3&gt;=0,$K$42/2*(参数输入表!$I$251/12)*AU2,($K$41-$K$44)*(参数输入表!$I$251/12)*AU2),0)</f>
        <v>0</v>
      </c>
      <c r="AV28" s="479">
        <f ca="1">IF(AV3-参数输入表!$I$250&lt;=0,IF($C$28-AV3&gt;=0,$K$42/2*(参数输入表!$I$251/12)*AV2,($K$41-$K$44)*(参数输入表!$I$251/12)*AV2),0)</f>
        <v>0</v>
      </c>
      <c r="AW28" s="479">
        <f ca="1">IF(AW3-参数输入表!$I$250&lt;=0,IF($C$28-AW3&gt;=0,$K$42/2*(参数输入表!$I$251/12)*AW2,($K$41-$K$44)*(参数输入表!$I$251/12)*AW2),0)</f>
        <v>0</v>
      </c>
      <c r="AX28" s="479">
        <f ca="1">IF(AX3-参数输入表!$I$250&lt;=0,IF($C$28-AX3&gt;=0,$K$42/2*(参数输入表!$I$251/12)*AX2,($K$41-$K$44)*(参数输入表!$I$251/12)*AX2),0)</f>
        <v>0</v>
      </c>
      <c r="AY28" s="479">
        <f ca="1">IF(AY3-参数输入表!$I$250&lt;=0,IF($C$28-AY3&gt;=0,$K$42/2*(参数输入表!$I$251/12)*AY2,($K$41-$K$44)*(参数输入表!$I$251/12)*AY2),0)</f>
        <v>0</v>
      </c>
      <c r="AZ28" s="479">
        <f ca="1">IF(AZ3-参数输入表!$I$250&lt;=0,IF($C$28-AZ3&gt;=0,$K$42/2*(参数输入表!$I$251/12)*AZ2,($K$41-$K$44)*(参数输入表!$I$251/12)*AZ2),0)</f>
        <v>0</v>
      </c>
      <c r="BA28" s="479">
        <f ca="1">IF(BA3-参数输入表!$I$250&lt;=0,IF($C$28-BA3&gt;=0,$K$42/2*(参数输入表!$I$251/12)*BA2,($K$41-$K$44)*(参数输入表!$I$251/12)*BA2),0)</f>
        <v>0</v>
      </c>
      <c r="BB28" s="479">
        <f ca="1">IF(BB3-参数输入表!$I$250&lt;=0,IF($C$28-BB3&gt;=0,$K$42/2*(参数输入表!$I$251/12)*BB2,($K$41-$K$44)*(参数输入表!$I$251/12)*BB2),0)</f>
        <v>0</v>
      </c>
      <c r="BC28" s="479">
        <f ca="1">IF(BC3-参数输入表!$I$250&lt;=0,IF($C$28-BC3&gt;=0,$K$42/2*(参数输入表!$I$251/12)*BC2,($K$41-$K$44)*(参数输入表!$I$251/12)*BC2),0)</f>
        <v>0</v>
      </c>
      <c r="BD28" s="479">
        <f ca="1">IF(BD3-参数输入表!$I$250&lt;=0,IF($C$28-BD3&gt;=0,$K$42/2*(参数输入表!$I$251/12)*BD2,($K$41-$K$44)*(参数输入表!$I$251/12)*BD2),0)</f>
        <v>0</v>
      </c>
      <c r="BE28" s="480">
        <f ca="1">IF(BE3-参数输入表!$I$250&lt;=0,IF($C$28-BE3&gt;=0,$K$42/2*(参数输入表!$I$251/12)*BE2,($K$41-$K$44)*(参数输入表!$I$251/12)*BE2),0)</f>
        <v>0</v>
      </c>
    </row>
    <row r="29" s="4" customFormat="1" spans="2:57">
      <c r="B29" s="478"/>
      <c r="C29" s="469">
        <v>47118</v>
      </c>
      <c r="D29" s="466">
        <f ca="1" t="shared" si="6"/>
        <v>10863.5746676648</v>
      </c>
      <c r="E29" s="50" t="s">
        <v>130</v>
      </c>
      <c r="F29" s="481"/>
      <c r="G29" s="481"/>
      <c r="H29" s="481"/>
      <c r="I29" s="481"/>
      <c r="J29" s="481"/>
      <c r="K29" s="481"/>
      <c r="L29" s="479">
        <f ca="1">IF(L3-参数输入表!$I$250&lt;=0,IF($C$29-L3&gt;=0,$L$42/2*(参数输入表!$I$251/12)*L2,($L$41-$L$44)*(参数输入表!$I$251/12)*L2),0)</f>
        <v>2240.87468580789</v>
      </c>
      <c r="M29" s="479">
        <f ca="1">IF(M3-参数输入表!$I$250&lt;=0,IF($C$29-M3&gt;=0,$L$42/2*(参数输入表!$I$251/12)*M2,($L$41-$L$44)*(参数输入表!$I$251/12)*M2),0)</f>
        <v>3449.07999274275</v>
      </c>
      <c r="N29" s="479">
        <f ca="1">IF(N3-参数输入表!$I$250&lt;=0,IF($C$29-N3&gt;=0,$L$42/2*(参数输入表!$I$251/12)*N2,($L$41-$L$44)*(参数输入表!$I$251/12)*N2),0)</f>
        <v>1724.53999637138</v>
      </c>
      <c r="O29" s="479">
        <f ca="1">IF(O3-参数输入表!$I$250&lt;=0,IF($C$29-O3&gt;=0,$L$42/2*(参数输入表!$I$251/12)*O2,($L$41-$L$44)*(参数输入表!$I$251/12)*O2),0)</f>
        <v>3017.94499364991</v>
      </c>
      <c r="P29" s="479">
        <f ca="1">IF(P3-参数输入表!$I$250&lt;=0,IF($C$29-P3&gt;=0,$L$42/2*(参数输入表!$I$251/12)*P2,($L$41-$L$44)*(参数输入表!$I$251/12)*P2),0)</f>
        <v>431.134999092844</v>
      </c>
      <c r="Q29" s="479">
        <f ca="1">IF(Q3-参数输入表!$I$250&lt;=0,IF($C$29-Q3&gt;=0,$L$42/2*(参数输入表!$I$251/12)*Q2,($L$41-$L$44)*(参数输入表!$I$251/12)*Q2),0)</f>
        <v>0</v>
      </c>
      <c r="R29" s="479">
        <f ca="1">IF(R3-参数输入表!$I$250&lt;=0,IF($C$29-R3&gt;=0,$L$42/2*(参数输入表!$I$251/12)*R2,($L$41-$L$44)*(参数输入表!$I$251/12)*R2),0)</f>
        <v>0</v>
      </c>
      <c r="S29" s="479">
        <f ca="1">IF(S3-参数输入表!$I$250&lt;=0,IF($C$29-S3&gt;=0,$L$42/2*(参数输入表!$I$251/12)*S2,($L$41-$L$44)*(参数输入表!$I$251/12)*S2),0)</f>
        <v>0</v>
      </c>
      <c r="T29" s="479">
        <f ca="1">IF(T3-参数输入表!$I$250&lt;=0,IF($C$29-T3&gt;=0,$L$42/2*(参数输入表!$I$251/12)*T2,($L$41-$L$44)*(参数输入表!$I$251/12)*T2),0)</f>
        <v>0</v>
      </c>
      <c r="U29" s="479">
        <f ca="1">IF(U3-参数输入表!$I$250&lt;=0,IF($C$29-U3&gt;=0,$L$42/2*(参数输入表!$I$251/12)*U2,($L$41-$L$44)*(参数输入表!$I$251/12)*U2),0)</f>
        <v>0</v>
      </c>
      <c r="V29" s="479">
        <f ca="1">IF(V3-参数输入表!$I$250&lt;=0,IF($C$29-V3&gt;=0,$L$42/2*(参数输入表!$I$251/12)*V2,($L$41-$L$44)*(参数输入表!$I$251/12)*V2),0)</f>
        <v>0</v>
      </c>
      <c r="W29" s="479">
        <f ca="1">IF(W3-参数输入表!$I$250&lt;=0,IF($C$29-W3&gt;=0,$L$42/2*(参数输入表!$I$251/12)*W2,($L$41-$L$44)*(参数输入表!$I$251/12)*W2),0)</f>
        <v>0</v>
      </c>
      <c r="X29" s="479">
        <f ca="1">IF(X3-参数输入表!$I$250&lt;=0,IF($C$29-X3&gt;=0,$L$42/2*(参数输入表!$I$251/12)*X2,($L$41-$L$44)*(参数输入表!$I$251/12)*X2),0)</f>
        <v>0</v>
      </c>
      <c r="Y29" s="479">
        <f ca="1">IF(Y3-参数输入表!$I$250&lt;=0,IF($C$29-Y3&gt;=0,$L$42/2*(参数输入表!$I$251/12)*Y2,($L$41-$L$44)*(参数输入表!$I$251/12)*Y2),0)</f>
        <v>0</v>
      </c>
      <c r="Z29" s="479">
        <f ca="1">IF(Z3-参数输入表!$I$250&lt;=0,IF($C$29-Z3&gt;=0,$L$42/2*(参数输入表!$I$251/12)*Z2,($L$41-$L$44)*(参数输入表!$I$251/12)*Z2),0)</f>
        <v>0</v>
      </c>
      <c r="AA29" s="479">
        <f ca="1">IF(AA3-参数输入表!$I$250&lt;=0,IF($C$29-AA3&gt;=0,$L$42/2*(参数输入表!$I$251/12)*AA2,($L$41-$L$44)*(参数输入表!$I$251/12)*AA2),0)</f>
        <v>0</v>
      </c>
      <c r="AB29" s="479">
        <f ca="1">IF(AB3-参数输入表!$I$250&lt;=0,IF($C$29-AB3&gt;=0,$L$42/2*(参数输入表!$I$251/12)*AB2,($L$41-$L$44)*(参数输入表!$I$251/12)*AB2),0)</f>
        <v>0</v>
      </c>
      <c r="AC29" s="479">
        <f ca="1">IF(AC3-参数输入表!$I$250&lt;=0,IF($C$29-AC3&gt;=0,$L$42/2*(参数输入表!$I$251/12)*AC2,($L$41-$L$44)*(参数输入表!$I$251/12)*AC2),0)</f>
        <v>0</v>
      </c>
      <c r="AD29" s="479">
        <f ca="1">IF(AD3-参数输入表!$I$250&lt;=0,IF($C$29-AD3&gt;=0,$L$42/2*(参数输入表!$I$251/12)*AD2,($L$41-$L$44)*(参数输入表!$I$251/12)*AD2),0)</f>
        <v>0</v>
      </c>
      <c r="AE29" s="479">
        <f ca="1">IF(AE3-参数输入表!$I$250&lt;=0,IF($C$29-AE3&gt;=0,$L$42/2*(参数输入表!$I$251/12)*AE2,($L$41-$L$44)*(参数输入表!$I$251/12)*AE2),0)</f>
        <v>0</v>
      </c>
      <c r="AF29" s="479">
        <f ca="1">IF(AF3-参数输入表!$I$250&lt;=0,IF($C$29-AF3&gt;=0,$L$42/2*(参数输入表!$I$251/12)*AF2,($L$41-$L$44)*(参数输入表!$I$251/12)*AF2),0)</f>
        <v>0</v>
      </c>
      <c r="AG29" s="479">
        <f ca="1">IF(AG3-参数输入表!$I$250&lt;=0,IF($C$29-AG3&gt;=0,$L$42/2*(参数输入表!$I$251/12)*AG2,($L$41-$L$44)*(参数输入表!$I$251/12)*AG2),0)</f>
        <v>0</v>
      </c>
      <c r="AH29" s="479">
        <f ca="1">IF(AH3-参数输入表!$I$250&lt;=0,IF($C$29-AH3&gt;=0,$L$42/2*(参数输入表!$I$251/12)*AH2,($L$41-$L$44)*(参数输入表!$I$251/12)*AH2),0)</f>
        <v>0</v>
      </c>
      <c r="AI29" s="479">
        <f ca="1">IF(AI3-参数输入表!$I$250&lt;=0,IF($C$29-AI3&gt;=0,$L$42/2*(参数输入表!$I$251/12)*AI2,($L$41-$L$44)*(参数输入表!$I$251/12)*AI2),0)</f>
        <v>0</v>
      </c>
      <c r="AJ29" s="479">
        <f ca="1">IF(AJ3-参数输入表!$I$250&lt;=0,IF($C$29-AJ3&gt;=0,$L$42/2*(参数输入表!$I$251/12)*AJ2,($L$41-$L$44)*(参数输入表!$I$251/12)*AJ2),0)</f>
        <v>0</v>
      </c>
      <c r="AK29" s="479">
        <f ca="1">IF(AK3-参数输入表!$I$250&lt;=0,IF($C$29-AK3&gt;=0,$L$42/2*(参数输入表!$I$251/12)*AK2,($L$41-$L$44)*(参数输入表!$I$251/12)*AK2),0)</f>
        <v>0</v>
      </c>
      <c r="AL29" s="479">
        <f ca="1">IF(AL3-参数输入表!$I$250&lt;=0,IF($C$29-AL3&gt;=0,$L$42/2*(参数输入表!$I$251/12)*AL2,($L$41-$L$44)*(参数输入表!$I$251/12)*AL2),0)</f>
        <v>0</v>
      </c>
      <c r="AM29" s="479">
        <f ca="1">IF(AM3-参数输入表!$I$250&lt;=0,IF($C$29-AM3&gt;=0,$L$42/2*(参数输入表!$I$251/12)*AM2,($L$41-$L$44)*(参数输入表!$I$251/12)*AM2),0)</f>
        <v>0</v>
      </c>
      <c r="AN29" s="479">
        <f ca="1">IF(AN3-参数输入表!$I$250&lt;=0,IF($C$29-AN3&gt;=0,$L$42/2*(参数输入表!$I$251/12)*AN2,($L$41-$L$44)*(参数输入表!$I$251/12)*AN2),0)</f>
        <v>0</v>
      </c>
      <c r="AO29" s="479">
        <f ca="1">IF(AO3-参数输入表!$I$250&lt;=0,IF($C$29-AO3&gt;=0,$L$42/2*(参数输入表!$I$251/12)*AO2,($L$41-$L$44)*(参数输入表!$I$251/12)*AO2),0)</f>
        <v>0</v>
      </c>
      <c r="AP29" s="479">
        <f ca="1">IF(AP3-参数输入表!$I$250&lt;=0,IF($C$29-AP3&gt;=0,$L$42/2*(参数输入表!$I$251/12)*AP2,($L$41-$L$44)*(参数输入表!$I$251/12)*AP2),0)</f>
        <v>0</v>
      </c>
      <c r="AQ29" s="479">
        <f ca="1">IF(AQ3-参数输入表!$I$250&lt;=0,IF($C$29-AQ3&gt;=0,$L$42/2*(参数输入表!$I$251/12)*AQ2,($L$41-$L$44)*(参数输入表!$I$251/12)*AQ2),0)</f>
        <v>0</v>
      </c>
      <c r="AR29" s="479">
        <f ca="1">IF(AR3-参数输入表!$I$250&lt;=0,IF($C$29-AR3&gt;=0,$L$42/2*(参数输入表!$I$251/12)*AR2,($L$41-$L$44)*(参数输入表!$I$251/12)*AR2),0)</f>
        <v>0</v>
      </c>
      <c r="AS29" s="479">
        <f ca="1">IF(AS3-参数输入表!$I$250&lt;=0,IF($C$29-AS3&gt;=0,$L$42/2*(参数输入表!$I$251/12)*AS2,($L$41-$L$44)*(参数输入表!$I$251/12)*AS2),0)</f>
        <v>0</v>
      </c>
      <c r="AT29" s="479">
        <f ca="1">IF(AT3-参数输入表!$I$250&lt;=0,IF($C$29-AT3&gt;=0,$L$42/2*(参数输入表!$I$251/12)*AT2,($L$41-$L$44)*(参数输入表!$I$251/12)*AT2),0)</f>
        <v>0</v>
      </c>
      <c r="AU29" s="479">
        <f ca="1">IF(AU3-参数输入表!$I$250&lt;=0,IF($C$29-AU3&gt;=0,$L$42/2*(参数输入表!$I$251/12)*AU2,($L$41-$L$44)*(参数输入表!$I$251/12)*AU2),0)</f>
        <v>0</v>
      </c>
      <c r="AV29" s="479">
        <f ca="1">IF(AV3-参数输入表!$I$250&lt;=0,IF($C$29-AV3&gt;=0,$L$42/2*(参数输入表!$I$251/12)*AV2,($L$41-$L$44)*(参数输入表!$I$251/12)*AV2),0)</f>
        <v>0</v>
      </c>
      <c r="AW29" s="479">
        <f ca="1">IF(AW3-参数输入表!$I$250&lt;=0,IF($C$29-AW3&gt;=0,$L$42/2*(参数输入表!$I$251/12)*AW2,($L$41-$L$44)*(参数输入表!$I$251/12)*AW2),0)</f>
        <v>0</v>
      </c>
      <c r="AX29" s="479">
        <f ca="1">IF(AX3-参数输入表!$I$250&lt;=0,IF($C$29-AX3&gt;=0,$L$42/2*(参数输入表!$I$251/12)*AX2,($L$41-$L$44)*(参数输入表!$I$251/12)*AX2),0)</f>
        <v>0</v>
      </c>
      <c r="AY29" s="479">
        <f ca="1">IF(AY3-参数输入表!$I$250&lt;=0,IF($C$29-AY3&gt;=0,$L$42/2*(参数输入表!$I$251/12)*AY2,($L$41-$L$44)*(参数输入表!$I$251/12)*AY2),0)</f>
        <v>0</v>
      </c>
      <c r="AZ29" s="479">
        <f ca="1">IF(AZ3-参数输入表!$I$250&lt;=0,IF($C$29-AZ3&gt;=0,$L$42/2*(参数输入表!$I$251/12)*AZ2,($L$41-$L$44)*(参数输入表!$I$251/12)*AZ2),0)</f>
        <v>0</v>
      </c>
      <c r="BA29" s="479">
        <f ca="1">IF(BA3-参数输入表!$I$250&lt;=0,IF($C$29-BA3&gt;=0,$L$42/2*(参数输入表!$I$251/12)*BA2,($L$41-$L$44)*(参数输入表!$I$251/12)*BA2),0)</f>
        <v>0</v>
      </c>
      <c r="BB29" s="479">
        <f ca="1">IF(BB3-参数输入表!$I$250&lt;=0,IF($C$29-BB3&gt;=0,$L$42/2*(参数输入表!$I$251/12)*BB2,($L$41-$L$44)*(参数输入表!$I$251/12)*BB2),0)</f>
        <v>0</v>
      </c>
      <c r="BC29" s="479">
        <f ca="1">IF(BC3-参数输入表!$I$250&lt;=0,IF($C$29-BC3&gt;=0,$L$42/2*(参数输入表!$I$251/12)*BC2,($L$41-$L$44)*(参数输入表!$I$251/12)*BC2),0)</f>
        <v>0</v>
      </c>
      <c r="BD29" s="479">
        <f ca="1">IF(BD3-参数输入表!$I$250&lt;=0,IF($C$29-BD3&gt;=0,$L$42/2*(参数输入表!$I$251/12)*BD2,($L$41-$L$44)*(参数输入表!$I$251/12)*BD2),0)</f>
        <v>0</v>
      </c>
      <c r="BE29" s="480">
        <f ca="1">IF(BE3-参数输入表!$I$250&lt;=0,IF($C$29-BE3&gt;=0,$L$42/2*(参数输入表!$I$251/12)*BE2,($L$41-$L$44)*(参数输入表!$I$251/12)*BE2),0)</f>
        <v>0</v>
      </c>
    </row>
    <row r="30" s="4" customFormat="1" spans="2:57">
      <c r="B30" s="478"/>
      <c r="C30" s="469">
        <v>47361</v>
      </c>
      <c r="D30" s="466">
        <f ca="1" t="shared" si="6"/>
        <v>3567.50192006697</v>
      </c>
      <c r="E30" s="50" t="s">
        <v>130</v>
      </c>
      <c r="F30" s="481"/>
      <c r="G30" s="481"/>
      <c r="H30" s="481"/>
      <c r="I30" s="481"/>
      <c r="J30" s="481"/>
      <c r="K30" s="481"/>
      <c r="L30" s="481"/>
      <c r="M30" s="479">
        <f ca="1">IF(M3-参数输入表!$I$250&lt;=0,IF($C$30-M3&gt;=0,$M$42/2*(参数输入表!$I$251/12)*M2,($M$41-$M$44)*(参数输入表!$I$251/12)*M2),0)</f>
        <v>754.71531222361</v>
      </c>
      <c r="N30" s="479">
        <f ca="1">IF(N3-参数输入表!$I$250&lt;=0,IF($C$30-N3&gt;=0,$M$42/2*(参数输入表!$I$251/12)*N2,($M$41-$M$44)*(参数输入表!$I$251/12)*N2),0)</f>
        <v>937.595535947787</v>
      </c>
      <c r="O30" s="479">
        <f ca="1">IF(O3-参数输入表!$I$250&lt;=0,IF($C$30-O3&gt;=0,$M$42/2*(参数输入表!$I$251/12)*O2,($M$41-$M$44)*(参数输入表!$I$251/12)*O2),0)</f>
        <v>1640.79218790863</v>
      </c>
      <c r="P30" s="479">
        <f ca="1">IF(P3-参数输入表!$I$250&lt;=0,IF($C$30-P3&gt;=0,$M$42/2*(参数输入表!$I$251/12)*P2,($M$41-$M$44)*(参数输入表!$I$251/12)*P2),0)</f>
        <v>234.398883986947</v>
      </c>
      <c r="Q30" s="479">
        <f ca="1">IF(Q3-参数输入表!$I$250&lt;=0,IF($C$30-Q3&gt;=0,$M$42/2*(参数输入表!$I$251/12)*Q2,($M$41-$M$44)*(参数输入表!$I$251/12)*Q2),0)</f>
        <v>0</v>
      </c>
      <c r="R30" s="479">
        <f ca="1">IF(R3-参数输入表!$I$250&lt;=0,IF($C$30-R3&gt;=0,$M$42/2*(参数输入表!$I$251/12)*R2,($M$41-$M$44)*(参数输入表!$I$251/12)*R2),0)</f>
        <v>0</v>
      </c>
      <c r="S30" s="479">
        <f ca="1">IF(S3-参数输入表!$I$250&lt;=0,IF($C$30-S3&gt;=0,$M$42/2*(参数输入表!$I$251/12)*S2,($M$41-$M$44)*(参数输入表!$I$251/12)*S2),0)</f>
        <v>0</v>
      </c>
      <c r="T30" s="479">
        <f ca="1">IF(T3-参数输入表!$I$250&lt;=0,IF($C$30-T3&gt;=0,$M$42/2*(参数输入表!$I$251/12)*T2,($M$41-$M$44)*(参数输入表!$I$251/12)*T2),0)</f>
        <v>0</v>
      </c>
      <c r="U30" s="479">
        <f ca="1">IF(U3-参数输入表!$I$250&lt;=0,IF($C$30-U3&gt;=0,$M$42/2*(参数输入表!$I$251/12)*U2,($M$41-$M$44)*(参数输入表!$I$251/12)*U2),0)</f>
        <v>0</v>
      </c>
      <c r="V30" s="479">
        <f ca="1">IF(V3-参数输入表!$I$250&lt;=0,IF($C$30-V3&gt;=0,$M$42/2*(参数输入表!$I$251/12)*V2,($M$41-$M$44)*(参数输入表!$I$251/12)*V2),0)</f>
        <v>0</v>
      </c>
      <c r="W30" s="479">
        <f ca="1">IF(W3-参数输入表!$I$250&lt;=0,IF($C$30-W3&gt;=0,$M$42/2*(参数输入表!$I$251/12)*W2,($M$41-$M$44)*(参数输入表!$I$251/12)*W2),0)</f>
        <v>0</v>
      </c>
      <c r="X30" s="479">
        <f ca="1">IF(X3-参数输入表!$I$250&lt;=0,IF($C$30-X3&gt;=0,$M$42/2*(参数输入表!$I$251/12)*X2,($M$41-$M$44)*(参数输入表!$I$251/12)*X2),0)</f>
        <v>0</v>
      </c>
      <c r="Y30" s="479">
        <f ca="1">IF(Y3-参数输入表!$I$250&lt;=0,IF($C$30-Y3&gt;=0,$M$42/2*(参数输入表!$I$251/12)*Y2,($M$41-$M$44)*(参数输入表!$I$251/12)*Y2),0)</f>
        <v>0</v>
      </c>
      <c r="Z30" s="479">
        <f ca="1">IF(Z3-参数输入表!$I$250&lt;=0,IF($C$30-Z3&gt;=0,$M$42/2*(参数输入表!$I$251/12)*Z2,($M$41-$M$44)*(参数输入表!$I$251/12)*Z2),0)</f>
        <v>0</v>
      </c>
      <c r="AA30" s="479">
        <f ca="1">IF(AA3-参数输入表!$I$250&lt;=0,IF($C$30-AA3&gt;=0,$M$42/2*(参数输入表!$I$251/12)*AA2,($M$41-$M$44)*(参数输入表!$I$251/12)*AA2),0)</f>
        <v>0</v>
      </c>
      <c r="AB30" s="479">
        <f ca="1">IF(AB3-参数输入表!$I$250&lt;=0,IF($C$30-AB3&gt;=0,$M$42/2*(参数输入表!$I$251/12)*AB2,($M$41-$M$44)*(参数输入表!$I$251/12)*AB2),0)</f>
        <v>0</v>
      </c>
      <c r="AC30" s="479">
        <f ca="1">IF(AC3-参数输入表!$I$250&lt;=0,IF($C$30-AC3&gt;=0,$M$42/2*(参数输入表!$I$251/12)*AC2,($M$41-$M$44)*(参数输入表!$I$251/12)*AC2),0)</f>
        <v>0</v>
      </c>
      <c r="AD30" s="479">
        <f ca="1">IF(AD3-参数输入表!$I$250&lt;=0,IF($C$30-AD3&gt;=0,$M$42/2*(参数输入表!$I$251/12)*AD2,($M$41-$M$44)*(参数输入表!$I$251/12)*AD2),0)</f>
        <v>0</v>
      </c>
      <c r="AE30" s="479">
        <f ca="1">IF(AE3-参数输入表!$I$250&lt;=0,IF($C$30-AE3&gt;=0,$M$42/2*(参数输入表!$I$251/12)*AE2,($M$41-$M$44)*(参数输入表!$I$251/12)*AE2),0)</f>
        <v>0</v>
      </c>
      <c r="AF30" s="479">
        <f ca="1">IF(AF3-参数输入表!$I$250&lt;=0,IF($C$30-AF3&gt;=0,$M$42/2*(参数输入表!$I$251/12)*AF2,($M$41-$M$44)*(参数输入表!$I$251/12)*AF2),0)</f>
        <v>0</v>
      </c>
      <c r="AG30" s="479">
        <f ca="1">IF(AG3-参数输入表!$I$250&lt;=0,IF($C$30-AG3&gt;=0,$M$42/2*(参数输入表!$I$251/12)*AG2,($M$41-$M$44)*(参数输入表!$I$251/12)*AG2),0)</f>
        <v>0</v>
      </c>
      <c r="AH30" s="479">
        <f ca="1">IF(AH3-参数输入表!$I$250&lt;=0,IF($C$30-AH3&gt;=0,$M$42/2*(参数输入表!$I$251/12)*AH2,($M$41-$M$44)*(参数输入表!$I$251/12)*AH2),0)</f>
        <v>0</v>
      </c>
      <c r="AI30" s="479">
        <f ca="1">IF(AI3-参数输入表!$I$250&lt;=0,IF($C$30-AI3&gt;=0,$M$42/2*(参数输入表!$I$251/12)*AI2,($M$41-$M$44)*(参数输入表!$I$251/12)*AI2),0)</f>
        <v>0</v>
      </c>
      <c r="AJ30" s="479">
        <f ca="1">IF(AJ3-参数输入表!$I$250&lt;=0,IF($C$30-AJ3&gt;=0,$M$42/2*(参数输入表!$I$251/12)*AJ2,($M$41-$M$44)*(参数输入表!$I$251/12)*AJ2),0)</f>
        <v>0</v>
      </c>
      <c r="AK30" s="479">
        <f ca="1">IF(AK3-参数输入表!$I$250&lt;=0,IF($C$30-AK3&gt;=0,$M$42/2*(参数输入表!$I$251/12)*AK2,($M$41-$M$44)*(参数输入表!$I$251/12)*AK2),0)</f>
        <v>0</v>
      </c>
      <c r="AL30" s="479">
        <f ca="1">IF(AL3-参数输入表!$I$250&lt;=0,IF($C$30-AL3&gt;=0,$M$42/2*(参数输入表!$I$251/12)*AL2,($M$41-$M$44)*(参数输入表!$I$251/12)*AL2),0)</f>
        <v>0</v>
      </c>
      <c r="AM30" s="479">
        <f ca="1">IF(AM3-参数输入表!$I$250&lt;=0,IF($C$30-AM3&gt;=0,$M$42/2*(参数输入表!$I$251/12)*AM2,($M$41-$M$44)*(参数输入表!$I$251/12)*AM2),0)</f>
        <v>0</v>
      </c>
      <c r="AN30" s="479">
        <f ca="1">IF(AN3-参数输入表!$I$250&lt;=0,IF($C$30-AN3&gt;=0,$M$42/2*(参数输入表!$I$251/12)*AN2,($M$41-$M$44)*(参数输入表!$I$251/12)*AN2),0)</f>
        <v>0</v>
      </c>
      <c r="AO30" s="479">
        <f ca="1">IF(AO3-参数输入表!$I$250&lt;=0,IF($C$30-AO3&gt;=0,$M$42/2*(参数输入表!$I$251/12)*AO2,($M$41-$M$44)*(参数输入表!$I$251/12)*AO2),0)</f>
        <v>0</v>
      </c>
      <c r="AP30" s="479">
        <f ca="1">IF(AP3-参数输入表!$I$250&lt;=0,IF($C$30-AP3&gt;=0,$M$42/2*(参数输入表!$I$251/12)*AP2,($M$41-$M$44)*(参数输入表!$I$251/12)*AP2),0)</f>
        <v>0</v>
      </c>
      <c r="AQ30" s="479">
        <f ca="1">IF(AQ3-参数输入表!$I$250&lt;=0,IF($C$30-AQ3&gt;=0,$M$42/2*(参数输入表!$I$251/12)*AQ2,($M$41-$M$44)*(参数输入表!$I$251/12)*AQ2),0)</f>
        <v>0</v>
      </c>
      <c r="AR30" s="479">
        <f ca="1">IF(AR3-参数输入表!$I$250&lt;=0,IF($C$30-AR3&gt;=0,$M$42/2*(参数输入表!$I$251/12)*AR2,($M$41-$M$44)*(参数输入表!$I$251/12)*AR2),0)</f>
        <v>0</v>
      </c>
      <c r="AS30" s="479">
        <f ca="1">IF(AS3-参数输入表!$I$250&lt;=0,IF($C$30-AS3&gt;=0,$M$42/2*(参数输入表!$I$251/12)*AS2,($M$41-$M$44)*(参数输入表!$I$251/12)*AS2),0)</f>
        <v>0</v>
      </c>
      <c r="AT30" s="479">
        <f ca="1">IF(AT3-参数输入表!$I$250&lt;=0,IF($C$30-AT3&gt;=0,$M$42/2*(参数输入表!$I$251/12)*AT2,($M$41-$M$44)*(参数输入表!$I$251/12)*AT2),0)</f>
        <v>0</v>
      </c>
      <c r="AU30" s="479">
        <f ca="1">IF(AU3-参数输入表!$I$250&lt;=0,IF($C$30-AU3&gt;=0,$M$42/2*(参数输入表!$I$251/12)*AU2,($M$41-$M$44)*(参数输入表!$I$251/12)*AU2),0)</f>
        <v>0</v>
      </c>
      <c r="AV30" s="479">
        <f ca="1">IF(AV3-参数输入表!$I$250&lt;=0,IF($C$30-AV3&gt;=0,$M$42/2*(参数输入表!$I$251/12)*AV2,($M$41-$M$44)*(参数输入表!$I$251/12)*AV2),0)</f>
        <v>0</v>
      </c>
      <c r="AW30" s="479">
        <f ca="1">IF(AW3-参数输入表!$I$250&lt;=0,IF($C$30-AW3&gt;=0,$M$42/2*(参数输入表!$I$251/12)*AW2,($M$41-$M$44)*(参数输入表!$I$251/12)*AW2),0)</f>
        <v>0</v>
      </c>
      <c r="AX30" s="479">
        <f ca="1">IF(AX3-参数输入表!$I$250&lt;=0,IF($C$30-AX3&gt;=0,$M$42/2*(参数输入表!$I$251/12)*AX2,($M$41-$M$44)*(参数输入表!$I$251/12)*AX2),0)</f>
        <v>0</v>
      </c>
      <c r="AY30" s="479">
        <f ca="1">IF(AY3-参数输入表!$I$250&lt;=0,IF($C$30-AY3&gt;=0,$M$42/2*(参数输入表!$I$251/12)*AY2,($M$41-$M$44)*(参数输入表!$I$251/12)*AY2),0)</f>
        <v>0</v>
      </c>
      <c r="AZ30" s="479">
        <f ca="1">IF(AZ3-参数输入表!$I$250&lt;=0,IF($C$30-AZ3&gt;=0,$M$42/2*(参数输入表!$I$251/12)*AZ2,($M$41-$M$44)*(参数输入表!$I$251/12)*AZ2),0)</f>
        <v>0</v>
      </c>
      <c r="BA30" s="479">
        <f ca="1">IF(BA3-参数输入表!$I$250&lt;=0,IF($C$30-BA3&gt;=0,$M$42/2*(参数输入表!$I$251/12)*BA2,($M$41-$M$44)*(参数输入表!$I$251/12)*BA2),0)</f>
        <v>0</v>
      </c>
      <c r="BB30" s="479">
        <f ca="1">IF(BB3-参数输入表!$I$250&lt;=0,IF($C$30-BB3&gt;=0,$M$42/2*(参数输入表!$I$251/12)*BB2,($M$41-$M$44)*(参数输入表!$I$251/12)*BB2),0)</f>
        <v>0</v>
      </c>
      <c r="BC30" s="479">
        <f ca="1">IF(BC3-参数输入表!$I$250&lt;=0,IF($C$30-BC3&gt;=0,$M$42/2*(参数输入表!$I$251/12)*BC2,($M$41-$M$44)*(参数输入表!$I$251/12)*BC2),0)</f>
        <v>0</v>
      </c>
      <c r="BD30" s="479">
        <f ca="1">IF(BD3-参数输入表!$I$250&lt;=0,IF($C$30-BD3&gt;=0,$M$42/2*(参数输入表!$I$251/12)*BD2,($M$41-$M$44)*(参数输入表!$I$251/12)*BD2),0)</f>
        <v>0</v>
      </c>
      <c r="BE30" s="480">
        <f ca="1">IF(BE3-参数输入表!$I$250&lt;=0,IF($C$30-BE3&gt;=0,$M$42/2*(参数输入表!$I$251/12)*BE2,($M$41-$M$44)*(参数输入表!$I$251/12)*BE2),0)</f>
        <v>0</v>
      </c>
    </row>
    <row r="31" s="4" customFormat="1" spans="2:57">
      <c r="B31" s="478"/>
      <c r="C31" s="469">
        <v>47483</v>
      </c>
      <c r="D31" s="466">
        <f ca="1" t="shared" si="6"/>
        <v>1458.1929849176</v>
      </c>
      <c r="E31" s="50" t="s">
        <v>130</v>
      </c>
      <c r="F31" s="481"/>
      <c r="G31" s="481"/>
      <c r="H31" s="481"/>
      <c r="I31" s="481"/>
      <c r="J31" s="481"/>
      <c r="K31" s="481"/>
      <c r="L31" s="481"/>
      <c r="M31" s="481"/>
      <c r="N31" s="479">
        <f ca="1">IF(N3-参数输入表!$I$250&lt;=0,IF($C$31-N3&gt;=0,$N$42/2*(参数输入表!$I$251/12)*N2,($N$41-$N$44)*(参数输入表!$I$251/12)*N2),0)</f>
        <v>251.571770741204</v>
      </c>
      <c r="O31" s="479">
        <f ca="1">IF(O3-参数输入表!$I$250&lt;=0,IF($C$31-O3&gt;=0,$N$42/2*(参数输入表!$I$251/12)*O2,($N$41-$N$44)*(参数输入表!$I$251/12)*O2),0)</f>
        <v>1055.79356240435</v>
      </c>
      <c r="P31" s="479">
        <f ca="1">IF(P3-参数输入表!$I$250&lt;=0,IF($C$31-P3&gt;=0,$N$42/2*(参数输入表!$I$251/12)*P2,($N$41-$N$44)*(参数输入表!$I$251/12)*P2),0)</f>
        <v>150.82765177205</v>
      </c>
      <c r="Q31" s="479">
        <f ca="1">IF(Q3-参数输入表!$I$250&lt;=0,IF($C$31-Q3&gt;=0,$N$42/2*(参数输入表!$I$251/12)*Q2,($N$41-$N$44)*(参数输入表!$I$251/12)*Q2),0)</f>
        <v>0</v>
      </c>
      <c r="R31" s="479">
        <f ca="1">IF(R3-参数输入表!$I$250&lt;=0,IF($C$31-R3&gt;=0,$N$42/2*(参数输入表!$I$251/12)*R2,($N$41-$N$44)*(参数输入表!$I$251/12)*R2),0)</f>
        <v>0</v>
      </c>
      <c r="S31" s="479">
        <f ca="1">IF(S3-参数输入表!$I$250&lt;=0,IF($C$31-S3&gt;=0,$N$42/2*(参数输入表!$I$251/12)*S2,($N$41-$N$44)*(参数输入表!$I$251/12)*S2),0)</f>
        <v>0</v>
      </c>
      <c r="T31" s="479">
        <f ca="1">IF(T3-参数输入表!$I$250&lt;=0,IF($C$31-T3&gt;=0,$N$42/2*(参数输入表!$I$251/12)*T2,($N$41-$N$44)*(参数输入表!$I$251/12)*T2),0)</f>
        <v>0</v>
      </c>
      <c r="U31" s="479">
        <f ca="1">IF(U3-参数输入表!$I$250&lt;=0,IF($C$31-U3&gt;=0,$N$42/2*(参数输入表!$I$251/12)*U2,($N$41-$N$44)*(参数输入表!$I$251/12)*U2),0)</f>
        <v>0</v>
      </c>
      <c r="V31" s="479">
        <f ca="1">IF(V3-参数输入表!$I$250&lt;=0,IF($C$31-V3&gt;=0,$N$42/2*(参数输入表!$I$251/12)*V2,($N$41-$N$44)*(参数输入表!$I$251/12)*V2),0)</f>
        <v>0</v>
      </c>
      <c r="W31" s="479">
        <f ca="1">IF(W3-参数输入表!$I$250&lt;=0,IF($C$31-W3&gt;=0,$N$42/2*(参数输入表!$I$251/12)*W2,($N$41-$N$44)*(参数输入表!$I$251/12)*W2),0)</f>
        <v>0</v>
      </c>
      <c r="X31" s="479">
        <f ca="1">IF(X3-参数输入表!$I$250&lt;=0,IF($C$31-X3&gt;=0,$N$42/2*(参数输入表!$I$251/12)*X2,($N$41-$N$44)*(参数输入表!$I$251/12)*X2),0)</f>
        <v>0</v>
      </c>
      <c r="Y31" s="479">
        <f ca="1">IF(Y3-参数输入表!$I$250&lt;=0,IF($C$31-Y3&gt;=0,$N$42/2*(参数输入表!$I$251/12)*Y2,($N$41-$N$44)*(参数输入表!$I$251/12)*Y2),0)</f>
        <v>0</v>
      </c>
      <c r="Z31" s="479">
        <f ca="1">IF(Z3-参数输入表!$I$250&lt;=0,IF($C$31-Z3&gt;=0,$N$42/2*(参数输入表!$I$251/12)*Z2,($N$41-$N$44)*(参数输入表!$I$251/12)*Z2),0)</f>
        <v>0</v>
      </c>
      <c r="AA31" s="479">
        <f ca="1">IF(AA3-参数输入表!$I$250&lt;=0,IF($C$31-AA3&gt;=0,$N$42/2*(参数输入表!$I$251/12)*AA2,($N$41-$N$44)*(参数输入表!$I$251/12)*AA2),0)</f>
        <v>0</v>
      </c>
      <c r="AB31" s="479">
        <f ca="1">IF(AB3-参数输入表!$I$250&lt;=0,IF($C$31-AB3&gt;=0,$N$42/2*(参数输入表!$I$251/12)*AB2,($N$41-$N$44)*(参数输入表!$I$251/12)*AB2),0)</f>
        <v>0</v>
      </c>
      <c r="AC31" s="479">
        <f ca="1">IF(AC3-参数输入表!$I$250&lt;=0,IF($C$31-AC3&gt;=0,$N$42/2*(参数输入表!$I$251/12)*AC2,($N$41-$N$44)*(参数输入表!$I$251/12)*AC2),0)</f>
        <v>0</v>
      </c>
      <c r="AD31" s="479">
        <f ca="1">IF(AD3-参数输入表!$I$250&lt;=0,IF($C$31-AD3&gt;=0,$N$42/2*(参数输入表!$I$251/12)*AD2,($N$41-$N$44)*(参数输入表!$I$251/12)*AD2),0)</f>
        <v>0</v>
      </c>
      <c r="AE31" s="479">
        <f ca="1">IF(AE3-参数输入表!$I$250&lt;=0,IF($C$31-AE3&gt;=0,$N$42/2*(参数输入表!$I$251/12)*AE2,($N$41-$N$44)*(参数输入表!$I$251/12)*AE2),0)</f>
        <v>0</v>
      </c>
      <c r="AF31" s="479">
        <f ca="1">IF(AF3-参数输入表!$I$250&lt;=0,IF($C$31-AF3&gt;=0,$N$42/2*(参数输入表!$I$251/12)*AF2,($N$41-$N$44)*(参数输入表!$I$251/12)*AF2),0)</f>
        <v>0</v>
      </c>
      <c r="AG31" s="479">
        <f ca="1">IF(AG3-参数输入表!$I$250&lt;=0,IF($C$31-AG3&gt;=0,$N$42/2*(参数输入表!$I$251/12)*AG2,($N$41-$N$44)*(参数输入表!$I$251/12)*AG2),0)</f>
        <v>0</v>
      </c>
      <c r="AH31" s="479">
        <f ca="1">IF(AH3-参数输入表!$I$250&lt;=0,IF($C$31-AH3&gt;=0,$N$42/2*(参数输入表!$I$251/12)*AH2,($N$41-$N$44)*(参数输入表!$I$251/12)*AH2),0)</f>
        <v>0</v>
      </c>
      <c r="AI31" s="479">
        <f ca="1">IF(AI3-参数输入表!$I$250&lt;=0,IF($C$31-AI3&gt;=0,$N$42/2*(参数输入表!$I$251/12)*AI2,($N$41-$N$44)*(参数输入表!$I$251/12)*AI2),0)</f>
        <v>0</v>
      </c>
      <c r="AJ31" s="479">
        <f ca="1">IF(AJ3-参数输入表!$I$250&lt;=0,IF($C$31-AJ3&gt;=0,$N$42/2*(参数输入表!$I$251/12)*AJ2,($N$41-$N$44)*(参数输入表!$I$251/12)*AJ2),0)</f>
        <v>0</v>
      </c>
      <c r="AK31" s="479">
        <f ca="1">IF(AK3-参数输入表!$I$250&lt;=0,IF($C$31-AK3&gt;=0,$N$42/2*(参数输入表!$I$251/12)*AK2,($N$41-$N$44)*(参数输入表!$I$251/12)*AK2),0)</f>
        <v>0</v>
      </c>
      <c r="AL31" s="479">
        <f ca="1">IF(AL3-参数输入表!$I$250&lt;=0,IF($C$31-AL3&gt;=0,$N$42/2*(参数输入表!$I$251/12)*AL2,($N$41-$N$44)*(参数输入表!$I$251/12)*AL2),0)</f>
        <v>0</v>
      </c>
      <c r="AM31" s="479">
        <f ca="1">IF(AM3-参数输入表!$I$250&lt;=0,IF($C$31-AM3&gt;=0,$N$42/2*(参数输入表!$I$251/12)*AM2,($N$41-$N$44)*(参数输入表!$I$251/12)*AM2),0)</f>
        <v>0</v>
      </c>
      <c r="AN31" s="479">
        <f ca="1">IF(AN3-参数输入表!$I$250&lt;=0,IF($C$31-AN3&gt;=0,$N$42/2*(参数输入表!$I$251/12)*AN2,($N$41-$N$44)*(参数输入表!$I$251/12)*AN2),0)</f>
        <v>0</v>
      </c>
      <c r="AO31" s="479">
        <f ca="1">IF(AO3-参数输入表!$I$250&lt;=0,IF($C$31-AO3&gt;=0,$N$42/2*(参数输入表!$I$251/12)*AO2,($N$41-$N$44)*(参数输入表!$I$251/12)*AO2),0)</f>
        <v>0</v>
      </c>
      <c r="AP31" s="479">
        <f ca="1">IF(AP3-参数输入表!$I$250&lt;=0,IF($C$31-AP3&gt;=0,$N$42/2*(参数输入表!$I$251/12)*AP2,($N$41-$N$44)*(参数输入表!$I$251/12)*AP2),0)</f>
        <v>0</v>
      </c>
      <c r="AQ31" s="479">
        <f ca="1">IF(AQ3-参数输入表!$I$250&lt;=0,IF($C$31-AQ3&gt;=0,$N$42/2*(参数输入表!$I$251/12)*AQ2,($N$41-$N$44)*(参数输入表!$I$251/12)*AQ2),0)</f>
        <v>0</v>
      </c>
      <c r="AR31" s="479">
        <f ca="1">IF(AR3-参数输入表!$I$250&lt;=0,IF($C$31-AR3&gt;=0,$N$42/2*(参数输入表!$I$251/12)*AR2,($N$41-$N$44)*(参数输入表!$I$251/12)*AR2),0)</f>
        <v>0</v>
      </c>
      <c r="AS31" s="479">
        <f ca="1">IF(AS3-参数输入表!$I$250&lt;=0,IF($C$31-AS3&gt;=0,$N$42/2*(参数输入表!$I$251/12)*AS2,($N$41-$N$44)*(参数输入表!$I$251/12)*AS2),0)</f>
        <v>0</v>
      </c>
      <c r="AT31" s="479">
        <f ca="1">IF(AT3-参数输入表!$I$250&lt;=0,IF($C$31-AT3&gt;=0,$N$42/2*(参数输入表!$I$251/12)*AT2,($N$41-$N$44)*(参数输入表!$I$251/12)*AT2),0)</f>
        <v>0</v>
      </c>
      <c r="AU31" s="479">
        <f ca="1">IF(AU3-参数输入表!$I$250&lt;=0,IF($C$31-AU3&gt;=0,$N$42/2*(参数输入表!$I$251/12)*AU2,($N$41-$N$44)*(参数输入表!$I$251/12)*AU2),0)</f>
        <v>0</v>
      </c>
      <c r="AV31" s="479">
        <f ca="1">IF(AV3-参数输入表!$I$250&lt;=0,IF($C$31-AV3&gt;=0,$N$42/2*(参数输入表!$I$251/12)*AV2,($N$41-$N$44)*(参数输入表!$I$251/12)*AV2),0)</f>
        <v>0</v>
      </c>
      <c r="AW31" s="479">
        <f ca="1">IF(AW3-参数输入表!$I$250&lt;=0,IF($C$31-AW3&gt;=0,$N$42/2*(参数输入表!$I$251/12)*AW2,($N$41-$N$44)*(参数输入表!$I$251/12)*AW2),0)</f>
        <v>0</v>
      </c>
      <c r="AX31" s="479">
        <f ca="1">IF(AX3-参数输入表!$I$250&lt;=0,IF($C$31-AX3&gt;=0,$N$42/2*(参数输入表!$I$251/12)*AX2,($N$41-$N$44)*(参数输入表!$I$251/12)*AX2),0)</f>
        <v>0</v>
      </c>
      <c r="AY31" s="479">
        <f ca="1">IF(AY3-参数输入表!$I$250&lt;=0,IF($C$31-AY3&gt;=0,$N$42/2*(参数输入表!$I$251/12)*AY2,($N$41-$N$44)*(参数输入表!$I$251/12)*AY2),0)</f>
        <v>0</v>
      </c>
      <c r="AZ31" s="479">
        <f ca="1">IF(AZ3-参数输入表!$I$250&lt;=0,IF($C$31-AZ3&gt;=0,$N$42/2*(参数输入表!$I$251/12)*AZ2,($N$41-$N$44)*(参数输入表!$I$251/12)*AZ2),0)</f>
        <v>0</v>
      </c>
      <c r="BA31" s="479">
        <f ca="1">IF(BA3-参数输入表!$I$250&lt;=0,IF($C$31-BA3&gt;=0,$N$42/2*(参数输入表!$I$251/12)*BA2,($N$41-$N$44)*(参数输入表!$I$251/12)*BA2),0)</f>
        <v>0</v>
      </c>
      <c r="BB31" s="479">
        <f ca="1">IF(BB3-参数输入表!$I$250&lt;=0,IF($C$31-BB3&gt;=0,$N$42/2*(参数输入表!$I$251/12)*BB2,($N$41-$N$44)*(参数输入表!$I$251/12)*BB2),0)</f>
        <v>0</v>
      </c>
      <c r="BC31" s="479">
        <f ca="1">IF(BC3-参数输入表!$I$250&lt;=0,IF($C$31-BC3&gt;=0,$N$42/2*(参数输入表!$I$251/12)*BC2,($N$41-$N$44)*(参数输入表!$I$251/12)*BC2),0)</f>
        <v>0</v>
      </c>
      <c r="BD31" s="479">
        <f ca="1">IF(BD3-参数输入表!$I$250&lt;=0,IF($C$31-BD3&gt;=0,$N$42/2*(参数输入表!$I$251/12)*BD2,($N$41-$N$44)*(参数输入表!$I$251/12)*BD2),0)</f>
        <v>0</v>
      </c>
      <c r="BE31" s="480">
        <f ca="1">IF(BE3-参数输入表!$I$250&lt;=0,IF($C$31-BE3&gt;=0,$N$42/2*(参数输入表!$I$251/12)*BE2,($N$41-$N$44)*(参数输入表!$I$251/12)*BE2),0)</f>
        <v>0</v>
      </c>
    </row>
    <row r="32" s="4" customFormat="1" spans="2:57">
      <c r="B32" s="478"/>
      <c r="C32" s="469">
        <v>47695</v>
      </c>
      <c r="D32" s="466">
        <f ca="1" t="shared" si="6"/>
        <v>652.093786884942</v>
      </c>
      <c r="E32" s="50" t="s">
        <v>130</v>
      </c>
      <c r="F32" s="481"/>
      <c r="G32" s="481"/>
      <c r="H32" s="481"/>
      <c r="I32" s="481"/>
      <c r="J32" s="481"/>
      <c r="K32" s="481"/>
      <c r="L32" s="481"/>
      <c r="M32" s="481"/>
      <c r="N32" s="481"/>
      <c r="O32" s="479">
        <f ca="1">IF(O3-参数输入表!$I$250&lt;=0,IF($C$32-O3&gt;=0,$O$42/2*(参数输入表!$I$251/12)*O2,($O$41-$O$44)*(参数输入表!$I$251/12)*O2),0)</f>
        <v>470.828611613113</v>
      </c>
      <c r="P32" s="479">
        <f ca="1">IF(P3-参数输入表!$I$250&lt;=0,IF($C$32-P3&gt;=0,$O$42/2*(参数输入表!$I$251/12)*P2,($O$41-$O$44)*(参数输入表!$I$251/12)*P2),0)</f>
        <v>181.265175271829</v>
      </c>
      <c r="Q32" s="479">
        <f ca="1">IF(Q3-参数输入表!$I$250&lt;=0,IF($C$32-Q3&gt;=0,$O$42/2*(参数输入表!$I$251/12)*Q2,($O$41-$O$44)*(参数输入表!$I$251/12)*Q2),0)</f>
        <v>0</v>
      </c>
      <c r="R32" s="479">
        <f ca="1">IF(R3-参数输入表!$I$250&lt;=0,IF($C$32-R3&gt;=0,$O$42/2*(参数输入表!$I$251/12)*R2,($O$41-$O$44)*(参数输入表!$I$251/12)*R2),0)</f>
        <v>0</v>
      </c>
      <c r="S32" s="479">
        <f ca="1">IF(S3-参数输入表!$I$250&lt;=0,IF($C$32-S3&gt;=0,$O$42/2*(参数输入表!$I$251/12)*S2,($O$41-$O$44)*(参数输入表!$I$251/12)*S2),0)</f>
        <v>0</v>
      </c>
      <c r="T32" s="479">
        <f ca="1">IF(T3-参数输入表!$I$250&lt;=0,IF($C$32-T3&gt;=0,$O$42/2*(参数输入表!$I$251/12)*T2,($O$41-$O$44)*(参数输入表!$I$251/12)*T2),0)</f>
        <v>0</v>
      </c>
      <c r="U32" s="479">
        <f ca="1">IF(U3-参数输入表!$I$250&lt;=0,IF($C$32-U3&gt;=0,$O$42/2*(参数输入表!$I$251/12)*U2,($O$41-$O$44)*(参数输入表!$I$251/12)*U2),0)</f>
        <v>0</v>
      </c>
      <c r="V32" s="479">
        <f ca="1">IF(V3-参数输入表!$I$250&lt;=0,IF($C$32-V3&gt;=0,$O$42/2*(参数输入表!$I$251/12)*V2,($O$41-$O$44)*(参数输入表!$I$251/12)*V2),0)</f>
        <v>0</v>
      </c>
      <c r="W32" s="479">
        <f ca="1">IF(W3-参数输入表!$I$250&lt;=0,IF($C$32-W3&gt;=0,$O$42/2*(参数输入表!$I$251/12)*W2,($O$41-$O$44)*(参数输入表!$I$251/12)*W2),0)</f>
        <v>0</v>
      </c>
      <c r="X32" s="479">
        <f ca="1">IF(X3-参数输入表!$I$250&lt;=0,IF($C$32-X3&gt;=0,$O$42/2*(参数输入表!$I$251/12)*X2,($O$41-$O$44)*(参数输入表!$I$251/12)*X2),0)</f>
        <v>0</v>
      </c>
      <c r="Y32" s="479">
        <f ca="1">IF(Y3-参数输入表!$I$250&lt;=0,IF($C$32-Y3&gt;=0,$O$42/2*(参数输入表!$I$251/12)*Y2,($O$41-$O$44)*(参数输入表!$I$251/12)*Y2),0)</f>
        <v>0</v>
      </c>
      <c r="Z32" s="479">
        <f ca="1">IF(Z3-参数输入表!$I$250&lt;=0,IF($C$32-Z3&gt;=0,$O$42/2*(参数输入表!$I$251/12)*Z2,($O$41-$O$44)*(参数输入表!$I$251/12)*Z2),0)</f>
        <v>0</v>
      </c>
      <c r="AA32" s="479">
        <f ca="1">IF(AA3-参数输入表!$I$250&lt;=0,IF($C$32-AA3&gt;=0,$O$42/2*(参数输入表!$I$251/12)*AA2,($O$41-$O$44)*(参数输入表!$I$251/12)*AA2),0)</f>
        <v>0</v>
      </c>
      <c r="AB32" s="479">
        <f ca="1">IF(AB3-参数输入表!$I$250&lt;=0,IF($C$32-AB3&gt;=0,$O$42/2*(参数输入表!$I$251/12)*AB2,($O$41-$O$44)*(参数输入表!$I$251/12)*AB2),0)</f>
        <v>0</v>
      </c>
      <c r="AC32" s="479">
        <f ca="1">IF(AC3-参数输入表!$I$250&lt;=0,IF($C$32-AC3&gt;=0,$O$42/2*(参数输入表!$I$251/12)*AC2,($O$41-$O$44)*(参数输入表!$I$251/12)*AC2),0)</f>
        <v>0</v>
      </c>
      <c r="AD32" s="479">
        <f ca="1">IF(AD3-参数输入表!$I$250&lt;=0,IF($C$32-AD3&gt;=0,$O$42/2*(参数输入表!$I$251/12)*AD2,($O$41-$O$44)*(参数输入表!$I$251/12)*AD2),0)</f>
        <v>0</v>
      </c>
      <c r="AE32" s="479">
        <f ca="1">IF(AE3-参数输入表!$I$250&lt;=0,IF($C$32-AE3&gt;=0,$O$42/2*(参数输入表!$I$251/12)*AE2,($O$41-$O$44)*(参数输入表!$I$251/12)*AE2),0)</f>
        <v>0</v>
      </c>
      <c r="AF32" s="479">
        <f ca="1">IF(AF3-参数输入表!$I$250&lt;=0,IF($C$32-AF3&gt;=0,$O$42/2*(参数输入表!$I$251/12)*AF2,($O$41-$O$44)*(参数输入表!$I$251/12)*AF2),0)</f>
        <v>0</v>
      </c>
      <c r="AG32" s="479">
        <f ca="1">IF(AG3-参数输入表!$I$250&lt;=0,IF($C$32-AG3&gt;=0,$O$42/2*(参数输入表!$I$251/12)*AG2,($O$41-$O$44)*(参数输入表!$I$251/12)*AG2),0)</f>
        <v>0</v>
      </c>
      <c r="AH32" s="479">
        <f ca="1">IF(AH3-参数输入表!$I$250&lt;=0,IF($C$32-AH3&gt;=0,$O$42/2*(参数输入表!$I$251/12)*AH2,($O$41-$O$44)*(参数输入表!$I$251/12)*AH2),0)</f>
        <v>0</v>
      </c>
      <c r="AI32" s="479">
        <f ca="1">IF(AI3-参数输入表!$I$250&lt;=0,IF($C$32-AI3&gt;=0,$O$42/2*(参数输入表!$I$251/12)*AI2,($O$41-$O$44)*(参数输入表!$I$251/12)*AI2),0)</f>
        <v>0</v>
      </c>
      <c r="AJ32" s="479">
        <f ca="1">IF(AJ3-参数输入表!$I$250&lt;=0,IF($C$32-AJ3&gt;=0,$O$42/2*(参数输入表!$I$251/12)*AJ2,($O$41-$O$44)*(参数输入表!$I$251/12)*AJ2),0)</f>
        <v>0</v>
      </c>
      <c r="AK32" s="479">
        <f ca="1">IF(AK3-参数输入表!$I$250&lt;=0,IF($C$32-AK3&gt;=0,$O$42/2*(参数输入表!$I$251/12)*AK2,($O$41-$O$44)*(参数输入表!$I$251/12)*AK2),0)</f>
        <v>0</v>
      </c>
      <c r="AL32" s="479">
        <f ca="1">IF(AL3-参数输入表!$I$250&lt;=0,IF($C$32-AL3&gt;=0,$O$42/2*(参数输入表!$I$251/12)*AL2,($O$41-$O$44)*(参数输入表!$I$251/12)*AL2),0)</f>
        <v>0</v>
      </c>
      <c r="AM32" s="479">
        <f ca="1">IF(AM3-参数输入表!$I$250&lt;=0,IF($C$32-AM3&gt;=0,$O$42/2*(参数输入表!$I$251/12)*AM2,($O$41-$O$44)*(参数输入表!$I$251/12)*AM2),0)</f>
        <v>0</v>
      </c>
      <c r="AN32" s="479">
        <f ca="1">IF(AN3-参数输入表!$I$250&lt;=0,IF($C$32-AN3&gt;=0,$O$42/2*(参数输入表!$I$251/12)*AN2,($O$41-$O$44)*(参数输入表!$I$251/12)*AN2),0)</f>
        <v>0</v>
      </c>
      <c r="AO32" s="479">
        <f ca="1">IF(AO3-参数输入表!$I$250&lt;=0,IF($C$32-AO3&gt;=0,$O$42/2*(参数输入表!$I$251/12)*AO2,($O$41-$O$44)*(参数输入表!$I$251/12)*AO2),0)</f>
        <v>0</v>
      </c>
      <c r="AP32" s="479">
        <f ca="1">IF(AP3-参数输入表!$I$250&lt;=0,IF($C$32-AP3&gt;=0,$O$42/2*(参数输入表!$I$251/12)*AP2,($O$41-$O$44)*(参数输入表!$I$251/12)*AP2),0)</f>
        <v>0</v>
      </c>
      <c r="AQ32" s="479">
        <f ca="1">IF(AQ3-参数输入表!$I$250&lt;=0,IF($C$32-AQ3&gt;=0,$O$42/2*(参数输入表!$I$251/12)*AQ2,($O$41-$O$44)*(参数输入表!$I$251/12)*AQ2),0)</f>
        <v>0</v>
      </c>
      <c r="AR32" s="479">
        <f ca="1">IF(AR3-参数输入表!$I$250&lt;=0,IF($C$32-AR3&gt;=0,$O$42/2*(参数输入表!$I$251/12)*AR2,($O$41-$O$44)*(参数输入表!$I$251/12)*AR2),0)</f>
        <v>0</v>
      </c>
      <c r="AS32" s="479">
        <f ca="1">IF(AS3-参数输入表!$I$250&lt;=0,IF($C$32-AS3&gt;=0,$O$42/2*(参数输入表!$I$251/12)*AS2,($O$41-$O$44)*(参数输入表!$I$251/12)*AS2),0)</f>
        <v>0</v>
      </c>
      <c r="AT32" s="479">
        <f ca="1">IF(AT3-参数输入表!$I$250&lt;=0,IF($C$32-AT3&gt;=0,$O$42/2*(参数输入表!$I$251/12)*AT2,($O$41-$O$44)*(参数输入表!$I$251/12)*AT2),0)</f>
        <v>0</v>
      </c>
      <c r="AU32" s="479">
        <f ca="1">IF(AU3-参数输入表!$I$250&lt;=0,IF($C$32-AU3&gt;=0,$O$42/2*(参数输入表!$I$251/12)*AU2,($O$41-$O$44)*(参数输入表!$I$251/12)*AU2),0)</f>
        <v>0</v>
      </c>
      <c r="AV32" s="479">
        <f ca="1">IF(AV3-参数输入表!$I$250&lt;=0,IF($C$32-AV3&gt;=0,$O$42/2*(参数输入表!$I$251/12)*AV2,($O$41-$O$44)*(参数输入表!$I$251/12)*AV2),0)</f>
        <v>0</v>
      </c>
      <c r="AW32" s="479">
        <f ca="1">IF(AW3-参数输入表!$I$250&lt;=0,IF($C$32-AW3&gt;=0,$O$42/2*(参数输入表!$I$251/12)*AW2,($O$41-$O$44)*(参数输入表!$I$251/12)*AW2),0)</f>
        <v>0</v>
      </c>
      <c r="AX32" s="479">
        <f ca="1">IF(AX3-参数输入表!$I$250&lt;=0,IF($C$32-AX3&gt;=0,$O$42/2*(参数输入表!$I$251/12)*AX2,($O$41-$O$44)*(参数输入表!$I$251/12)*AX2),0)</f>
        <v>0</v>
      </c>
      <c r="AY32" s="479">
        <f ca="1">IF(AY3-参数输入表!$I$250&lt;=0,IF($C$32-AY3&gt;=0,$O$42/2*(参数输入表!$I$251/12)*AY2,($O$41-$O$44)*(参数输入表!$I$251/12)*AY2),0)</f>
        <v>0</v>
      </c>
      <c r="AZ32" s="479">
        <f ca="1">IF(AZ3-参数输入表!$I$250&lt;=0,IF($C$32-AZ3&gt;=0,$O$42/2*(参数输入表!$I$251/12)*AZ2,($O$41-$O$44)*(参数输入表!$I$251/12)*AZ2),0)</f>
        <v>0</v>
      </c>
      <c r="BA32" s="479">
        <f ca="1">IF(BA3-参数输入表!$I$250&lt;=0,IF($C$32-BA3&gt;=0,$O$42/2*(参数输入表!$I$251/12)*BA2,($O$41-$O$44)*(参数输入表!$I$251/12)*BA2),0)</f>
        <v>0</v>
      </c>
      <c r="BB32" s="479">
        <f ca="1">IF(BB3-参数输入表!$I$250&lt;=0,IF($C$32-BB3&gt;=0,$O$42/2*(参数输入表!$I$251/12)*BB2,($O$41-$O$44)*(参数输入表!$I$251/12)*BB2),0)</f>
        <v>0</v>
      </c>
      <c r="BC32" s="479">
        <f ca="1">IF(BC3-参数输入表!$I$250&lt;=0,IF($C$32-BC3&gt;=0,$O$42/2*(参数输入表!$I$251/12)*BC2,($O$41-$O$44)*(参数输入表!$I$251/12)*BC2),0)</f>
        <v>0</v>
      </c>
      <c r="BD32" s="479">
        <f ca="1">IF(BD3-参数输入表!$I$250&lt;=0,IF($C$32-BD3&gt;=0,$O$42/2*(参数输入表!$I$251/12)*BD2,($O$41-$O$44)*(参数输入表!$I$251/12)*BD2),0)</f>
        <v>0</v>
      </c>
      <c r="BE32" s="480">
        <f ca="1">IF(BE3-参数输入表!$I$250&lt;=0,IF($C$32-BE3&gt;=0,$O$42/2*(参数输入表!$I$251/12)*BE2,($O$41-$O$44)*(参数输入表!$I$251/12)*BE2),0)</f>
        <v>0</v>
      </c>
    </row>
    <row r="33" s="4" customFormat="1" spans="2:57">
      <c r="B33" s="478"/>
      <c r="C33" s="469">
        <f>P3</f>
        <v>47726</v>
      </c>
      <c r="D33" s="466">
        <f ca="1" t="shared" si="6"/>
        <v>0</v>
      </c>
      <c r="E33" s="50" t="s">
        <v>130</v>
      </c>
      <c r="F33" s="481"/>
      <c r="G33" s="481"/>
      <c r="H33" s="481"/>
      <c r="I33" s="481"/>
      <c r="J33" s="481"/>
      <c r="K33" s="481"/>
      <c r="L33" s="481"/>
      <c r="M33" s="481"/>
      <c r="N33" s="481"/>
      <c r="O33" s="481"/>
      <c r="P33" s="479">
        <f ca="1">IF(P3-参数输入表!$I$250&lt;=0,IF($C$33-P3&gt;=0,$P$42/2*(参数输入表!$I$251/12)*P2,($P$41-$P$44)*(参数输入表!$I$251/12)*P2),0)</f>
        <v>0</v>
      </c>
      <c r="Q33" s="479">
        <f ca="1">IF(Q3-参数输入表!$I$250&lt;=0,IF($C$33-Q3&gt;=0,$P$42/2*(参数输入表!$I$251/12)*Q2,($P$41-$P$44)*(参数输入表!$I$251/12)*Q2),0)</f>
        <v>0</v>
      </c>
      <c r="R33" s="479">
        <f ca="1">IF(R3-参数输入表!$I$250&lt;=0,IF($C$33-R3&gt;=0,$P$42/2*(参数输入表!$I$251/12)*R2,($P$41-$P$44)*(参数输入表!$I$251/12)*R2),0)</f>
        <v>0</v>
      </c>
      <c r="S33" s="479">
        <f ca="1">IF(S3-参数输入表!$I$250&lt;=0,IF($C$33-S3&gt;=0,$P$42/2*(参数输入表!$I$251/12)*S2,($P$41-$P$44)*(参数输入表!$I$251/12)*S2),0)</f>
        <v>0</v>
      </c>
      <c r="T33" s="479">
        <f ca="1">IF(T3-参数输入表!$I$250&lt;=0,IF($C$33-T3&gt;=0,$P$42/2*(参数输入表!$I$251/12)*T2,($P$41-$P$44)*(参数输入表!$I$251/12)*T2),0)</f>
        <v>0</v>
      </c>
      <c r="U33" s="479">
        <f ca="1">IF(U3-参数输入表!$I$250&lt;=0,IF($C$33-U3&gt;=0,$P$42/2*(参数输入表!$I$251/12)*U2,($P$41-$P$44)*(参数输入表!$I$251/12)*U2),0)</f>
        <v>0</v>
      </c>
      <c r="V33" s="479">
        <f ca="1">IF(V3-参数输入表!$I$250&lt;=0,IF($C$33-V3&gt;=0,$P$42/2*(参数输入表!$I$251/12)*V2,($P$41-$P$44)*(参数输入表!$I$251/12)*V2),0)</f>
        <v>0</v>
      </c>
      <c r="W33" s="479">
        <f ca="1">IF(W3-参数输入表!$I$250&lt;=0,IF($C$33-W3&gt;=0,$P$42/2*(参数输入表!$I$251/12)*W2,($P$41-$P$44)*(参数输入表!$I$251/12)*W2),0)</f>
        <v>0</v>
      </c>
      <c r="X33" s="479">
        <f ca="1">IF(X3-参数输入表!$I$250&lt;=0,IF($C$33-X3&gt;=0,$P$42/2*(参数输入表!$I$251/12)*X2,($P$41-$P$44)*(参数输入表!$I$251/12)*X2),0)</f>
        <v>0</v>
      </c>
      <c r="Y33" s="479">
        <f ca="1">IF(Y3-参数输入表!$I$250&lt;=0,IF($C$33-Y3&gt;=0,$P$42/2*(参数输入表!$I$251/12)*Y2,($P$41-$P$44)*(参数输入表!$I$251/12)*Y2),0)</f>
        <v>0</v>
      </c>
      <c r="Z33" s="479">
        <f ca="1">IF(Z3-参数输入表!$I$250&lt;=0,IF($C$33-Z3&gt;=0,$P$42/2*(参数输入表!$I$251/12)*Z2,($P$41-$P$44)*(参数输入表!$I$251/12)*Z2),0)</f>
        <v>0</v>
      </c>
      <c r="AA33" s="479">
        <f ca="1">IF(AA3-参数输入表!$I$250&lt;=0,IF($C$33-AA3&gt;=0,$P$42/2*(参数输入表!$I$251/12)*AA2,($P$41-$P$44)*(参数输入表!$I$251/12)*AA2),0)</f>
        <v>0</v>
      </c>
      <c r="AB33" s="479">
        <f ca="1">IF(AB3-参数输入表!$I$250&lt;=0,IF($C$33-AB3&gt;=0,$P$42/2*(参数输入表!$I$251/12)*AB2,($P$41-$P$44)*(参数输入表!$I$251/12)*AB2),0)</f>
        <v>0</v>
      </c>
      <c r="AC33" s="479">
        <f ca="1">IF(AC3-参数输入表!$I$250&lt;=0,IF($C$33-AC3&gt;=0,$P$42/2*(参数输入表!$I$251/12)*AC2,($P$41-$P$44)*(参数输入表!$I$251/12)*AC2),0)</f>
        <v>0</v>
      </c>
      <c r="AD33" s="479">
        <f ca="1">IF(AD3-参数输入表!$I$250&lt;=0,IF($C$33-AD3&gt;=0,$P$42/2*(参数输入表!$I$251/12)*AD2,($P$41-$P$44)*(参数输入表!$I$251/12)*AD2),0)</f>
        <v>0</v>
      </c>
      <c r="AE33" s="479">
        <f ca="1">IF(AE3-参数输入表!$I$250&lt;=0,IF($C$33-AE3&gt;=0,$P$42/2*(参数输入表!$I$251/12)*AE2,($P$41-$P$44)*(参数输入表!$I$251/12)*AE2),0)</f>
        <v>0</v>
      </c>
      <c r="AF33" s="479">
        <f ca="1">IF(AF3-参数输入表!$I$250&lt;=0,IF($C$33-AF3&gt;=0,$P$42/2*(参数输入表!$I$251/12)*AF2,($P$41-$P$44)*(参数输入表!$I$251/12)*AF2),0)</f>
        <v>0</v>
      </c>
      <c r="AG33" s="479">
        <f ca="1">IF(AG3-参数输入表!$I$250&lt;=0,IF($C$33-AG3&gt;=0,$P$42/2*(参数输入表!$I$251/12)*AG2,($P$41-$P$44)*(参数输入表!$I$251/12)*AG2),0)</f>
        <v>0</v>
      </c>
      <c r="AH33" s="479">
        <f ca="1">IF(AH3-参数输入表!$I$250&lt;=0,IF($C$33-AH3&gt;=0,$P$42/2*(参数输入表!$I$251/12)*AH2,($P$41-$P$44)*(参数输入表!$I$251/12)*AH2),0)</f>
        <v>0</v>
      </c>
      <c r="AI33" s="479">
        <f ca="1">IF(AI3-参数输入表!$I$250&lt;=0,IF($C$33-AI3&gt;=0,$P$42/2*(参数输入表!$I$251/12)*AI2,($P$41-$P$44)*(参数输入表!$I$251/12)*AI2),0)</f>
        <v>0</v>
      </c>
      <c r="AJ33" s="479">
        <f ca="1">IF(AJ3-参数输入表!$I$250&lt;=0,IF($C$33-AJ3&gt;=0,$P$42/2*(参数输入表!$I$251/12)*AJ2,($P$41-$P$44)*(参数输入表!$I$251/12)*AJ2),0)</f>
        <v>0</v>
      </c>
      <c r="AK33" s="479">
        <f ca="1">IF(AK3-参数输入表!$I$250&lt;=0,IF($C$33-AK3&gt;=0,$P$42/2*(参数输入表!$I$251/12)*AK2,($P$41-$P$44)*(参数输入表!$I$251/12)*AK2),0)</f>
        <v>0</v>
      </c>
      <c r="AL33" s="479">
        <f ca="1">IF(AL3-参数输入表!$I$250&lt;=0,IF($C$33-AL3&gt;=0,$P$42/2*(参数输入表!$I$251/12)*AL2,($P$41-$P$44)*(参数输入表!$I$251/12)*AL2),0)</f>
        <v>0</v>
      </c>
      <c r="AM33" s="479">
        <f ca="1">IF(AM3-参数输入表!$I$250&lt;=0,IF($C$33-AM3&gt;=0,$P$42/2*(参数输入表!$I$251/12)*AM2,($P$41-$P$44)*(参数输入表!$I$251/12)*AM2),0)</f>
        <v>0</v>
      </c>
      <c r="AN33" s="479">
        <f ca="1">IF(AN3-参数输入表!$I$250&lt;=0,IF($C$33-AN3&gt;=0,$P$42/2*(参数输入表!$I$251/12)*AN2,($P$41-$P$44)*(参数输入表!$I$251/12)*AN2),0)</f>
        <v>0</v>
      </c>
      <c r="AO33" s="479">
        <f ca="1">IF(AO3-参数输入表!$I$250&lt;=0,IF($C$33-AO3&gt;=0,$P$42/2*(参数输入表!$I$251/12)*AO2,($P$41-$P$44)*(参数输入表!$I$251/12)*AO2),0)</f>
        <v>0</v>
      </c>
      <c r="AP33" s="479">
        <f ca="1">IF(AP3-参数输入表!$I$250&lt;=0,IF($C$33-AP3&gt;=0,$P$42/2*(参数输入表!$I$251/12)*AP2,($P$41-$P$44)*(参数输入表!$I$251/12)*AP2),0)</f>
        <v>0</v>
      </c>
      <c r="AQ33" s="479">
        <f ca="1">IF(AQ3-参数输入表!$I$250&lt;=0,IF($C$33-AQ3&gt;=0,$P$42/2*(参数输入表!$I$251/12)*AQ2,($P$41-$P$44)*(参数输入表!$I$251/12)*AQ2),0)</f>
        <v>0</v>
      </c>
      <c r="AR33" s="479">
        <f ca="1">IF(AR3-参数输入表!$I$250&lt;=0,IF($C$33-AR3&gt;=0,$P$42/2*(参数输入表!$I$251/12)*AR2,($P$41-$P$44)*(参数输入表!$I$251/12)*AR2),0)</f>
        <v>0</v>
      </c>
      <c r="AS33" s="479">
        <f ca="1">IF(AS3-参数输入表!$I$250&lt;=0,IF($C$33-AS3&gt;=0,$P$42/2*(参数输入表!$I$251/12)*AS2,($P$41-$P$44)*(参数输入表!$I$251/12)*AS2),0)</f>
        <v>0</v>
      </c>
      <c r="AT33" s="479">
        <f ca="1">IF(AT3-参数输入表!$I$250&lt;=0,IF($C$33-AT3&gt;=0,$P$42/2*(参数输入表!$I$251/12)*AT2,($P$41-$P$44)*(参数输入表!$I$251/12)*AT2),0)</f>
        <v>0</v>
      </c>
      <c r="AU33" s="479">
        <f ca="1">IF(AU3-参数输入表!$I$250&lt;=0,IF($C$33-AU3&gt;=0,$P$42/2*(参数输入表!$I$251/12)*AU2,($P$41-$P$44)*(参数输入表!$I$251/12)*AU2),0)</f>
        <v>0</v>
      </c>
      <c r="AV33" s="479">
        <f ca="1">IF(AV3-参数输入表!$I$250&lt;=0,IF($C$33-AV3&gt;=0,$P$42/2*(参数输入表!$I$251/12)*AV2,($P$41-$P$44)*(参数输入表!$I$251/12)*AV2),0)</f>
        <v>0</v>
      </c>
      <c r="AW33" s="479">
        <f ca="1">IF(AW3-参数输入表!$I$250&lt;=0,IF($C$33-AW3&gt;=0,$P$42/2*(参数输入表!$I$251/12)*AW2,($P$41-$P$44)*(参数输入表!$I$251/12)*AW2),0)</f>
        <v>0</v>
      </c>
      <c r="AX33" s="479">
        <f ca="1">IF(AX3-参数输入表!$I$250&lt;=0,IF($C$33-AX3&gt;=0,$P$42/2*(参数输入表!$I$251/12)*AX2,($P$41-$P$44)*(参数输入表!$I$251/12)*AX2),0)</f>
        <v>0</v>
      </c>
      <c r="AY33" s="479">
        <f ca="1">IF(AY3-参数输入表!$I$250&lt;=0,IF($C$33-AY3&gt;=0,$P$42/2*(参数输入表!$I$251/12)*AY2,($P$41-$P$44)*(参数输入表!$I$251/12)*AY2),0)</f>
        <v>0</v>
      </c>
      <c r="AZ33" s="479">
        <f ca="1">IF(AZ3-参数输入表!$I$250&lt;=0,IF($C$33-AZ3&gt;=0,$P$42/2*(参数输入表!$I$251/12)*AZ2,($P$41-$P$44)*(参数输入表!$I$251/12)*AZ2),0)</f>
        <v>0</v>
      </c>
      <c r="BA33" s="479">
        <f ca="1">IF(BA3-参数输入表!$I$250&lt;=0,IF($C$33-BA3&gt;=0,$P$42/2*(参数输入表!$I$251/12)*BA2,($P$41-$P$44)*(参数输入表!$I$251/12)*BA2),0)</f>
        <v>0</v>
      </c>
      <c r="BB33" s="479">
        <f ca="1">IF(BB3-参数输入表!$I$250&lt;=0,IF($C$33-BB3&gt;=0,$P$42/2*(参数输入表!$I$251/12)*BB2,($P$41-$P$44)*(参数输入表!$I$251/12)*BB2),0)</f>
        <v>0</v>
      </c>
      <c r="BC33" s="479">
        <f ca="1">IF(BC3-参数输入表!$I$250&lt;=0,IF($C$33-BC3&gt;=0,$P$42/2*(参数输入表!$I$251/12)*BC2,($P$41-$P$44)*(参数输入表!$I$251/12)*BC2),0)</f>
        <v>0</v>
      </c>
      <c r="BD33" s="479">
        <f ca="1">IF(BD3-参数输入表!$I$250&lt;=0,IF($C$33-BD3&gt;=0,$P$42/2*(参数输入表!$I$251/12)*BD2,($P$41-$P$44)*(参数输入表!$I$251/12)*BD2),0)</f>
        <v>0</v>
      </c>
      <c r="BE33" s="480">
        <f ca="1">IF(BE3-参数输入表!$I$250&lt;=0,IF($C$33-BE3&gt;=0,$P$42/2*(参数输入表!$I$251/12)*BE2,($P$41-$P$44)*(参数输入表!$I$251/12)*BE2),0)</f>
        <v>0</v>
      </c>
    </row>
    <row r="34" s="4" customFormat="1" spans="2:57">
      <c r="B34" s="478"/>
      <c r="C34" s="469">
        <v>47848</v>
      </c>
      <c r="D34" s="466">
        <f ca="1" t="shared" si="6"/>
        <v>0</v>
      </c>
      <c r="E34" s="50" t="s">
        <v>130</v>
      </c>
      <c r="F34" s="481"/>
      <c r="G34" s="481"/>
      <c r="H34" s="481"/>
      <c r="I34" s="481"/>
      <c r="J34" s="481"/>
      <c r="K34" s="481"/>
      <c r="L34" s="481"/>
      <c r="M34" s="481"/>
      <c r="N34" s="481"/>
      <c r="O34" s="481"/>
      <c r="P34" s="481"/>
      <c r="Q34" s="479">
        <f ca="1">IF(Q3-参数输入表!$I$250&lt;=0,IF($C$34-Q3&gt;=0,$Q$42/2*(参数输入表!$I$251/12)*Q2,($Q$41-$Q$44)*(参数输入表!$I$251/12)*Q2),0)</f>
        <v>0</v>
      </c>
      <c r="R34" s="479">
        <f ca="1">IF(R3-参数输入表!$I$250&lt;=0,IF($C$34-R3&gt;=0,$Q$42/2*(参数输入表!$I$251/12)*R2,($Q$41-$Q$44)*(参数输入表!$I$251/12)*R2),0)</f>
        <v>0</v>
      </c>
      <c r="S34" s="479">
        <f ca="1">IF(S3-参数输入表!$I$250&lt;=0,IF($C$34-S3&gt;=0,$Q$42/2*(参数输入表!$I$251/12)*S2,($Q$41-$Q$44)*(参数输入表!$I$251/12)*S2),0)</f>
        <v>0</v>
      </c>
      <c r="T34" s="479">
        <f ca="1">IF(T3-参数输入表!$I$250&lt;=0,IF($C$34-T3&gt;=0,$Q$42/2*(参数输入表!$I$251/12)*T2,($Q$41-$Q$44)*(参数输入表!$I$251/12)*T2),0)</f>
        <v>0</v>
      </c>
      <c r="U34" s="479">
        <f ca="1">IF(U3-参数输入表!$I$250&lt;=0,IF($C$34-U3&gt;=0,$Q$42/2*(参数输入表!$I$251/12)*U2,($Q$41-$Q$44)*(参数输入表!$I$251/12)*U2),0)</f>
        <v>0</v>
      </c>
      <c r="V34" s="479">
        <f ca="1">IF(V3-参数输入表!$I$250&lt;=0,IF($C$34-V3&gt;=0,$Q$42/2*(参数输入表!$I$251/12)*V2,($Q$41-$Q$44)*(参数输入表!$I$251/12)*V2),0)</f>
        <v>0</v>
      </c>
      <c r="W34" s="479">
        <f ca="1">IF(W3-参数输入表!$I$250&lt;=0,IF($C$34-W3&gt;=0,$Q$42/2*(参数输入表!$I$251/12)*W2,($Q$41-$Q$44)*(参数输入表!$I$251/12)*W2),0)</f>
        <v>0</v>
      </c>
      <c r="X34" s="479">
        <f ca="1">IF(X3-参数输入表!$I$250&lt;=0,IF($C$34-X3&gt;=0,$Q$42/2*(参数输入表!$I$251/12)*X2,($Q$41-$Q$44)*(参数输入表!$I$251/12)*X2),0)</f>
        <v>0</v>
      </c>
      <c r="Y34" s="479">
        <f ca="1">IF(Y3-参数输入表!$I$250&lt;=0,IF($C$34-Y3&gt;=0,$Q$42/2*(参数输入表!$I$251/12)*Y2,($Q$41-$Q$44)*(参数输入表!$I$251/12)*Y2),0)</f>
        <v>0</v>
      </c>
      <c r="Z34" s="479">
        <f ca="1">IF(Z3-参数输入表!$I$250&lt;=0,IF($C$34-Z3&gt;=0,$Q$42/2*(参数输入表!$I$251/12)*Z2,($Q$41-$Q$44)*(参数输入表!$I$251/12)*Z2),0)</f>
        <v>0</v>
      </c>
      <c r="AA34" s="479">
        <f ca="1">IF(AA3-参数输入表!$I$250&lt;=0,IF($C$34-AA3&gt;=0,$Q$42/2*(参数输入表!$I$251/12)*AA2,($Q$41-$Q$44)*(参数输入表!$I$251/12)*AA2),0)</f>
        <v>0</v>
      </c>
      <c r="AB34" s="479">
        <f ca="1">IF(AB3-参数输入表!$I$250&lt;=0,IF($C$34-AB3&gt;=0,$Q$42/2*(参数输入表!$I$251/12)*AB2,($Q$41-$Q$44)*(参数输入表!$I$251/12)*AB2),0)</f>
        <v>0</v>
      </c>
      <c r="AC34" s="479">
        <f ca="1">IF(AC3-参数输入表!$I$250&lt;=0,IF($C$34-AC3&gt;=0,$Q$42/2*(参数输入表!$I$251/12)*AC2,($Q$41-$Q$44)*(参数输入表!$I$251/12)*AC2),0)</f>
        <v>0</v>
      </c>
      <c r="AD34" s="479">
        <f ca="1">IF(AD3-参数输入表!$I$250&lt;=0,IF($C$34-AD3&gt;=0,$Q$42/2*(参数输入表!$I$251/12)*AD2,($Q$41-$Q$44)*(参数输入表!$I$251/12)*AD2),0)</f>
        <v>0</v>
      </c>
      <c r="AE34" s="479">
        <f ca="1">IF(AE3-参数输入表!$I$250&lt;=0,IF($C$34-AE3&gt;=0,$Q$42/2*(参数输入表!$I$251/12)*AE2,($Q$41-$Q$44)*(参数输入表!$I$251/12)*AE2),0)</f>
        <v>0</v>
      </c>
      <c r="AF34" s="479">
        <f ca="1">IF(AF3-参数输入表!$I$250&lt;=0,IF($C$34-AF3&gt;=0,$Q$42/2*(参数输入表!$I$251/12)*AF2,($Q$41-$Q$44)*(参数输入表!$I$251/12)*AF2),0)</f>
        <v>0</v>
      </c>
      <c r="AG34" s="479">
        <f ca="1">IF(AG3-参数输入表!$I$250&lt;=0,IF($C$34-AG3&gt;=0,$Q$42/2*(参数输入表!$I$251/12)*AG2,($Q$41-$Q$44)*(参数输入表!$I$251/12)*AG2),0)</f>
        <v>0</v>
      </c>
      <c r="AH34" s="479">
        <f ca="1">IF(AH3-参数输入表!$I$250&lt;=0,IF($C$34-AH3&gt;=0,$Q$42/2*(参数输入表!$I$251/12)*AH2,($Q$41-$Q$44)*(参数输入表!$I$251/12)*AH2),0)</f>
        <v>0</v>
      </c>
      <c r="AI34" s="479">
        <f ca="1">IF(AI3-参数输入表!$I$250&lt;=0,IF($C$34-AI3&gt;=0,$Q$42/2*(参数输入表!$I$251/12)*AI2,($Q$41-$Q$44)*(参数输入表!$I$251/12)*AI2),0)</f>
        <v>0</v>
      </c>
      <c r="AJ34" s="479">
        <f ca="1">IF(AJ3-参数输入表!$I$250&lt;=0,IF($C$34-AJ3&gt;=0,$Q$42/2*(参数输入表!$I$251/12)*AJ2,($Q$41-$Q$44)*(参数输入表!$I$251/12)*AJ2),0)</f>
        <v>0</v>
      </c>
      <c r="AK34" s="479">
        <f ca="1">IF(AK3-参数输入表!$I$250&lt;=0,IF($C$34-AK3&gt;=0,$Q$42/2*(参数输入表!$I$251/12)*AK2,($Q$41-$Q$44)*(参数输入表!$I$251/12)*AK2),0)</f>
        <v>0</v>
      </c>
      <c r="AL34" s="479">
        <f ca="1">IF(AL3-参数输入表!$I$250&lt;=0,IF($C$34-AL3&gt;=0,$Q$42/2*(参数输入表!$I$251/12)*AL2,($Q$41-$Q$44)*(参数输入表!$I$251/12)*AL2),0)</f>
        <v>0</v>
      </c>
      <c r="AM34" s="479">
        <f ca="1">IF(AM3-参数输入表!$I$250&lt;=0,IF($C$34-AM3&gt;=0,$Q$42/2*(参数输入表!$I$251/12)*AM2,($Q$41-$Q$44)*(参数输入表!$I$251/12)*AM2),0)</f>
        <v>0</v>
      </c>
      <c r="AN34" s="479">
        <f ca="1">IF(AN3-参数输入表!$I$250&lt;=0,IF($C$34-AN3&gt;=0,$Q$42/2*(参数输入表!$I$251/12)*AN2,($Q$41-$Q$44)*(参数输入表!$I$251/12)*AN2),0)</f>
        <v>0</v>
      </c>
      <c r="AO34" s="479">
        <f ca="1">IF(AO3-参数输入表!$I$250&lt;=0,IF($C$34-AO3&gt;=0,$Q$42/2*(参数输入表!$I$251/12)*AO2,($Q$41-$Q$44)*(参数输入表!$I$251/12)*AO2),0)</f>
        <v>0</v>
      </c>
      <c r="AP34" s="479">
        <f ca="1">IF(AP3-参数输入表!$I$250&lt;=0,IF($C$34-AP3&gt;=0,$Q$42/2*(参数输入表!$I$251/12)*AP2,($Q$41-$Q$44)*(参数输入表!$I$251/12)*AP2),0)</f>
        <v>0</v>
      </c>
      <c r="AQ34" s="479">
        <f ca="1">IF(AQ3-参数输入表!$I$250&lt;=0,IF($C$34-AQ3&gt;=0,$Q$42/2*(参数输入表!$I$251/12)*AQ2,($Q$41-$Q$44)*(参数输入表!$I$251/12)*AQ2),0)</f>
        <v>0</v>
      </c>
      <c r="AR34" s="479">
        <f ca="1">IF(AR3-参数输入表!$I$250&lt;=0,IF($C$34-AR3&gt;=0,$Q$42/2*(参数输入表!$I$251/12)*AR2,($Q$41-$Q$44)*(参数输入表!$I$251/12)*AR2),0)</f>
        <v>0</v>
      </c>
      <c r="AS34" s="479">
        <f ca="1">IF(AS3-参数输入表!$I$250&lt;=0,IF($C$34-AS3&gt;=0,$Q$42/2*(参数输入表!$I$251/12)*AS2,($Q$41-$Q$44)*(参数输入表!$I$251/12)*AS2),0)</f>
        <v>0</v>
      </c>
      <c r="AT34" s="479">
        <f ca="1">IF(AT3-参数输入表!$I$250&lt;=0,IF($C$34-AT3&gt;=0,$Q$42/2*(参数输入表!$I$251/12)*AT2,($Q$41-$Q$44)*(参数输入表!$I$251/12)*AT2),0)</f>
        <v>0</v>
      </c>
      <c r="AU34" s="479">
        <f ca="1">IF(AU3-参数输入表!$I$250&lt;=0,IF($C$34-AU3&gt;=0,$Q$42/2*(参数输入表!$I$251/12)*AU2,($Q$41-$Q$44)*(参数输入表!$I$251/12)*AU2),0)</f>
        <v>0</v>
      </c>
      <c r="AV34" s="479">
        <f ca="1">IF(AV3-参数输入表!$I$250&lt;=0,IF($C$34-AV3&gt;=0,$Q$42/2*(参数输入表!$I$251/12)*AV2,($Q$41-$Q$44)*(参数输入表!$I$251/12)*AV2),0)</f>
        <v>0</v>
      </c>
      <c r="AW34" s="479">
        <f ca="1">IF(AW3-参数输入表!$I$250&lt;=0,IF($C$34-AW3&gt;=0,$Q$42/2*(参数输入表!$I$251/12)*AW2,($Q$41-$Q$44)*(参数输入表!$I$251/12)*AW2),0)</f>
        <v>0</v>
      </c>
      <c r="AX34" s="479">
        <f ca="1">IF(AX3-参数输入表!$I$250&lt;=0,IF($C$34-AX3&gt;=0,$Q$42/2*(参数输入表!$I$251/12)*AX2,($Q$41-$Q$44)*(参数输入表!$I$251/12)*AX2),0)</f>
        <v>0</v>
      </c>
      <c r="AY34" s="479">
        <f ca="1">IF(AY3-参数输入表!$I$250&lt;=0,IF($C$34-AY3&gt;=0,$Q$42/2*(参数输入表!$I$251/12)*AY2,($Q$41-$Q$44)*(参数输入表!$I$251/12)*AY2),0)</f>
        <v>0</v>
      </c>
      <c r="AZ34" s="479">
        <f ca="1">IF(AZ3-参数输入表!$I$250&lt;=0,IF($C$34-AZ3&gt;=0,$Q$42/2*(参数输入表!$I$251/12)*AZ2,($Q$41-$Q$44)*(参数输入表!$I$251/12)*AZ2),0)</f>
        <v>0</v>
      </c>
      <c r="BA34" s="479">
        <f ca="1">IF(BA3-参数输入表!$I$250&lt;=0,IF($C$34-BA3&gt;=0,$Q$42/2*(参数输入表!$I$251/12)*BA2,($Q$41-$Q$44)*(参数输入表!$I$251/12)*BA2),0)</f>
        <v>0</v>
      </c>
      <c r="BB34" s="479">
        <f ca="1">IF(BB3-参数输入表!$I$250&lt;=0,IF($C$34-BB3&gt;=0,$Q$42/2*(参数输入表!$I$251/12)*BB2,($Q$41-$Q$44)*(参数输入表!$I$251/12)*BB2),0)</f>
        <v>0</v>
      </c>
      <c r="BC34" s="479">
        <f ca="1">IF(BC3-参数输入表!$I$250&lt;=0,IF($C$34-BC3&gt;=0,$Q$42/2*(参数输入表!$I$251/12)*BC2,($Q$41-$Q$44)*(参数输入表!$I$251/12)*BC2),0)</f>
        <v>0</v>
      </c>
      <c r="BD34" s="479">
        <f ca="1">IF(BD3-参数输入表!$I$250&lt;=0,IF($C$34-BD3&gt;=0,$Q$42/2*(参数输入表!$I$251/12)*BD2,($Q$41-$Q$44)*(参数输入表!$I$251/12)*BD2),0)</f>
        <v>0</v>
      </c>
      <c r="BE34" s="480">
        <f ca="1">IF(BE3-参数输入表!$I$250&lt;=0,IF($C$34-BE3&gt;=0,$Q$42/2*(参数输入表!$I$251/12)*BE2,($Q$41-$Q$44)*(参数输入表!$I$251/12)*BE2),0)</f>
        <v>0</v>
      </c>
    </row>
    <row r="35" s="4" customFormat="1" spans="2:57">
      <c r="B35" s="463">
        <v>1.3</v>
      </c>
      <c r="C35" s="464" t="s">
        <v>162</v>
      </c>
      <c r="D35" s="482">
        <f t="shared" si="6"/>
        <v>6436.08669065986</v>
      </c>
      <c r="E35" s="50" t="s">
        <v>130</v>
      </c>
      <c r="F35" s="467">
        <f>IF(ISBLANK(F4),0,IF(F4-参数输入表!$I$25&lt;0,0,IF(F4-参数输入表!$I$25&gt;0,0,IF(参数输入表!$I$220="扩大指标估算法",参数输入表!$I$218,F320))))</f>
        <v>0</v>
      </c>
      <c r="G35" s="467">
        <f>IF(ISBLANK(G4),0,IF(G4-参数输入表!$I$25&lt;0,0,IF(G4-参数输入表!$I$25&gt;0,0,IF(参数输入表!$I$220="扩大指标估算法",参数输入表!$I$218,F320))))</f>
        <v>0</v>
      </c>
      <c r="H35" s="467">
        <f>IF(ISBLANK(H4),0,IF(H4-参数输入表!$I$25&lt;0,0,IF(H4-参数输入表!$I$25&gt;0,0,IF(参数输入表!$I$220="扩大指标估算法",参数输入表!$I$218,G320))))</f>
        <v>0</v>
      </c>
      <c r="I35" s="467">
        <f>IF(ISBLANK(I4),0,IF(I4-参数输入表!$I$25&lt;0,0,IF(I4-参数输入表!$I$25&gt;0,0,IF(参数输入表!$I$220="扩大指标估算法",参数输入表!$I$218,H320))))</f>
        <v>0</v>
      </c>
      <c r="J35" s="467">
        <f>IF(ISBLANK(J4),0,IF(J4-参数输入表!$I$25&lt;0,0,IF(J4-参数输入表!$I$25&gt;0,0,IF(参数输入表!$I$220="扩大指标估算法",参数输入表!$I$218,I320))))</f>
        <v>0</v>
      </c>
      <c r="K35" s="467">
        <f>IF(ISBLANK(K4),0,IF(K4-参数输入表!$I$25&lt;0,0,IF(K4-参数输入表!$I$25&gt;0,0,IF(参数输入表!$I$220="扩大指标估算法",参数输入表!$I$218,J320))))</f>
        <v>0</v>
      </c>
      <c r="L35" s="467">
        <f>IF(ISBLANK(L4),0,IF(L4-参数输入表!$I$25&lt;0,0,IF(L4-参数输入表!$I$25&gt;0,0,IF(参数输入表!$I$220="扩大指标估算法",参数输入表!$I$218,K320))))</f>
        <v>0</v>
      </c>
      <c r="M35" s="467">
        <f>IF(ISBLANK(M4),0,IF(M4-参数输入表!$I$25&lt;0,0,IF(M4-参数输入表!$I$25&gt;0,0,IF(参数输入表!$I$220="扩大指标估算法",参数输入表!$I$218,L320))))</f>
        <v>0</v>
      </c>
      <c r="N35" s="467">
        <f>IF(ISBLANK(N4),0,IF(N4-参数输入表!$I$25&lt;0,0,IF(N4-参数输入表!$I$25&gt;0,0,IF(参数输入表!$I$220="扩大指标估算法",参数输入表!$I$218,L320))))</f>
        <v>0</v>
      </c>
      <c r="O35" s="467">
        <f>IF(ISBLANK(O4),0,IF(O4-参数输入表!$I$25&lt;0,0,IF(O4-参数输入表!$I$25&gt;0,0,IF(参数输入表!$I$220="扩大指标估算法",参数输入表!$I$218,M320))))</f>
        <v>0</v>
      </c>
      <c r="P35" s="467">
        <f>IF(ISBLANK(P4),0,IF(P4-参数输入表!$I$25&lt;0,0,IF(P4-参数输入表!$I$25&gt;0,0,IF(参数输入表!$I$220="扩大指标估算法",参数输入表!$I$218,N320))))</f>
        <v>0</v>
      </c>
      <c r="Q35" s="467">
        <f>IF(ISBLANK(Q4),0,IF(Q4-参数输入表!$I$25&lt;0,0,IF(Q4-参数输入表!$I$25&gt;0,0,IF(参数输入表!$I$220="扩大指标估算法",参数输入表!$I$218,O320))))</f>
        <v>6436.08669065986</v>
      </c>
      <c r="R35" s="467">
        <f>IF(ISBLANK(R4),0,IF(R4-参数输入表!$I$25&lt;0,0,IF(R4-参数输入表!$I$25&gt;0,0,IF(参数输入表!$I$220="扩大指标估算法",参数输入表!$I$218,#REF!))))</f>
        <v>0</v>
      </c>
      <c r="S35" s="467">
        <f>IF(ISBLANK(S4),0,IF(S4-参数输入表!$I$25&lt;0,0,IF(S4-参数输入表!$I$25&gt;0,0,IF(参数输入表!$I$220="扩大指标估算法",参数输入表!$I$218,O320))))</f>
        <v>0</v>
      </c>
      <c r="T35" s="467">
        <f>IF(ISBLANK(T4),0,IF(T4-参数输入表!$I$25&lt;0,0,IF(T4-参数输入表!$I$25&gt;0,0,IF(参数输入表!$I$220="扩大指标估算法",参数输入表!$I$218,P320))))</f>
        <v>0</v>
      </c>
      <c r="U35" s="467">
        <f>IF(ISBLANK(U4),0,IF(U4-参数输入表!$I$25&lt;0,0,IF(U4-参数输入表!$I$25&gt;0,0,IF(参数输入表!$I$220="扩大指标估算法",参数输入表!$I$218,Q320))))</f>
        <v>0</v>
      </c>
      <c r="V35" s="467">
        <f>IF(ISBLANK(V4),0,IF(V4-参数输入表!$I$25&lt;0,0,IF(V4-参数输入表!$I$25&gt;0,0,IF(参数输入表!$I$220="扩大指标估算法",参数输入表!$I$218,R320))))</f>
        <v>0</v>
      </c>
      <c r="W35" s="467">
        <f>IF(ISBLANK(W4),0,IF(W4-参数输入表!$I$25&lt;0,0,IF(W4-参数输入表!$I$25&gt;0,0,IF(参数输入表!$I$220="扩大指标估算法",参数输入表!$I$218,S320))))</f>
        <v>0</v>
      </c>
      <c r="X35" s="467">
        <f>IF(ISBLANK(X4),0,IF(X4-参数输入表!$I$25&lt;0,0,IF(X4-参数输入表!$I$25&gt;0,0,IF(参数输入表!$I$220="扩大指标估算法",参数输入表!$I$218,T320))))</f>
        <v>0</v>
      </c>
      <c r="Y35" s="467">
        <f>IF(ISBLANK(Y4),0,IF(Y4-参数输入表!$I$25&lt;0,0,IF(Y4-参数输入表!$I$25&gt;0,0,IF(参数输入表!$I$220="扩大指标估算法",参数输入表!$I$218,U320))))</f>
        <v>0</v>
      </c>
      <c r="Z35" s="467">
        <f>IF(ISBLANK(Z4),0,IF(Z4-参数输入表!$I$25&lt;0,0,IF(Z4-参数输入表!$I$25&gt;0,0,IF(参数输入表!$I$220="扩大指标估算法",参数输入表!$I$218,V320))))</f>
        <v>0</v>
      </c>
      <c r="AA35" s="467">
        <f>IF(ISBLANK(AA4),0,IF(AA4-参数输入表!$I$25&lt;0,0,IF(AA4-参数输入表!$I$25&gt;0,0,IF(参数输入表!$I$220="扩大指标估算法",参数输入表!$I$218,W320))))</f>
        <v>0</v>
      </c>
      <c r="AB35" s="467">
        <f>IF(ISBLANK(AB4),0,IF(AB4-参数输入表!$I$25&lt;0,0,IF(AB4-参数输入表!$I$25&gt;0,0,IF(参数输入表!$I$220="扩大指标估算法",参数输入表!$I$218,X320))))</f>
        <v>0</v>
      </c>
      <c r="AC35" s="467">
        <f>IF(ISBLANK(AC4),0,IF(AC4-参数输入表!$I$25&lt;0,0,IF(AC4-参数输入表!$I$25&gt;0,0,IF(参数输入表!$I$220="扩大指标估算法",参数输入表!$I$218,Y320))))</f>
        <v>0</v>
      </c>
      <c r="AD35" s="467">
        <f>IF(ISBLANK(AD4),0,IF(AD4-参数输入表!$I$25&lt;0,0,IF(AD4-参数输入表!$I$25&gt;0,0,IF(参数输入表!$I$220="扩大指标估算法",参数输入表!$I$218,Z320))))</f>
        <v>0</v>
      </c>
      <c r="AE35" s="467">
        <f>IF(ISBLANK(AE4),0,IF(AE4-参数输入表!$I$25&lt;0,0,IF(AE4-参数输入表!$I$25&gt;0,0,IF(参数输入表!$I$220="扩大指标估算法",参数输入表!$I$218,AA320))))</f>
        <v>0</v>
      </c>
      <c r="AF35" s="467">
        <f>IF(ISBLANK(AF4),0,IF(AF4-参数输入表!$I$25&lt;0,0,IF(AF4-参数输入表!$I$25&gt;0,0,IF(参数输入表!$I$220="扩大指标估算法",参数输入表!$I$218,AB320))))</f>
        <v>0</v>
      </c>
      <c r="AG35" s="467">
        <f>IF(ISBLANK(AG4),0,IF(AG4-参数输入表!$I$25&lt;0,0,IF(AG4-参数输入表!$I$25&gt;0,0,IF(参数输入表!$I$220="扩大指标估算法",参数输入表!$I$218,AC320))))</f>
        <v>0</v>
      </c>
      <c r="AH35" s="467">
        <f>IF(ISBLANK(AH4),0,IF(AH4-参数输入表!$I$25&lt;0,0,IF(AH4-参数输入表!$I$25&gt;0,0,IF(参数输入表!$I$220="扩大指标估算法",参数输入表!$I$218,AD320))))</f>
        <v>0</v>
      </c>
      <c r="AI35" s="467">
        <f>IF(ISBLANK(AI4),0,IF(AI4-参数输入表!$I$25&lt;0,0,IF(AI4-参数输入表!$I$25&gt;0,0,IF(参数输入表!$I$220="扩大指标估算法",参数输入表!$I$218,AE320))))</f>
        <v>0</v>
      </c>
      <c r="AJ35" s="467">
        <f>IF(ISBLANK(AJ4),0,IF(AJ4-参数输入表!$I$25&lt;0,0,IF(AJ4-参数输入表!$I$25&gt;0,0,IF(参数输入表!$I$220="扩大指标估算法",参数输入表!$I$218,AF320))))</f>
        <v>0</v>
      </c>
      <c r="AK35" s="467">
        <f>IF(ISBLANK(AK4),0,IF(AK4-参数输入表!$I$25&lt;0,0,IF(AK4-参数输入表!$I$25&gt;0,0,IF(参数输入表!$I$220="扩大指标估算法",参数输入表!$I$218,AG320))))</f>
        <v>0</v>
      </c>
      <c r="AL35" s="467">
        <f>IF(ISBLANK(AL4),0,IF(AL4-参数输入表!$I$25&lt;0,0,IF(AL4-参数输入表!$I$25&gt;0,0,IF(参数输入表!$I$220="扩大指标估算法",参数输入表!$I$218,AH320))))</f>
        <v>0</v>
      </c>
      <c r="AM35" s="467">
        <f>IF(ISBLANK(AM4),0,IF(AM4-参数输入表!$I$25&lt;0,0,IF(AM4-参数输入表!$I$25&gt;0,0,IF(参数输入表!$I$220="扩大指标估算法",参数输入表!$I$218,AI320))))</f>
        <v>0</v>
      </c>
      <c r="AN35" s="467">
        <f>IF(ISBLANK(AN4),0,IF(AN4-参数输入表!$I$25&lt;0,0,IF(AN4-参数输入表!$I$25&gt;0,0,IF(参数输入表!$I$220="扩大指标估算法",参数输入表!$I$218,AJ320))))</f>
        <v>0</v>
      </c>
      <c r="AO35" s="467">
        <f>IF(ISBLANK(AO4),0,IF(AO4-参数输入表!$I$25&lt;0,0,IF(AO4-参数输入表!$I$25&gt;0,0,IF(参数输入表!$I$220="扩大指标估算法",参数输入表!$I$218,AK320))))</f>
        <v>0</v>
      </c>
      <c r="AP35" s="467">
        <f>IF(ISBLANK(AP4),0,IF(AP4-参数输入表!$I$25&lt;0,0,IF(AP4-参数输入表!$I$25&gt;0,0,IF(参数输入表!$I$220="扩大指标估算法",参数输入表!$I$218,AL320))))</f>
        <v>0</v>
      </c>
      <c r="AQ35" s="467">
        <f>IF(ISBLANK(AQ4),0,IF(AQ4-参数输入表!$I$25&lt;0,0,IF(AQ4-参数输入表!$I$25&gt;0,0,IF(参数输入表!$I$220="扩大指标估算法",参数输入表!$I$218,AM320))))</f>
        <v>0</v>
      </c>
      <c r="AR35" s="467">
        <f>IF(ISBLANK(AR4),0,IF(AR4-参数输入表!$I$25&lt;0,0,IF(AR4-参数输入表!$I$25&gt;0,0,IF(参数输入表!$I$220="扩大指标估算法",参数输入表!$I$218,AN320))))</f>
        <v>0</v>
      </c>
      <c r="AS35" s="467">
        <f>IF(ISBLANK(AS4),0,IF(AS4-参数输入表!$I$25&lt;0,0,IF(AS4-参数输入表!$I$25&gt;0,0,IF(参数输入表!$I$220="扩大指标估算法",参数输入表!$I$218,AO320))))</f>
        <v>0</v>
      </c>
      <c r="AT35" s="467">
        <f>IF(ISBLANK(AT4),0,IF(AT4-参数输入表!$I$25&lt;0,0,IF(AT4-参数输入表!$I$25&gt;0,0,IF(参数输入表!$I$220="扩大指标估算法",参数输入表!$I$218,AP320))))</f>
        <v>0</v>
      </c>
      <c r="AU35" s="467">
        <f>IF(ISBLANK(AU4),0,IF(AU4-参数输入表!$I$25&lt;0,0,IF(AU4-参数输入表!$I$25&gt;0,0,IF(参数输入表!$I$220="扩大指标估算法",参数输入表!$I$218,AQ320))))</f>
        <v>0</v>
      </c>
      <c r="AV35" s="467">
        <f>IF(ISBLANK(AV4),0,IF(AV4-参数输入表!$I$25&lt;0,0,IF(AV4-参数输入表!$I$25&gt;0,0,IF(参数输入表!$I$220="扩大指标估算法",参数输入表!$I$218,AR320))))</f>
        <v>0</v>
      </c>
      <c r="AW35" s="467">
        <f>IF(ISBLANK(AW4),0,IF(AW4-参数输入表!$I$25&lt;0,0,IF(AW4-参数输入表!$I$25&gt;0,0,IF(参数输入表!$I$220="扩大指标估算法",参数输入表!$I$218,AS320))))</f>
        <v>0</v>
      </c>
      <c r="AX35" s="467">
        <f>IF(ISBLANK(AX4),0,IF(AX4-参数输入表!$I$25&lt;0,0,IF(AX4-参数输入表!$I$25&gt;0,0,IF(参数输入表!$I$220="扩大指标估算法",参数输入表!$I$218,AT320))))</f>
        <v>0</v>
      </c>
      <c r="AY35" s="467">
        <f>IF(ISBLANK(AY4),0,IF(AY4-参数输入表!$I$25&lt;0,0,IF(AY4-参数输入表!$I$25&gt;0,0,IF(参数输入表!$I$220="扩大指标估算法",参数输入表!$I$218,AU320))))</f>
        <v>0</v>
      </c>
      <c r="AZ35" s="467">
        <f>IF(ISBLANK(AZ4),0,IF(AZ4-参数输入表!$I$25&lt;0,0,IF(AZ4-参数输入表!$I$25&gt;0,0,IF(参数输入表!$I$220="扩大指标估算法",参数输入表!$I$218,AV320))))</f>
        <v>0</v>
      </c>
      <c r="BA35" s="467">
        <f>IF(ISBLANK(BA4),0,IF(BA4-参数输入表!$I$25&lt;0,0,IF(BA4-参数输入表!$I$25&gt;0,0,IF(参数输入表!$I$220="扩大指标估算法",参数输入表!$I$218,AW320))))</f>
        <v>0</v>
      </c>
      <c r="BB35" s="467">
        <f>IF(ISBLANK(BB4),0,IF(BB4-参数输入表!$I$25&lt;0,0,IF(BB4-参数输入表!$I$25&gt;0,0,IF(参数输入表!$I$220="扩大指标估算法",参数输入表!$I$218,AX320))))</f>
        <v>0</v>
      </c>
      <c r="BC35" s="467">
        <f>IF(ISBLANK(BC4),0,IF(BC4-参数输入表!$I$25&lt;0,0,IF(BC4-参数输入表!$I$25&gt;0,0,IF(参数输入表!$I$220="扩大指标估算法",参数输入表!$I$218,AY320))))</f>
        <v>0</v>
      </c>
      <c r="BD35" s="467">
        <f>IF(ISBLANK(BD4),0,IF(BD4-参数输入表!$I$25&lt;0,0,IF(BD4-参数输入表!$I$25&gt;0,0,IF(参数输入表!$I$220="扩大指标估算法",参数输入表!$I$218,AZ320))))</f>
        <v>0</v>
      </c>
      <c r="BE35" s="483">
        <f>IF(ISBLANK(BE4),0,IF(BE4-参数输入表!$I$25&lt;0,0,IF(BE4-参数输入表!$I$25&gt;0,0,IF(参数输入表!$I$220="扩大指标估算法",参数输入表!$I$218,BA320))))</f>
        <v>0</v>
      </c>
    </row>
    <row r="36" ht="27" customHeight="1" spans="2:57">
      <c r="B36" s="71">
        <v>2</v>
      </c>
      <c r="C36" s="225" t="s">
        <v>506</v>
      </c>
      <c r="D36" s="460">
        <f ca="1" t="shared" ref="D36:D44" si="9">SUM(F36:BE36)</f>
        <v>973381.770915316</v>
      </c>
      <c r="E36" s="50" t="s">
        <v>130</v>
      </c>
      <c r="F36" s="460">
        <f ca="1" t="shared" ref="F36:Q36" si="10">F37+F41</f>
        <v>28262.7201096688</v>
      </c>
      <c r="G36" s="460">
        <f ca="1" t="shared" si="10"/>
        <v>67248.5966819334</v>
      </c>
      <c r="H36" s="460">
        <f ca="1" t="shared" si="10"/>
        <v>95902.9358091799</v>
      </c>
      <c r="I36" s="460">
        <f ca="1" t="shared" si="10"/>
        <v>111527.372453866</v>
      </c>
      <c r="J36" s="460">
        <f ca="1" t="shared" si="10"/>
        <v>124982.577606385</v>
      </c>
      <c r="K36" s="460">
        <f ca="1" t="shared" si="10"/>
        <v>167811.542912955</v>
      </c>
      <c r="L36" s="460">
        <f ca="1" t="shared" si="10"/>
        <v>160422.325243849</v>
      </c>
      <c r="M36" s="460">
        <f ca="1" t="shared" si="10"/>
        <v>87218.1893904918</v>
      </c>
      <c r="N36" s="460">
        <f ca="1" t="shared" si="10"/>
        <v>56121.9169384372</v>
      </c>
      <c r="O36" s="460">
        <f ca="1" t="shared" si="10"/>
        <v>67447.5070778898</v>
      </c>
      <c r="P36" s="461">
        <f ca="1" t="shared" si="10"/>
        <v>0</v>
      </c>
      <c r="Q36" s="460">
        <f ca="1" t="shared" si="10"/>
        <v>6436.08669065987</v>
      </c>
      <c r="R36" s="460">
        <f ca="1" t="shared" ref="Q36:BE36" si="11">R37+R41</f>
        <v>0</v>
      </c>
      <c r="S36" s="460">
        <f ca="1" t="shared" si="11"/>
        <v>0</v>
      </c>
      <c r="T36" s="460">
        <f ca="1" t="shared" si="11"/>
        <v>0</v>
      </c>
      <c r="U36" s="460">
        <f ca="1" t="shared" si="11"/>
        <v>0</v>
      </c>
      <c r="V36" s="460">
        <f ca="1" t="shared" si="11"/>
        <v>0</v>
      </c>
      <c r="W36" s="460">
        <f ca="1" t="shared" si="11"/>
        <v>0</v>
      </c>
      <c r="X36" s="460">
        <f ca="1" t="shared" si="11"/>
        <v>0</v>
      </c>
      <c r="Y36" s="460">
        <f ca="1" t="shared" si="11"/>
        <v>0</v>
      </c>
      <c r="Z36" s="460">
        <f ca="1" t="shared" si="11"/>
        <v>0</v>
      </c>
      <c r="AA36" s="460">
        <f ca="1" t="shared" si="11"/>
        <v>0</v>
      </c>
      <c r="AB36" s="460">
        <f ca="1" t="shared" si="11"/>
        <v>0</v>
      </c>
      <c r="AC36" s="460">
        <f ca="1" t="shared" si="11"/>
        <v>0</v>
      </c>
      <c r="AD36" s="460">
        <f ca="1" t="shared" si="11"/>
        <v>0</v>
      </c>
      <c r="AE36" s="460">
        <f ca="1" t="shared" si="11"/>
        <v>0</v>
      </c>
      <c r="AF36" s="460">
        <f ca="1" t="shared" si="11"/>
        <v>0</v>
      </c>
      <c r="AG36" s="460">
        <f ca="1" t="shared" si="11"/>
        <v>0</v>
      </c>
      <c r="AH36" s="460">
        <f ca="1" t="shared" si="11"/>
        <v>0</v>
      </c>
      <c r="AI36" s="460">
        <f ca="1" t="shared" si="11"/>
        <v>0</v>
      </c>
      <c r="AJ36" s="460">
        <f ca="1" t="shared" si="11"/>
        <v>0</v>
      </c>
      <c r="AK36" s="460">
        <f ca="1" t="shared" si="11"/>
        <v>0</v>
      </c>
      <c r="AL36" s="460">
        <f ca="1" t="shared" si="11"/>
        <v>0</v>
      </c>
      <c r="AM36" s="460">
        <f ca="1" t="shared" si="11"/>
        <v>0</v>
      </c>
      <c r="AN36" s="460">
        <f ca="1" t="shared" si="11"/>
        <v>0</v>
      </c>
      <c r="AO36" s="460">
        <f ca="1" t="shared" si="11"/>
        <v>0</v>
      </c>
      <c r="AP36" s="460">
        <f ca="1" t="shared" si="11"/>
        <v>0</v>
      </c>
      <c r="AQ36" s="460">
        <f ca="1" t="shared" si="11"/>
        <v>0</v>
      </c>
      <c r="AR36" s="460">
        <f ca="1" t="shared" si="11"/>
        <v>0</v>
      </c>
      <c r="AS36" s="460">
        <f ca="1" t="shared" si="11"/>
        <v>0</v>
      </c>
      <c r="AT36" s="460">
        <f ca="1" t="shared" si="11"/>
        <v>0</v>
      </c>
      <c r="AU36" s="460">
        <f ca="1" t="shared" si="11"/>
        <v>0</v>
      </c>
      <c r="AV36" s="460">
        <f ca="1" t="shared" si="11"/>
        <v>0</v>
      </c>
      <c r="AW36" s="460">
        <f ca="1" t="shared" si="11"/>
        <v>0</v>
      </c>
      <c r="AX36" s="460">
        <f ca="1" t="shared" si="11"/>
        <v>0</v>
      </c>
      <c r="AY36" s="460">
        <f ca="1" t="shared" si="11"/>
        <v>0</v>
      </c>
      <c r="AZ36" s="460">
        <f ca="1" t="shared" si="11"/>
        <v>0</v>
      </c>
      <c r="BA36" s="460">
        <f ca="1" t="shared" si="11"/>
        <v>0</v>
      </c>
      <c r="BB36" s="460">
        <f ca="1" t="shared" si="11"/>
        <v>0</v>
      </c>
      <c r="BC36" s="460">
        <f ca="1" t="shared" si="11"/>
        <v>0</v>
      </c>
      <c r="BD36" s="460">
        <f ca="1" t="shared" si="11"/>
        <v>0</v>
      </c>
      <c r="BE36" s="462">
        <f ca="1" t="shared" si="11"/>
        <v>0</v>
      </c>
    </row>
    <row r="37" s="4" customFormat="1" spans="2:57">
      <c r="B37" s="463">
        <v>2.1</v>
      </c>
      <c r="C37" s="464" t="s">
        <v>172</v>
      </c>
      <c r="D37" s="482">
        <f ca="1" t="shared" si="9"/>
        <v>243667.247063362</v>
      </c>
      <c r="E37" s="50" t="s">
        <v>130</v>
      </c>
      <c r="F37" s="461">
        <f ca="1">SUM(F38:F40)</f>
        <v>7065.6800274172</v>
      </c>
      <c r="G37" s="461">
        <f ca="1" t="shared" ref="G37:R37" si="12">SUM(G38:G40)</f>
        <v>16812.1491704834</v>
      </c>
      <c r="H37" s="461">
        <f ca="1" t="shared" si="12"/>
        <v>23975.733952295</v>
      </c>
      <c r="I37" s="461">
        <f ca="1" t="shared" si="12"/>
        <v>27881.8431134666</v>
      </c>
      <c r="J37" s="461">
        <f ca="1" t="shared" si="12"/>
        <v>31245.6444015962</v>
      </c>
      <c r="K37" s="461">
        <f ca="1" t="shared" si="12"/>
        <v>41952.8857282388</v>
      </c>
      <c r="L37" s="461">
        <f ca="1" t="shared" si="12"/>
        <v>40105.5813109623</v>
      </c>
      <c r="M37" s="461">
        <f ca="1" t="shared" si="12"/>
        <v>21804.547347623</v>
      </c>
      <c r="N37" s="461">
        <f ca="1" t="shared" si="12"/>
        <v>14030.4792346093</v>
      </c>
      <c r="O37" s="461">
        <f ca="1" t="shared" si="12"/>
        <v>16861.8767694724</v>
      </c>
      <c r="P37" s="461">
        <f ca="1" t="shared" si="12"/>
        <v>0</v>
      </c>
      <c r="Q37" s="461">
        <f ca="1" t="shared" si="12"/>
        <v>1930.82600719796</v>
      </c>
      <c r="R37" s="461">
        <f ca="1" t="shared" si="12"/>
        <v>0</v>
      </c>
      <c r="S37" s="461">
        <f ca="1" t="shared" ref="R37:BE37" si="13">SUM(S38:S40)</f>
        <v>0</v>
      </c>
      <c r="T37" s="461">
        <f ca="1" t="shared" si="13"/>
        <v>0</v>
      </c>
      <c r="U37" s="461">
        <f ca="1" t="shared" si="13"/>
        <v>0</v>
      </c>
      <c r="V37" s="461">
        <f ca="1" t="shared" si="13"/>
        <v>0</v>
      </c>
      <c r="W37" s="461">
        <f ca="1" t="shared" si="13"/>
        <v>0</v>
      </c>
      <c r="X37" s="461">
        <f ca="1" t="shared" si="13"/>
        <v>0</v>
      </c>
      <c r="Y37" s="461">
        <f ca="1" t="shared" si="13"/>
        <v>0</v>
      </c>
      <c r="Z37" s="461">
        <f ca="1" t="shared" si="13"/>
        <v>0</v>
      </c>
      <c r="AA37" s="461">
        <f ca="1" t="shared" si="13"/>
        <v>0</v>
      </c>
      <c r="AB37" s="461">
        <f ca="1" t="shared" si="13"/>
        <v>0</v>
      </c>
      <c r="AC37" s="461">
        <f ca="1" t="shared" si="13"/>
        <v>0</v>
      </c>
      <c r="AD37" s="461">
        <f ca="1" t="shared" si="13"/>
        <v>0</v>
      </c>
      <c r="AE37" s="461">
        <f ca="1" t="shared" si="13"/>
        <v>0</v>
      </c>
      <c r="AF37" s="461">
        <f ca="1" t="shared" si="13"/>
        <v>0</v>
      </c>
      <c r="AG37" s="461">
        <f ca="1" t="shared" si="13"/>
        <v>0</v>
      </c>
      <c r="AH37" s="461">
        <f ca="1" t="shared" si="13"/>
        <v>0</v>
      </c>
      <c r="AI37" s="461">
        <f ca="1" t="shared" si="13"/>
        <v>0</v>
      </c>
      <c r="AJ37" s="461">
        <f ca="1" t="shared" si="13"/>
        <v>0</v>
      </c>
      <c r="AK37" s="461">
        <f ca="1" t="shared" si="13"/>
        <v>0</v>
      </c>
      <c r="AL37" s="461">
        <f ca="1" t="shared" si="13"/>
        <v>0</v>
      </c>
      <c r="AM37" s="461">
        <f ca="1" t="shared" si="13"/>
        <v>0</v>
      </c>
      <c r="AN37" s="461">
        <f ca="1" t="shared" si="13"/>
        <v>0</v>
      </c>
      <c r="AO37" s="461">
        <f ca="1" t="shared" si="13"/>
        <v>0</v>
      </c>
      <c r="AP37" s="461">
        <f ca="1" t="shared" si="13"/>
        <v>0</v>
      </c>
      <c r="AQ37" s="461">
        <f ca="1" t="shared" si="13"/>
        <v>0</v>
      </c>
      <c r="AR37" s="461">
        <f ca="1" t="shared" si="13"/>
        <v>0</v>
      </c>
      <c r="AS37" s="461">
        <f ca="1" t="shared" si="13"/>
        <v>0</v>
      </c>
      <c r="AT37" s="461">
        <f ca="1" t="shared" si="13"/>
        <v>0</v>
      </c>
      <c r="AU37" s="461">
        <f ca="1" t="shared" si="13"/>
        <v>0</v>
      </c>
      <c r="AV37" s="461">
        <f ca="1" t="shared" si="13"/>
        <v>0</v>
      </c>
      <c r="AW37" s="461">
        <f ca="1" t="shared" si="13"/>
        <v>0</v>
      </c>
      <c r="AX37" s="461">
        <f ca="1" t="shared" si="13"/>
        <v>0</v>
      </c>
      <c r="AY37" s="461">
        <f ca="1" t="shared" si="13"/>
        <v>0</v>
      </c>
      <c r="AZ37" s="461">
        <f ca="1" t="shared" si="13"/>
        <v>0</v>
      </c>
      <c r="BA37" s="461">
        <f ca="1" t="shared" si="13"/>
        <v>0</v>
      </c>
      <c r="BB37" s="461">
        <f ca="1" t="shared" si="13"/>
        <v>0</v>
      </c>
      <c r="BC37" s="461">
        <f ca="1" t="shared" si="13"/>
        <v>0</v>
      </c>
      <c r="BD37" s="461">
        <f ca="1" t="shared" si="13"/>
        <v>0</v>
      </c>
      <c r="BE37" s="484">
        <f ca="1" t="shared" si="13"/>
        <v>0</v>
      </c>
    </row>
    <row r="38" s="4" customFormat="1" spans="2:57">
      <c r="B38" s="48" t="s">
        <v>507</v>
      </c>
      <c r="C38" s="49" t="s">
        <v>508</v>
      </c>
      <c r="D38" s="467">
        <f ca="1" t="shared" si="9"/>
        <v>214993.4875</v>
      </c>
      <c r="E38" s="50" t="s">
        <v>130</v>
      </c>
      <c r="F38" s="467">
        <f ca="1">IF(参数输入表!$I$224="按比例输入",SUM(F8:F9)*参数输入表!$I$237-F39,IF(F4-参数输入表!$I$4&gt;0,0,参数输入表!I226))</f>
        <v>7046.741908538</v>
      </c>
      <c r="G38" s="467">
        <f ca="1">IF(参数输入表!$I$224="按比例输入",SUM(G8:G9)*参数输入表!$I$237-G39,IF(G4-参数输入表!$I$4&gt;0,0,参数输入表!I227))</f>
        <v>16442.3977865887</v>
      </c>
      <c r="H38" s="467">
        <f ca="1">IF(参数输入表!$I$224="按比例输入",SUM(H8:H9)*参数输入表!$I$237-H39,IF(H4-参数输入表!$I$4&gt;0,0,参数输入表!I228))</f>
        <v>22837.4205542258</v>
      </c>
      <c r="I38" s="467">
        <f ca="1">IF(参数输入表!$I$224="按比例输入",SUM(I8:I9)*参数输入表!$I$237-I39,IF(I4-参数输入表!$I$4&gt;0,0,参数输入表!I229))</f>
        <v>25920.5960899228</v>
      </c>
      <c r="J38" s="467">
        <f ca="1">IF(参数输入表!$I$224="按比例输入",SUM(J8:J9)*参数输入表!$I$237-J39,IF(J4-参数输入表!$I$4&gt;0,0,参数输入表!I230))</f>
        <v>28346.096739666</v>
      </c>
      <c r="K38" s="467">
        <f ca="1">IF(参数输入表!$I$224="按比例输入",SUM(K8:K9)*参数输入表!$I$237-K39,IF(K4-参数输入表!$I$4&gt;0,0,参数输入表!I231))</f>
        <v>37891.7424965278</v>
      </c>
      <c r="L38" s="467">
        <f ca="1">IF(参数输入表!$I$224="按比例输入",SUM(L8:L9)*参数输入表!$I$237-L39,IF(L4-参数输入表!$I$4&gt;0,0,参数输入表!I232))</f>
        <v>34742.24319082</v>
      </c>
      <c r="M38" s="467">
        <f ca="1">IF(参数输入表!$I$224="按比例输入",SUM(M8:M9)*参数输入表!$I$237-M39,IF(M4-参数输入表!$I$4&gt;0,0,参数输入表!I233))</f>
        <v>17551.5188889212</v>
      </c>
      <c r="N38" s="467">
        <f ca="1">IF(参数输入表!$I$224="按比例输入",SUM(N8:N9)*参数输入表!$I$237-N39,IF(N4-参数输入表!$I$4&gt;0,0,参数输入表!I234))</f>
        <v>11701.0125926141</v>
      </c>
      <c r="O38" s="467">
        <f ca="1">IF(参数输入表!$I$224="按比例输入",SUM(O8:O9)*参数输入表!$I$237-O39,IF(O4-参数输入表!$I$4&gt;0,0,参数输入表!I235))</f>
        <v>12513.7172521758</v>
      </c>
      <c r="P38" s="467">
        <f ca="1">IF(参数输入表!$I$224="按比例输入",SUM(P8:P9)*参数输入表!$I$237-P39,IF(P4-参数输入表!$I$4&gt;0,0,0))</f>
        <v>0</v>
      </c>
      <c r="Q38" s="467">
        <f ca="1">IF(参数输入表!$I$224="按比例输入",SUM(Q8:Q9)*参数输入表!$I$237-Q39,IF(Q4-参数输入表!$I$4&gt;0,0,0))</f>
        <v>0</v>
      </c>
      <c r="R38" s="467">
        <f ca="1">IF(参数输入表!$I$224="按比例输入",SUM(R8:R9)*参数输入表!$I$237-R39,IF(R4-参数输入表!$I$4&gt;0,0,0))</f>
        <v>0</v>
      </c>
      <c r="S38" s="467">
        <f ca="1">IF(参数输入表!$I$224="按比例输入",SUM(S8:S9)*参数输入表!$I$237-S39,IF(S4-参数输入表!$I$4&gt;0,0,0))</f>
        <v>0</v>
      </c>
      <c r="T38" s="467">
        <f ca="1">IF(参数输入表!$I$224="按比例输入",SUM(T8:T9)*参数输入表!$I$237-T39,IF(T4-参数输入表!$I$4&gt;0,0,0))</f>
        <v>0</v>
      </c>
      <c r="U38" s="467">
        <f ca="1">IF(参数输入表!$I$224="按比例输入",SUM(U8:U9)*参数输入表!$I$237-U39,IF(U4-参数输入表!$I$4&gt;0,0,0))</f>
        <v>0</v>
      </c>
      <c r="V38" s="467">
        <f ca="1">IF(参数输入表!$I$224="按比例输入",SUM(V8:V9)*参数输入表!$I$237-V39,IF(V4-参数输入表!$I$4&gt;0,0,0))</f>
        <v>0</v>
      </c>
      <c r="W38" s="467">
        <f ca="1">IF(参数输入表!$I$224="按比例输入",SUM(W8:W9)*参数输入表!$I$237-W39,IF(W4-参数输入表!$I$4&gt;0,0,0))</f>
        <v>0</v>
      </c>
      <c r="X38" s="467">
        <f ca="1">IF(参数输入表!$I$224="按比例输入",SUM(X8:X9)*参数输入表!$I$237-X39,IF(X4-参数输入表!$I$4&gt;0,0,0))</f>
        <v>0</v>
      </c>
      <c r="Y38" s="467">
        <f ca="1">IF(参数输入表!$I$224="按比例输入",SUM(Y8:Y9)*参数输入表!$I$237-Y39,IF(Y4-参数输入表!$I$4&gt;0,0,0))</f>
        <v>0</v>
      </c>
      <c r="Z38" s="467">
        <f ca="1">IF(参数输入表!$I$224="按比例输入",SUM(Z8:Z9)*参数输入表!$I$237-Z39,IF(Z4-参数输入表!$I$4&gt;0,0,0))</f>
        <v>0</v>
      </c>
      <c r="AA38" s="467">
        <f ca="1">IF(参数输入表!$I$224="按比例输入",SUM(AA8:AA9)*参数输入表!$I$237-AA39,IF(AA4-参数输入表!$I$4&gt;0,0,0))</f>
        <v>0</v>
      </c>
      <c r="AB38" s="467">
        <f ca="1">IF(参数输入表!$I$224="按比例输入",SUM(AB8:AB9)*参数输入表!$I$237-AB39,IF(AB4-参数输入表!$I$4&gt;0,0,0))</f>
        <v>0</v>
      </c>
      <c r="AC38" s="467">
        <f ca="1">IF(参数输入表!$I$224="按比例输入",SUM(AC8:AC9)*参数输入表!$I$237-AC39,IF(AC4-参数输入表!$I$4&gt;0,0,0))</f>
        <v>0</v>
      </c>
      <c r="AD38" s="467">
        <f ca="1">IF(参数输入表!$I$224="按比例输入",SUM(AD8:AD9)*参数输入表!$I$237-AD39,IF(AD4-参数输入表!$I$4&gt;0,0,0))</f>
        <v>0</v>
      </c>
      <c r="AE38" s="467">
        <f ca="1">IF(参数输入表!$I$224="按比例输入",SUM(AE8:AE9)*参数输入表!$I$237-AE39,IF(AE4-参数输入表!$I$4&gt;0,0,0))</f>
        <v>0</v>
      </c>
      <c r="AF38" s="467">
        <f ca="1">IF(参数输入表!$I$224="按比例输入",SUM(AF8:AF9)*参数输入表!$I$237-AF39,IF(AF4-参数输入表!$I$4&gt;0,0,0))</f>
        <v>0</v>
      </c>
      <c r="AG38" s="467">
        <f ca="1">IF(参数输入表!$I$224="按比例输入",SUM(AG8:AG9)*参数输入表!$I$237-AG39,IF(AG4-参数输入表!$I$4&gt;0,0,0))</f>
        <v>0</v>
      </c>
      <c r="AH38" s="467">
        <f ca="1">IF(参数输入表!$I$224="按比例输入",SUM(AH8:AH9)*参数输入表!$I$237-AH39,IF(AH4-参数输入表!$I$4&gt;0,0,0))</f>
        <v>0</v>
      </c>
      <c r="AI38" s="467">
        <f ca="1">IF(参数输入表!$I$224="按比例输入",SUM(AI8:AI9)*参数输入表!$I$237-AI39,IF(AI4-参数输入表!$I$4&gt;0,0,0))</f>
        <v>0</v>
      </c>
      <c r="AJ38" s="467">
        <f ca="1">IF(参数输入表!$I$224="按比例输入",SUM(AJ8:AJ9)*参数输入表!$I$237-AJ39,IF(AJ4-参数输入表!$I$4&gt;0,0,0))</f>
        <v>0</v>
      </c>
      <c r="AK38" s="467">
        <f ca="1">IF(参数输入表!$I$224="按比例输入",SUM(AK8:AK9)*参数输入表!$I$237-AK39,IF(AK4-参数输入表!$I$4&gt;0,0,0))</f>
        <v>0</v>
      </c>
      <c r="AL38" s="467">
        <f ca="1">IF(参数输入表!$I$224="按比例输入",SUM(AL8:AL9)*参数输入表!$I$237-AL39,IF(AL4-参数输入表!$I$4&gt;0,0,0))</f>
        <v>0</v>
      </c>
      <c r="AM38" s="467">
        <f ca="1">IF(参数输入表!$I$224="按比例输入",SUM(AM8:AM9)*参数输入表!$I$237-AM39,IF(AM4-参数输入表!$I$4&gt;0,0,0))</f>
        <v>0</v>
      </c>
      <c r="AN38" s="467">
        <f ca="1">IF(参数输入表!$I$224="按比例输入",SUM(AN8:AN9)*参数输入表!$I$237-AN39,IF(AN4-参数输入表!$I$4&gt;0,0,0))</f>
        <v>0</v>
      </c>
      <c r="AO38" s="467">
        <f ca="1">IF(参数输入表!$I$224="按比例输入",SUM(AO8:AO9)*参数输入表!$I$237-AO39,IF(AO4-参数输入表!$I$4&gt;0,0,0))</f>
        <v>0</v>
      </c>
      <c r="AP38" s="467">
        <f ca="1">IF(参数输入表!$I$224="按比例输入",SUM(AP8:AP9)*参数输入表!$I$237-AP39,IF(AP4-参数输入表!$I$4&gt;0,0,0))</f>
        <v>0</v>
      </c>
      <c r="AQ38" s="467">
        <f ca="1">IF(参数输入表!$I$224="按比例输入",SUM(AQ8:AQ9)*参数输入表!$I$237-AQ39,IF(AQ4-参数输入表!$I$4&gt;0,0,0))</f>
        <v>0</v>
      </c>
      <c r="AR38" s="467">
        <f ca="1">IF(参数输入表!$I$224="按比例输入",SUM(AR8:AR9)*参数输入表!$I$237-AR39,IF(AR4-参数输入表!$I$4&gt;0,0,0))</f>
        <v>0</v>
      </c>
      <c r="AS38" s="467">
        <f ca="1">IF(参数输入表!$I$224="按比例输入",SUM(AS8:AS9)*参数输入表!$I$237-AS39,IF(AS4-参数输入表!$I$4&gt;0,0,0))</f>
        <v>0</v>
      </c>
      <c r="AT38" s="467">
        <f ca="1">IF(参数输入表!$I$224="按比例输入",SUM(AT8:AT9)*参数输入表!$I$237-AT39,IF(AT4-参数输入表!$I$4&gt;0,0,0))</f>
        <v>0</v>
      </c>
      <c r="AU38" s="467">
        <f ca="1">IF(参数输入表!$I$224="按比例输入",SUM(AU8:AU9)*参数输入表!$I$237-AU39,IF(AU4-参数输入表!$I$4&gt;0,0,0))</f>
        <v>0</v>
      </c>
      <c r="AV38" s="467">
        <f ca="1">IF(参数输入表!$I$224="按比例输入",SUM(AV8:AV9)*参数输入表!$I$237-AV39,IF(AV4-参数输入表!$I$4&gt;0,0,0))</f>
        <v>0</v>
      </c>
      <c r="AW38" s="467">
        <f ca="1">IF(参数输入表!$I$224="按比例输入",SUM(AW8:AW9)*参数输入表!$I$237-AW39,IF(AW4-参数输入表!$I$4&gt;0,0,0))</f>
        <v>0</v>
      </c>
      <c r="AX38" s="467">
        <f ca="1">IF(参数输入表!$I$224="按比例输入",SUM(AX8:AX9)*参数输入表!$I$237-AX39,IF(AX4-参数输入表!$I$4&gt;0,0,0))</f>
        <v>0</v>
      </c>
      <c r="AY38" s="467">
        <f ca="1">IF(参数输入表!$I$224="按比例输入",SUM(AY8:AY9)*参数输入表!$I$237-AY39,IF(AY4-参数输入表!$I$4&gt;0,0,0))</f>
        <v>0</v>
      </c>
      <c r="AZ38" s="467">
        <f ca="1">IF(参数输入表!$I$224="按比例输入",SUM(AZ8:AZ9)*参数输入表!$I$237-AZ39,IF(AZ4-参数输入表!$I$4&gt;0,0,0))</f>
        <v>0</v>
      </c>
      <c r="BA38" s="467">
        <f ca="1">IF(参数输入表!$I$224="按比例输入",SUM(BA8:BA9)*参数输入表!$I$237-BA39,IF(BA4-参数输入表!$I$4&gt;0,0,0))</f>
        <v>0</v>
      </c>
      <c r="BB38" s="467">
        <f ca="1">IF(参数输入表!$I$224="按比例输入",SUM(BB8:BB9)*参数输入表!$I$237-BB39,IF(BB4-参数输入表!$I$4&gt;0,0,0))</f>
        <v>0</v>
      </c>
      <c r="BC38" s="467">
        <f ca="1">IF(参数输入表!$I$224="按比例输入",SUM(BC8:BC9)*参数输入表!$I$237-BC39,IF(BC4-参数输入表!$I$4&gt;0,0,0))</f>
        <v>0</v>
      </c>
      <c r="BD38" s="467">
        <f ca="1">IF(参数输入表!$I$224="按比例输入",SUM(BD8:BD9)*参数输入表!$I$237-BD39,IF(BD4-参数输入表!$I$4&gt;0,0,0))</f>
        <v>0</v>
      </c>
      <c r="BE38" s="483">
        <f ca="1">IF(参数输入表!$I$224="按比例输入",SUM(BE8:BE9)*参数输入表!$I$237-BE39,IF(BE4-参数输入表!$I$4&gt;0,0,0))</f>
        <v>0</v>
      </c>
    </row>
    <row r="39" s="4" customFormat="1" spans="2:57">
      <c r="B39" s="48" t="s">
        <v>509</v>
      </c>
      <c r="C39" s="49" t="s">
        <v>510</v>
      </c>
      <c r="D39" s="467">
        <f ca="1" t="shared" si="9"/>
        <v>26742.9335561641</v>
      </c>
      <c r="E39" s="50" t="s">
        <v>130</v>
      </c>
      <c r="F39" s="467">
        <f ca="1">IF(参数输入表!$I$224="按比例输入",F9*参数输入表!$I$237,0)</f>
        <v>18.9381188791959</v>
      </c>
      <c r="G39" s="467">
        <f ca="1">IF(参数输入表!$I$224="按比例输入",G9*参数输入表!$I$237,0)</f>
        <v>369.75138389471</v>
      </c>
      <c r="H39" s="467">
        <f ca="1">IF(参数输入表!$I$224="按比例输入",H9*参数输入表!$I$237,0)</f>
        <v>1138.31339806918</v>
      </c>
      <c r="I39" s="467">
        <f ca="1">IF(参数输入表!$I$224="按比例输入",I9*参数输入表!$I$237,0)</f>
        <v>1961.24702354381</v>
      </c>
      <c r="J39" s="467">
        <f ca="1">IF(参数输入表!$I$224="按比例输入",J9*参数输入表!$I$237,0)</f>
        <v>2899.54766193022</v>
      </c>
      <c r="K39" s="467">
        <f ca="1">IF(参数输入表!$I$224="按比例输入",K9*参数输入表!$I$237,0)</f>
        <v>4061.14323171109</v>
      </c>
      <c r="L39" s="467">
        <f ca="1">IF(参数输入表!$I$224="按比例输入",L9*参数输入表!$I$237,0)</f>
        <v>5363.33812014225</v>
      </c>
      <c r="M39" s="467">
        <f ca="1">IF(参数输入表!$I$224="按比例输入",M9*参数输入表!$I$237,0)</f>
        <v>4253.02845870178</v>
      </c>
      <c r="N39" s="467">
        <f ca="1">IF(参数输入表!$I$224="按比例输入",N9*参数输入表!$I$237,0)</f>
        <v>2329.46664199519</v>
      </c>
      <c r="O39" s="467">
        <f ca="1">IF(参数输入表!$I$224="按比例输入",O9*参数输入表!$I$237,0)</f>
        <v>4348.15951729667</v>
      </c>
      <c r="P39" s="467">
        <f ca="1">IF(参数输入表!$I$224="按比例输入",P9*参数输入表!$I$237,0)</f>
        <v>0</v>
      </c>
      <c r="Q39" s="467">
        <f ca="1">IF(参数输入表!$I$224="按比例输入",Q9*参数输入表!$I$237,0)</f>
        <v>0</v>
      </c>
      <c r="R39" s="467">
        <f ca="1">IF(参数输入表!$I$224="按比例输入",R9*参数输入表!$I$237,0)</f>
        <v>0</v>
      </c>
      <c r="S39" s="467">
        <f ca="1">IF(参数输入表!$I$224="按比例输入",S9*参数输入表!$I$237,0)</f>
        <v>0</v>
      </c>
      <c r="T39" s="467">
        <f ca="1">IF(参数输入表!$I$224="按比例输入",T9*参数输入表!$I$237,0)</f>
        <v>0</v>
      </c>
      <c r="U39" s="467">
        <f ca="1">IF(参数输入表!$I$224="按比例输入",U9*参数输入表!$I$237,0)</f>
        <v>0</v>
      </c>
      <c r="V39" s="467">
        <f ca="1">IF(参数输入表!$I$224="按比例输入",V9*参数输入表!$I$237,0)</f>
        <v>0</v>
      </c>
      <c r="W39" s="467">
        <f ca="1">IF(参数输入表!$I$224="按比例输入",W9*参数输入表!$I$237,0)</f>
        <v>0</v>
      </c>
      <c r="X39" s="467">
        <f ca="1">IF(参数输入表!$I$224="按比例输入",X9*参数输入表!$I$237,0)</f>
        <v>0</v>
      </c>
      <c r="Y39" s="467">
        <f ca="1">IF(参数输入表!$I$224="按比例输入",Y9*参数输入表!$I$237,0)</f>
        <v>0</v>
      </c>
      <c r="Z39" s="467">
        <f ca="1">IF(参数输入表!$I$224="按比例输入",Z9*参数输入表!$I$237,0)</f>
        <v>0</v>
      </c>
      <c r="AA39" s="467">
        <f ca="1">IF(参数输入表!$I$224="按比例输入",AA9*参数输入表!$I$237,0)</f>
        <v>0</v>
      </c>
      <c r="AB39" s="467">
        <f ca="1">IF(参数输入表!$I$224="按比例输入",AB9*参数输入表!$I$237,0)</f>
        <v>0</v>
      </c>
      <c r="AC39" s="467">
        <f ca="1">IF(参数输入表!$I$224="按比例输入",AC9*参数输入表!$I$237,0)</f>
        <v>0</v>
      </c>
      <c r="AD39" s="467">
        <f ca="1">IF(参数输入表!$I$224="按比例输入",AD9*参数输入表!$I$237,0)</f>
        <v>0</v>
      </c>
      <c r="AE39" s="467">
        <f ca="1">IF(参数输入表!$I$224="按比例输入",AE9*参数输入表!$I$237,0)</f>
        <v>0</v>
      </c>
      <c r="AF39" s="467">
        <f ca="1">IF(参数输入表!$I$224="按比例输入",AF9*参数输入表!$I$237,0)</f>
        <v>0</v>
      </c>
      <c r="AG39" s="467">
        <f ca="1">IF(参数输入表!$I$224="按比例输入",AG9*参数输入表!$I$237,0)</f>
        <v>0</v>
      </c>
      <c r="AH39" s="467">
        <f ca="1">IF(参数输入表!$I$224="按比例输入",AH9*参数输入表!$I$237,0)</f>
        <v>0</v>
      </c>
      <c r="AI39" s="467">
        <f ca="1">IF(参数输入表!$I$224="按比例输入",AI9*参数输入表!$I$237,0)</f>
        <v>0</v>
      </c>
      <c r="AJ39" s="467">
        <f ca="1">IF(参数输入表!$I$224="按比例输入",AJ9*参数输入表!$I$237,0)</f>
        <v>0</v>
      </c>
      <c r="AK39" s="467">
        <f ca="1">IF(参数输入表!$I$224="按比例输入",AK9*参数输入表!$I$237,0)</f>
        <v>0</v>
      </c>
      <c r="AL39" s="467">
        <f ca="1">IF(参数输入表!$I$224="按比例输入",AL9*参数输入表!$I$237,0)</f>
        <v>0</v>
      </c>
      <c r="AM39" s="467">
        <f ca="1">IF(参数输入表!$I$224="按比例输入",AM9*参数输入表!$I$237,0)</f>
        <v>0</v>
      </c>
      <c r="AN39" s="467">
        <f ca="1">IF(参数输入表!$I$224="按比例输入",AN9*参数输入表!$I$237,0)</f>
        <v>0</v>
      </c>
      <c r="AO39" s="467">
        <f ca="1">IF(参数输入表!$I$224="按比例输入",AO9*参数输入表!$I$237,0)</f>
        <v>0</v>
      </c>
      <c r="AP39" s="467">
        <f ca="1">IF(参数输入表!$I$224="按比例输入",AP9*参数输入表!$I$237,0)</f>
        <v>0</v>
      </c>
      <c r="AQ39" s="467">
        <f ca="1">IF(参数输入表!$I$224="按比例输入",AQ9*参数输入表!$I$237,0)</f>
        <v>0</v>
      </c>
      <c r="AR39" s="467">
        <f ca="1">IF(参数输入表!$I$224="按比例输入",AR9*参数输入表!$I$237,0)</f>
        <v>0</v>
      </c>
      <c r="AS39" s="467">
        <f ca="1">IF(参数输入表!$I$224="按比例输入",AS9*参数输入表!$I$237,0)</f>
        <v>0</v>
      </c>
      <c r="AT39" s="467">
        <f ca="1">IF(参数输入表!$I$224="按比例输入",AT9*参数输入表!$I$237,0)</f>
        <v>0</v>
      </c>
      <c r="AU39" s="467">
        <f ca="1">IF(参数输入表!$I$224="按比例输入",AU9*参数输入表!$I$237,0)</f>
        <v>0</v>
      </c>
      <c r="AV39" s="467">
        <f ca="1">IF(参数输入表!$I$224="按比例输入",AV9*参数输入表!$I$237,0)</f>
        <v>0</v>
      </c>
      <c r="AW39" s="467">
        <f ca="1">IF(参数输入表!$I$224="按比例输入",AW9*参数输入表!$I$237,0)</f>
        <v>0</v>
      </c>
      <c r="AX39" s="467">
        <f ca="1">IF(参数输入表!$I$224="按比例输入",AX9*参数输入表!$I$237,0)</f>
        <v>0</v>
      </c>
      <c r="AY39" s="467">
        <f ca="1">IF(参数输入表!$I$224="按比例输入",AY9*参数输入表!$I$237,0)</f>
        <v>0</v>
      </c>
      <c r="AZ39" s="467">
        <f ca="1">IF(参数输入表!$I$224="按比例输入",AZ9*参数输入表!$I$237,0)</f>
        <v>0</v>
      </c>
      <c r="BA39" s="467">
        <f ca="1">IF(参数输入表!$I$224="按比例输入",BA9*参数输入表!$I$237,0)</f>
        <v>0</v>
      </c>
      <c r="BB39" s="467">
        <f ca="1">IF(参数输入表!$I$224="按比例输入",BB9*参数输入表!$I$237,0)</f>
        <v>0</v>
      </c>
      <c r="BC39" s="467">
        <f ca="1">IF(参数输入表!$I$224="按比例输入",BC9*参数输入表!$I$237,0)</f>
        <v>0</v>
      </c>
      <c r="BD39" s="467">
        <f ca="1">IF(参数输入表!$I$224="按比例输入",BD9*参数输入表!$I$237,0)</f>
        <v>0</v>
      </c>
      <c r="BE39" s="483">
        <f ca="1">IF(参数输入表!$I$224="按比例输入",BE9*参数输入表!$I$237,0)</f>
        <v>0</v>
      </c>
    </row>
    <row r="40" s="4" customFormat="1" spans="2:57">
      <c r="B40" s="48" t="s">
        <v>511</v>
      </c>
      <c r="C40" s="49" t="s">
        <v>512</v>
      </c>
      <c r="D40" s="467">
        <f t="shared" si="9"/>
        <v>1930.82600719796</v>
      </c>
      <c r="E40" s="50" t="s">
        <v>130</v>
      </c>
      <c r="F40" s="467">
        <f>IF(参数输入表!$I$224="按比例输入",IF(F4-参数输入表!$I$25&lt;0,0,IF(F4-参数输入表!$I$25&gt;0,0,F35*参数输入表!$I$239)),0)</f>
        <v>0</v>
      </c>
      <c r="G40" s="467">
        <f>IF(参数输入表!$I$224="按比例输入",IF(G4-参数输入表!$I$25&lt;0,0,IF(G4-参数输入表!$I$25&gt;0,0,G35*参数输入表!$I$239)),0)</f>
        <v>0</v>
      </c>
      <c r="H40" s="467">
        <f>IF(参数输入表!$I$224="按比例输入",IF(H4-参数输入表!$I$25&lt;0,0,IF(H4-参数输入表!$I$25&gt;0,0,H35*参数输入表!$I$239)),0)</f>
        <v>0</v>
      </c>
      <c r="I40" s="467">
        <f>IF(参数输入表!$I$224="按比例输入",IF(I4-参数输入表!$I$25&lt;0,0,IF(I4-参数输入表!$I$25&gt;0,0,I35*参数输入表!$I$239)),0)</f>
        <v>0</v>
      </c>
      <c r="J40" s="467">
        <f>IF(参数输入表!$I$224="按比例输入",IF(J4-参数输入表!$I$25&lt;0,0,IF(J4-参数输入表!$I$25&gt;0,0,J35*参数输入表!$I$239)),0)</f>
        <v>0</v>
      </c>
      <c r="K40" s="467">
        <f>IF(参数输入表!$I$224="按比例输入",IF(K4-参数输入表!$I$25&lt;0,0,IF(K4-参数输入表!$I$25&gt;0,0,K35*参数输入表!$I$239)),0)</f>
        <v>0</v>
      </c>
      <c r="L40" s="467">
        <f>IF(参数输入表!$I$224="按比例输入",IF(L4-参数输入表!$I$25&lt;0,0,IF(L4-参数输入表!$I$25&gt;0,0,L35*参数输入表!$I$239)),0)</f>
        <v>0</v>
      </c>
      <c r="M40" s="467">
        <f>IF(参数输入表!$I$224="按比例输入",IF(M4-参数输入表!$I$25&lt;0,0,IF(M4-参数输入表!$I$25&gt;0,0,M35*参数输入表!$I$239)),0)</f>
        <v>0</v>
      </c>
      <c r="N40" s="467">
        <f>IF(参数输入表!$I$224="按比例输入",IF(N4-参数输入表!$I$25&lt;0,0,IF(N4-参数输入表!$I$25&gt;0,0,N35*参数输入表!$I$239)),0)</f>
        <v>0</v>
      </c>
      <c r="O40" s="467">
        <f>IF(参数输入表!$I$224="按比例输入",IF(O4-参数输入表!$I$25&lt;0,0,IF(O4-参数输入表!$I$25&gt;0,0,O35*参数输入表!$I$239)),0)</f>
        <v>0</v>
      </c>
      <c r="P40" s="467">
        <f>IF(参数输入表!$I$224="按比例输入",IF(P4-参数输入表!$I$25&lt;0,0,IF(P4-参数输入表!$I$25&gt;0,0,P35*参数输入表!$I$239)),0)</f>
        <v>0</v>
      </c>
      <c r="Q40" s="467">
        <f>IF(参数输入表!$I$224="按比例输入",IF(Q4-参数输入表!$I$25&lt;0,0,IF(Q4-参数输入表!$I$25&gt;0,0,Q35*参数输入表!$I$239)),0)</f>
        <v>1930.82600719796</v>
      </c>
      <c r="R40" s="467">
        <f>IF(参数输入表!$I$224="按比例输入",IF(R4-参数输入表!$I$25&lt;0,0,IF(R4-参数输入表!$I$25&gt;0,0,R35*参数输入表!$I$239)),0)</f>
        <v>0</v>
      </c>
      <c r="S40" s="467">
        <f>IF(参数输入表!$I$224="按比例输入",IF(S4-参数输入表!$I$25&lt;0,0,IF(S4-参数输入表!$I$25&gt;0,0,S35*参数输入表!$I$239)),0)</f>
        <v>0</v>
      </c>
      <c r="T40" s="467">
        <f>IF(参数输入表!$I$224="按比例输入",IF(T4-参数输入表!$I$25&lt;0,0,IF(T4-参数输入表!$I$25&gt;0,0,T35*参数输入表!$I$239)),0)</f>
        <v>0</v>
      </c>
      <c r="U40" s="467">
        <f>IF(参数输入表!$I$224="按比例输入",IF(U4-参数输入表!$I$25&lt;0,0,IF(U4-参数输入表!$I$25&gt;0,0,U35*参数输入表!$I$239)),0)</f>
        <v>0</v>
      </c>
      <c r="V40" s="467">
        <f>IF(参数输入表!$I$224="按比例输入",IF(V4-参数输入表!$I$25&lt;0,0,IF(V4-参数输入表!$I$25&gt;0,0,V35*参数输入表!$I$239)),0)</f>
        <v>0</v>
      </c>
      <c r="W40" s="467">
        <f>IF(参数输入表!$I$224="按比例输入",IF(W4-参数输入表!$I$25&lt;0,0,IF(W4-参数输入表!$I$25&gt;0,0,W35*参数输入表!$I$239)),0)</f>
        <v>0</v>
      </c>
      <c r="X40" s="467">
        <f>IF(参数输入表!$I$224="按比例输入",IF(X4-参数输入表!$I$25&lt;0,0,IF(X4-参数输入表!$I$25&gt;0,0,X35*参数输入表!$I$239)),0)</f>
        <v>0</v>
      </c>
      <c r="Y40" s="467">
        <f>IF(参数输入表!$I$224="按比例输入",IF(Y4-参数输入表!$I$25&lt;0,0,IF(Y4-参数输入表!$I$25&gt;0,0,Y35*参数输入表!$I$239)),0)</f>
        <v>0</v>
      </c>
      <c r="Z40" s="467">
        <f>IF(参数输入表!$I$224="按比例输入",IF(Z4-参数输入表!$I$25&lt;0,0,IF(Z4-参数输入表!$I$25&gt;0,0,Z35*参数输入表!$I$239)),0)</f>
        <v>0</v>
      </c>
      <c r="AA40" s="467">
        <f>IF(参数输入表!$I$224="按比例输入",IF(AA4-参数输入表!$I$25&lt;0,0,IF(AA4-参数输入表!$I$25&gt;0,0,AA35*参数输入表!$I$239)),0)</f>
        <v>0</v>
      </c>
      <c r="AB40" s="467">
        <f>IF(参数输入表!$I$224="按比例输入",IF(AB4-参数输入表!$I$25&lt;0,0,IF(AB4-参数输入表!$I$25&gt;0,0,AB35*参数输入表!$I$239)),0)</f>
        <v>0</v>
      </c>
      <c r="AC40" s="467">
        <f>IF(参数输入表!$I$224="按比例输入",IF(AC4-参数输入表!$I$25&lt;0,0,IF(AC4-参数输入表!$I$25&gt;0,0,AC35*参数输入表!$I$239)),0)</f>
        <v>0</v>
      </c>
      <c r="AD40" s="467">
        <f>IF(参数输入表!$I$224="按比例输入",IF(AD4-参数输入表!$I$25&lt;0,0,IF(AD4-参数输入表!$I$25&gt;0,0,AD35*参数输入表!$I$239)),0)</f>
        <v>0</v>
      </c>
      <c r="AE40" s="467">
        <f>IF(参数输入表!$I$224="按比例输入",IF(AE4-参数输入表!$I$25&lt;0,0,IF(AE4-参数输入表!$I$25&gt;0,0,AE35*参数输入表!$I$239)),0)</f>
        <v>0</v>
      </c>
      <c r="AF40" s="467">
        <f>IF(参数输入表!$I$224="按比例输入",IF(AF4-参数输入表!$I$25&lt;0,0,IF(AF4-参数输入表!$I$25&gt;0,0,AF35*参数输入表!$I$239)),0)</f>
        <v>0</v>
      </c>
      <c r="AG40" s="467">
        <f>IF(参数输入表!$I$224="按比例输入",IF(AG4-参数输入表!$I$25&lt;0,0,IF(AG4-参数输入表!$I$25&gt;0,0,AG35*参数输入表!$I$239)),0)</f>
        <v>0</v>
      </c>
      <c r="AH40" s="467">
        <f>IF(参数输入表!$I$224="按比例输入",IF(AH4-参数输入表!$I$25&lt;0,0,IF(AH4-参数输入表!$I$25&gt;0,0,AH35*参数输入表!$I$239)),0)</f>
        <v>0</v>
      </c>
      <c r="AI40" s="467">
        <f>IF(参数输入表!$I$224="按比例输入",IF(AI4-参数输入表!$I$25&lt;0,0,IF(AI4-参数输入表!$I$25&gt;0,0,AI35*参数输入表!$I$239)),0)</f>
        <v>0</v>
      </c>
      <c r="AJ40" s="467">
        <f>IF(参数输入表!$I$224="按比例输入",IF(AJ4-参数输入表!$I$25&lt;0,0,IF(AJ4-参数输入表!$I$25&gt;0,0,AJ35*参数输入表!$I$239)),0)</f>
        <v>0</v>
      </c>
      <c r="AK40" s="467">
        <f>IF(参数输入表!$I$224="按比例输入",IF(AK4-参数输入表!$I$25&lt;0,0,IF(AK4-参数输入表!$I$25&gt;0,0,AK35*参数输入表!$I$239)),0)</f>
        <v>0</v>
      </c>
      <c r="AL40" s="467">
        <f>IF(参数输入表!$I$224="按比例输入",IF(AL4-参数输入表!$I$25&lt;0,0,IF(AL4-参数输入表!$I$25&gt;0,0,AL35*参数输入表!$I$239)),0)</f>
        <v>0</v>
      </c>
      <c r="AM40" s="467">
        <f>IF(参数输入表!$I$224="按比例输入",IF(AM4-参数输入表!$I$25&lt;0,0,IF(AM4-参数输入表!$I$25&gt;0,0,AM35*参数输入表!$I$239)),0)</f>
        <v>0</v>
      </c>
      <c r="AN40" s="467">
        <f>IF(参数输入表!$I$224="按比例输入",IF(AN4-参数输入表!$I$25&lt;0,0,IF(AN4-参数输入表!$I$25&gt;0,0,AN35*参数输入表!$I$239)),0)</f>
        <v>0</v>
      </c>
      <c r="AO40" s="467">
        <f>IF(参数输入表!$I$224="按比例输入",IF(AO4-参数输入表!$I$25&lt;0,0,IF(AO4-参数输入表!$I$25&gt;0,0,AO35*参数输入表!$I$239)),0)</f>
        <v>0</v>
      </c>
      <c r="AP40" s="467">
        <f>IF(参数输入表!$I$224="按比例输入",IF(AP4-参数输入表!$I$25&lt;0,0,IF(AP4-参数输入表!$I$25&gt;0,0,AP35*参数输入表!$I$239)),0)</f>
        <v>0</v>
      </c>
      <c r="AQ40" s="467">
        <f>IF(参数输入表!$I$224="按比例输入",IF(AQ4-参数输入表!$I$25&lt;0,0,IF(AQ4-参数输入表!$I$25&gt;0,0,AQ35*参数输入表!$I$239)),0)</f>
        <v>0</v>
      </c>
      <c r="AR40" s="467">
        <f>IF(参数输入表!$I$224="按比例输入",IF(AR4-参数输入表!$I$25&lt;0,0,IF(AR4-参数输入表!$I$25&gt;0,0,AR35*参数输入表!$I$239)),0)</f>
        <v>0</v>
      </c>
      <c r="AS40" s="467">
        <f>IF(参数输入表!$I$224="按比例输入",IF(AS4-参数输入表!$I$25&lt;0,0,IF(AS4-参数输入表!$I$25&gt;0,0,AS35*参数输入表!$I$239)),0)</f>
        <v>0</v>
      </c>
      <c r="AT40" s="467">
        <f>IF(参数输入表!$I$224="按比例输入",IF(AT4-参数输入表!$I$25&lt;0,0,IF(AT4-参数输入表!$I$25&gt;0,0,AT35*参数输入表!$I$239)),0)</f>
        <v>0</v>
      </c>
      <c r="AU40" s="467">
        <f>IF(参数输入表!$I$224="按比例输入",IF(AU4-参数输入表!$I$25&lt;0,0,IF(AU4-参数输入表!$I$25&gt;0,0,AU35*参数输入表!$I$239)),0)</f>
        <v>0</v>
      </c>
      <c r="AV40" s="467">
        <f>IF(参数输入表!$I$224="按比例输入",IF(AV4-参数输入表!$I$25&lt;0,0,IF(AV4-参数输入表!$I$25&gt;0,0,AV35*参数输入表!$I$239)),0)</f>
        <v>0</v>
      </c>
      <c r="AW40" s="467">
        <f>IF(参数输入表!$I$224="按比例输入",IF(AW4-参数输入表!$I$25&lt;0,0,IF(AW4-参数输入表!$I$25&gt;0,0,AW35*参数输入表!$I$239)),0)</f>
        <v>0</v>
      </c>
      <c r="AX40" s="467">
        <f>IF(参数输入表!$I$224="按比例输入",IF(AX4-参数输入表!$I$25&lt;0,0,IF(AX4-参数输入表!$I$25&gt;0,0,AX35*参数输入表!$I$239)),0)</f>
        <v>0</v>
      </c>
      <c r="AY40" s="467">
        <f>IF(参数输入表!$I$224="按比例输入",IF(AY4-参数输入表!$I$25&lt;0,0,IF(AY4-参数输入表!$I$25&gt;0,0,AY35*参数输入表!$I$239)),0)</f>
        <v>0</v>
      </c>
      <c r="AZ40" s="467">
        <f>IF(参数输入表!$I$224="按比例输入",IF(AZ4-参数输入表!$I$25&lt;0,0,IF(AZ4-参数输入表!$I$25&gt;0,0,AZ35*参数输入表!$I$239)),0)</f>
        <v>0</v>
      </c>
      <c r="BA40" s="467">
        <f>IF(参数输入表!$I$224="按比例输入",IF(BA4-参数输入表!$I$25&lt;0,0,IF(BA4-参数输入表!$I$25&gt;0,0,BA35*参数输入表!$I$239)),0)</f>
        <v>0</v>
      </c>
      <c r="BB40" s="467">
        <f>IF(参数输入表!$I$224="按比例输入",IF(BB4-参数输入表!$I$25&lt;0,0,IF(BB4-参数输入表!$I$25&gt;0,0,BB35*参数输入表!$I$239)),0)</f>
        <v>0</v>
      </c>
      <c r="BC40" s="467">
        <f>IF(参数输入表!$I$224="按比例输入",IF(BC4-参数输入表!$I$25&lt;0,0,IF(BC4-参数输入表!$I$25&gt;0,0,BC35*参数输入表!$I$239)),0)</f>
        <v>0</v>
      </c>
      <c r="BD40" s="467">
        <f>IF(参数输入表!$I$224="按比例输入",IF(BD4-参数输入表!$I$25&lt;0,0,IF(BD4-参数输入表!$I$25&gt;0,0,BD35*参数输入表!$I$239)),0)</f>
        <v>0</v>
      </c>
      <c r="BE40" s="483">
        <f>IF(参数输入表!$I$224="按比例输入",IF(BE4-参数输入表!$I$25&lt;0,0,IF(BE4-参数输入表!$I$25&gt;0,0,BE35*参数输入表!$I$239)),0)</f>
        <v>0</v>
      </c>
    </row>
    <row r="41" s="4" customFormat="1" spans="2:57">
      <c r="B41" s="463">
        <v>2.2</v>
      </c>
      <c r="C41" s="464" t="s">
        <v>513</v>
      </c>
      <c r="D41" s="482">
        <f ca="1" t="shared" si="9"/>
        <v>729714.523851954</v>
      </c>
      <c r="E41" s="50" t="s">
        <v>130</v>
      </c>
      <c r="F41" s="461">
        <f ca="1" t="shared" ref="F41:P41" si="14">SUM(F42:F43)+F44</f>
        <v>21197.0400822516</v>
      </c>
      <c r="G41" s="461">
        <f ca="1" t="shared" si="14"/>
        <v>50436.4475114501</v>
      </c>
      <c r="H41" s="461">
        <f ca="1" t="shared" si="14"/>
        <v>71927.2018568849</v>
      </c>
      <c r="I41" s="461">
        <f ca="1" t="shared" si="14"/>
        <v>83645.5293403997</v>
      </c>
      <c r="J41" s="461">
        <f ca="1" t="shared" si="14"/>
        <v>93736.9332047887</v>
      </c>
      <c r="K41" s="461">
        <f ca="1" t="shared" si="14"/>
        <v>125858.657184717</v>
      </c>
      <c r="L41" s="461">
        <f ca="1" t="shared" si="14"/>
        <v>120316.743932887</v>
      </c>
      <c r="M41" s="461">
        <f ca="1" t="shared" si="14"/>
        <v>65413.6420428689</v>
      </c>
      <c r="N41" s="461">
        <f ca="1" t="shared" si="14"/>
        <v>42091.4377038279</v>
      </c>
      <c r="O41" s="461">
        <f ca="1" t="shared" si="14"/>
        <v>50585.6303084173</v>
      </c>
      <c r="P41" s="461">
        <f ca="1" t="shared" si="14"/>
        <v>0</v>
      </c>
      <c r="Q41" s="461">
        <f ca="1" t="shared" ref="Q41:AL41" si="15">SUM(Q42:Q43)+Q44</f>
        <v>4505.26068346191</v>
      </c>
      <c r="R41" s="461">
        <f ca="1" t="shared" si="15"/>
        <v>0</v>
      </c>
      <c r="S41" s="461">
        <f ca="1" t="shared" si="15"/>
        <v>0</v>
      </c>
      <c r="T41" s="461">
        <f ca="1" t="shared" si="15"/>
        <v>0</v>
      </c>
      <c r="U41" s="461">
        <f ca="1" t="shared" si="15"/>
        <v>0</v>
      </c>
      <c r="V41" s="461">
        <f ca="1" t="shared" si="15"/>
        <v>0</v>
      </c>
      <c r="W41" s="461">
        <f ca="1" t="shared" si="15"/>
        <v>0</v>
      </c>
      <c r="X41" s="461">
        <f ca="1" t="shared" si="15"/>
        <v>0</v>
      </c>
      <c r="Y41" s="461">
        <f ca="1" t="shared" si="15"/>
        <v>0</v>
      </c>
      <c r="Z41" s="461">
        <f ca="1" t="shared" si="15"/>
        <v>0</v>
      </c>
      <c r="AA41" s="461">
        <f ca="1" t="shared" si="15"/>
        <v>0</v>
      </c>
      <c r="AB41" s="461">
        <f ca="1" t="shared" si="15"/>
        <v>0</v>
      </c>
      <c r="AC41" s="461">
        <f ca="1" t="shared" si="15"/>
        <v>0</v>
      </c>
      <c r="AD41" s="461">
        <f ca="1" t="shared" si="15"/>
        <v>0</v>
      </c>
      <c r="AE41" s="461">
        <f ca="1" t="shared" si="15"/>
        <v>0</v>
      </c>
      <c r="AF41" s="461">
        <f ca="1" t="shared" si="15"/>
        <v>0</v>
      </c>
      <c r="AG41" s="461">
        <f ca="1" t="shared" si="15"/>
        <v>0</v>
      </c>
      <c r="AH41" s="461">
        <f ca="1" t="shared" si="15"/>
        <v>0</v>
      </c>
      <c r="AI41" s="461">
        <f ca="1" t="shared" si="15"/>
        <v>0</v>
      </c>
      <c r="AJ41" s="461">
        <f ca="1" t="shared" si="15"/>
        <v>0</v>
      </c>
      <c r="AK41" s="461">
        <f ca="1" t="shared" si="15"/>
        <v>0</v>
      </c>
      <c r="AL41" s="461">
        <f ca="1" t="shared" si="15"/>
        <v>0</v>
      </c>
      <c r="AM41" s="461">
        <f ca="1" t="shared" ref="AM41:BE41" si="16">SUM(AM42:AM43)+AM44</f>
        <v>0</v>
      </c>
      <c r="AN41" s="461">
        <f ca="1" t="shared" si="16"/>
        <v>0</v>
      </c>
      <c r="AO41" s="461">
        <f ca="1" t="shared" si="16"/>
        <v>0</v>
      </c>
      <c r="AP41" s="461">
        <f ca="1" t="shared" si="16"/>
        <v>0</v>
      </c>
      <c r="AQ41" s="461">
        <f ca="1" t="shared" si="16"/>
        <v>0</v>
      </c>
      <c r="AR41" s="461">
        <f ca="1" t="shared" si="16"/>
        <v>0</v>
      </c>
      <c r="AS41" s="461">
        <f ca="1" t="shared" si="16"/>
        <v>0</v>
      </c>
      <c r="AT41" s="461">
        <f ca="1" t="shared" si="16"/>
        <v>0</v>
      </c>
      <c r="AU41" s="461">
        <f ca="1" t="shared" si="16"/>
        <v>0</v>
      </c>
      <c r="AV41" s="461">
        <f ca="1" t="shared" si="16"/>
        <v>0</v>
      </c>
      <c r="AW41" s="461">
        <f ca="1" t="shared" si="16"/>
        <v>0</v>
      </c>
      <c r="AX41" s="461">
        <f ca="1" t="shared" si="16"/>
        <v>0</v>
      </c>
      <c r="AY41" s="461">
        <f ca="1" t="shared" si="16"/>
        <v>0</v>
      </c>
      <c r="AZ41" s="461">
        <f ca="1" t="shared" si="16"/>
        <v>0</v>
      </c>
      <c r="BA41" s="461">
        <f ca="1" t="shared" si="16"/>
        <v>0</v>
      </c>
      <c r="BB41" s="461">
        <f ca="1" t="shared" si="16"/>
        <v>0</v>
      </c>
      <c r="BC41" s="461">
        <f ca="1" t="shared" si="16"/>
        <v>0</v>
      </c>
      <c r="BD41" s="461">
        <f ca="1" t="shared" si="16"/>
        <v>0</v>
      </c>
      <c r="BE41" s="484">
        <f ca="1" t="shared" si="16"/>
        <v>0</v>
      </c>
    </row>
    <row r="42" s="4" customFormat="1" spans="2:57">
      <c r="B42" s="48" t="s">
        <v>514</v>
      </c>
      <c r="C42" s="49" t="s">
        <v>508</v>
      </c>
      <c r="D42" s="467">
        <f ca="1" t="shared" si="9"/>
        <v>644980.4625</v>
      </c>
      <c r="E42" s="50" t="s">
        <v>130</v>
      </c>
      <c r="F42" s="467">
        <f ca="1">IF(F4-参数输入表!$I$4&gt;0,0,F8-F38)</f>
        <v>21140.225725614</v>
      </c>
      <c r="G42" s="467">
        <f ca="1">IF(G4-参数输入表!$I$4&gt;0,0,G8-G38)</f>
        <v>49327.193359766</v>
      </c>
      <c r="H42" s="467">
        <f ca="1">IF(H4-参数输入表!$I$4&gt;0,0,H8-H38)</f>
        <v>68512.2616626774</v>
      </c>
      <c r="I42" s="467">
        <f ca="1">IF(I4-参数输入表!$I$4&gt;0,0,I8-I38)</f>
        <v>77761.7882697683</v>
      </c>
      <c r="J42" s="467">
        <f ca="1">IF(J4-参数输入表!$I$4&gt;0,0,J8-J38)</f>
        <v>85038.290218998</v>
      </c>
      <c r="K42" s="467">
        <f ca="1">IF(K4-参数输入表!$I$4&gt;0,0,K8-K38)</f>
        <v>113675.227489583</v>
      </c>
      <c r="L42" s="467">
        <f ca="1">IF(L4-参数输入表!$I$4&gt;0,0,L8-L38)</f>
        <v>104226.72957246</v>
      </c>
      <c r="M42" s="467">
        <f ca="1">IF(M4-参数输入表!$I$4&gt;0,0,M8-M38)</f>
        <v>52654.5566667635</v>
      </c>
      <c r="N42" s="467">
        <f ca="1">IF(N4-参数输入表!$I$4&gt;0,0,N8-N38)</f>
        <v>35103.0377778424</v>
      </c>
      <c r="O42" s="467">
        <f ca="1">IF(O4-参数输入表!$I$4&gt;0,0,O8-O38)</f>
        <v>37541.1517565273</v>
      </c>
      <c r="P42" s="467">
        <f ca="1">IF(P4-参数输入表!$I$4&gt;0,0,P8-P38)</f>
        <v>0</v>
      </c>
      <c r="Q42" s="467">
        <f ca="1">IF(Q4-参数输入表!$I$4&gt;0,0,Q8-Q38)</f>
        <v>0</v>
      </c>
      <c r="R42" s="467">
        <f ca="1">IF(R4-参数输入表!$I$4&gt;0,0,R8-R38)</f>
        <v>0</v>
      </c>
      <c r="S42" s="467">
        <f ca="1">IF(S4-参数输入表!$I$4&gt;0,0,S8-S38)</f>
        <v>0</v>
      </c>
      <c r="T42" s="467">
        <f ca="1">IF(T4-参数输入表!$I$4&gt;0,0,T8-T38)</f>
        <v>0</v>
      </c>
      <c r="U42" s="467">
        <f ca="1">IF(U4-参数输入表!$I$4&gt;0,0,U8-U38)</f>
        <v>0</v>
      </c>
      <c r="V42" s="467">
        <f ca="1">IF(V4-参数输入表!$I$4&gt;0,0,V8-V38)</f>
        <v>0</v>
      </c>
      <c r="W42" s="467">
        <f ca="1">IF(W4-参数输入表!$I$4&gt;0,0,W8-W38)</f>
        <v>0</v>
      </c>
      <c r="X42" s="467">
        <f ca="1">IF(X4-参数输入表!$I$4&gt;0,0,X8-X38)</f>
        <v>0</v>
      </c>
      <c r="Y42" s="467">
        <f ca="1">IF(Y4-参数输入表!$I$4&gt;0,0,Y8-Y38)</f>
        <v>0</v>
      </c>
      <c r="Z42" s="467">
        <f ca="1">IF(Z4-参数输入表!$I$4&gt;0,0,Z8-Z38)</f>
        <v>0</v>
      </c>
      <c r="AA42" s="467">
        <f ca="1">IF(AA4-参数输入表!$I$4&gt;0,0,AA8-AA38)</f>
        <v>0</v>
      </c>
      <c r="AB42" s="467">
        <f ca="1">IF(AB4-参数输入表!$I$4&gt;0,0,AB8-AB38)</f>
        <v>0</v>
      </c>
      <c r="AC42" s="467">
        <f ca="1">IF(AC4-参数输入表!$I$4&gt;0,0,AC8-AC38)</f>
        <v>0</v>
      </c>
      <c r="AD42" s="467">
        <f ca="1">IF(AD4-参数输入表!$I$4&gt;0,0,AD8-AD38)</f>
        <v>0</v>
      </c>
      <c r="AE42" s="467">
        <f ca="1">IF(AE4-参数输入表!$I$4&gt;0,0,AE8-AE38)</f>
        <v>0</v>
      </c>
      <c r="AF42" s="467">
        <f ca="1">IF(AF4-参数输入表!$I$4&gt;0,0,AF8-AF38)</f>
        <v>0</v>
      </c>
      <c r="AG42" s="467">
        <f ca="1">IF(AG4-参数输入表!$I$4&gt;0,0,AG8-AG38)</f>
        <v>0</v>
      </c>
      <c r="AH42" s="467">
        <f ca="1">IF(AH4-参数输入表!$I$4&gt;0,0,AH8-AH38)</f>
        <v>0</v>
      </c>
      <c r="AI42" s="467">
        <f ca="1">IF(AI4-参数输入表!$I$4&gt;0,0,AI8-AI38)</f>
        <v>0</v>
      </c>
      <c r="AJ42" s="467">
        <f ca="1">IF(AJ4-参数输入表!$I$4&gt;0,0,AJ8-AJ38)</f>
        <v>0</v>
      </c>
      <c r="AK42" s="467">
        <f ca="1">IF(AK4-参数输入表!$I$4&gt;0,0,AK8-AK38)</f>
        <v>0</v>
      </c>
      <c r="AL42" s="467">
        <f ca="1">IF(AL4-参数输入表!$I$4&gt;0,0,AL8-AL38)</f>
        <v>0</v>
      </c>
      <c r="AM42" s="467">
        <f ca="1">IF(AM4-参数输入表!$I$4&gt;0,0,AM8-AM38)</f>
        <v>0</v>
      </c>
      <c r="AN42" s="467">
        <f ca="1">IF(AN4-参数输入表!$I$4&gt;0,0,AN8-AN38)</f>
        <v>0</v>
      </c>
      <c r="AO42" s="467">
        <f ca="1">IF(AO4-参数输入表!$I$4&gt;0,0,AO8-AO38)</f>
        <v>0</v>
      </c>
      <c r="AP42" s="467">
        <f ca="1">IF(AP4-参数输入表!$I$4&gt;0,0,AP8-AP38)</f>
        <v>0</v>
      </c>
      <c r="AQ42" s="467">
        <f ca="1">IF(AQ4-参数输入表!$I$4&gt;0,0,AQ8-AQ38)</f>
        <v>0</v>
      </c>
      <c r="AR42" s="467">
        <f ca="1">IF(AR4-参数输入表!$I$4&gt;0,0,AR8-AR38)</f>
        <v>0</v>
      </c>
      <c r="AS42" s="467">
        <f ca="1">IF(AS4-参数输入表!$I$4&gt;0,0,AS8-AS38)</f>
        <v>0</v>
      </c>
      <c r="AT42" s="467">
        <f ca="1">IF(AT4-参数输入表!$I$4&gt;0,0,AT8-AT38)</f>
        <v>0</v>
      </c>
      <c r="AU42" s="467">
        <f ca="1">IF(AU4-参数输入表!$I$4&gt;0,0,AU8-AU38)</f>
        <v>0</v>
      </c>
      <c r="AV42" s="467">
        <f ca="1">IF(AV4-参数输入表!$I$4&gt;0,0,AV8-AV38)</f>
        <v>0</v>
      </c>
      <c r="AW42" s="467">
        <f ca="1">IF(AW4-参数输入表!$I$4&gt;0,0,AW8-AW38)</f>
        <v>0</v>
      </c>
      <c r="AX42" s="467">
        <f ca="1">IF(AX4-参数输入表!$I$4&gt;0,0,AX8-AX38)</f>
        <v>0</v>
      </c>
      <c r="AY42" s="467">
        <f ca="1">IF(AY4-参数输入表!$I$4&gt;0,0,AY8-AY38)</f>
        <v>0</v>
      </c>
      <c r="AZ42" s="467">
        <f ca="1">IF(AZ4-参数输入表!$I$4&gt;0,0,AZ8-AZ38)</f>
        <v>0</v>
      </c>
      <c r="BA42" s="467">
        <f ca="1">IF(BA4-参数输入表!$I$4&gt;0,0,BA8-BA38)</f>
        <v>0</v>
      </c>
      <c r="BB42" s="467">
        <f ca="1">IF(BB4-参数输入表!$I$4&gt;0,0,BB8-BB38)</f>
        <v>0</v>
      </c>
      <c r="BC42" s="467">
        <f ca="1">IF(BC4-参数输入表!$I$4&gt;0,0,BC8-BC38)</f>
        <v>0</v>
      </c>
      <c r="BD42" s="467">
        <f ca="1">IF(BD4-参数输入表!$I$4&gt;0,0,BD8-BD38)</f>
        <v>0</v>
      </c>
      <c r="BE42" s="483">
        <f ca="1">IF(BE4-参数输入表!$I$4&gt;0,0,BE8-BE38)</f>
        <v>0</v>
      </c>
    </row>
    <row r="43" spans="2:57">
      <c r="B43" s="48" t="s">
        <v>515</v>
      </c>
      <c r="C43" s="49" t="s">
        <v>510</v>
      </c>
      <c r="D43" s="466">
        <f ca="1" t="shared" si="9"/>
        <v>80228.8006684923</v>
      </c>
      <c r="E43" s="50" t="s">
        <v>130</v>
      </c>
      <c r="F43" s="485">
        <f ca="1" t="shared" ref="F43:P43" si="17">F9-F39</f>
        <v>56.8143566375876</v>
      </c>
      <c r="G43" s="485">
        <f ca="1" t="shared" si="17"/>
        <v>1109.25415168413</v>
      </c>
      <c r="H43" s="485">
        <f ca="1" t="shared" si="17"/>
        <v>3414.94019420755</v>
      </c>
      <c r="I43" s="485">
        <f ca="1" t="shared" si="17"/>
        <v>5883.74107063143</v>
      </c>
      <c r="J43" s="485">
        <f ca="1" t="shared" si="17"/>
        <v>8698.64298579065</v>
      </c>
      <c r="K43" s="485">
        <f ca="1" t="shared" si="17"/>
        <v>12183.4296951333</v>
      </c>
      <c r="L43" s="485">
        <f ca="1" t="shared" si="17"/>
        <v>16090.0143604268</v>
      </c>
      <c r="M43" s="485">
        <f ca="1" t="shared" si="17"/>
        <v>12759.0853761053</v>
      </c>
      <c r="N43" s="485">
        <f ca="1" t="shared" si="17"/>
        <v>6988.39992598556</v>
      </c>
      <c r="O43" s="485">
        <f ca="1" t="shared" si="17"/>
        <v>13044.47855189</v>
      </c>
      <c r="P43" s="472">
        <f ca="1" t="shared" si="17"/>
        <v>0</v>
      </c>
      <c r="Q43" s="485">
        <f ca="1" t="shared" ref="Q43:BE43" si="18">Q9-Q39</f>
        <v>0</v>
      </c>
      <c r="R43" s="485">
        <f ca="1" t="shared" si="18"/>
        <v>0</v>
      </c>
      <c r="S43" s="485">
        <f ca="1" t="shared" si="18"/>
        <v>0</v>
      </c>
      <c r="T43" s="485">
        <f ca="1" t="shared" si="18"/>
        <v>0</v>
      </c>
      <c r="U43" s="485">
        <f ca="1" t="shared" si="18"/>
        <v>0</v>
      </c>
      <c r="V43" s="485">
        <f ca="1" t="shared" si="18"/>
        <v>0</v>
      </c>
      <c r="W43" s="485">
        <f ca="1" t="shared" si="18"/>
        <v>0</v>
      </c>
      <c r="X43" s="485">
        <f ca="1" t="shared" si="18"/>
        <v>0</v>
      </c>
      <c r="Y43" s="485">
        <f ca="1" t="shared" si="18"/>
        <v>0</v>
      </c>
      <c r="Z43" s="485">
        <f ca="1" t="shared" si="18"/>
        <v>0</v>
      </c>
      <c r="AA43" s="485">
        <f ca="1" t="shared" si="18"/>
        <v>0</v>
      </c>
      <c r="AB43" s="485">
        <f ca="1" t="shared" si="18"/>
        <v>0</v>
      </c>
      <c r="AC43" s="485">
        <f ca="1" t="shared" si="18"/>
        <v>0</v>
      </c>
      <c r="AD43" s="485">
        <f ca="1" t="shared" si="18"/>
        <v>0</v>
      </c>
      <c r="AE43" s="485">
        <f ca="1" t="shared" si="18"/>
        <v>0</v>
      </c>
      <c r="AF43" s="485">
        <f ca="1" t="shared" si="18"/>
        <v>0</v>
      </c>
      <c r="AG43" s="485">
        <f ca="1" t="shared" si="18"/>
        <v>0</v>
      </c>
      <c r="AH43" s="485">
        <f ca="1" t="shared" si="18"/>
        <v>0</v>
      </c>
      <c r="AI43" s="485">
        <f ca="1" t="shared" si="18"/>
        <v>0</v>
      </c>
      <c r="AJ43" s="485">
        <f ca="1" t="shared" si="18"/>
        <v>0</v>
      </c>
      <c r="AK43" s="485">
        <f ca="1" t="shared" si="18"/>
        <v>0</v>
      </c>
      <c r="AL43" s="485">
        <f ca="1" t="shared" si="18"/>
        <v>0</v>
      </c>
      <c r="AM43" s="485">
        <f ca="1" t="shared" si="18"/>
        <v>0</v>
      </c>
      <c r="AN43" s="485">
        <f ca="1" t="shared" si="18"/>
        <v>0</v>
      </c>
      <c r="AO43" s="485">
        <f ca="1" t="shared" si="18"/>
        <v>0</v>
      </c>
      <c r="AP43" s="485">
        <f ca="1" t="shared" si="18"/>
        <v>0</v>
      </c>
      <c r="AQ43" s="485">
        <f ca="1" t="shared" si="18"/>
        <v>0</v>
      </c>
      <c r="AR43" s="485">
        <f ca="1" t="shared" si="18"/>
        <v>0</v>
      </c>
      <c r="AS43" s="485">
        <f ca="1" t="shared" si="18"/>
        <v>0</v>
      </c>
      <c r="AT43" s="485">
        <f ca="1" t="shared" si="18"/>
        <v>0</v>
      </c>
      <c r="AU43" s="485">
        <f ca="1" t="shared" si="18"/>
        <v>0</v>
      </c>
      <c r="AV43" s="485">
        <f ca="1" t="shared" si="18"/>
        <v>0</v>
      </c>
      <c r="AW43" s="485">
        <f ca="1" t="shared" si="18"/>
        <v>0</v>
      </c>
      <c r="AX43" s="485">
        <f ca="1" t="shared" si="18"/>
        <v>0</v>
      </c>
      <c r="AY43" s="485">
        <f ca="1" t="shared" si="18"/>
        <v>0</v>
      </c>
      <c r="AZ43" s="485">
        <f ca="1" t="shared" si="18"/>
        <v>0</v>
      </c>
      <c r="BA43" s="485">
        <f ca="1" t="shared" si="18"/>
        <v>0</v>
      </c>
      <c r="BB43" s="485">
        <f ca="1" t="shared" si="18"/>
        <v>0</v>
      </c>
      <c r="BC43" s="485">
        <f ca="1" t="shared" si="18"/>
        <v>0</v>
      </c>
      <c r="BD43" s="485">
        <f ca="1" t="shared" si="18"/>
        <v>0</v>
      </c>
      <c r="BE43" s="486">
        <f ca="1" t="shared" si="18"/>
        <v>0</v>
      </c>
    </row>
    <row r="44" s="4" customFormat="1" ht="17.25" spans="2:57">
      <c r="B44" s="226" t="s">
        <v>516</v>
      </c>
      <c r="C44" s="487" t="s">
        <v>512</v>
      </c>
      <c r="D44" s="488">
        <f t="shared" si="9"/>
        <v>4505.26068346191</v>
      </c>
      <c r="E44" s="90" t="s">
        <v>130</v>
      </c>
      <c r="F44" s="489">
        <f t="shared" ref="F44:P44" si="19">F35-F40</f>
        <v>0</v>
      </c>
      <c r="G44" s="489">
        <f t="shared" si="19"/>
        <v>0</v>
      </c>
      <c r="H44" s="489">
        <f t="shared" si="19"/>
        <v>0</v>
      </c>
      <c r="I44" s="489">
        <f t="shared" si="19"/>
        <v>0</v>
      </c>
      <c r="J44" s="489">
        <f t="shared" si="19"/>
        <v>0</v>
      </c>
      <c r="K44" s="489">
        <f t="shared" si="19"/>
        <v>0</v>
      </c>
      <c r="L44" s="489">
        <f t="shared" si="19"/>
        <v>0</v>
      </c>
      <c r="M44" s="489">
        <f t="shared" si="19"/>
        <v>0</v>
      </c>
      <c r="N44" s="489">
        <f t="shared" si="19"/>
        <v>0</v>
      </c>
      <c r="O44" s="489">
        <f t="shared" si="19"/>
        <v>0</v>
      </c>
      <c r="P44" s="489">
        <f t="shared" si="19"/>
        <v>0</v>
      </c>
      <c r="Q44" s="489">
        <f t="shared" ref="Q44:AL44" si="20">Q35-Q40</f>
        <v>4505.26068346191</v>
      </c>
      <c r="R44" s="489">
        <f t="shared" si="20"/>
        <v>0</v>
      </c>
      <c r="S44" s="489">
        <f t="shared" si="20"/>
        <v>0</v>
      </c>
      <c r="T44" s="489">
        <f t="shared" si="20"/>
        <v>0</v>
      </c>
      <c r="U44" s="489">
        <f t="shared" si="20"/>
        <v>0</v>
      </c>
      <c r="V44" s="489">
        <f t="shared" si="20"/>
        <v>0</v>
      </c>
      <c r="W44" s="489">
        <f t="shared" si="20"/>
        <v>0</v>
      </c>
      <c r="X44" s="489">
        <f t="shared" si="20"/>
        <v>0</v>
      </c>
      <c r="Y44" s="489">
        <f t="shared" si="20"/>
        <v>0</v>
      </c>
      <c r="Z44" s="489">
        <f t="shared" si="20"/>
        <v>0</v>
      </c>
      <c r="AA44" s="489">
        <f t="shared" si="20"/>
        <v>0</v>
      </c>
      <c r="AB44" s="489">
        <f t="shared" si="20"/>
        <v>0</v>
      </c>
      <c r="AC44" s="489">
        <f t="shared" si="20"/>
        <v>0</v>
      </c>
      <c r="AD44" s="489">
        <f t="shared" si="20"/>
        <v>0</v>
      </c>
      <c r="AE44" s="489">
        <f t="shared" si="20"/>
        <v>0</v>
      </c>
      <c r="AF44" s="489">
        <f t="shared" si="20"/>
        <v>0</v>
      </c>
      <c r="AG44" s="489">
        <f t="shared" si="20"/>
        <v>0</v>
      </c>
      <c r="AH44" s="489">
        <f t="shared" si="20"/>
        <v>0</v>
      </c>
      <c r="AI44" s="489">
        <f t="shared" si="20"/>
        <v>0</v>
      </c>
      <c r="AJ44" s="489">
        <f t="shared" si="20"/>
        <v>0</v>
      </c>
      <c r="AK44" s="489">
        <f t="shared" si="20"/>
        <v>0</v>
      </c>
      <c r="AL44" s="489">
        <f t="shared" si="20"/>
        <v>0</v>
      </c>
      <c r="AM44" s="489">
        <f t="shared" ref="AM44:BE44" si="21">AM35-AM40</f>
        <v>0</v>
      </c>
      <c r="AN44" s="489">
        <f t="shared" si="21"/>
        <v>0</v>
      </c>
      <c r="AO44" s="489">
        <f t="shared" si="21"/>
        <v>0</v>
      </c>
      <c r="AP44" s="489">
        <f t="shared" si="21"/>
        <v>0</v>
      </c>
      <c r="AQ44" s="489">
        <f t="shared" si="21"/>
        <v>0</v>
      </c>
      <c r="AR44" s="489">
        <f t="shared" si="21"/>
        <v>0</v>
      </c>
      <c r="AS44" s="489">
        <f t="shared" si="21"/>
        <v>0</v>
      </c>
      <c r="AT44" s="489">
        <f t="shared" si="21"/>
        <v>0</v>
      </c>
      <c r="AU44" s="489">
        <f t="shared" si="21"/>
        <v>0</v>
      </c>
      <c r="AV44" s="489">
        <f t="shared" si="21"/>
        <v>0</v>
      </c>
      <c r="AW44" s="489">
        <f t="shared" si="21"/>
        <v>0</v>
      </c>
      <c r="AX44" s="489">
        <f t="shared" si="21"/>
        <v>0</v>
      </c>
      <c r="AY44" s="489">
        <f t="shared" si="21"/>
        <v>0</v>
      </c>
      <c r="AZ44" s="489">
        <f t="shared" si="21"/>
        <v>0</v>
      </c>
      <c r="BA44" s="489">
        <f t="shared" si="21"/>
        <v>0</v>
      </c>
      <c r="BB44" s="489">
        <f t="shared" si="21"/>
        <v>0</v>
      </c>
      <c r="BC44" s="489">
        <f t="shared" si="21"/>
        <v>0</v>
      </c>
      <c r="BD44" s="489">
        <f t="shared" si="21"/>
        <v>0</v>
      </c>
      <c r="BE44" s="490">
        <f t="shared" si="21"/>
        <v>0</v>
      </c>
    </row>
    <row r="45" ht="17.25" spans="2:57">
      <c r="B45" s="231"/>
      <c r="C45" s="491"/>
      <c r="D45" s="492"/>
      <c r="E45" s="231"/>
      <c r="F45" s="493"/>
      <c r="G45" s="494"/>
      <c r="H45" s="494"/>
      <c r="I45" s="494"/>
      <c r="J45" s="494"/>
      <c r="K45" s="494"/>
      <c r="L45" s="494"/>
      <c r="M45" s="494"/>
      <c r="N45" s="494"/>
      <c r="O45" s="494"/>
      <c r="P45" s="494"/>
      <c r="Q45" s="494"/>
      <c r="R45" s="494"/>
      <c r="S45" s="495"/>
      <c r="T45" s="495"/>
      <c r="U45" s="495"/>
      <c r="V45" s="495"/>
      <c r="W45" s="495"/>
      <c r="X45" s="212"/>
      <c r="Y45" s="212"/>
      <c r="Z45" s="212"/>
      <c r="AA45" s="212"/>
      <c r="AB45" s="212"/>
      <c r="AC45" s="212"/>
      <c r="AD45" s="212"/>
      <c r="AE45" s="212"/>
      <c r="AF45" s="212"/>
      <c r="AG45" s="212"/>
      <c r="AH45" s="212"/>
      <c r="AI45" s="212"/>
      <c r="AJ45" s="212"/>
      <c r="AK45" s="212"/>
      <c r="AL45" s="212"/>
      <c r="AM45" s="212"/>
      <c r="AN45" s="212"/>
      <c r="AO45" s="212"/>
      <c r="AP45" s="212"/>
    </row>
    <row r="46" spans="2:57">
      <c r="B46" s="496" t="s">
        <v>517</v>
      </c>
      <c r="C46" s="497" t="s">
        <v>13</v>
      </c>
      <c r="D46" s="498">
        <f>参数输入表!I5</f>
        <v>44958</v>
      </c>
      <c r="E46" s="499"/>
      <c r="F46" s="500"/>
      <c r="G46" s="501"/>
      <c r="H46" s="501"/>
      <c r="I46" s="501"/>
      <c r="J46" s="501"/>
      <c r="K46" s="501"/>
      <c r="L46" s="501"/>
      <c r="M46" s="501"/>
      <c r="N46" s="501"/>
      <c r="O46" s="501"/>
      <c r="P46" s="501"/>
      <c r="Q46" s="501"/>
      <c r="R46" s="501"/>
      <c r="S46" s="502"/>
      <c r="T46" s="502"/>
      <c r="U46" s="502"/>
      <c r="V46" s="502"/>
      <c r="W46" s="502"/>
    </row>
    <row r="47" spans="2:57">
      <c r="B47" s="503"/>
      <c r="C47" s="504" t="s">
        <v>196</v>
      </c>
      <c r="D47" s="505">
        <f>参数输入表!I249</f>
        <v>91</v>
      </c>
      <c r="E47" s="506" t="s">
        <v>25</v>
      </c>
      <c r="F47" s="507"/>
      <c r="G47" s="501"/>
      <c r="H47" s="501"/>
      <c r="I47" s="501"/>
      <c r="J47" s="501"/>
      <c r="K47" s="501"/>
      <c r="L47" s="501"/>
      <c r="M47" s="501"/>
      <c r="N47" s="501"/>
      <c r="O47" s="501"/>
      <c r="P47" s="501"/>
      <c r="Q47" s="501"/>
      <c r="R47" s="501"/>
      <c r="S47" s="502"/>
      <c r="T47" s="502"/>
      <c r="U47" s="502"/>
      <c r="V47" s="502"/>
      <c r="W47" s="502"/>
    </row>
    <row r="48" spans="2:57">
      <c r="B48" s="503"/>
      <c r="C48" s="508"/>
      <c r="D48" s="509">
        <f>EDATE(D46,D47)-1</f>
        <v>47726</v>
      </c>
      <c r="E48" s="506" t="s">
        <v>518</v>
      </c>
      <c r="F48" s="510"/>
      <c r="G48" s="510"/>
      <c r="H48" s="510"/>
      <c r="I48" s="510"/>
      <c r="J48" s="510"/>
      <c r="K48" s="510"/>
      <c r="L48" s="510"/>
      <c r="M48" s="510"/>
      <c r="N48" s="510"/>
      <c r="O48" s="510"/>
      <c r="P48" s="510"/>
      <c r="Q48" s="510"/>
      <c r="R48" s="510"/>
      <c r="S48" s="510"/>
      <c r="T48" s="510"/>
      <c r="U48" s="502"/>
      <c r="V48" s="502"/>
      <c r="W48" s="502"/>
    </row>
    <row r="49" spans="2:65">
      <c r="B49" s="503"/>
      <c r="C49" s="511" t="s">
        <v>519</v>
      </c>
      <c r="D49" s="512">
        <f>EDATE(D46,D47+D51)</f>
        <v>47818</v>
      </c>
      <c r="E49" s="513"/>
      <c r="F49" s="500"/>
      <c r="G49" s="501"/>
      <c r="H49" s="501"/>
      <c r="I49" s="501"/>
      <c r="J49" s="501"/>
      <c r="K49" s="501"/>
      <c r="L49" s="501"/>
      <c r="M49" s="501"/>
      <c r="N49" s="501"/>
      <c r="O49" s="501"/>
      <c r="P49" s="501"/>
      <c r="Q49" s="501"/>
      <c r="R49" s="501"/>
      <c r="S49" s="502"/>
      <c r="T49" s="502"/>
      <c r="U49" s="502"/>
      <c r="V49" s="502"/>
      <c r="W49" s="502"/>
    </row>
    <row r="50" spans="2:65">
      <c r="B50" s="503"/>
      <c r="C50" s="511" t="s">
        <v>520</v>
      </c>
      <c r="D50" s="505">
        <f>参数输入表!I256</f>
        <v>15</v>
      </c>
      <c r="E50" s="506" t="s">
        <v>15</v>
      </c>
      <c r="F50" s="500"/>
      <c r="G50" s="501"/>
      <c r="H50" s="501"/>
      <c r="I50" s="501"/>
      <c r="J50" s="501"/>
      <c r="K50" s="501"/>
      <c r="L50" s="501"/>
      <c r="M50" s="501"/>
      <c r="N50" s="501"/>
      <c r="O50" s="501"/>
      <c r="P50" s="501"/>
      <c r="Q50" s="501"/>
      <c r="R50" s="501"/>
      <c r="S50" s="502"/>
      <c r="T50" s="502"/>
      <c r="U50" s="502"/>
      <c r="V50" s="502"/>
      <c r="W50" s="502"/>
    </row>
    <row r="51" spans="2:65">
      <c r="B51" s="503"/>
      <c r="C51" s="511" t="s">
        <v>521</v>
      </c>
      <c r="D51" s="505">
        <v>3</v>
      </c>
      <c r="E51" s="506" t="s">
        <v>25</v>
      </c>
      <c r="F51" s="500"/>
      <c r="G51" s="501"/>
      <c r="H51" s="501"/>
      <c r="I51" s="501"/>
      <c r="J51" s="501"/>
      <c r="K51" s="501"/>
      <c r="L51" s="501"/>
      <c r="M51" s="501"/>
      <c r="N51" s="501"/>
      <c r="O51" s="501"/>
      <c r="P51" s="501"/>
      <c r="Q51" s="501"/>
      <c r="R51" s="501"/>
      <c r="S51" s="502"/>
      <c r="T51" s="502"/>
      <c r="U51" s="502"/>
      <c r="V51" s="502"/>
      <c r="W51" s="502"/>
    </row>
    <row r="52" spans="2:65">
      <c r="B52" s="503"/>
      <c r="C52" s="511" t="s">
        <v>522</v>
      </c>
      <c r="D52" s="505">
        <f>12/D51</f>
        <v>4</v>
      </c>
      <c r="E52" s="506" t="s">
        <v>523</v>
      </c>
      <c r="F52" s="500"/>
      <c r="G52" s="501"/>
      <c r="H52" s="501"/>
      <c r="I52" s="501"/>
      <c r="J52" s="501"/>
      <c r="K52" s="501"/>
      <c r="L52" s="501"/>
      <c r="M52" s="501"/>
      <c r="N52" s="501"/>
      <c r="O52" s="501"/>
      <c r="P52" s="501"/>
      <c r="Q52" s="501"/>
      <c r="R52" s="501"/>
      <c r="S52" s="502"/>
      <c r="T52" s="502"/>
      <c r="U52" s="502"/>
      <c r="V52" s="502"/>
      <c r="W52" s="502"/>
    </row>
    <row r="53" spans="2:65">
      <c r="B53" s="503"/>
      <c r="C53" s="511" t="s">
        <v>524</v>
      </c>
      <c r="D53" s="505">
        <f>D50*D52</f>
        <v>60</v>
      </c>
      <c r="E53" s="506" t="s">
        <v>525</v>
      </c>
      <c r="F53" s="500"/>
      <c r="G53" s="501"/>
      <c r="H53" s="501"/>
      <c r="I53" s="501"/>
      <c r="J53" s="501"/>
      <c r="K53" s="501"/>
      <c r="L53" s="501"/>
      <c r="M53" s="501"/>
      <c r="N53" s="501"/>
      <c r="O53" s="501"/>
      <c r="P53" s="501"/>
      <c r="Q53" s="501"/>
      <c r="R53" s="501"/>
      <c r="S53" s="502"/>
      <c r="T53" s="502"/>
      <c r="U53" s="502"/>
      <c r="V53" s="502"/>
      <c r="W53" s="502"/>
    </row>
    <row r="54" spans="2:65">
      <c r="B54" s="503"/>
      <c r="C54" s="511" t="s">
        <v>526</v>
      </c>
      <c r="D54" s="509">
        <f>EDATE(D49,D50*12-D51)</f>
        <v>53206</v>
      </c>
      <c r="E54" s="514">
        <f>BM58</f>
        <v>53206</v>
      </c>
      <c r="F54" s="500"/>
      <c r="G54" s="501"/>
      <c r="H54" s="501"/>
      <c r="I54" s="501"/>
      <c r="J54" s="501"/>
      <c r="K54" s="501"/>
      <c r="L54" s="501"/>
      <c r="M54" s="501"/>
      <c r="N54" s="501"/>
      <c r="O54" s="501"/>
      <c r="P54" s="501"/>
      <c r="Q54" s="501"/>
      <c r="R54" s="501"/>
      <c r="S54" s="502"/>
      <c r="T54" s="502"/>
      <c r="U54" s="502"/>
      <c r="V54" s="502"/>
      <c r="W54" s="502"/>
    </row>
    <row r="55" spans="2:65">
      <c r="B55" s="503"/>
      <c r="C55" s="511" t="s">
        <v>527</v>
      </c>
      <c r="D55" s="515">
        <f ca="1">SUM(D42:D43)</f>
        <v>725209.263168492</v>
      </c>
      <c r="E55" s="516" t="s">
        <v>130</v>
      </c>
      <c r="F55" s="500"/>
      <c r="G55" s="501"/>
      <c r="H55" s="501"/>
      <c r="I55" s="501"/>
      <c r="J55" s="501"/>
      <c r="K55" s="501"/>
      <c r="L55" s="501"/>
      <c r="M55" s="501"/>
      <c r="N55" s="501"/>
      <c r="O55" s="501"/>
      <c r="P55" s="501"/>
      <c r="Q55" s="501"/>
      <c r="R55" s="501"/>
      <c r="S55" s="502"/>
      <c r="T55" s="502"/>
      <c r="U55" s="502"/>
      <c r="V55" s="502"/>
      <c r="W55" s="502"/>
    </row>
    <row r="56" ht="17.25" spans="2:65">
      <c r="B56" s="503"/>
      <c r="C56" s="517" t="s">
        <v>528</v>
      </c>
      <c r="D56" s="518">
        <f>参数输入表!$I$252/D52</f>
        <v>0.01075</v>
      </c>
      <c r="E56" s="519" t="s">
        <v>31</v>
      </c>
      <c r="F56" s="500"/>
      <c r="G56" s="501"/>
      <c r="H56" s="501"/>
      <c r="I56" s="501"/>
      <c r="J56" s="501"/>
      <c r="K56" s="501"/>
      <c r="L56" s="501"/>
      <c r="M56" s="501"/>
      <c r="N56" s="501"/>
      <c r="O56" s="501"/>
      <c r="P56" s="501"/>
      <c r="Q56" s="501"/>
      <c r="R56" s="501"/>
      <c r="S56" s="502"/>
      <c r="T56" s="502"/>
      <c r="U56" s="502"/>
      <c r="V56" s="502"/>
      <c r="W56" s="502"/>
    </row>
    <row r="57" spans="2:65">
      <c r="B57" s="503"/>
      <c r="C57" s="497" t="s">
        <v>529</v>
      </c>
      <c r="D57" s="520" t="s">
        <v>530</v>
      </c>
      <c r="E57" s="521"/>
      <c r="F57" s="522">
        <v>1</v>
      </c>
      <c r="G57" s="522">
        <v>2</v>
      </c>
      <c r="H57" s="522">
        <v>3</v>
      </c>
      <c r="I57" s="522">
        <v>4</v>
      </c>
      <c r="J57" s="522">
        <v>5</v>
      </c>
      <c r="K57" s="522">
        <v>6</v>
      </c>
      <c r="L57" s="522">
        <v>7</v>
      </c>
      <c r="M57" s="522">
        <v>8</v>
      </c>
      <c r="N57" s="522">
        <v>9</v>
      </c>
      <c r="O57" s="522">
        <v>10</v>
      </c>
      <c r="P57" s="522">
        <v>11</v>
      </c>
      <c r="Q57" s="522">
        <v>12</v>
      </c>
      <c r="R57" s="522">
        <v>13</v>
      </c>
      <c r="S57" s="522">
        <v>14</v>
      </c>
      <c r="T57" s="522">
        <v>15</v>
      </c>
      <c r="U57" s="522">
        <v>16</v>
      </c>
      <c r="V57" s="522">
        <v>17</v>
      </c>
      <c r="W57" s="522">
        <v>18</v>
      </c>
      <c r="X57" s="522">
        <v>19</v>
      </c>
      <c r="Y57" s="522">
        <v>20</v>
      </c>
      <c r="Z57" s="522">
        <v>21</v>
      </c>
      <c r="AA57" s="522">
        <v>22</v>
      </c>
      <c r="AB57" s="522">
        <v>23</v>
      </c>
      <c r="AC57" s="522">
        <v>24</v>
      </c>
      <c r="AD57" s="522">
        <v>25</v>
      </c>
      <c r="AE57" s="522">
        <v>26</v>
      </c>
      <c r="AF57" s="522">
        <v>27</v>
      </c>
      <c r="AG57" s="522">
        <v>28</v>
      </c>
      <c r="AH57" s="522">
        <v>29</v>
      </c>
      <c r="AI57" s="522">
        <v>30</v>
      </c>
      <c r="AJ57" s="522">
        <v>31</v>
      </c>
      <c r="AK57" s="522">
        <v>32</v>
      </c>
      <c r="AL57" s="522">
        <v>33</v>
      </c>
      <c r="AM57" s="522">
        <v>34</v>
      </c>
      <c r="AN57" s="522">
        <v>35</v>
      </c>
      <c r="AO57" s="522">
        <v>36</v>
      </c>
      <c r="AP57" s="522">
        <v>37</v>
      </c>
      <c r="AQ57" s="522">
        <v>38</v>
      </c>
      <c r="AR57" s="522">
        <v>39</v>
      </c>
      <c r="AS57" s="522">
        <v>40</v>
      </c>
      <c r="AT57" s="522">
        <v>41</v>
      </c>
      <c r="AU57" s="522">
        <v>42</v>
      </c>
      <c r="AV57" s="522">
        <v>43</v>
      </c>
      <c r="AW57" s="522">
        <v>44</v>
      </c>
      <c r="AX57" s="522">
        <v>45</v>
      </c>
      <c r="AY57" s="522">
        <v>46</v>
      </c>
      <c r="AZ57" s="522">
        <v>47</v>
      </c>
      <c r="BA57" s="522">
        <v>48</v>
      </c>
      <c r="BB57" s="522">
        <v>49</v>
      </c>
      <c r="BC57" s="522">
        <v>50</v>
      </c>
      <c r="BD57" s="522">
        <v>51</v>
      </c>
      <c r="BE57" s="522">
        <v>52</v>
      </c>
      <c r="BF57" s="522">
        <v>53</v>
      </c>
      <c r="BG57" s="522">
        <v>54</v>
      </c>
      <c r="BH57" s="522">
        <v>55</v>
      </c>
      <c r="BI57" s="522">
        <v>56</v>
      </c>
      <c r="BJ57" s="522">
        <v>57</v>
      </c>
      <c r="BK57" s="522">
        <v>58</v>
      </c>
      <c r="BL57" s="522">
        <v>59</v>
      </c>
      <c r="BM57" s="523">
        <v>60</v>
      </c>
    </row>
    <row r="58" spans="2:65">
      <c r="B58" s="503"/>
      <c r="C58" s="511"/>
      <c r="D58" s="524" t="s">
        <v>531</v>
      </c>
      <c r="E58" s="525"/>
      <c r="F58" s="509">
        <f>D49</f>
        <v>47818</v>
      </c>
      <c r="G58" s="509">
        <f>EDATE(F58,$D$51)</f>
        <v>47908</v>
      </c>
      <c r="H58" s="509">
        <f t="shared" ref="H58:AM58" si="22">EDATE(G58,$D$51)</f>
        <v>48000</v>
      </c>
      <c r="I58" s="509">
        <f t="shared" si="22"/>
        <v>48092</v>
      </c>
      <c r="J58" s="509">
        <f t="shared" si="22"/>
        <v>48183</v>
      </c>
      <c r="K58" s="509">
        <f t="shared" si="22"/>
        <v>48274</v>
      </c>
      <c r="L58" s="509">
        <f t="shared" si="22"/>
        <v>48366</v>
      </c>
      <c r="M58" s="509">
        <f t="shared" si="22"/>
        <v>48458</v>
      </c>
      <c r="N58" s="509">
        <f t="shared" si="22"/>
        <v>48549</v>
      </c>
      <c r="O58" s="509">
        <f t="shared" si="22"/>
        <v>48639</v>
      </c>
      <c r="P58" s="509">
        <f t="shared" si="22"/>
        <v>48731</v>
      </c>
      <c r="Q58" s="509">
        <f t="shared" si="22"/>
        <v>48823</v>
      </c>
      <c r="R58" s="509">
        <f t="shared" si="22"/>
        <v>48914</v>
      </c>
      <c r="S58" s="509">
        <f t="shared" si="22"/>
        <v>49004</v>
      </c>
      <c r="T58" s="509">
        <f t="shared" si="22"/>
        <v>49096</v>
      </c>
      <c r="U58" s="509">
        <f t="shared" si="22"/>
        <v>49188</v>
      </c>
      <c r="V58" s="509">
        <f t="shared" si="22"/>
        <v>49279</v>
      </c>
      <c r="W58" s="509">
        <f t="shared" si="22"/>
        <v>49369</v>
      </c>
      <c r="X58" s="509">
        <f t="shared" si="22"/>
        <v>49461</v>
      </c>
      <c r="Y58" s="509">
        <f t="shared" si="22"/>
        <v>49553</v>
      </c>
      <c r="Z58" s="509">
        <f t="shared" si="22"/>
        <v>49644</v>
      </c>
      <c r="AA58" s="509">
        <f t="shared" si="22"/>
        <v>49735</v>
      </c>
      <c r="AB58" s="509">
        <f t="shared" si="22"/>
        <v>49827</v>
      </c>
      <c r="AC58" s="509">
        <f t="shared" si="22"/>
        <v>49919</v>
      </c>
      <c r="AD58" s="509">
        <f t="shared" si="22"/>
        <v>50010</v>
      </c>
      <c r="AE58" s="509">
        <f t="shared" si="22"/>
        <v>50100</v>
      </c>
      <c r="AF58" s="509">
        <f t="shared" si="22"/>
        <v>50192</v>
      </c>
      <c r="AG58" s="509">
        <f t="shared" si="22"/>
        <v>50284</v>
      </c>
      <c r="AH58" s="509">
        <f t="shared" si="22"/>
        <v>50375</v>
      </c>
      <c r="AI58" s="509">
        <f t="shared" si="22"/>
        <v>50465</v>
      </c>
      <c r="AJ58" s="509">
        <f t="shared" si="22"/>
        <v>50557</v>
      </c>
      <c r="AK58" s="509">
        <f t="shared" si="22"/>
        <v>50649</v>
      </c>
      <c r="AL58" s="509">
        <f t="shared" si="22"/>
        <v>50740</v>
      </c>
      <c r="AM58" s="509">
        <f t="shared" si="22"/>
        <v>50830</v>
      </c>
      <c r="AN58" s="509">
        <f t="shared" ref="AN58:BM58" si="23">EDATE(AM58,$D$51)</f>
        <v>50922</v>
      </c>
      <c r="AO58" s="509">
        <f t="shared" si="23"/>
        <v>51014</v>
      </c>
      <c r="AP58" s="509">
        <f t="shared" si="23"/>
        <v>51105</v>
      </c>
      <c r="AQ58" s="509">
        <f t="shared" si="23"/>
        <v>51196</v>
      </c>
      <c r="AR58" s="509">
        <f t="shared" si="23"/>
        <v>51288</v>
      </c>
      <c r="AS58" s="509">
        <f t="shared" si="23"/>
        <v>51380</v>
      </c>
      <c r="AT58" s="509">
        <f t="shared" si="23"/>
        <v>51471</v>
      </c>
      <c r="AU58" s="509">
        <f t="shared" si="23"/>
        <v>51561</v>
      </c>
      <c r="AV58" s="509">
        <f t="shared" si="23"/>
        <v>51653</v>
      </c>
      <c r="AW58" s="509">
        <f t="shared" si="23"/>
        <v>51745</v>
      </c>
      <c r="AX58" s="509">
        <f t="shared" si="23"/>
        <v>51836</v>
      </c>
      <c r="AY58" s="509">
        <f t="shared" si="23"/>
        <v>51926</v>
      </c>
      <c r="AZ58" s="509">
        <f t="shared" si="23"/>
        <v>52018</v>
      </c>
      <c r="BA58" s="509">
        <f t="shared" si="23"/>
        <v>52110</v>
      </c>
      <c r="BB58" s="509">
        <f t="shared" si="23"/>
        <v>52201</v>
      </c>
      <c r="BC58" s="509">
        <f t="shared" si="23"/>
        <v>52291</v>
      </c>
      <c r="BD58" s="509">
        <f t="shared" si="23"/>
        <v>52383</v>
      </c>
      <c r="BE58" s="509">
        <f t="shared" si="23"/>
        <v>52475</v>
      </c>
      <c r="BF58" s="509">
        <f t="shared" si="23"/>
        <v>52566</v>
      </c>
      <c r="BG58" s="509">
        <f t="shared" si="23"/>
        <v>52657</v>
      </c>
      <c r="BH58" s="509">
        <f t="shared" si="23"/>
        <v>52749</v>
      </c>
      <c r="BI58" s="509">
        <f t="shared" si="23"/>
        <v>52841</v>
      </c>
      <c r="BJ58" s="509">
        <f t="shared" si="23"/>
        <v>52932</v>
      </c>
      <c r="BK58" s="509">
        <f t="shared" si="23"/>
        <v>53022</v>
      </c>
      <c r="BL58" s="509">
        <f t="shared" si="23"/>
        <v>53114</v>
      </c>
      <c r="BM58" s="516">
        <f t="shared" si="23"/>
        <v>53206</v>
      </c>
    </row>
    <row r="59" ht="17.25" spans="2:65">
      <c r="B59" s="503"/>
      <c r="C59" s="511"/>
      <c r="D59" s="524" t="s">
        <v>532</v>
      </c>
      <c r="E59" s="525"/>
      <c r="F59" s="526">
        <f t="shared" ref="F59:O59" si="24">YEAR(F58)</f>
        <v>2030</v>
      </c>
      <c r="G59" s="526">
        <f t="shared" si="24"/>
        <v>2031</v>
      </c>
      <c r="H59" s="526">
        <f t="shared" si="24"/>
        <v>2031</v>
      </c>
      <c r="I59" s="526">
        <f t="shared" si="24"/>
        <v>2031</v>
      </c>
      <c r="J59" s="526">
        <f t="shared" si="24"/>
        <v>2031</v>
      </c>
      <c r="K59" s="526">
        <f t="shared" si="24"/>
        <v>2032</v>
      </c>
      <c r="L59" s="526">
        <f t="shared" si="24"/>
        <v>2032</v>
      </c>
      <c r="M59" s="526">
        <f t="shared" si="24"/>
        <v>2032</v>
      </c>
      <c r="N59" s="526">
        <f t="shared" si="24"/>
        <v>2032</v>
      </c>
      <c r="O59" s="526">
        <f t="shared" si="24"/>
        <v>2033</v>
      </c>
      <c r="P59" s="526">
        <f t="shared" ref="P59:AL59" si="25">YEAR(P58)</f>
        <v>2033</v>
      </c>
      <c r="Q59" s="526">
        <f t="shared" si="25"/>
        <v>2033</v>
      </c>
      <c r="R59" s="526">
        <f t="shared" si="25"/>
        <v>2033</v>
      </c>
      <c r="S59" s="526">
        <f t="shared" si="25"/>
        <v>2034</v>
      </c>
      <c r="T59" s="526">
        <f t="shared" si="25"/>
        <v>2034</v>
      </c>
      <c r="U59" s="526">
        <f t="shared" si="25"/>
        <v>2034</v>
      </c>
      <c r="V59" s="526">
        <f t="shared" si="25"/>
        <v>2034</v>
      </c>
      <c r="W59" s="526">
        <f t="shared" si="25"/>
        <v>2035</v>
      </c>
      <c r="X59" s="526">
        <f t="shared" si="25"/>
        <v>2035</v>
      </c>
      <c r="Y59" s="526">
        <f t="shared" si="25"/>
        <v>2035</v>
      </c>
      <c r="Z59" s="526">
        <f t="shared" si="25"/>
        <v>2035</v>
      </c>
      <c r="AA59" s="526">
        <f t="shared" si="25"/>
        <v>2036</v>
      </c>
      <c r="AB59" s="526">
        <f t="shared" si="25"/>
        <v>2036</v>
      </c>
      <c r="AC59" s="526">
        <f t="shared" si="25"/>
        <v>2036</v>
      </c>
      <c r="AD59" s="526">
        <f t="shared" si="25"/>
        <v>2036</v>
      </c>
      <c r="AE59" s="526">
        <f t="shared" si="25"/>
        <v>2037</v>
      </c>
      <c r="AF59" s="526">
        <f t="shared" si="25"/>
        <v>2037</v>
      </c>
      <c r="AG59" s="526">
        <f t="shared" si="25"/>
        <v>2037</v>
      </c>
      <c r="AH59" s="526">
        <f t="shared" si="25"/>
        <v>2037</v>
      </c>
      <c r="AI59" s="526">
        <f t="shared" si="25"/>
        <v>2038</v>
      </c>
      <c r="AJ59" s="526">
        <f t="shared" si="25"/>
        <v>2038</v>
      </c>
      <c r="AK59" s="526">
        <f t="shared" si="25"/>
        <v>2038</v>
      </c>
      <c r="AL59" s="526">
        <f t="shared" si="25"/>
        <v>2038</v>
      </c>
      <c r="AM59" s="526">
        <f t="shared" ref="AM59:BM59" si="26">YEAR(AM58)</f>
        <v>2039</v>
      </c>
      <c r="AN59" s="526">
        <f t="shared" si="26"/>
        <v>2039</v>
      </c>
      <c r="AO59" s="526">
        <f t="shared" si="26"/>
        <v>2039</v>
      </c>
      <c r="AP59" s="526">
        <f t="shared" si="26"/>
        <v>2039</v>
      </c>
      <c r="AQ59" s="526">
        <f t="shared" si="26"/>
        <v>2040</v>
      </c>
      <c r="AR59" s="526">
        <f t="shared" si="26"/>
        <v>2040</v>
      </c>
      <c r="AS59" s="526">
        <f t="shared" si="26"/>
        <v>2040</v>
      </c>
      <c r="AT59" s="526">
        <f t="shared" si="26"/>
        <v>2040</v>
      </c>
      <c r="AU59" s="526">
        <f t="shared" si="26"/>
        <v>2041</v>
      </c>
      <c r="AV59" s="526">
        <f t="shared" si="26"/>
        <v>2041</v>
      </c>
      <c r="AW59" s="526">
        <f t="shared" si="26"/>
        <v>2041</v>
      </c>
      <c r="AX59" s="526">
        <f t="shared" si="26"/>
        <v>2041</v>
      </c>
      <c r="AY59" s="526">
        <f t="shared" si="26"/>
        <v>2042</v>
      </c>
      <c r="AZ59" s="526">
        <f t="shared" si="26"/>
        <v>2042</v>
      </c>
      <c r="BA59" s="526">
        <f t="shared" si="26"/>
        <v>2042</v>
      </c>
      <c r="BB59" s="526">
        <f t="shared" si="26"/>
        <v>2042</v>
      </c>
      <c r="BC59" s="526">
        <f t="shared" si="26"/>
        <v>2043</v>
      </c>
      <c r="BD59" s="526">
        <f t="shared" si="26"/>
        <v>2043</v>
      </c>
      <c r="BE59" s="526">
        <f t="shared" si="26"/>
        <v>2043</v>
      </c>
      <c r="BF59" s="526">
        <f t="shared" si="26"/>
        <v>2043</v>
      </c>
      <c r="BG59" s="526">
        <f t="shared" si="26"/>
        <v>2044</v>
      </c>
      <c r="BH59" s="526">
        <f t="shared" si="26"/>
        <v>2044</v>
      </c>
      <c r="BI59" s="526">
        <f t="shared" si="26"/>
        <v>2044</v>
      </c>
      <c r="BJ59" s="526">
        <f t="shared" si="26"/>
        <v>2044</v>
      </c>
      <c r="BK59" s="526">
        <f t="shared" si="26"/>
        <v>2045</v>
      </c>
      <c r="BL59" s="526">
        <f t="shared" si="26"/>
        <v>2045</v>
      </c>
      <c r="BM59" s="527">
        <f t="shared" si="26"/>
        <v>2045</v>
      </c>
    </row>
    <row r="60" hidden="1" spans="2:65">
      <c r="B60" s="503"/>
      <c r="C60" s="511"/>
      <c r="D60" s="528" t="s">
        <v>533</v>
      </c>
      <c r="E60" s="529" t="str">
        <f>IF(E61=D53,"OK","F")</f>
        <v>OK</v>
      </c>
      <c r="F60" s="505">
        <v>2023</v>
      </c>
      <c r="G60" s="505">
        <v>2024</v>
      </c>
      <c r="H60" s="505">
        <v>2025</v>
      </c>
      <c r="I60" s="505">
        <v>2026</v>
      </c>
      <c r="J60" s="505">
        <v>2027</v>
      </c>
      <c r="K60" s="505">
        <v>2028</v>
      </c>
      <c r="L60" s="505">
        <v>2029</v>
      </c>
      <c r="M60" s="505">
        <v>2030</v>
      </c>
      <c r="N60" s="505">
        <v>2031</v>
      </c>
      <c r="O60" s="505">
        <v>2032</v>
      </c>
      <c r="P60" s="505">
        <v>2033</v>
      </c>
      <c r="Q60" s="505">
        <v>2034</v>
      </c>
      <c r="R60" s="505">
        <v>2035</v>
      </c>
      <c r="S60" s="505">
        <v>2036</v>
      </c>
      <c r="T60" s="505">
        <v>2037</v>
      </c>
      <c r="U60" s="505">
        <v>2038</v>
      </c>
      <c r="V60" s="505">
        <v>2039</v>
      </c>
      <c r="W60" s="505">
        <v>2040</v>
      </c>
      <c r="X60" s="505">
        <v>2041</v>
      </c>
      <c r="Y60" s="505">
        <v>2042</v>
      </c>
      <c r="Z60" s="505">
        <v>2043</v>
      </c>
      <c r="AA60" s="505">
        <v>2044</v>
      </c>
      <c r="AB60" s="505">
        <v>2045</v>
      </c>
      <c r="AC60" s="505">
        <v>2046</v>
      </c>
      <c r="AD60" s="505">
        <v>2047</v>
      </c>
      <c r="AE60" s="505">
        <v>2048</v>
      </c>
      <c r="AF60" s="505">
        <v>2049</v>
      </c>
      <c r="AG60" s="505">
        <v>2050</v>
      </c>
      <c r="AH60" s="505">
        <v>2051</v>
      </c>
      <c r="AI60" s="505">
        <v>2052</v>
      </c>
      <c r="AJ60" s="505">
        <v>2053</v>
      </c>
      <c r="AK60" s="505">
        <v>2054</v>
      </c>
      <c r="AL60" s="505">
        <v>2055</v>
      </c>
      <c r="AM60" s="505">
        <v>2056</v>
      </c>
      <c r="AN60" s="505">
        <v>2057</v>
      </c>
      <c r="AO60" s="505">
        <v>2058</v>
      </c>
      <c r="AP60" s="505">
        <v>2059</v>
      </c>
      <c r="AQ60" s="505">
        <v>2060</v>
      </c>
      <c r="AR60" s="505">
        <v>2061</v>
      </c>
      <c r="AS60" s="505">
        <v>2062</v>
      </c>
      <c r="AT60" s="505">
        <v>2063</v>
      </c>
      <c r="AU60" s="505">
        <v>2064</v>
      </c>
      <c r="AV60" s="505">
        <v>2065</v>
      </c>
      <c r="AW60" s="505">
        <v>2066</v>
      </c>
      <c r="AX60" s="505">
        <v>2067</v>
      </c>
      <c r="AY60" s="505">
        <v>2068</v>
      </c>
      <c r="AZ60" s="505">
        <v>2069</v>
      </c>
      <c r="BA60" s="505">
        <v>2070</v>
      </c>
      <c r="BM60" s="530"/>
    </row>
    <row r="61" ht="17.25" hidden="1" spans="2:65">
      <c r="B61" s="503"/>
      <c r="C61" s="517"/>
      <c r="D61" s="531"/>
      <c r="E61" s="532">
        <f>SUM(F61:BA61)</f>
        <v>60</v>
      </c>
      <c r="F61" s="533">
        <f t="shared" ref="F61:O61" si="27">COUNTIF($F$59:$BM$59,F60)</f>
        <v>0</v>
      </c>
      <c r="G61" s="533">
        <f t="shared" si="27"/>
        <v>0</v>
      </c>
      <c r="H61" s="533">
        <f t="shared" si="27"/>
        <v>0</v>
      </c>
      <c r="I61" s="533">
        <f t="shared" si="27"/>
        <v>0</v>
      </c>
      <c r="J61" s="533">
        <f t="shared" si="27"/>
        <v>0</v>
      </c>
      <c r="K61" s="533">
        <f t="shared" si="27"/>
        <v>0</v>
      </c>
      <c r="L61" s="533">
        <f t="shared" si="27"/>
        <v>0</v>
      </c>
      <c r="M61" s="533">
        <f t="shared" si="27"/>
        <v>1</v>
      </c>
      <c r="N61" s="533">
        <f t="shared" si="27"/>
        <v>4</v>
      </c>
      <c r="O61" s="533">
        <f t="shared" si="27"/>
        <v>4</v>
      </c>
      <c r="P61" s="533">
        <f t="shared" ref="P61:BA61" si="28">COUNTIF($F$59:$BM$59,P60)</f>
        <v>4</v>
      </c>
      <c r="Q61" s="533">
        <f t="shared" si="28"/>
        <v>4</v>
      </c>
      <c r="R61" s="533">
        <f t="shared" si="28"/>
        <v>4</v>
      </c>
      <c r="S61" s="533">
        <f t="shared" si="28"/>
        <v>4</v>
      </c>
      <c r="T61" s="533">
        <f t="shared" si="28"/>
        <v>4</v>
      </c>
      <c r="U61" s="533">
        <f t="shared" si="28"/>
        <v>4</v>
      </c>
      <c r="V61" s="533">
        <f t="shared" si="28"/>
        <v>4</v>
      </c>
      <c r="W61" s="533">
        <f t="shared" si="28"/>
        <v>4</v>
      </c>
      <c r="X61" s="533">
        <f t="shared" si="28"/>
        <v>4</v>
      </c>
      <c r="Y61" s="533">
        <f t="shared" si="28"/>
        <v>4</v>
      </c>
      <c r="Z61" s="533">
        <f t="shared" si="28"/>
        <v>4</v>
      </c>
      <c r="AA61" s="533">
        <f t="shared" si="28"/>
        <v>4</v>
      </c>
      <c r="AB61" s="533">
        <f t="shared" si="28"/>
        <v>3</v>
      </c>
      <c r="AC61" s="533">
        <f t="shared" si="28"/>
        <v>0</v>
      </c>
      <c r="AD61" s="533">
        <f t="shared" si="28"/>
        <v>0</v>
      </c>
      <c r="AE61" s="533">
        <f t="shared" si="28"/>
        <v>0</v>
      </c>
      <c r="AF61" s="533">
        <f t="shared" si="28"/>
        <v>0</v>
      </c>
      <c r="AG61" s="533">
        <f t="shared" si="28"/>
        <v>0</v>
      </c>
      <c r="AH61" s="533">
        <f t="shared" si="28"/>
        <v>0</v>
      </c>
      <c r="AI61" s="533">
        <f t="shared" si="28"/>
        <v>0</v>
      </c>
      <c r="AJ61" s="533">
        <f t="shared" si="28"/>
        <v>0</v>
      </c>
      <c r="AK61" s="533">
        <f t="shared" si="28"/>
        <v>0</v>
      </c>
      <c r="AL61" s="533">
        <f t="shared" si="28"/>
        <v>0</v>
      </c>
      <c r="AM61" s="533">
        <f t="shared" si="28"/>
        <v>0</v>
      </c>
      <c r="AN61" s="533">
        <f t="shared" si="28"/>
        <v>0</v>
      </c>
      <c r="AO61" s="533">
        <f t="shared" si="28"/>
        <v>0</v>
      </c>
      <c r="AP61" s="533">
        <f t="shared" si="28"/>
        <v>0</v>
      </c>
      <c r="AQ61" s="533">
        <f t="shared" si="28"/>
        <v>0</v>
      </c>
      <c r="AR61" s="533">
        <f t="shared" si="28"/>
        <v>0</v>
      </c>
      <c r="AS61" s="533">
        <f t="shared" si="28"/>
        <v>0</v>
      </c>
      <c r="AT61" s="533">
        <f t="shared" si="28"/>
        <v>0</v>
      </c>
      <c r="AU61" s="533">
        <f t="shared" si="28"/>
        <v>0</v>
      </c>
      <c r="AV61" s="533">
        <f t="shared" si="28"/>
        <v>0</v>
      </c>
      <c r="AW61" s="533">
        <f t="shared" si="28"/>
        <v>0</v>
      </c>
      <c r="AX61" s="533">
        <f t="shared" si="28"/>
        <v>0</v>
      </c>
      <c r="AY61" s="533">
        <f t="shared" si="28"/>
        <v>0</v>
      </c>
      <c r="AZ61" s="533">
        <f t="shared" si="28"/>
        <v>0</v>
      </c>
      <c r="BA61" s="533">
        <f t="shared" si="28"/>
        <v>0</v>
      </c>
      <c r="BB61" s="534"/>
      <c r="BC61" s="534"/>
      <c r="BD61" s="534"/>
      <c r="BE61" s="534"/>
      <c r="BF61" s="534"/>
      <c r="BG61" s="534"/>
      <c r="BH61" s="534"/>
      <c r="BI61" s="534"/>
      <c r="BJ61" s="534"/>
      <c r="BK61" s="534"/>
      <c r="BL61" s="534"/>
      <c r="BM61" s="535"/>
    </row>
    <row r="62" spans="2:65">
      <c r="B62" s="503"/>
      <c r="C62" s="536" t="s">
        <v>534</v>
      </c>
      <c r="D62" s="537" t="s">
        <v>535</v>
      </c>
      <c r="E62" s="538"/>
      <c r="F62" s="539">
        <f ca="1">D55</f>
        <v>725209.263168492</v>
      </c>
      <c r="G62" s="539">
        <f ca="1">F67</f>
        <v>716541.623821384</v>
      </c>
      <c r="H62" s="539">
        <f ca="1" t="shared" ref="H62:AM62" si="29">G67</f>
        <v>707780.807351294</v>
      </c>
      <c r="I62" s="539">
        <f ca="1" t="shared" si="29"/>
        <v>698925.81210415</v>
      </c>
      <c r="J62" s="539">
        <f ca="1" t="shared" si="29"/>
        <v>689975.6256581</v>
      </c>
      <c r="K62" s="539">
        <f ca="1" t="shared" si="29"/>
        <v>680929.224707754</v>
      </c>
      <c r="L62" s="539">
        <f ca="1" t="shared" si="29"/>
        <v>671785.574947193</v>
      </c>
      <c r="M62" s="539">
        <f ca="1" t="shared" si="29"/>
        <v>662543.630951705</v>
      </c>
      <c r="N62" s="539">
        <f ca="1" t="shared" si="29"/>
        <v>653202.336058266</v>
      </c>
      <c r="O62" s="539">
        <f ca="1" t="shared" si="29"/>
        <v>643760.622244723</v>
      </c>
      <c r="P62" s="539">
        <f ca="1" t="shared" si="29"/>
        <v>634217.410007683</v>
      </c>
      <c r="Q62" s="539">
        <f ca="1" t="shared" si="29"/>
        <v>624571.608239096</v>
      </c>
      <c r="R62" s="539">
        <f ca="1" t="shared" si="29"/>
        <v>614822.114101496</v>
      </c>
      <c r="S62" s="539">
        <f ca="1" t="shared" si="29"/>
        <v>604967.812901917</v>
      </c>
      <c r="T62" s="539">
        <f ca="1" t="shared" si="29"/>
        <v>595007.577964443</v>
      </c>
      <c r="U62" s="539">
        <f ca="1" t="shared" si="29"/>
        <v>584940.270501391</v>
      </c>
      <c r="V62" s="539">
        <f ca="1" t="shared" si="29"/>
        <v>574764.739483111</v>
      </c>
      <c r="W62" s="539">
        <f ca="1" t="shared" si="29"/>
        <v>564479.821506384</v>
      </c>
      <c r="X62" s="539">
        <f ca="1" t="shared" si="29"/>
        <v>554084.340661408</v>
      </c>
      <c r="Y62" s="539">
        <f ca="1" t="shared" si="29"/>
        <v>543577.108397348</v>
      </c>
      <c r="Z62" s="539">
        <f ca="1" t="shared" si="29"/>
        <v>532956.92338645</v>
      </c>
      <c r="AA62" s="539">
        <f ca="1" t="shared" si="29"/>
        <v>522222.571386684</v>
      </c>
      <c r="AB62" s="539">
        <f ca="1" t="shared" si="29"/>
        <v>511372.825102921</v>
      </c>
      <c r="AC62" s="539">
        <f ca="1" t="shared" si="29"/>
        <v>500406.444046607</v>
      </c>
      <c r="AD62" s="539">
        <f ca="1" t="shared" si="29"/>
        <v>489322.174393939</v>
      </c>
      <c r="AE62" s="539">
        <f ca="1" t="shared" si="29"/>
        <v>478118.748842503</v>
      </c>
      <c r="AF62" s="539">
        <f ca="1" t="shared" si="29"/>
        <v>466794.88646639</v>
      </c>
      <c r="AG62" s="539">
        <f ca="1" t="shared" si="29"/>
        <v>455349.292569734</v>
      </c>
      <c r="AH62" s="539">
        <f ca="1" t="shared" si="29"/>
        <v>443780.658538689</v>
      </c>
      <c r="AI62" s="539">
        <f ca="1" t="shared" si="29"/>
        <v>432087.66169181</v>
      </c>
      <c r="AJ62" s="539">
        <f ca="1" t="shared" si="29"/>
        <v>420268.965128827</v>
      </c>
      <c r="AK62" s="539">
        <f ca="1" t="shared" si="29"/>
        <v>408323.217577792</v>
      </c>
      <c r="AL62" s="539">
        <f ca="1" t="shared" si="29"/>
        <v>396249.053240583</v>
      </c>
      <c r="AM62" s="539">
        <f ca="1" t="shared" si="29"/>
        <v>384045.091636749</v>
      </c>
      <c r="AN62" s="539">
        <f ca="1" t="shared" ref="AN62:BM62" si="30">AM67</f>
        <v>371709.937445674</v>
      </c>
      <c r="AO62" s="539">
        <f ca="1" t="shared" si="30"/>
        <v>359242.180347045</v>
      </c>
      <c r="AP62" s="539">
        <f ca="1" t="shared" si="30"/>
        <v>346640.394859606</v>
      </c>
      <c r="AQ62" s="539">
        <f ca="1" t="shared" si="30"/>
        <v>333903.140178177</v>
      </c>
      <c r="AR62" s="539">
        <f ca="1" t="shared" si="30"/>
        <v>321028.960008922</v>
      </c>
      <c r="AS62" s="539">
        <f ca="1" t="shared" si="30"/>
        <v>308016.382402848</v>
      </c>
      <c r="AT62" s="539">
        <f ca="1" t="shared" si="30"/>
        <v>294863.919587509</v>
      </c>
      <c r="AU62" s="539">
        <f ca="1" t="shared" si="30"/>
        <v>281570.067796905</v>
      </c>
      <c r="AV62" s="539">
        <f ca="1" t="shared" si="30"/>
        <v>268133.307099551</v>
      </c>
      <c r="AW62" s="539">
        <f ca="1" t="shared" si="30"/>
        <v>254552.101224702</v>
      </c>
      <c r="AX62" s="539">
        <f ca="1" t="shared" si="30"/>
        <v>240824.897386697</v>
      </c>
      <c r="AY62" s="539">
        <f ca="1" t="shared" si="30"/>
        <v>226950.126107434</v>
      </c>
      <c r="AZ62" s="539">
        <f ca="1" t="shared" si="30"/>
        <v>212926.201036919</v>
      </c>
      <c r="BA62" s="539">
        <f ca="1" t="shared" si="30"/>
        <v>198751.518771896</v>
      </c>
      <c r="BB62" s="539">
        <f ca="1" t="shared" si="30"/>
        <v>184424.458672524</v>
      </c>
      <c r="BC62" s="539">
        <f ca="1" t="shared" si="30"/>
        <v>169943.382677083</v>
      </c>
      <c r="BD62" s="539">
        <f ca="1" t="shared" si="30"/>
        <v>155306.635114692</v>
      </c>
      <c r="BE62" s="539">
        <f ca="1" t="shared" si="30"/>
        <v>140512.542516005</v>
      </c>
      <c r="BF62" s="539">
        <f ca="1" t="shared" si="30"/>
        <v>125559.413421882</v>
      </c>
      <c r="BG62" s="539">
        <f ca="1" t="shared" si="30"/>
        <v>110445.538189997</v>
      </c>
      <c r="BH62" s="539">
        <f ca="1" t="shared" si="30"/>
        <v>95169.1887993697</v>
      </c>
      <c r="BI62" s="539">
        <f ca="1" t="shared" si="30"/>
        <v>79728.6186527929</v>
      </c>
      <c r="BJ62" s="539">
        <f ca="1" t="shared" si="30"/>
        <v>64122.0623771404</v>
      </c>
      <c r="BK62" s="539">
        <f ca="1" t="shared" si="30"/>
        <v>48347.7356215246</v>
      </c>
      <c r="BL62" s="539">
        <f ca="1" t="shared" si="30"/>
        <v>32403.8348532858</v>
      </c>
      <c r="BM62" s="540">
        <f ca="1" t="shared" si="30"/>
        <v>16288.5371517885</v>
      </c>
    </row>
    <row r="63" spans="2:65">
      <c r="B63" s="503"/>
      <c r="C63" s="541"/>
      <c r="D63" s="144" t="s">
        <v>536</v>
      </c>
      <c r="E63" s="50"/>
      <c r="F63" s="542">
        <v>0</v>
      </c>
      <c r="G63" s="542">
        <v>0</v>
      </c>
      <c r="H63" s="542">
        <v>0</v>
      </c>
      <c r="I63" s="542">
        <v>0</v>
      </c>
      <c r="J63" s="542">
        <v>0</v>
      </c>
      <c r="K63" s="542">
        <v>0</v>
      </c>
      <c r="L63" s="542">
        <v>0</v>
      </c>
      <c r="M63" s="542">
        <v>0</v>
      </c>
      <c r="N63" s="542">
        <v>0</v>
      </c>
      <c r="O63" s="542">
        <v>0</v>
      </c>
      <c r="P63" s="542">
        <v>0</v>
      </c>
      <c r="Q63" s="542">
        <v>0</v>
      </c>
      <c r="R63" s="542">
        <v>0</v>
      </c>
      <c r="S63" s="542">
        <v>0</v>
      </c>
      <c r="T63" s="542">
        <v>0</v>
      </c>
      <c r="U63" s="542">
        <v>0</v>
      </c>
      <c r="V63" s="542">
        <v>0</v>
      </c>
      <c r="W63" s="542">
        <v>0</v>
      </c>
      <c r="X63" s="542">
        <v>0</v>
      </c>
      <c r="Y63" s="542">
        <v>0</v>
      </c>
      <c r="Z63" s="542">
        <v>0</v>
      </c>
      <c r="AA63" s="542">
        <v>0</v>
      </c>
      <c r="AB63" s="542">
        <v>0</v>
      </c>
      <c r="AC63" s="542">
        <v>0</v>
      </c>
      <c r="AD63" s="542">
        <v>0</v>
      </c>
      <c r="AE63" s="542">
        <v>0</v>
      </c>
      <c r="AF63" s="542">
        <v>0</v>
      </c>
      <c r="AG63" s="542">
        <v>0</v>
      </c>
      <c r="AH63" s="542">
        <v>0</v>
      </c>
      <c r="AI63" s="542">
        <v>0</v>
      </c>
      <c r="AJ63" s="542">
        <v>0</v>
      </c>
      <c r="AK63" s="542">
        <v>0</v>
      </c>
      <c r="AL63" s="542">
        <v>0</v>
      </c>
      <c r="AM63" s="542">
        <v>0</v>
      </c>
      <c r="AN63" s="542">
        <v>0</v>
      </c>
      <c r="AO63" s="542">
        <v>0</v>
      </c>
      <c r="AP63" s="542">
        <v>0</v>
      </c>
      <c r="AQ63" s="542">
        <v>0</v>
      </c>
      <c r="AR63" s="542">
        <v>0</v>
      </c>
      <c r="AS63" s="542">
        <v>0</v>
      </c>
      <c r="AT63" s="542">
        <v>0</v>
      </c>
      <c r="AU63" s="542">
        <v>0</v>
      </c>
      <c r="AV63" s="542">
        <v>0</v>
      </c>
      <c r="AW63" s="542">
        <v>0</v>
      </c>
      <c r="AX63" s="542">
        <v>0</v>
      </c>
      <c r="AY63" s="542">
        <v>0</v>
      </c>
      <c r="AZ63" s="542">
        <v>0</v>
      </c>
      <c r="BA63" s="542">
        <v>0</v>
      </c>
      <c r="BB63" s="542">
        <v>0</v>
      </c>
      <c r="BC63" s="542">
        <v>0</v>
      </c>
      <c r="BD63" s="542">
        <v>0</v>
      </c>
      <c r="BE63" s="542">
        <v>0</v>
      </c>
      <c r="BF63" s="542">
        <v>0</v>
      </c>
      <c r="BG63" s="542">
        <v>0</v>
      </c>
      <c r="BH63" s="542">
        <v>0</v>
      </c>
      <c r="BI63" s="542">
        <v>0</v>
      </c>
      <c r="BJ63" s="542">
        <v>0</v>
      </c>
      <c r="BK63" s="542">
        <v>0</v>
      </c>
      <c r="BL63" s="542">
        <v>0</v>
      </c>
      <c r="BM63" s="543">
        <v>0</v>
      </c>
    </row>
    <row r="64" spans="2:65">
      <c r="B64" s="503"/>
      <c r="C64" s="541"/>
      <c r="D64" s="144" t="s">
        <v>537</v>
      </c>
      <c r="E64" s="544">
        <f ca="1">SUM(F64:BM64)</f>
        <v>987818.335570198</v>
      </c>
      <c r="F64" s="542">
        <f ca="1">-PMT($D$56,$D$53+1-F57,F62)</f>
        <v>16463.6389261699</v>
      </c>
      <c r="G64" s="542">
        <f ca="1" t="shared" ref="G64:AL64" si="31">-PMT($D$56,$D$53+1-G57,G62)</f>
        <v>16463.6389261699</v>
      </c>
      <c r="H64" s="542">
        <f ca="1" t="shared" si="31"/>
        <v>16463.6389261699</v>
      </c>
      <c r="I64" s="542">
        <f ca="1" t="shared" si="31"/>
        <v>16463.6389261699</v>
      </c>
      <c r="J64" s="542">
        <f ca="1" t="shared" si="31"/>
        <v>16463.6389261699</v>
      </c>
      <c r="K64" s="542">
        <f ca="1" t="shared" si="31"/>
        <v>16463.6389261699</v>
      </c>
      <c r="L64" s="542">
        <f ca="1" t="shared" si="31"/>
        <v>16463.6389261699</v>
      </c>
      <c r="M64" s="542">
        <f ca="1" t="shared" si="31"/>
        <v>16463.6389261699</v>
      </c>
      <c r="N64" s="542">
        <f ca="1" t="shared" si="31"/>
        <v>16463.6389261699</v>
      </c>
      <c r="O64" s="542">
        <f ca="1" t="shared" si="31"/>
        <v>16463.6389261699</v>
      </c>
      <c r="P64" s="542">
        <f ca="1" t="shared" si="31"/>
        <v>16463.6389261699</v>
      </c>
      <c r="Q64" s="542">
        <f ca="1" t="shared" si="31"/>
        <v>16463.6389261699</v>
      </c>
      <c r="R64" s="542">
        <f ca="1" t="shared" si="31"/>
        <v>16463.6389261699</v>
      </c>
      <c r="S64" s="542">
        <f ca="1" t="shared" si="31"/>
        <v>16463.6389261699</v>
      </c>
      <c r="T64" s="542">
        <f ca="1" t="shared" si="31"/>
        <v>16463.6389261699</v>
      </c>
      <c r="U64" s="542">
        <f ca="1" t="shared" si="31"/>
        <v>16463.6389261699</v>
      </c>
      <c r="V64" s="542">
        <f ca="1" t="shared" si="31"/>
        <v>16463.6389261699</v>
      </c>
      <c r="W64" s="542">
        <f ca="1" t="shared" si="31"/>
        <v>16463.6389261699</v>
      </c>
      <c r="X64" s="542">
        <f ca="1" t="shared" si="31"/>
        <v>16463.6389261699</v>
      </c>
      <c r="Y64" s="542">
        <f ca="1" t="shared" si="31"/>
        <v>16463.6389261699</v>
      </c>
      <c r="Z64" s="542">
        <f ca="1" t="shared" si="31"/>
        <v>16463.6389261699</v>
      </c>
      <c r="AA64" s="542">
        <f ca="1" t="shared" si="31"/>
        <v>16463.6389261699</v>
      </c>
      <c r="AB64" s="542">
        <f ca="1" t="shared" si="31"/>
        <v>16463.63892617</v>
      </c>
      <c r="AC64" s="542">
        <f ca="1" t="shared" si="31"/>
        <v>16463.6389261699</v>
      </c>
      <c r="AD64" s="542">
        <f ca="1" t="shared" si="31"/>
        <v>16463.63892617</v>
      </c>
      <c r="AE64" s="542">
        <f ca="1" t="shared" si="31"/>
        <v>16463.63892617</v>
      </c>
      <c r="AF64" s="542">
        <f ca="1" t="shared" si="31"/>
        <v>16463.63892617</v>
      </c>
      <c r="AG64" s="542">
        <f ca="1" t="shared" si="31"/>
        <v>16463.63892617</v>
      </c>
      <c r="AH64" s="542">
        <f ca="1" t="shared" si="31"/>
        <v>16463.63892617</v>
      </c>
      <c r="AI64" s="542">
        <f ca="1" t="shared" si="31"/>
        <v>16463.63892617</v>
      </c>
      <c r="AJ64" s="542">
        <f ca="1" t="shared" si="31"/>
        <v>16463.63892617</v>
      </c>
      <c r="AK64" s="542">
        <f ca="1" t="shared" si="31"/>
        <v>16463.63892617</v>
      </c>
      <c r="AL64" s="542">
        <f ca="1" t="shared" si="31"/>
        <v>16463.63892617</v>
      </c>
      <c r="AM64" s="542">
        <f ca="1" t="shared" ref="AM64:BM64" si="32">-PMT($D$56,$D$53+1-AM57,AM62)</f>
        <v>16463.63892617</v>
      </c>
      <c r="AN64" s="542">
        <f ca="1" t="shared" si="32"/>
        <v>16463.63892617</v>
      </c>
      <c r="AO64" s="542">
        <f ca="1" t="shared" si="32"/>
        <v>16463.63892617</v>
      </c>
      <c r="AP64" s="542">
        <f ca="1" t="shared" si="32"/>
        <v>16463.63892617</v>
      </c>
      <c r="AQ64" s="542">
        <f ca="1" t="shared" si="32"/>
        <v>16463.63892617</v>
      </c>
      <c r="AR64" s="542">
        <f ca="1" t="shared" si="32"/>
        <v>16463.63892617</v>
      </c>
      <c r="AS64" s="542">
        <f ca="1" t="shared" si="32"/>
        <v>16463.63892617</v>
      </c>
      <c r="AT64" s="542">
        <f ca="1" t="shared" si="32"/>
        <v>16463.63892617</v>
      </c>
      <c r="AU64" s="542">
        <f ca="1" t="shared" si="32"/>
        <v>16463.63892617</v>
      </c>
      <c r="AV64" s="542">
        <f ca="1" t="shared" si="32"/>
        <v>16463.63892617</v>
      </c>
      <c r="AW64" s="542">
        <f ca="1" t="shared" si="32"/>
        <v>16463.63892617</v>
      </c>
      <c r="AX64" s="542">
        <f ca="1" t="shared" si="32"/>
        <v>16463.63892617</v>
      </c>
      <c r="AY64" s="542">
        <f ca="1" t="shared" si="32"/>
        <v>16463.63892617</v>
      </c>
      <c r="AZ64" s="542">
        <f ca="1" t="shared" si="32"/>
        <v>16463.63892617</v>
      </c>
      <c r="BA64" s="542">
        <f ca="1" t="shared" si="32"/>
        <v>16463.63892617</v>
      </c>
      <c r="BB64" s="542">
        <f ca="1" t="shared" si="32"/>
        <v>16463.63892617</v>
      </c>
      <c r="BC64" s="542">
        <f ca="1" t="shared" si="32"/>
        <v>16463.63892617</v>
      </c>
      <c r="BD64" s="542">
        <f ca="1" t="shared" si="32"/>
        <v>16463.63892617</v>
      </c>
      <c r="BE64" s="542">
        <f ca="1" t="shared" si="32"/>
        <v>16463.63892617</v>
      </c>
      <c r="BF64" s="542">
        <f ca="1" t="shared" si="32"/>
        <v>16463.63892617</v>
      </c>
      <c r="BG64" s="542">
        <f ca="1" t="shared" si="32"/>
        <v>16463.63892617</v>
      </c>
      <c r="BH64" s="542">
        <f ca="1" t="shared" si="32"/>
        <v>16463.63892617</v>
      </c>
      <c r="BI64" s="542">
        <f ca="1" t="shared" si="32"/>
        <v>16463.63892617</v>
      </c>
      <c r="BJ64" s="542">
        <f ca="1" t="shared" si="32"/>
        <v>16463.63892617</v>
      </c>
      <c r="BK64" s="542">
        <f ca="1" t="shared" si="32"/>
        <v>16463.6389261702</v>
      </c>
      <c r="BL64" s="542">
        <f ca="1" t="shared" si="32"/>
        <v>16463.6389261701</v>
      </c>
      <c r="BM64" s="542">
        <f ca="1" t="shared" si="32"/>
        <v>16463.6389261702</v>
      </c>
    </row>
    <row r="65" spans="2:65">
      <c r="B65" s="503"/>
      <c r="C65" s="541"/>
      <c r="D65" s="145" t="s">
        <v>538</v>
      </c>
      <c r="E65" s="542">
        <f ca="1" t="shared" ref="E65:E72" si="33">SUM(F65:BM65)</f>
        <v>725209.263168492</v>
      </c>
      <c r="F65" s="542">
        <f ca="1">F64-F66</f>
        <v>8667.63934710864</v>
      </c>
      <c r="G65" s="542">
        <f ca="1" t="shared" ref="G65:AL65" si="34">G64-G66</f>
        <v>8760.81647009006</v>
      </c>
      <c r="H65" s="542">
        <f ca="1" t="shared" si="34"/>
        <v>8854.99524714353</v>
      </c>
      <c r="I65" s="542">
        <f ca="1" t="shared" si="34"/>
        <v>8950.18644605032</v>
      </c>
      <c r="J65" s="542">
        <f ca="1" t="shared" si="34"/>
        <v>9046.40095034537</v>
      </c>
      <c r="K65" s="542">
        <f ca="1" t="shared" si="34"/>
        <v>9143.64976056158</v>
      </c>
      <c r="L65" s="542">
        <f ca="1" t="shared" si="34"/>
        <v>9241.94399548762</v>
      </c>
      <c r="M65" s="542">
        <f ca="1" t="shared" si="34"/>
        <v>9341.29489343911</v>
      </c>
      <c r="N65" s="542">
        <f ca="1" t="shared" si="34"/>
        <v>9441.71381354358</v>
      </c>
      <c r="O65" s="542">
        <f ca="1" t="shared" si="34"/>
        <v>9543.21223703918</v>
      </c>
      <c r="P65" s="542">
        <f ca="1" t="shared" si="34"/>
        <v>9645.80176858735</v>
      </c>
      <c r="Q65" s="542">
        <f ca="1" t="shared" si="34"/>
        <v>9749.49413759966</v>
      </c>
      <c r="R65" s="542">
        <f ca="1" t="shared" si="34"/>
        <v>9854.30119957885</v>
      </c>
      <c r="S65" s="542">
        <f ca="1" t="shared" si="34"/>
        <v>9960.23493747433</v>
      </c>
      <c r="T65" s="542">
        <f ca="1" t="shared" si="34"/>
        <v>10067.3074630522</v>
      </c>
      <c r="U65" s="542">
        <f ca="1" t="shared" si="34"/>
        <v>10175.53101828</v>
      </c>
      <c r="V65" s="542">
        <f ca="1" t="shared" si="34"/>
        <v>10284.9179767265</v>
      </c>
      <c r="W65" s="542">
        <f ca="1" t="shared" si="34"/>
        <v>10395.4808449763</v>
      </c>
      <c r="X65" s="542">
        <f ca="1" t="shared" si="34"/>
        <v>10507.2322640598</v>
      </c>
      <c r="Y65" s="542">
        <f ca="1" t="shared" si="34"/>
        <v>10620.1850108985</v>
      </c>
      <c r="Z65" s="542">
        <f ca="1" t="shared" si="34"/>
        <v>10734.3519997656</v>
      </c>
      <c r="AA65" s="542">
        <f ca="1" t="shared" si="34"/>
        <v>10849.7462837631</v>
      </c>
      <c r="AB65" s="542">
        <f ca="1" t="shared" si="34"/>
        <v>10966.3810563136</v>
      </c>
      <c r="AC65" s="542">
        <f ca="1" t="shared" si="34"/>
        <v>11084.2696526689</v>
      </c>
      <c r="AD65" s="542">
        <f ca="1" t="shared" si="34"/>
        <v>11203.4255514351</v>
      </c>
      <c r="AE65" s="542">
        <f ca="1" t="shared" si="34"/>
        <v>11323.862376113</v>
      </c>
      <c r="AF65" s="542">
        <f ca="1" t="shared" si="34"/>
        <v>11445.5938966563</v>
      </c>
      <c r="AG65" s="542">
        <f ca="1" t="shared" si="34"/>
        <v>11568.6340310453</v>
      </c>
      <c r="AH65" s="542">
        <f ca="1" t="shared" si="34"/>
        <v>11692.9968468791</v>
      </c>
      <c r="AI65" s="542">
        <f ca="1" t="shared" si="34"/>
        <v>11818.696562983</v>
      </c>
      <c r="AJ65" s="542">
        <f ca="1" t="shared" si="34"/>
        <v>11945.7475510351</v>
      </c>
      <c r="AK65" s="542">
        <f ca="1" t="shared" si="34"/>
        <v>12074.1643372087</v>
      </c>
      <c r="AL65" s="542">
        <f ca="1" t="shared" si="34"/>
        <v>12203.9616038337</v>
      </c>
      <c r="AM65" s="542">
        <f ca="1" t="shared" ref="AM65:BM65" si="35">AM64-AM66</f>
        <v>12335.1541910749</v>
      </c>
      <c r="AN65" s="542">
        <f ca="1" t="shared" si="35"/>
        <v>12467.757098629</v>
      </c>
      <c r="AO65" s="542">
        <f ca="1" t="shared" si="35"/>
        <v>12601.7854874392</v>
      </c>
      <c r="AP65" s="542">
        <f ca="1" t="shared" si="35"/>
        <v>12737.2546814292</v>
      </c>
      <c r="AQ65" s="542">
        <f ca="1" t="shared" si="35"/>
        <v>12874.1801692546</v>
      </c>
      <c r="AR65" s="542">
        <f ca="1" t="shared" si="35"/>
        <v>13012.5776060741</v>
      </c>
      <c r="AS65" s="542">
        <f ca="1" t="shared" si="35"/>
        <v>13152.4628153394</v>
      </c>
      <c r="AT65" s="542">
        <f ca="1" t="shared" si="35"/>
        <v>13293.8517906043</v>
      </c>
      <c r="AU65" s="542">
        <f ca="1" t="shared" si="35"/>
        <v>13436.7606973533</v>
      </c>
      <c r="AV65" s="542">
        <f ca="1" t="shared" si="35"/>
        <v>13581.2058748498</v>
      </c>
      <c r="AW65" s="542">
        <f ca="1" t="shared" si="35"/>
        <v>13727.2038380044</v>
      </c>
      <c r="AX65" s="542">
        <f ca="1" t="shared" si="35"/>
        <v>13874.771279263</v>
      </c>
      <c r="AY65" s="542">
        <f ca="1" t="shared" si="35"/>
        <v>14023.9250705151</v>
      </c>
      <c r="AZ65" s="542">
        <f ca="1" t="shared" si="35"/>
        <v>14174.6822650231</v>
      </c>
      <c r="BA65" s="542">
        <f ca="1" t="shared" si="35"/>
        <v>14327.0600993721</v>
      </c>
      <c r="BB65" s="542">
        <f ca="1" t="shared" si="35"/>
        <v>14481.0759954404</v>
      </c>
      <c r="BC65" s="542">
        <f ca="1" t="shared" si="35"/>
        <v>14636.7475623914</v>
      </c>
      <c r="BD65" s="542">
        <f ca="1" t="shared" si="35"/>
        <v>14794.0925986871</v>
      </c>
      <c r="BE65" s="542">
        <f ca="1" t="shared" si="35"/>
        <v>14953.129094123</v>
      </c>
      <c r="BF65" s="542">
        <f ca="1" t="shared" si="35"/>
        <v>15113.8752318848</v>
      </c>
      <c r="BG65" s="542">
        <f ca="1" t="shared" si="35"/>
        <v>15276.3493906276</v>
      </c>
      <c r="BH65" s="542">
        <f ca="1" t="shared" si="35"/>
        <v>15440.5701465768</v>
      </c>
      <c r="BI65" s="542">
        <f ca="1" t="shared" si="35"/>
        <v>15606.5562756525</v>
      </c>
      <c r="BJ65" s="542">
        <f ca="1" t="shared" si="35"/>
        <v>15774.3267556158</v>
      </c>
      <c r="BK65" s="542">
        <f ca="1" t="shared" si="35"/>
        <v>15943.9007682388</v>
      </c>
      <c r="BL65" s="542">
        <f ca="1" t="shared" si="35"/>
        <v>16115.2977014973</v>
      </c>
      <c r="BM65" s="543">
        <f ca="1" t="shared" si="35"/>
        <v>16288.5371517885</v>
      </c>
    </row>
    <row r="66" spans="2:65">
      <c r="B66" s="503"/>
      <c r="C66" s="541"/>
      <c r="D66" s="33" t="s">
        <v>539</v>
      </c>
      <c r="E66" s="542">
        <f ca="1" t="shared" si="33"/>
        <v>262609.072401707</v>
      </c>
      <c r="F66" s="542">
        <f ca="1">(F62+F63/2)*$D$56</f>
        <v>7795.99957906129</v>
      </c>
      <c r="G66" s="542">
        <f ca="1" t="shared" ref="G66:AL66" si="36">(G62+G63/2)*$D$56</f>
        <v>7702.82245607987</v>
      </c>
      <c r="H66" s="542">
        <f ca="1" t="shared" si="36"/>
        <v>7608.64367902641</v>
      </c>
      <c r="I66" s="542">
        <f ca="1" t="shared" si="36"/>
        <v>7513.45248011961</v>
      </c>
      <c r="J66" s="542">
        <f ca="1" t="shared" si="36"/>
        <v>7417.23797582457</v>
      </c>
      <c r="K66" s="542">
        <f ca="1" t="shared" si="36"/>
        <v>7319.98916560836</v>
      </c>
      <c r="L66" s="542">
        <f ca="1" t="shared" si="36"/>
        <v>7221.69493068232</v>
      </c>
      <c r="M66" s="542">
        <f ca="1" t="shared" si="36"/>
        <v>7122.34403273083</v>
      </c>
      <c r="N66" s="542">
        <f ca="1" t="shared" si="36"/>
        <v>7021.92511262636</v>
      </c>
      <c r="O66" s="542">
        <f ca="1" t="shared" si="36"/>
        <v>6920.42668913077</v>
      </c>
      <c r="P66" s="542">
        <f ca="1" t="shared" si="36"/>
        <v>6817.83715758259</v>
      </c>
      <c r="Q66" s="542">
        <f ca="1" t="shared" si="36"/>
        <v>6714.14478857028</v>
      </c>
      <c r="R66" s="542">
        <f ca="1" t="shared" si="36"/>
        <v>6609.33772659108</v>
      </c>
      <c r="S66" s="542">
        <f ca="1" t="shared" si="36"/>
        <v>6503.40398869561</v>
      </c>
      <c r="T66" s="542">
        <f ca="1" t="shared" si="36"/>
        <v>6396.33146311776</v>
      </c>
      <c r="U66" s="542">
        <f ca="1" t="shared" si="36"/>
        <v>6288.10790788995</v>
      </c>
      <c r="V66" s="542">
        <f ca="1" t="shared" si="36"/>
        <v>6178.72094944344</v>
      </c>
      <c r="W66" s="542">
        <f ca="1" t="shared" si="36"/>
        <v>6068.15808119363</v>
      </c>
      <c r="X66" s="542">
        <f ca="1" t="shared" si="36"/>
        <v>5956.40666211014</v>
      </c>
      <c r="Y66" s="542">
        <f ca="1" t="shared" si="36"/>
        <v>5843.45391527149</v>
      </c>
      <c r="Z66" s="542">
        <f ca="1" t="shared" si="36"/>
        <v>5729.28692640433</v>
      </c>
      <c r="AA66" s="542">
        <f ca="1" t="shared" si="36"/>
        <v>5613.89264240685</v>
      </c>
      <c r="AB66" s="542">
        <f ca="1" t="shared" si="36"/>
        <v>5497.2578698564</v>
      </c>
      <c r="AC66" s="542">
        <f ca="1" t="shared" si="36"/>
        <v>5379.36927350103</v>
      </c>
      <c r="AD66" s="542">
        <f ca="1" t="shared" si="36"/>
        <v>5260.21337473484</v>
      </c>
      <c r="AE66" s="542">
        <f ca="1" t="shared" si="36"/>
        <v>5139.77655005691</v>
      </c>
      <c r="AF66" s="542">
        <f ca="1" t="shared" si="36"/>
        <v>5018.0450295137</v>
      </c>
      <c r="AG66" s="542">
        <f ca="1" t="shared" si="36"/>
        <v>4895.00489512464</v>
      </c>
      <c r="AH66" s="542">
        <f ca="1" t="shared" si="36"/>
        <v>4770.6420792909</v>
      </c>
      <c r="AI66" s="542">
        <f ca="1" t="shared" si="36"/>
        <v>4644.94236318695</v>
      </c>
      <c r="AJ66" s="542">
        <f ca="1" t="shared" si="36"/>
        <v>4517.89137513489</v>
      </c>
      <c r="AK66" s="542">
        <f ca="1" t="shared" si="36"/>
        <v>4389.47458896126</v>
      </c>
      <c r="AL66" s="542">
        <f ca="1" t="shared" si="36"/>
        <v>4259.67732233627</v>
      </c>
      <c r="AM66" s="542">
        <f ca="1" t="shared" ref="AM66:BM66" si="37">(AM62+AM63/2)*$D$56</f>
        <v>4128.48473509505</v>
      </c>
      <c r="AN66" s="542">
        <f ca="1" t="shared" si="37"/>
        <v>3995.881827541</v>
      </c>
      <c r="AO66" s="542">
        <f ca="1" t="shared" si="37"/>
        <v>3861.85343873074</v>
      </c>
      <c r="AP66" s="542">
        <f ca="1" t="shared" si="37"/>
        <v>3726.38424474077</v>
      </c>
      <c r="AQ66" s="542">
        <f ca="1" t="shared" si="37"/>
        <v>3589.4587569154</v>
      </c>
      <c r="AR66" s="542">
        <f ca="1" t="shared" si="37"/>
        <v>3451.06132009592</v>
      </c>
      <c r="AS66" s="542">
        <f ca="1" t="shared" si="37"/>
        <v>3311.17611083062</v>
      </c>
      <c r="AT66" s="542">
        <f ca="1" t="shared" si="37"/>
        <v>3169.78713556572</v>
      </c>
      <c r="AU66" s="542">
        <f ca="1" t="shared" si="37"/>
        <v>3026.87822881673</v>
      </c>
      <c r="AV66" s="542">
        <f ca="1" t="shared" si="37"/>
        <v>2882.43305132018</v>
      </c>
      <c r="AW66" s="542">
        <f ca="1" t="shared" si="37"/>
        <v>2736.43508816554</v>
      </c>
      <c r="AX66" s="542">
        <f ca="1" t="shared" si="37"/>
        <v>2588.86764690699</v>
      </c>
      <c r="AY66" s="542">
        <f ca="1" t="shared" si="37"/>
        <v>2439.71385565492</v>
      </c>
      <c r="AZ66" s="542">
        <f ca="1" t="shared" si="37"/>
        <v>2288.95666114688</v>
      </c>
      <c r="BA66" s="542">
        <f ca="1" t="shared" si="37"/>
        <v>2136.57882679788</v>
      </c>
      <c r="BB66" s="542">
        <f ca="1" t="shared" si="37"/>
        <v>1982.56293072963</v>
      </c>
      <c r="BC66" s="542">
        <f ca="1" t="shared" si="37"/>
        <v>1826.89136377865</v>
      </c>
      <c r="BD66" s="542">
        <f ca="1" t="shared" si="37"/>
        <v>1669.54632748294</v>
      </c>
      <c r="BE66" s="542">
        <f ca="1" t="shared" si="37"/>
        <v>1510.50983204705</v>
      </c>
      <c r="BF66" s="542">
        <f ca="1" t="shared" si="37"/>
        <v>1349.76369428523</v>
      </c>
      <c r="BG66" s="542">
        <f ca="1" t="shared" si="37"/>
        <v>1187.28953554247</v>
      </c>
      <c r="BH66" s="542">
        <f ca="1" t="shared" si="37"/>
        <v>1023.06877959322</v>
      </c>
      <c r="BI66" s="542">
        <f ca="1" t="shared" si="37"/>
        <v>857.082650517523</v>
      </c>
      <c r="BJ66" s="542">
        <f ca="1" t="shared" si="37"/>
        <v>689.312170554259</v>
      </c>
      <c r="BK66" s="542">
        <f ca="1" t="shared" si="37"/>
        <v>519.738157931389</v>
      </c>
      <c r="BL66" s="542">
        <f ca="1" t="shared" si="37"/>
        <v>348.341224672822</v>
      </c>
      <c r="BM66" s="543">
        <f ca="1" t="shared" si="37"/>
        <v>175.101774381726</v>
      </c>
    </row>
    <row r="67" ht="17.25" spans="2:65">
      <c r="B67" s="503"/>
      <c r="C67" s="545"/>
      <c r="D67" s="163" t="s">
        <v>540</v>
      </c>
      <c r="E67" s="546">
        <f ca="1">BM67</f>
        <v>5.63886715099216e-11</v>
      </c>
      <c r="F67" s="546">
        <f ca="1">F62+F63-F65</f>
        <v>716541.623821384</v>
      </c>
      <c r="G67" s="546">
        <f ca="1" t="shared" ref="G67:AL67" si="38">G62+G63-G65</f>
        <v>707780.807351294</v>
      </c>
      <c r="H67" s="546">
        <f ca="1" t="shared" si="38"/>
        <v>698925.81210415</v>
      </c>
      <c r="I67" s="546">
        <f ca="1" t="shared" si="38"/>
        <v>689975.6256581</v>
      </c>
      <c r="J67" s="546">
        <f ca="1" t="shared" si="38"/>
        <v>680929.224707754</v>
      </c>
      <c r="K67" s="546">
        <f ca="1" t="shared" si="38"/>
        <v>671785.574947193</v>
      </c>
      <c r="L67" s="546">
        <f ca="1" t="shared" si="38"/>
        <v>662543.630951705</v>
      </c>
      <c r="M67" s="546">
        <f ca="1" t="shared" si="38"/>
        <v>653202.336058266</v>
      </c>
      <c r="N67" s="546">
        <f ca="1" t="shared" si="38"/>
        <v>643760.622244723</v>
      </c>
      <c r="O67" s="546">
        <f ca="1" t="shared" si="38"/>
        <v>634217.410007683</v>
      </c>
      <c r="P67" s="546">
        <f ca="1" t="shared" si="38"/>
        <v>624571.608239096</v>
      </c>
      <c r="Q67" s="546">
        <f ca="1" t="shared" si="38"/>
        <v>614822.114101496</v>
      </c>
      <c r="R67" s="546">
        <f ca="1" t="shared" si="38"/>
        <v>604967.812901917</v>
      </c>
      <c r="S67" s="546">
        <f ca="1" t="shared" si="38"/>
        <v>595007.577964443</v>
      </c>
      <c r="T67" s="546">
        <f ca="1" t="shared" si="38"/>
        <v>584940.270501391</v>
      </c>
      <c r="U67" s="546">
        <f ca="1" t="shared" si="38"/>
        <v>574764.739483111</v>
      </c>
      <c r="V67" s="546">
        <f ca="1" t="shared" si="38"/>
        <v>564479.821506384</v>
      </c>
      <c r="W67" s="546">
        <f ca="1" t="shared" si="38"/>
        <v>554084.340661408</v>
      </c>
      <c r="X67" s="546">
        <f ca="1" t="shared" si="38"/>
        <v>543577.108397348</v>
      </c>
      <c r="Y67" s="546">
        <f ca="1" t="shared" si="38"/>
        <v>532956.92338645</v>
      </c>
      <c r="Z67" s="546">
        <f ca="1" t="shared" si="38"/>
        <v>522222.571386684</v>
      </c>
      <c r="AA67" s="546">
        <f ca="1" t="shared" si="38"/>
        <v>511372.825102921</v>
      </c>
      <c r="AB67" s="546">
        <f ca="1" t="shared" si="38"/>
        <v>500406.444046607</v>
      </c>
      <c r="AC67" s="546">
        <f ca="1" t="shared" si="38"/>
        <v>489322.174393939</v>
      </c>
      <c r="AD67" s="546">
        <f ca="1" t="shared" si="38"/>
        <v>478118.748842503</v>
      </c>
      <c r="AE67" s="546">
        <f ca="1" t="shared" si="38"/>
        <v>466794.88646639</v>
      </c>
      <c r="AF67" s="546">
        <f ca="1" t="shared" si="38"/>
        <v>455349.292569734</v>
      </c>
      <c r="AG67" s="546">
        <f ca="1" t="shared" si="38"/>
        <v>443780.658538689</v>
      </c>
      <c r="AH67" s="546">
        <f ca="1" t="shared" si="38"/>
        <v>432087.66169181</v>
      </c>
      <c r="AI67" s="546">
        <f ca="1" t="shared" si="38"/>
        <v>420268.965128827</v>
      </c>
      <c r="AJ67" s="546">
        <f ca="1" t="shared" si="38"/>
        <v>408323.217577792</v>
      </c>
      <c r="AK67" s="546">
        <f ca="1" t="shared" si="38"/>
        <v>396249.053240583</v>
      </c>
      <c r="AL67" s="546">
        <f ca="1" t="shared" si="38"/>
        <v>384045.091636749</v>
      </c>
      <c r="AM67" s="546">
        <f ca="1" t="shared" ref="AM67:BM67" si="39">AM62+AM63-AM65</f>
        <v>371709.937445674</v>
      </c>
      <c r="AN67" s="546">
        <f ca="1" t="shared" si="39"/>
        <v>359242.180347045</v>
      </c>
      <c r="AO67" s="546">
        <f ca="1" t="shared" si="39"/>
        <v>346640.394859606</v>
      </c>
      <c r="AP67" s="546">
        <f ca="1" t="shared" si="39"/>
        <v>333903.140178177</v>
      </c>
      <c r="AQ67" s="546">
        <f ca="1" t="shared" si="39"/>
        <v>321028.960008922</v>
      </c>
      <c r="AR67" s="546">
        <f ca="1" t="shared" si="39"/>
        <v>308016.382402848</v>
      </c>
      <c r="AS67" s="546">
        <f ca="1" t="shared" si="39"/>
        <v>294863.919587509</v>
      </c>
      <c r="AT67" s="546">
        <f ca="1" t="shared" si="39"/>
        <v>281570.067796905</v>
      </c>
      <c r="AU67" s="546">
        <f ca="1" t="shared" si="39"/>
        <v>268133.307099551</v>
      </c>
      <c r="AV67" s="546">
        <f ca="1" t="shared" si="39"/>
        <v>254552.101224702</v>
      </c>
      <c r="AW67" s="546">
        <f ca="1" t="shared" si="39"/>
        <v>240824.897386697</v>
      </c>
      <c r="AX67" s="546">
        <f ca="1" t="shared" si="39"/>
        <v>226950.126107434</v>
      </c>
      <c r="AY67" s="546">
        <f ca="1" t="shared" si="39"/>
        <v>212926.201036919</v>
      </c>
      <c r="AZ67" s="546">
        <f ca="1" t="shared" si="39"/>
        <v>198751.518771896</v>
      </c>
      <c r="BA67" s="546">
        <f ca="1" t="shared" si="39"/>
        <v>184424.458672524</v>
      </c>
      <c r="BB67" s="546">
        <f ca="1" t="shared" si="39"/>
        <v>169943.382677083</v>
      </c>
      <c r="BC67" s="546">
        <f ca="1" t="shared" si="39"/>
        <v>155306.635114692</v>
      </c>
      <c r="BD67" s="546">
        <f ca="1" t="shared" si="39"/>
        <v>140512.542516005</v>
      </c>
      <c r="BE67" s="546">
        <f ca="1" t="shared" si="39"/>
        <v>125559.413421882</v>
      </c>
      <c r="BF67" s="546">
        <f ca="1" t="shared" si="39"/>
        <v>110445.538189997</v>
      </c>
      <c r="BG67" s="546">
        <f ca="1" t="shared" si="39"/>
        <v>95169.1887993697</v>
      </c>
      <c r="BH67" s="546">
        <f ca="1" t="shared" si="39"/>
        <v>79728.6186527929</v>
      </c>
      <c r="BI67" s="546">
        <f ca="1" t="shared" si="39"/>
        <v>64122.0623771404</v>
      </c>
      <c r="BJ67" s="546">
        <f ca="1" t="shared" si="39"/>
        <v>48347.7356215246</v>
      </c>
      <c r="BK67" s="546">
        <f ca="1" t="shared" si="39"/>
        <v>32403.8348532858</v>
      </c>
      <c r="BL67" s="546">
        <f ca="1" t="shared" si="39"/>
        <v>16288.5371517885</v>
      </c>
      <c r="BM67" s="547">
        <f ca="1" t="shared" si="39"/>
        <v>5.63886715099216e-11</v>
      </c>
    </row>
    <row r="68" spans="2:65">
      <c r="B68" s="503"/>
      <c r="C68" s="548" t="s">
        <v>541</v>
      </c>
      <c r="D68" s="537" t="s">
        <v>535</v>
      </c>
      <c r="E68" s="539"/>
      <c r="F68" s="539">
        <f ca="1">D55</f>
        <v>725209.263168492</v>
      </c>
      <c r="G68" s="539">
        <f ca="1">F73</f>
        <v>713122.442115684</v>
      </c>
      <c r="H68" s="539">
        <f ca="1" t="shared" ref="H68:AM68" si="40">G73</f>
        <v>701035.621062876</v>
      </c>
      <c r="I68" s="539">
        <f ca="1" t="shared" si="40"/>
        <v>688948.800010068</v>
      </c>
      <c r="J68" s="539">
        <f ca="1" t="shared" si="40"/>
        <v>676861.97895726</v>
      </c>
      <c r="K68" s="539">
        <f ca="1" t="shared" si="40"/>
        <v>664775.157904451</v>
      </c>
      <c r="L68" s="539">
        <f ca="1" t="shared" si="40"/>
        <v>652688.336851643</v>
      </c>
      <c r="M68" s="539">
        <f ca="1" t="shared" si="40"/>
        <v>640601.515798835</v>
      </c>
      <c r="N68" s="539">
        <f ca="1" t="shared" si="40"/>
        <v>628514.694746027</v>
      </c>
      <c r="O68" s="539">
        <f ca="1" t="shared" si="40"/>
        <v>616427.873693219</v>
      </c>
      <c r="P68" s="539">
        <f ca="1" t="shared" si="40"/>
        <v>604341.05264041</v>
      </c>
      <c r="Q68" s="539">
        <f ca="1" t="shared" si="40"/>
        <v>592254.231587602</v>
      </c>
      <c r="R68" s="539">
        <f ca="1" t="shared" si="40"/>
        <v>580167.410534794</v>
      </c>
      <c r="S68" s="539">
        <f ca="1" t="shared" si="40"/>
        <v>568080.589481986</v>
      </c>
      <c r="T68" s="539">
        <f ca="1" t="shared" si="40"/>
        <v>555993.768429178</v>
      </c>
      <c r="U68" s="539">
        <f ca="1" t="shared" si="40"/>
        <v>543906.947376369</v>
      </c>
      <c r="V68" s="539">
        <f ca="1" t="shared" si="40"/>
        <v>531820.126323561</v>
      </c>
      <c r="W68" s="539">
        <f ca="1" t="shared" si="40"/>
        <v>519733.305270753</v>
      </c>
      <c r="X68" s="539">
        <f ca="1" t="shared" si="40"/>
        <v>507646.484217945</v>
      </c>
      <c r="Y68" s="539">
        <f ca="1" t="shared" si="40"/>
        <v>495559.663165137</v>
      </c>
      <c r="Z68" s="539">
        <f ca="1" t="shared" si="40"/>
        <v>483472.842112328</v>
      </c>
      <c r="AA68" s="539">
        <f ca="1" t="shared" si="40"/>
        <v>471386.02105952</v>
      </c>
      <c r="AB68" s="539">
        <f ca="1" t="shared" si="40"/>
        <v>459299.200006712</v>
      </c>
      <c r="AC68" s="539">
        <f ca="1" t="shared" si="40"/>
        <v>447212.378953904</v>
      </c>
      <c r="AD68" s="539">
        <f ca="1" t="shared" si="40"/>
        <v>435125.557901096</v>
      </c>
      <c r="AE68" s="539">
        <f ca="1" t="shared" si="40"/>
        <v>423038.736848287</v>
      </c>
      <c r="AF68" s="539">
        <f ca="1" t="shared" si="40"/>
        <v>410951.915795479</v>
      </c>
      <c r="AG68" s="539">
        <f ca="1" t="shared" si="40"/>
        <v>398865.094742671</v>
      </c>
      <c r="AH68" s="539">
        <f ca="1" t="shared" si="40"/>
        <v>386778.273689863</v>
      </c>
      <c r="AI68" s="539">
        <f ca="1" t="shared" si="40"/>
        <v>374691.452637055</v>
      </c>
      <c r="AJ68" s="539">
        <f ca="1" t="shared" si="40"/>
        <v>362604.631584246</v>
      </c>
      <c r="AK68" s="539">
        <f ca="1" t="shared" si="40"/>
        <v>350517.810531438</v>
      </c>
      <c r="AL68" s="539">
        <f ca="1" t="shared" si="40"/>
        <v>338430.98947863</v>
      </c>
      <c r="AM68" s="539">
        <f ca="1" t="shared" si="40"/>
        <v>326344.168425822</v>
      </c>
      <c r="AN68" s="539">
        <f ca="1" t="shared" ref="AN68:BM68" si="41">AM73</f>
        <v>314257.347373014</v>
      </c>
      <c r="AO68" s="539">
        <f ca="1" t="shared" si="41"/>
        <v>302170.526320205</v>
      </c>
      <c r="AP68" s="539">
        <f ca="1" t="shared" si="41"/>
        <v>290083.705267397</v>
      </c>
      <c r="AQ68" s="539">
        <f ca="1" t="shared" si="41"/>
        <v>277996.884214589</v>
      </c>
      <c r="AR68" s="539">
        <f ca="1" t="shared" si="41"/>
        <v>265910.063161781</v>
      </c>
      <c r="AS68" s="539">
        <f ca="1" t="shared" si="41"/>
        <v>253823.242108973</v>
      </c>
      <c r="AT68" s="539">
        <f ca="1" t="shared" si="41"/>
        <v>241736.421056164</v>
      </c>
      <c r="AU68" s="539">
        <f ca="1" t="shared" si="41"/>
        <v>229649.600003356</v>
      </c>
      <c r="AV68" s="539">
        <f ca="1" t="shared" si="41"/>
        <v>217562.778950548</v>
      </c>
      <c r="AW68" s="539">
        <f ca="1" t="shared" si="41"/>
        <v>205475.95789774</v>
      </c>
      <c r="AX68" s="539">
        <f ca="1" t="shared" si="41"/>
        <v>193389.136844932</v>
      </c>
      <c r="AY68" s="539">
        <f ca="1" t="shared" si="41"/>
        <v>181302.315792123</v>
      </c>
      <c r="AZ68" s="539">
        <f ca="1" t="shared" si="41"/>
        <v>169215.494739315</v>
      </c>
      <c r="BA68" s="539">
        <f ca="1" t="shared" si="41"/>
        <v>157128.673686507</v>
      </c>
      <c r="BB68" s="539">
        <f ca="1" t="shared" si="41"/>
        <v>145041.852633699</v>
      </c>
      <c r="BC68" s="539">
        <f ca="1" t="shared" si="41"/>
        <v>132955.031580891</v>
      </c>
      <c r="BD68" s="539">
        <f ca="1" t="shared" si="41"/>
        <v>120868.210528082</v>
      </c>
      <c r="BE68" s="539">
        <f ca="1" t="shared" si="41"/>
        <v>108781.389475274</v>
      </c>
      <c r="BF68" s="539">
        <f ca="1" t="shared" si="41"/>
        <v>96694.5684224661</v>
      </c>
      <c r="BG68" s="539">
        <f ca="1" t="shared" si="41"/>
        <v>84607.7473696579</v>
      </c>
      <c r="BH68" s="539">
        <f ca="1" t="shared" si="41"/>
        <v>72520.9263168497</v>
      </c>
      <c r="BI68" s="539">
        <f ca="1" t="shared" si="41"/>
        <v>60434.1052640414</v>
      </c>
      <c r="BJ68" s="539">
        <f ca="1" t="shared" si="41"/>
        <v>48347.2842112332</v>
      </c>
      <c r="BK68" s="539">
        <f ca="1" t="shared" si="41"/>
        <v>36260.463158425</v>
      </c>
      <c r="BL68" s="539">
        <f ca="1" t="shared" si="41"/>
        <v>24173.6421056168</v>
      </c>
      <c r="BM68" s="540">
        <f ca="1" t="shared" si="41"/>
        <v>12086.8210528086</v>
      </c>
    </row>
    <row r="69" spans="2:65">
      <c r="B69" s="503"/>
      <c r="C69" s="549"/>
      <c r="D69" s="144" t="s">
        <v>536</v>
      </c>
      <c r="E69" s="542"/>
      <c r="F69" s="542">
        <v>0</v>
      </c>
      <c r="G69" s="542">
        <v>0</v>
      </c>
      <c r="H69" s="542">
        <v>0</v>
      </c>
      <c r="I69" s="542">
        <v>0</v>
      </c>
      <c r="J69" s="542">
        <v>0</v>
      </c>
      <c r="K69" s="542">
        <v>0</v>
      </c>
      <c r="L69" s="542">
        <v>0</v>
      </c>
      <c r="M69" s="542">
        <v>0</v>
      </c>
      <c r="N69" s="542">
        <v>0</v>
      </c>
      <c r="O69" s="542">
        <v>0</v>
      </c>
      <c r="P69" s="542">
        <v>0</v>
      </c>
      <c r="Q69" s="542">
        <v>0</v>
      </c>
      <c r="R69" s="542">
        <v>0</v>
      </c>
      <c r="S69" s="542">
        <v>0</v>
      </c>
      <c r="T69" s="542">
        <v>0</v>
      </c>
      <c r="U69" s="542">
        <v>0</v>
      </c>
      <c r="V69" s="542">
        <v>0</v>
      </c>
      <c r="W69" s="542">
        <v>0</v>
      </c>
      <c r="X69" s="542">
        <v>0</v>
      </c>
      <c r="Y69" s="542">
        <v>0</v>
      </c>
      <c r="Z69" s="542">
        <v>0</v>
      </c>
      <c r="AA69" s="542">
        <v>0</v>
      </c>
      <c r="AB69" s="542">
        <v>0</v>
      </c>
      <c r="AC69" s="542">
        <v>0</v>
      </c>
      <c r="AD69" s="542">
        <v>0</v>
      </c>
      <c r="AE69" s="542">
        <v>0</v>
      </c>
      <c r="AF69" s="542">
        <v>0</v>
      </c>
      <c r="AG69" s="542">
        <v>0</v>
      </c>
      <c r="AH69" s="542">
        <v>0</v>
      </c>
      <c r="AI69" s="542">
        <v>0</v>
      </c>
      <c r="AJ69" s="542">
        <v>0</v>
      </c>
      <c r="AK69" s="542">
        <v>0</v>
      </c>
      <c r="AL69" s="542">
        <v>0</v>
      </c>
      <c r="AM69" s="542">
        <v>0</v>
      </c>
      <c r="AN69" s="542">
        <v>0</v>
      </c>
      <c r="AO69" s="542">
        <v>0</v>
      </c>
      <c r="AP69" s="542">
        <v>0</v>
      </c>
      <c r="AQ69" s="542">
        <v>0</v>
      </c>
      <c r="AR69" s="542">
        <v>0</v>
      </c>
      <c r="AS69" s="542">
        <v>0</v>
      </c>
      <c r="AT69" s="542">
        <v>0</v>
      </c>
      <c r="AU69" s="542">
        <v>0</v>
      </c>
      <c r="AV69" s="542">
        <v>0</v>
      </c>
      <c r="AW69" s="542">
        <v>0</v>
      </c>
      <c r="AX69" s="542">
        <v>0</v>
      </c>
      <c r="AY69" s="542">
        <v>0</v>
      </c>
      <c r="AZ69" s="542">
        <v>0</v>
      </c>
      <c r="BA69" s="542">
        <v>0</v>
      </c>
      <c r="BB69" s="542">
        <v>0</v>
      </c>
      <c r="BC69" s="542">
        <v>0</v>
      </c>
      <c r="BD69" s="542">
        <v>0</v>
      </c>
      <c r="BE69" s="542">
        <v>0</v>
      </c>
      <c r="BF69" s="542">
        <v>0</v>
      </c>
      <c r="BG69" s="542">
        <v>0</v>
      </c>
      <c r="BH69" s="542">
        <v>0</v>
      </c>
      <c r="BI69" s="542">
        <v>0</v>
      </c>
      <c r="BJ69" s="542">
        <v>0</v>
      </c>
      <c r="BK69" s="542">
        <v>0</v>
      </c>
      <c r="BL69" s="542">
        <v>0</v>
      </c>
      <c r="BM69" s="543">
        <v>0</v>
      </c>
    </row>
    <row r="70" spans="2:65">
      <c r="B70" s="503"/>
      <c r="C70" s="549"/>
      <c r="D70" s="144" t="s">
        <v>537</v>
      </c>
      <c r="E70" s="544">
        <f ca="1" t="shared" si="33"/>
        <v>962987.250329862</v>
      </c>
      <c r="F70" s="542">
        <f ca="1">SUM(F71:F72)</f>
        <v>19882.8206318695</v>
      </c>
      <c r="G70" s="542">
        <f ca="1" t="shared" ref="G70:AL70" si="42">SUM(G71:G72)</f>
        <v>19752.8873055518</v>
      </c>
      <c r="H70" s="542">
        <f ca="1" t="shared" si="42"/>
        <v>19622.9539792341</v>
      </c>
      <c r="I70" s="542">
        <f ca="1" t="shared" si="42"/>
        <v>19493.0206529164</v>
      </c>
      <c r="J70" s="542">
        <f ca="1" t="shared" si="42"/>
        <v>19363.0873265987</v>
      </c>
      <c r="K70" s="542">
        <f ca="1" t="shared" si="42"/>
        <v>19233.1540002811</v>
      </c>
      <c r="L70" s="542">
        <f ca="1" t="shared" si="42"/>
        <v>19103.2206739634</v>
      </c>
      <c r="M70" s="542">
        <f ca="1" t="shared" si="42"/>
        <v>18973.2873476457</v>
      </c>
      <c r="N70" s="542">
        <f ca="1" t="shared" si="42"/>
        <v>18843.354021328</v>
      </c>
      <c r="O70" s="542">
        <f ca="1" t="shared" si="42"/>
        <v>18713.4206950103</v>
      </c>
      <c r="P70" s="542">
        <f ca="1" t="shared" si="42"/>
        <v>18583.4873686926</v>
      </c>
      <c r="Q70" s="542">
        <f ca="1" t="shared" si="42"/>
        <v>18453.5540423749</v>
      </c>
      <c r="R70" s="542">
        <f ca="1" t="shared" si="42"/>
        <v>18323.6207160572</v>
      </c>
      <c r="S70" s="542">
        <f ca="1" t="shared" si="42"/>
        <v>18193.6873897396</v>
      </c>
      <c r="T70" s="542">
        <f ca="1" t="shared" si="42"/>
        <v>18063.7540634219</v>
      </c>
      <c r="U70" s="542">
        <f ca="1" t="shared" si="42"/>
        <v>17933.8207371042</v>
      </c>
      <c r="V70" s="542">
        <f ca="1" t="shared" si="42"/>
        <v>17803.8874107865</v>
      </c>
      <c r="W70" s="542">
        <f ca="1" t="shared" si="42"/>
        <v>17673.9540844688</v>
      </c>
      <c r="X70" s="542">
        <f ca="1" t="shared" si="42"/>
        <v>17544.0207581511</v>
      </c>
      <c r="Y70" s="542">
        <f ca="1" t="shared" si="42"/>
        <v>17414.0874318334</v>
      </c>
      <c r="Z70" s="542">
        <f ca="1" t="shared" si="42"/>
        <v>17284.1541055157</v>
      </c>
      <c r="AA70" s="542">
        <f ca="1" t="shared" si="42"/>
        <v>17154.220779198</v>
      </c>
      <c r="AB70" s="542">
        <f ca="1" t="shared" si="42"/>
        <v>17024.2874528804</v>
      </c>
      <c r="AC70" s="542">
        <f ca="1" t="shared" si="42"/>
        <v>16894.3541265627</v>
      </c>
      <c r="AD70" s="542">
        <f ca="1" t="shared" si="42"/>
        <v>16764.420800245</v>
      </c>
      <c r="AE70" s="542">
        <f ca="1" t="shared" si="42"/>
        <v>16634.4874739273</v>
      </c>
      <c r="AF70" s="542">
        <f ca="1" t="shared" si="42"/>
        <v>16504.5541476096</v>
      </c>
      <c r="AG70" s="542">
        <f ca="1" t="shared" si="42"/>
        <v>16374.6208212919</v>
      </c>
      <c r="AH70" s="542">
        <f ca="1" t="shared" si="42"/>
        <v>16244.6874949742</v>
      </c>
      <c r="AI70" s="542">
        <f ca="1" t="shared" si="42"/>
        <v>16114.7541686565</v>
      </c>
      <c r="AJ70" s="542">
        <f ca="1" t="shared" si="42"/>
        <v>15984.8208423389</v>
      </c>
      <c r="AK70" s="542">
        <f ca="1" t="shared" si="42"/>
        <v>15854.8875160212</v>
      </c>
      <c r="AL70" s="542">
        <f ca="1" t="shared" si="42"/>
        <v>15724.9541897035</v>
      </c>
      <c r="AM70" s="542">
        <f ca="1" t="shared" ref="AM70:BM70" si="43">SUM(AM71:AM72)</f>
        <v>15595.0208633858</v>
      </c>
      <c r="AN70" s="542">
        <f ca="1" t="shared" si="43"/>
        <v>15465.0875370681</v>
      </c>
      <c r="AO70" s="542">
        <f ca="1" t="shared" si="43"/>
        <v>15335.1542107504</v>
      </c>
      <c r="AP70" s="542">
        <f ca="1" t="shared" si="43"/>
        <v>15205.2208844327</v>
      </c>
      <c r="AQ70" s="542">
        <f ca="1" t="shared" si="43"/>
        <v>15075.287558115</v>
      </c>
      <c r="AR70" s="542">
        <f ca="1" t="shared" si="43"/>
        <v>14945.3542317973</v>
      </c>
      <c r="AS70" s="542">
        <f ca="1" t="shared" si="43"/>
        <v>14815.4209054797</v>
      </c>
      <c r="AT70" s="542">
        <f ca="1" t="shared" si="43"/>
        <v>14685.487579162</v>
      </c>
      <c r="AU70" s="542">
        <f ca="1" t="shared" si="43"/>
        <v>14555.5542528443</v>
      </c>
      <c r="AV70" s="542">
        <f ca="1" t="shared" si="43"/>
        <v>14425.6209265266</v>
      </c>
      <c r="AW70" s="542">
        <f ca="1" t="shared" si="43"/>
        <v>14295.6876002089</v>
      </c>
      <c r="AX70" s="542">
        <f ca="1" t="shared" si="43"/>
        <v>14165.7542738912</v>
      </c>
      <c r="AY70" s="542">
        <f ca="1" t="shared" si="43"/>
        <v>14035.8209475735</v>
      </c>
      <c r="AZ70" s="542">
        <f ca="1" t="shared" si="43"/>
        <v>13905.8876212558</v>
      </c>
      <c r="BA70" s="542">
        <f ca="1" t="shared" si="43"/>
        <v>13775.9542949382</v>
      </c>
      <c r="BB70" s="542">
        <f ca="1" t="shared" si="43"/>
        <v>13646.0209686205</v>
      </c>
      <c r="BC70" s="542">
        <f ca="1" t="shared" si="43"/>
        <v>13516.0876423028</v>
      </c>
      <c r="BD70" s="542">
        <f ca="1" t="shared" si="43"/>
        <v>13386.1543159851</v>
      </c>
      <c r="BE70" s="542">
        <f ca="1" t="shared" si="43"/>
        <v>13256.2209896674</v>
      </c>
      <c r="BF70" s="542">
        <f ca="1" t="shared" si="43"/>
        <v>13126.2876633497</v>
      </c>
      <c r="BG70" s="542">
        <f ca="1" t="shared" si="43"/>
        <v>12996.354337032</v>
      </c>
      <c r="BH70" s="542">
        <f ca="1" t="shared" si="43"/>
        <v>12866.4210107143</v>
      </c>
      <c r="BI70" s="542">
        <f ca="1" t="shared" si="43"/>
        <v>12736.4876843967</v>
      </c>
      <c r="BJ70" s="542">
        <f ca="1" t="shared" si="43"/>
        <v>12606.554358079</v>
      </c>
      <c r="BK70" s="542">
        <f ca="1" t="shared" si="43"/>
        <v>12476.6210317613</v>
      </c>
      <c r="BL70" s="542">
        <f ca="1" t="shared" si="43"/>
        <v>12346.6877054436</v>
      </c>
      <c r="BM70" s="543">
        <f ca="1" t="shared" si="43"/>
        <v>12216.7543791259</v>
      </c>
    </row>
    <row r="71" spans="2:65">
      <c r="B71" s="503"/>
      <c r="C71" s="549"/>
      <c r="D71" s="145" t="s">
        <v>538</v>
      </c>
      <c r="E71" s="542">
        <f ca="1" t="shared" si="33"/>
        <v>725209.263168492</v>
      </c>
      <c r="F71" s="542">
        <f ca="1">$D$55/$D$53</f>
        <v>12086.8210528082</v>
      </c>
      <c r="G71" s="542">
        <f ca="1" t="shared" ref="G71:P71" si="44">$D$55/$D$53</f>
        <v>12086.8210528082</v>
      </c>
      <c r="H71" s="542">
        <f ca="1" t="shared" si="44"/>
        <v>12086.8210528082</v>
      </c>
      <c r="I71" s="542">
        <f ca="1" t="shared" si="44"/>
        <v>12086.8210528082</v>
      </c>
      <c r="J71" s="542">
        <f ca="1" t="shared" si="44"/>
        <v>12086.8210528082</v>
      </c>
      <c r="K71" s="542">
        <f ca="1" t="shared" si="44"/>
        <v>12086.8210528082</v>
      </c>
      <c r="L71" s="542">
        <f ca="1" t="shared" si="44"/>
        <v>12086.8210528082</v>
      </c>
      <c r="M71" s="542">
        <f ca="1" t="shared" si="44"/>
        <v>12086.8210528082</v>
      </c>
      <c r="N71" s="542">
        <f ca="1" t="shared" si="44"/>
        <v>12086.8210528082</v>
      </c>
      <c r="O71" s="542">
        <f ca="1" t="shared" si="44"/>
        <v>12086.8210528082</v>
      </c>
      <c r="P71" s="542">
        <f ca="1" t="shared" si="44"/>
        <v>12086.8210528082</v>
      </c>
      <c r="Q71" s="542">
        <f ca="1" t="shared" ref="Q71:Z71" si="45">$D$55/$D$53</f>
        <v>12086.8210528082</v>
      </c>
      <c r="R71" s="542">
        <f ca="1" t="shared" si="45"/>
        <v>12086.8210528082</v>
      </c>
      <c r="S71" s="542">
        <f ca="1" t="shared" si="45"/>
        <v>12086.8210528082</v>
      </c>
      <c r="T71" s="542">
        <f ca="1" t="shared" si="45"/>
        <v>12086.8210528082</v>
      </c>
      <c r="U71" s="542">
        <f ca="1" t="shared" si="45"/>
        <v>12086.8210528082</v>
      </c>
      <c r="V71" s="542">
        <f ca="1" t="shared" si="45"/>
        <v>12086.8210528082</v>
      </c>
      <c r="W71" s="542">
        <f ca="1" t="shared" si="45"/>
        <v>12086.8210528082</v>
      </c>
      <c r="X71" s="542">
        <f ca="1" t="shared" si="45"/>
        <v>12086.8210528082</v>
      </c>
      <c r="Y71" s="542">
        <f ca="1" t="shared" si="45"/>
        <v>12086.8210528082</v>
      </c>
      <c r="Z71" s="542">
        <f ca="1" t="shared" si="45"/>
        <v>12086.8210528082</v>
      </c>
      <c r="AA71" s="542">
        <f ca="1" t="shared" ref="AA71:AJ71" si="46">$D$55/$D$53</f>
        <v>12086.8210528082</v>
      </c>
      <c r="AB71" s="542">
        <f ca="1" t="shared" si="46"/>
        <v>12086.8210528082</v>
      </c>
      <c r="AC71" s="542">
        <f ca="1" t="shared" si="46"/>
        <v>12086.8210528082</v>
      </c>
      <c r="AD71" s="542">
        <f ca="1" t="shared" si="46"/>
        <v>12086.8210528082</v>
      </c>
      <c r="AE71" s="542">
        <f ca="1" t="shared" si="46"/>
        <v>12086.8210528082</v>
      </c>
      <c r="AF71" s="542">
        <f ca="1" t="shared" si="46"/>
        <v>12086.8210528082</v>
      </c>
      <c r="AG71" s="542">
        <f ca="1" t="shared" si="46"/>
        <v>12086.8210528082</v>
      </c>
      <c r="AH71" s="542">
        <f ca="1" t="shared" si="46"/>
        <v>12086.8210528082</v>
      </c>
      <c r="AI71" s="542">
        <f ca="1" t="shared" si="46"/>
        <v>12086.8210528082</v>
      </c>
      <c r="AJ71" s="542">
        <f ca="1" t="shared" si="46"/>
        <v>12086.8210528082</v>
      </c>
      <c r="AK71" s="542">
        <f ca="1" t="shared" ref="AK71:AT71" si="47">$D$55/$D$53</f>
        <v>12086.8210528082</v>
      </c>
      <c r="AL71" s="542">
        <f ca="1" t="shared" si="47"/>
        <v>12086.8210528082</v>
      </c>
      <c r="AM71" s="542">
        <f ca="1" t="shared" si="47"/>
        <v>12086.8210528082</v>
      </c>
      <c r="AN71" s="542">
        <f ca="1" t="shared" si="47"/>
        <v>12086.8210528082</v>
      </c>
      <c r="AO71" s="542">
        <f ca="1" t="shared" si="47"/>
        <v>12086.8210528082</v>
      </c>
      <c r="AP71" s="542">
        <f ca="1" t="shared" si="47"/>
        <v>12086.8210528082</v>
      </c>
      <c r="AQ71" s="542">
        <f ca="1" t="shared" si="47"/>
        <v>12086.8210528082</v>
      </c>
      <c r="AR71" s="542">
        <f ca="1" t="shared" si="47"/>
        <v>12086.8210528082</v>
      </c>
      <c r="AS71" s="542">
        <f ca="1" t="shared" si="47"/>
        <v>12086.8210528082</v>
      </c>
      <c r="AT71" s="542">
        <f ca="1" t="shared" si="47"/>
        <v>12086.8210528082</v>
      </c>
      <c r="AU71" s="542">
        <f ca="1" t="shared" ref="AU71:BD71" si="48">$D$55/$D$53</f>
        <v>12086.8210528082</v>
      </c>
      <c r="AV71" s="542">
        <f ca="1" t="shared" si="48"/>
        <v>12086.8210528082</v>
      </c>
      <c r="AW71" s="542">
        <f ca="1" t="shared" si="48"/>
        <v>12086.8210528082</v>
      </c>
      <c r="AX71" s="542">
        <f ca="1" t="shared" si="48"/>
        <v>12086.8210528082</v>
      </c>
      <c r="AY71" s="542">
        <f ca="1" t="shared" si="48"/>
        <v>12086.8210528082</v>
      </c>
      <c r="AZ71" s="542">
        <f ca="1" t="shared" si="48"/>
        <v>12086.8210528082</v>
      </c>
      <c r="BA71" s="542">
        <f ca="1" t="shared" si="48"/>
        <v>12086.8210528082</v>
      </c>
      <c r="BB71" s="542">
        <f ca="1" t="shared" si="48"/>
        <v>12086.8210528082</v>
      </c>
      <c r="BC71" s="542">
        <f ca="1" t="shared" si="48"/>
        <v>12086.8210528082</v>
      </c>
      <c r="BD71" s="542">
        <f ca="1" t="shared" si="48"/>
        <v>12086.8210528082</v>
      </c>
      <c r="BE71" s="542">
        <f ca="1" t="shared" ref="BE71:BM71" si="49">$D$55/$D$53</f>
        <v>12086.8210528082</v>
      </c>
      <c r="BF71" s="542">
        <f ca="1" t="shared" si="49"/>
        <v>12086.8210528082</v>
      </c>
      <c r="BG71" s="542">
        <f ca="1" t="shared" si="49"/>
        <v>12086.8210528082</v>
      </c>
      <c r="BH71" s="542">
        <f ca="1" t="shared" si="49"/>
        <v>12086.8210528082</v>
      </c>
      <c r="BI71" s="542">
        <f ca="1" t="shared" si="49"/>
        <v>12086.8210528082</v>
      </c>
      <c r="BJ71" s="542">
        <f ca="1" t="shared" si="49"/>
        <v>12086.8210528082</v>
      </c>
      <c r="BK71" s="542">
        <f ca="1" t="shared" si="49"/>
        <v>12086.8210528082</v>
      </c>
      <c r="BL71" s="542">
        <f ca="1" t="shared" si="49"/>
        <v>12086.8210528082</v>
      </c>
      <c r="BM71" s="543">
        <f ca="1" t="shared" si="49"/>
        <v>12086.8210528082</v>
      </c>
    </row>
    <row r="72" spans="2:65">
      <c r="B72" s="503"/>
      <c r="C72" s="549"/>
      <c r="D72" s="33" t="s">
        <v>539</v>
      </c>
      <c r="E72" s="542">
        <f ca="1" t="shared" si="33"/>
        <v>237777.98716137</v>
      </c>
      <c r="F72" s="542">
        <f ca="1">(F68+F69/2)*$D$56</f>
        <v>7795.99957906129</v>
      </c>
      <c r="G72" s="542">
        <f ca="1" t="shared" ref="G72:AL72" si="50">(G68+G69/2)*$D$56</f>
        <v>7666.0662527436</v>
      </c>
      <c r="H72" s="542">
        <f ca="1" t="shared" si="50"/>
        <v>7536.13292642592</v>
      </c>
      <c r="I72" s="542">
        <f ca="1" t="shared" si="50"/>
        <v>7406.19960010823</v>
      </c>
      <c r="J72" s="542">
        <f ca="1" t="shared" si="50"/>
        <v>7276.26627379054</v>
      </c>
      <c r="K72" s="542">
        <f ca="1" t="shared" si="50"/>
        <v>7146.33294747285</v>
      </c>
      <c r="L72" s="542">
        <f ca="1" t="shared" si="50"/>
        <v>7016.39962115516</v>
      </c>
      <c r="M72" s="542">
        <f ca="1" t="shared" si="50"/>
        <v>6886.46629483748</v>
      </c>
      <c r="N72" s="542">
        <f ca="1" t="shared" si="50"/>
        <v>6756.53296851979</v>
      </c>
      <c r="O72" s="542">
        <f ca="1" t="shared" si="50"/>
        <v>6626.5996422021</v>
      </c>
      <c r="P72" s="542">
        <f ca="1" t="shared" si="50"/>
        <v>6496.66631588441</v>
      </c>
      <c r="Q72" s="542">
        <f ca="1" t="shared" si="50"/>
        <v>6366.73298956672</v>
      </c>
      <c r="R72" s="542">
        <f ca="1" t="shared" si="50"/>
        <v>6236.79966324903</v>
      </c>
      <c r="S72" s="542">
        <f ca="1" t="shared" si="50"/>
        <v>6106.86633693135</v>
      </c>
      <c r="T72" s="542">
        <f ca="1" t="shared" si="50"/>
        <v>5976.93301061366</v>
      </c>
      <c r="U72" s="542">
        <f ca="1" t="shared" si="50"/>
        <v>5846.99968429597</v>
      </c>
      <c r="V72" s="542">
        <f ca="1" t="shared" si="50"/>
        <v>5717.06635797828</v>
      </c>
      <c r="W72" s="542">
        <f ca="1" t="shared" si="50"/>
        <v>5587.13303166059</v>
      </c>
      <c r="X72" s="542">
        <f ca="1" t="shared" si="50"/>
        <v>5457.19970534291</v>
      </c>
      <c r="Y72" s="542">
        <f ca="1" t="shared" si="50"/>
        <v>5327.26637902522</v>
      </c>
      <c r="Z72" s="542">
        <f ca="1" t="shared" si="50"/>
        <v>5197.33305270753</v>
      </c>
      <c r="AA72" s="542">
        <f ca="1" t="shared" si="50"/>
        <v>5067.39972638984</v>
      </c>
      <c r="AB72" s="542">
        <f ca="1" t="shared" si="50"/>
        <v>4937.46640007215</v>
      </c>
      <c r="AC72" s="542">
        <f ca="1" t="shared" si="50"/>
        <v>4807.53307375447</v>
      </c>
      <c r="AD72" s="542">
        <f ca="1" t="shared" si="50"/>
        <v>4677.59974743678</v>
      </c>
      <c r="AE72" s="542">
        <f ca="1" t="shared" si="50"/>
        <v>4547.66642111909</v>
      </c>
      <c r="AF72" s="542">
        <f ca="1" t="shared" si="50"/>
        <v>4417.7330948014</v>
      </c>
      <c r="AG72" s="542">
        <f ca="1" t="shared" si="50"/>
        <v>4287.79976848371</v>
      </c>
      <c r="AH72" s="542">
        <f ca="1" t="shared" si="50"/>
        <v>4157.86644216603</v>
      </c>
      <c r="AI72" s="542">
        <f ca="1" t="shared" si="50"/>
        <v>4027.93311584834</v>
      </c>
      <c r="AJ72" s="542">
        <f ca="1" t="shared" si="50"/>
        <v>3897.99978953065</v>
      </c>
      <c r="AK72" s="542">
        <f ca="1" t="shared" si="50"/>
        <v>3768.06646321296</v>
      </c>
      <c r="AL72" s="542">
        <f ca="1" t="shared" si="50"/>
        <v>3638.13313689527</v>
      </c>
      <c r="AM72" s="542">
        <f ca="1" t="shared" ref="AM72:BM72" si="51">(AM68+AM69/2)*$D$56</f>
        <v>3508.19981057758</v>
      </c>
      <c r="AN72" s="542">
        <f ca="1" t="shared" si="51"/>
        <v>3378.2664842599</v>
      </c>
      <c r="AO72" s="542">
        <f ca="1" t="shared" si="51"/>
        <v>3248.33315794221</v>
      </c>
      <c r="AP72" s="542">
        <f ca="1" t="shared" si="51"/>
        <v>3118.39983162452</v>
      </c>
      <c r="AQ72" s="542">
        <f ca="1" t="shared" si="51"/>
        <v>2988.46650530683</v>
      </c>
      <c r="AR72" s="542">
        <f ca="1" t="shared" si="51"/>
        <v>2858.53317898914</v>
      </c>
      <c r="AS72" s="542">
        <f ca="1" t="shared" si="51"/>
        <v>2728.59985267146</v>
      </c>
      <c r="AT72" s="542">
        <f ca="1" t="shared" si="51"/>
        <v>2598.66652635377</v>
      </c>
      <c r="AU72" s="542">
        <f ca="1" t="shared" si="51"/>
        <v>2468.73320003608</v>
      </c>
      <c r="AV72" s="542">
        <f ca="1" t="shared" si="51"/>
        <v>2338.79987371839</v>
      </c>
      <c r="AW72" s="542">
        <f ca="1" t="shared" si="51"/>
        <v>2208.8665474007</v>
      </c>
      <c r="AX72" s="542">
        <f ca="1" t="shared" si="51"/>
        <v>2078.93322108301</v>
      </c>
      <c r="AY72" s="542">
        <f ca="1" t="shared" si="51"/>
        <v>1948.99989476533</v>
      </c>
      <c r="AZ72" s="542">
        <f ca="1" t="shared" si="51"/>
        <v>1819.06656844764</v>
      </c>
      <c r="BA72" s="542">
        <f ca="1" t="shared" si="51"/>
        <v>1689.13324212995</v>
      </c>
      <c r="BB72" s="542">
        <f ca="1" t="shared" si="51"/>
        <v>1559.19991581226</v>
      </c>
      <c r="BC72" s="542">
        <f ca="1" t="shared" si="51"/>
        <v>1429.26658949457</v>
      </c>
      <c r="BD72" s="542">
        <f ca="1" t="shared" si="51"/>
        <v>1299.33326317689</v>
      </c>
      <c r="BE72" s="542">
        <f ca="1" t="shared" si="51"/>
        <v>1169.3999368592</v>
      </c>
      <c r="BF72" s="542">
        <f ca="1" t="shared" si="51"/>
        <v>1039.46661054151</v>
      </c>
      <c r="BG72" s="542">
        <f ca="1" t="shared" si="51"/>
        <v>909.533284223822</v>
      </c>
      <c r="BH72" s="542">
        <f ca="1" t="shared" si="51"/>
        <v>779.599957906134</v>
      </c>
      <c r="BI72" s="542">
        <f ca="1" t="shared" si="51"/>
        <v>649.666631588446</v>
      </c>
      <c r="BJ72" s="542">
        <f ca="1" t="shared" si="51"/>
        <v>519.733305270757</v>
      </c>
      <c r="BK72" s="542">
        <f ca="1" t="shared" si="51"/>
        <v>389.799978953069</v>
      </c>
      <c r="BL72" s="542">
        <f ca="1" t="shared" si="51"/>
        <v>259.866652635381</v>
      </c>
      <c r="BM72" s="543">
        <f ca="1" t="shared" si="51"/>
        <v>129.933326317693</v>
      </c>
    </row>
    <row r="73" ht="17.25" spans="2:65">
      <c r="B73" s="550"/>
      <c r="C73" s="551"/>
      <c r="D73" s="163" t="s">
        <v>540</v>
      </c>
      <c r="E73" s="546">
        <f ca="1">BM73</f>
        <v>4.22005541622639e-10</v>
      </c>
      <c r="F73" s="546">
        <f ca="1">F68+F69-F71</f>
        <v>713122.442115684</v>
      </c>
      <c r="G73" s="546">
        <f ca="1" t="shared" ref="G73:AL73" si="52">G68+G69-G71</f>
        <v>701035.621062876</v>
      </c>
      <c r="H73" s="546">
        <f ca="1" t="shared" si="52"/>
        <v>688948.800010068</v>
      </c>
      <c r="I73" s="546">
        <f ca="1" t="shared" si="52"/>
        <v>676861.97895726</v>
      </c>
      <c r="J73" s="546">
        <f ca="1" t="shared" si="52"/>
        <v>664775.157904451</v>
      </c>
      <c r="K73" s="546">
        <f ca="1" t="shared" si="52"/>
        <v>652688.336851643</v>
      </c>
      <c r="L73" s="546">
        <f ca="1" t="shared" si="52"/>
        <v>640601.515798835</v>
      </c>
      <c r="M73" s="546">
        <f ca="1" t="shared" si="52"/>
        <v>628514.694746027</v>
      </c>
      <c r="N73" s="546">
        <f ca="1" t="shared" si="52"/>
        <v>616427.873693219</v>
      </c>
      <c r="O73" s="546">
        <f ca="1" t="shared" si="52"/>
        <v>604341.05264041</v>
      </c>
      <c r="P73" s="546">
        <f ca="1" t="shared" si="52"/>
        <v>592254.231587602</v>
      </c>
      <c r="Q73" s="546">
        <f ca="1" t="shared" si="52"/>
        <v>580167.410534794</v>
      </c>
      <c r="R73" s="546">
        <f ca="1" t="shared" si="52"/>
        <v>568080.589481986</v>
      </c>
      <c r="S73" s="546">
        <f ca="1" t="shared" si="52"/>
        <v>555993.768429178</v>
      </c>
      <c r="T73" s="546">
        <f ca="1" t="shared" si="52"/>
        <v>543906.947376369</v>
      </c>
      <c r="U73" s="546">
        <f ca="1" t="shared" si="52"/>
        <v>531820.126323561</v>
      </c>
      <c r="V73" s="546">
        <f ca="1" t="shared" si="52"/>
        <v>519733.305270753</v>
      </c>
      <c r="W73" s="546">
        <f ca="1" t="shared" si="52"/>
        <v>507646.484217945</v>
      </c>
      <c r="X73" s="546">
        <f ca="1" t="shared" si="52"/>
        <v>495559.663165137</v>
      </c>
      <c r="Y73" s="546">
        <f ca="1" t="shared" si="52"/>
        <v>483472.842112328</v>
      </c>
      <c r="Z73" s="546">
        <f ca="1" t="shared" si="52"/>
        <v>471386.02105952</v>
      </c>
      <c r="AA73" s="546">
        <f ca="1" t="shared" si="52"/>
        <v>459299.200006712</v>
      </c>
      <c r="AB73" s="546">
        <f ca="1" t="shared" si="52"/>
        <v>447212.378953904</v>
      </c>
      <c r="AC73" s="546">
        <f ca="1" t="shared" si="52"/>
        <v>435125.557901096</v>
      </c>
      <c r="AD73" s="546">
        <f ca="1" t="shared" si="52"/>
        <v>423038.736848287</v>
      </c>
      <c r="AE73" s="546">
        <f ca="1" t="shared" si="52"/>
        <v>410951.915795479</v>
      </c>
      <c r="AF73" s="546">
        <f ca="1" t="shared" si="52"/>
        <v>398865.094742671</v>
      </c>
      <c r="AG73" s="546">
        <f ca="1" t="shared" si="52"/>
        <v>386778.273689863</v>
      </c>
      <c r="AH73" s="546">
        <f ca="1" t="shared" si="52"/>
        <v>374691.452637055</v>
      </c>
      <c r="AI73" s="546">
        <f ca="1" t="shared" si="52"/>
        <v>362604.631584246</v>
      </c>
      <c r="AJ73" s="546">
        <f ca="1" t="shared" si="52"/>
        <v>350517.810531438</v>
      </c>
      <c r="AK73" s="546">
        <f ca="1" t="shared" si="52"/>
        <v>338430.98947863</v>
      </c>
      <c r="AL73" s="546">
        <f ca="1" t="shared" si="52"/>
        <v>326344.168425822</v>
      </c>
      <c r="AM73" s="546">
        <f ca="1" t="shared" ref="AM73:BM73" si="53">AM68+AM69-AM71</f>
        <v>314257.347373014</v>
      </c>
      <c r="AN73" s="546">
        <f ca="1" t="shared" si="53"/>
        <v>302170.526320205</v>
      </c>
      <c r="AO73" s="546">
        <f ca="1" t="shared" si="53"/>
        <v>290083.705267397</v>
      </c>
      <c r="AP73" s="546">
        <f ca="1" t="shared" si="53"/>
        <v>277996.884214589</v>
      </c>
      <c r="AQ73" s="546">
        <f ca="1" t="shared" si="53"/>
        <v>265910.063161781</v>
      </c>
      <c r="AR73" s="546">
        <f ca="1" t="shared" si="53"/>
        <v>253823.242108973</v>
      </c>
      <c r="AS73" s="546">
        <f ca="1" t="shared" si="53"/>
        <v>241736.421056164</v>
      </c>
      <c r="AT73" s="546">
        <f ca="1" t="shared" si="53"/>
        <v>229649.600003356</v>
      </c>
      <c r="AU73" s="546">
        <f ca="1" t="shared" si="53"/>
        <v>217562.778950548</v>
      </c>
      <c r="AV73" s="546">
        <f ca="1" t="shared" si="53"/>
        <v>205475.95789774</v>
      </c>
      <c r="AW73" s="546">
        <f ca="1" t="shared" si="53"/>
        <v>193389.136844932</v>
      </c>
      <c r="AX73" s="546">
        <f ca="1" t="shared" si="53"/>
        <v>181302.315792123</v>
      </c>
      <c r="AY73" s="546">
        <f ca="1" t="shared" si="53"/>
        <v>169215.494739315</v>
      </c>
      <c r="AZ73" s="546">
        <f ca="1" t="shared" si="53"/>
        <v>157128.673686507</v>
      </c>
      <c r="BA73" s="546">
        <f ca="1" t="shared" si="53"/>
        <v>145041.852633699</v>
      </c>
      <c r="BB73" s="546">
        <f ca="1" t="shared" si="53"/>
        <v>132955.031580891</v>
      </c>
      <c r="BC73" s="546">
        <f ca="1" t="shared" si="53"/>
        <v>120868.210528082</v>
      </c>
      <c r="BD73" s="546">
        <f ca="1" t="shared" si="53"/>
        <v>108781.389475274</v>
      </c>
      <c r="BE73" s="546">
        <f ca="1" t="shared" si="53"/>
        <v>96694.5684224661</v>
      </c>
      <c r="BF73" s="546">
        <f ca="1" t="shared" si="53"/>
        <v>84607.7473696579</v>
      </c>
      <c r="BG73" s="546">
        <f ca="1" t="shared" si="53"/>
        <v>72520.9263168497</v>
      </c>
      <c r="BH73" s="546">
        <f ca="1" t="shared" si="53"/>
        <v>60434.1052640414</v>
      </c>
      <c r="BI73" s="546">
        <f ca="1" t="shared" si="53"/>
        <v>48347.2842112332</v>
      </c>
      <c r="BJ73" s="546">
        <f ca="1" t="shared" si="53"/>
        <v>36260.463158425</v>
      </c>
      <c r="BK73" s="546">
        <f ca="1" t="shared" si="53"/>
        <v>24173.6421056168</v>
      </c>
      <c r="BL73" s="546">
        <f ca="1" t="shared" si="53"/>
        <v>12086.8210528086</v>
      </c>
      <c r="BM73" s="547">
        <f ca="1" t="shared" si="53"/>
        <v>4.22005541622639e-10</v>
      </c>
    </row>
    <row r="74" ht="17.25" spans="2:65">
      <c r="B74" s="92"/>
      <c r="C74" s="552"/>
      <c r="D74" s="553"/>
      <c r="E74" s="92"/>
      <c r="F74" s="554"/>
      <c r="G74" s="554"/>
      <c r="H74" s="554"/>
      <c r="I74" s="554"/>
      <c r="J74" s="554"/>
      <c r="K74" s="554"/>
      <c r="L74" s="554"/>
      <c r="M74" s="554"/>
      <c r="N74" s="554"/>
      <c r="O74" s="554"/>
      <c r="P74" s="554"/>
      <c r="Q74" s="554"/>
      <c r="R74" s="554"/>
      <c r="S74" s="554"/>
      <c r="T74" s="554"/>
      <c r="U74" s="554"/>
      <c r="V74" s="554"/>
      <c r="W74" s="554"/>
      <c r="X74" s="554"/>
      <c r="Y74" s="554"/>
      <c r="Z74" s="554"/>
      <c r="AA74" s="554"/>
      <c r="AB74" s="554"/>
      <c r="AC74" s="554"/>
      <c r="AD74" s="554"/>
      <c r="AE74" s="554"/>
      <c r="AF74" s="554"/>
      <c r="AG74" s="554"/>
      <c r="AH74" s="554"/>
      <c r="AI74" s="554"/>
      <c r="AJ74" s="554"/>
      <c r="AK74" s="554"/>
      <c r="AL74" s="554"/>
      <c r="AM74" s="554"/>
      <c r="AN74" s="554"/>
      <c r="AO74" s="554"/>
      <c r="AP74" s="554"/>
      <c r="AQ74" s="554"/>
      <c r="AR74" s="554"/>
      <c r="AS74" s="554"/>
      <c r="AT74" s="554"/>
      <c r="AU74" s="554"/>
      <c r="AV74" s="554"/>
      <c r="AW74" s="554"/>
      <c r="AX74" s="554"/>
      <c r="AY74" s="554"/>
      <c r="AZ74" s="554"/>
      <c r="BA74" s="554"/>
    </row>
    <row r="75" spans="2:65">
      <c r="B75" s="555" t="s">
        <v>542</v>
      </c>
      <c r="C75" s="497" t="s">
        <v>13</v>
      </c>
      <c r="D75" s="498">
        <f>参数输入表!I5</f>
        <v>44958</v>
      </c>
      <c r="E75" s="499"/>
      <c r="G75" s="501"/>
      <c r="H75" s="501"/>
      <c r="I75" s="501"/>
      <c r="J75" s="501"/>
      <c r="K75" s="501"/>
      <c r="L75" s="501"/>
      <c r="M75" s="501"/>
      <c r="N75" s="501"/>
      <c r="O75" s="501"/>
      <c r="P75" s="501"/>
      <c r="Q75" s="501"/>
      <c r="R75" s="501"/>
      <c r="S75" s="502"/>
      <c r="T75" s="502"/>
      <c r="U75" s="502"/>
      <c r="V75" s="502"/>
      <c r="W75" s="502"/>
    </row>
    <row r="76" spans="2:65">
      <c r="B76" s="556"/>
      <c r="C76" s="504" t="s">
        <v>196</v>
      </c>
      <c r="D76" s="505">
        <f>D47</f>
        <v>91</v>
      </c>
      <c r="E76" s="506" t="s">
        <v>25</v>
      </c>
      <c r="G76" s="501"/>
      <c r="H76" s="501"/>
      <c r="I76" s="501"/>
      <c r="J76" s="501"/>
      <c r="K76" s="501"/>
      <c r="L76" s="501"/>
      <c r="M76" s="501"/>
      <c r="N76" s="501"/>
      <c r="O76" s="501"/>
      <c r="P76" s="501"/>
      <c r="Q76" s="501"/>
      <c r="R76" s="501"/>
      <c r="S76" s="502"/>
      <c r="T76" s="502"/>
      <c r="U76" s="502"/>
      <c r="V76" s="502"/>
      <c r="W76" s="502"/>
    </row>
    <row r="77" spans="2:65">
      <c r="B77" s="556"/>
      <c r="C77" s="508"/>
      <c r="D77" s="509">
        <f>EDATE(D75,D76)-1</f>
        <v>47726</v>
      </c>
      <c r="E77" s="506" t="s">
        <v>518</v>
      </c>
      <c r="G77" s="501"/>
      <c r="H77" s="501"/>
      <c r="I77" s="501"/>
      <c r="J77" s="501"/>
      <c r="K77" s="501"/>
      <c r="L77" s="501"/>
      <c r="M77" s="501"/>
      <c r="N77" s="501"/>
      <c r="O77" s="501"/>
      <c r="P77" s="501"/>
      <c r="Q77" s="501"/>
      <c r="R77" s="501"/>
      <c r="S77" s="502"/>
      <c r="T77" s="502"/>
      <c r="U77" s="502"/>
      <c r="V77" s="502"/>
      <c r="W77" s="502"/>
    </row>
    <row r="78" spans="2:65">
      <c r="B78" s="556"/>
      <c r="C78" s="511" t="s">
        <v>519</v>
      </c>
      <c r="D78" s="512">
        <f>EDATE(D75,D76+D80)</f>
        <v>47908</v>
      </c>
      <c r="E78" s="513"/>
      <c r="G78" s="501"/>
      <c r="H78" s="501"/>
      <c r="I78" s="501"/>
      <c r="J78" s="501"/>
      <c r="K78" s="501"/>
      <c r="L78" s="501"/>
      <c r="M78" s="501"/>
      <c r="N78" s="501"/>
      <c r="O78" s="501"/>
      <c r="P78" s="501"/>
      <c r="Q78" s="501"/>
      <c r="R78" s="501"/>
      <c r="S78" s="502"/>
      <c r="T78" s="502"/>
      <c r="U78" s="502"/>
      <c r="V78" s="502"/>
      <c r="W78" s="502"/>
    </row>
    <row r="79" spans="2:65">
      <c r="B79" s="556"/>
      <c r="C79" s="511" t="s">
        <v>520</v>
      </c>
      <c r="D79" s="505">
        <f>参数输入表!I256</f>
        <v>15</v>
      </c>
      <c r="E79" s="506" t="s">
        <v>15</v>
      </c>
      <c r="G79" s="501"/>
      <c r="H79" s="501"/>
      <c r="I79" s="501"/>
      <c r="J79" s="501"/>
      <c r="K79" s="501"/>
      <c r="L79" s="501"/>
      <c r="M79" s="501"/>
      <c r="N79" s="501"/>
      <c r="O79" s="501"/>
      <c r="P79" s="501"/>
      <c r="Q79" s="501"/>
      <c r="R79" s="501"/>
      <c r="S79" s="502"/>
      <c r="T79" s="502"/>
      <c r="U79" s="502"/>
      <c r="V79" s="502"/>
      <c r="W79" s="502"/>
    </row>
    <row r="80" spans="2:65">
      <c r="B80" s="556"/>
      <c r="C80" s="511" t="s">
        <v>521</v>
      </c>
      <c r="D80" s="505">
        <v>6</v>
      </c>
      <c r="E80" s="506" t="s">
        <v>25</v>
      </c>
      <c r="G80" s="501"/>
      <c r="H80" s="501"/>
      <c r="I80" s="501"/>
      <c r="J80" s="501"/>
      <c r="K80" s="501"/>
      <c r="L80" s="501"/>
      <c r="M80" s="501"/>
      <c r="N80" s="501"/>
      <c r="O80" s="501"/>
      <c r="P80" s="501"/>
      <c r="Q80" s="501"/>
      <c r="R80" s="501"/>
      <c r="S80" s="502"/>
      <c r="T80" s="502"/>
      <c r="U80" s="502"/>
      <c r="V80" s="502"/>
      <c r="W80" s="502"/>
    </row>
    <row r="81" spans="2:53">
      <c r="B81" s="556"/>
      <c r="C81" s="511" t="s">
        <v>522</v>
      </c>
      <c r="D81" s="505">
        <f>12/D80</f>
        <v>2</v>
      </c>
      <c r="E81" s="506" t="s">
        <v>523</v>
      </c>
      <c r="G81" s="501"/>
      <c r="H81" s="501"/>
      <c r="I81" s="501"/>
      <c r="J81" s="501"/>
      <c r="K81" s="501"/>
      <c r="L81" s="501"/>
      <c r="M81" s="501"/>
      <c r="N81" s="501"/>
      <c r="O81" s="501"/>
      <c r="P81" s="501"/>
      <c r="Q81" s="501"/>
      <c r="R81" s="501"/>
      <c r="S81" s="502"/>
      <c r="T81" s="502"/>
      <c r="U81" s="502"/>
      <c r="V81" s="502"/>
      <c r="W81" s="502"/>
    </row>
    <row r="82" spans="2:53">
      <c r="B82" s="556"/>
      <c r="C82" s="511" t="s">
        <v>524</v>
      </c>
      <c r="D82" s="505">
        <f>D79*D81</f>
        <v>30</v>
      </c>
      <c r="E82" s="506" t="s">
        <v>525</v>
      </c>
      <c r="G82" s="501"/>
      <c r="H82" s="501"/>
      <c r="I82" s="501"/>
      <c r="J82" s="501"/>
      <c r="K82" s="501"/>
      <c r="L82" s="501"/>
      <c r="M82" s="501"/>
      <c r="N82" s="501"/>
      <c r="O82" s="501"/>
      <c r="P82" s="501"/>
      <c r="Q82" s="501"/>
      <c r="R82" s="501"/>
      <c r="S82" s="502"/>
      <c r="T82" s="502"/>
      <c r="U82" s="502"/>
      <c r="V82" s="502"/>
      <c r="W82" s="502"/>
    </row>
    <row r="83" spans="2:53">
      <c r="B83" s="556"/>
      <c r="C83" s="511" t="s">
        <v>526</v>
      </c>
      <c r="D83" s="509">
        <f>EDATE(D78,D79*12-D80)</f>
        <v>53206</v>
      </c>
      <c r="E83" s="514">
        <f>AI87</f>
        <v>53206</v>
      </c>
      <c r="G83" s="501"/>
      <c r="H83" s="501"/>
      <c r="I83" s="501"/>
      <c r="J83" s="501"/>
      <c r="K83" s="501"/>
      <c r="L83" s="501"/>
      <c r="M83" s="501"/>
      <c r="N83" s="501"/>
      <c r="O83" s="501"/>
      <c r="P83" s="501"/>
      <c r="Q83" s="501"/>
      <c r="R83" s="501"/>
      <c r="S83" s="502"/>
      <c r="T83" s="502"/>
      <c r="U83" s="502"/>
      <c r="V83" s="502"/>
      <c r="W83" s="502"/>
    </row>
    <row r="84" spans="2:53">
      <c r="B84" s="556"/>
      <c r="C84" s="511" t="s">
        <v>527</v>
      </c>
      <c r="D84" s="515">
        <f ca="1">SUM(D42:D43)</f>
        <v>725209.263168492</v>
      </c>
      <c r="E84" s="516" t="s">
        <v>130</v>
      </c>
      <c r="G84" s="501"/>
      <c r="H84" s="501"/>
      <c r="I84" s="501"/>
      <c r="J84" s="501"/>
      <c r="K84" s="501"/>
      <c r="L84" s="501"/>
      <c r="M84" s="501"/>
      <c r="N84" s="501"/>
      <c r="O84" s="501"/>
      <c r="P84" s="501"/>
      <c r="Q84" s="501"/>
      <c r="R84" s="501"/>
      <c r="S84" s="502"/>
      <c r="T84" s="502"/>
      <c r="U84" s="502"/>
      <c r="V84" s="502"/>
      <c r="W84" s="502"/>
    </row>
    <row r="85" ht="17.25" spans="2:53">
      <c r="B85" s="556"/>
      <c r="C85" s="517" t="s">
        <v>543</v>
      </c>
      <c r="D85" s="518">
        <f>参数输入表!$I$252/D81</f>
        <v>0.0215</v>
      </c>
      <c r="E85" s="519" t="s">
        <v>31</v>
      </c>
      <c r="G85" s="501"/>
      <c r="H85" s="501"/>
      <c r="I85" s="501"/>
      <c r="J85" s="501"/>
      <c r="K85" s="501"/>
      <c r="L85" s="501"/>
      <c r="M85" s="501"/>
      <c r="N85" s="501"/>
      <c r="O85" s="501"/>
      <c r="P85" s="501"/>
      <c r="Q85" s="501"/>
      <c r="R85" s="501"/>
      <c r="S85" s="502"/>
      <c r="T85" s="502"/>
      <c r="U85" s="502"/>
      <c r="V85" s="502"/>
      <c r="W85" s="502"/>
    </row>
    <row r="86" spans="2:53">
      <c r="B86" s="556"/>
      <c r="C86" s="497" t="s">
        <v>544</v>
      </c>
      <c r="D86" s="520" t="s">
        <v>530</v>
      </c>
      <c r="E86" s="521"/>
      <c r="F86" s="522">
        <v>1</v>
      </c>
      <c r="G86" s="522">
        <v>2</v>
      </c>
      <c r="H86" s="522">
        <v>3</v>
      </c>
      <c r="I86" s="522">
        <v>4</v>
      </c>
      <c r="J86" s="522">
        <v>5</v>
      </c>
      <c r="K86" s="522">
        <v>6</v>
      </c>
      <c r="L86" s="522">
        <v>7</v>
      </c>
      <c r="M86" s="522">
        <v>8</v>
      </c>
      <c r="N86" s="522">
        <v>9</v>
      </c>
      <c r="O86" s="522">
        <v>10</v>
      </c>
      <c r="P86" s="522">
        <v>11</v>
      </c>
      <c r="Q86" s="522">
        <v>12</v>
      </c>
      <c r="R86" s="522">
        <v>13</v>
      </c>
      <c r="S86" s="522">
        <v>14</v>
      </c>
      <c r="T86" s="522">
        <v>15</v>
      </c>
      <c r="U86" s="522">
        <v>16</v>
      </c>
      <c r="V86" s="522">
        <v>17</v>
      </c>
      <c r="W86" s="522">
        <v>18</v>
      </c>
      <c r="X86" s="522">
        <v>19</v>
      </c>
      <c r="Y86" s="522">
        <v>20</v>
      </c>
      <c r="Z86" s="522">
        <v>21</v>
      </c>
      <c r="AA86" s="522">
        <v>22</v>
      </c>
      <c r="AB86" s="522">
        <v>23</v>
      </c>
      <c r="AC86" s="522">
        <v>24</v>
      </c>
      <c r="AD86" s="522">
        <v>25</v>
      </c>
      <c r="AE86" s="522">
        <v>26</v>
      </c>
      <c r="AF86" s="522">
        <v>27</v>
      </c>
      <c r="AG86" s="522">
        <v>28</v>
      </c>
      <c r="AH86" s="522">
        <v>29</v>
      </c>
      <c r="AI86" s="522">
        <v>30</v>
      </c>
    </row>
    <row r="87" spans="2:53">
      <c r="B87" s="556"/>
      <c r="C87" s="511"/>
      <c r="D87" s="524" t="s">
        <v>545</v>
      </c>
      <c r="E87" s="525"/>
      <c r="F87" s="509">
        <f>D78</f>
        <v>47908</v>
      </c>
      <c r="G87" s="509">
        <f>EDATE(F87,$D$80)</f>
        <v>48092</v>
      </c>
      <c r="H87" s="509">
        <f t="shared" ref="H87:AI87" si="54">EDATE(G87,$D$80)</f>
        <v>48274</v>
      </c>
      <c r="I87" s="509">
        <f t="shared" si="54"/>
        <v>48458</v>
      </c>
      <c r="J87" s="509">
        <f t="shared" si="54"/>
        <v>48639</v>
      </c>
      <c r="K87" s="509">
        <f t="shared" si="54"/>
        <v>48823</v>
      </c>
      <c r="L87" s="509">
        <f t="shared" si="54"/>
        <v>49004</v>
      </c>
      <c r="M87" s="509">
        <f t="shared" si="54"/>
        <v>49188</v>
      </c>
      <c r="N87" s="509">
        <f t="shared" si="54"/>
        <v>49369</v>
      </c>
      <c r="O87" s="509">
        <f t="shared" si="54"/>
        <v>49553</v>
      </c>
      <c r="P87" s="509">
        <f t="shared" si="54"/>
        <v>49735</v>
      </c>
      <c r="Q87" s="509">
        <f t="shared" si="54"/>
        <v>49919</v>
      </c>
      <c r="R87" s="509">
        <f t="shared" si="54"/>
        <v>50100</v>
      </c>
      <c r="S87" s="509">
        <f t="shared" si="54"/>
        <v>50284</v>
      </c>
      <c r="T87" s="509">
        <f t="shared" si="54"/>
        <v>50465</v>
      </c>
      <c r="U87" s="509">
        <f t="shared" si="54"/>
        <v>50649</v>
      </c>
      <c r="V87" s="509">
        <f t="shared" si="54"/>
        <v>50830</v>
      </c>
      <c r="W87" s="509">
        <f t="shared" si="54"/>
        <v>51014</v>
      </c>
      <c r="X87" s="509">
        <f t="shared" si="54"/>
        <v>51196</v>
      </c>
      <c r="Y87" s="509">
        <f t="shared" si="54"/>
        <v>51380</v>
      </c>
      <c r="Z87" s="509">
        <f t="shared" si="54"/>
        <v>51561</v>
      </c>
      <c r="AA87" s="509">
        <f t="shared" si="54"/>
        <v>51745</v>
      </c>
      <c r="AB87" s="509">
        <f t="shared" si="54"/>
        <v>51926</v>
      </c>
      <c r="AC87" s="509">
        <f t="shared" si="54"/>
        <v>52110</v>
      </c>
      <c r="AD87" s="509">
        <f t="shared" si="54"/>
        <v>52291</v>
      </c>
      <c r="AE87" s="509">
        <f t="shared" si="54"/>
        <v>52475</v>
      </c>
      <c r="AF87" s="509">
        <f t="shared" si="54"/>
        <v>52657</v>
      </c>
      <c r="AG87" s="509">
        <f t="shared" si="54"/>
        <v>52841</v>
      </c>
      <c r="AH87" s="509">
        <f t="shared" si="54"/>
        <v>53022</v>
      </c>
      <c r="AI87" s="516">
        <f t="shared" si="54"/>
        <v>53206</v>
      </c>
    </row>
    <row r="88" ht="17.25" spans="2:53">
      <c r="B88" s="556"/>
      <c r="C88" s="511"/>
      <c r="D88" s="524" t="s">
        <v>532</v>
      </c>
      <c r="E88" s="525"/>
      <c r="F88" s="526">
        <f>YEAR(F87)</f>
        <v>2031</v>
      </c>
      <c r="G88" s="526">
        <f>YEAR(G87)</f>
        <v>2031</v>
      </c>
      <c r="H88" s="526">
        <f t="shared" ref="H88:AI88" si="55">YEAR(H87)</f>
        <v>2032</v>
      </c>
      <c r="I88" s="526">
        <f t="shared" si="55"/>
        <v>2032</v>
      </c>
      <c r="J88" s="526">
        <f t="shared" si="55"/>
        <v>2033</v>
      </c>
      <c r="K88" s="526">
        <f t="shared" si="55"/>
        <v>2033</v>
      </c>
      <c r="L88" s="526">
        <f t="shared" si="55"/>
        <v>2034</v>
      </c>
      <c r="M88" s="526">
        <f t="shared" si="55"/>
        <v>2034</v>
      </c>
      <c r="N88" s="526">
        <f t="shared" si="55"/>
        <v>2035</v>
      </c>
      <c r="O88" s="526">
        <f t="shared" si="55"/>
        <v>2035</v>
      </c>
      <c r="P88" s="526">
        <f t="shared" si="55"/>
        <v>2036</v>
      </c>
      <c r="Q88" s="526">
        <f t="shared" si="55"/>
        <v>2036</v>
      </c>
      <c r="R88" s="526">
        <f t="shared" si="55"/>
        <v>2037</v>
      </c>
      <c r="S88" s="526">
        <f t="shared" si="55"/>
        <v>2037</v>
      </c>
      <c r="T88" s="526">
        <f t="shared" si="55"/>
        <v>2038</v>
      </c>
      <c r="U88" s="526">
        <f t="shared" si="55"/>
        <v>2038</v>
      </c>
      <c r="V88" s="526">
        <f t="shared" si="55"/>
        <v>2039</v>
      </c>
      <c r="W88" s="526">
        <f t="shared" si="55"/>
        <v>2039</v>
      </c>
      <c r="X88" s="526">
        <f t="shared" si="55"/>
        <v>2040</v>
      </c>
      <c r="Y88" s="526">
        <f t="shared" si="55"/>
        <v>2040</v>
      </c>
      <c r="Z88" s="526">
        <f t="shared" si="55"/>
        <v>2041</v>
      </c>
      <c r="AA88" s="526">
        <f t="shared" si="55"/>
        <v>2041</v>
      </c>
      <c r="AB88" s="526">
        <f t="shared" si="55"/>
        <v>2042</v>
      </c>
      <c r="AC88" s="526">
        <f t="shared" si="55"/>
        <v>2042</v>
      </c>
      <c r="AD88" s="526">
        <f t="shared" si="55"/>
        <v>2043</v>
      </c>
      <c r="AE88" s="526">
        <f t="shared" si="55"/>
        <v>2043</v>
      </c>
      <c r="AF88" s="526">
        <f t="shared" si="55"/>
        <v>2044</v>
      </c>
      <c r="AG88" s="526">
        <f t="shared" si="55"/>
        <v>2044</v>
      </c>
      <c r="AH88" s="526">
        <f t="shared" si="55"/>
        <v>2045</v>
      </c>
      <c r="AI88" s="527">
        <f t="shared" si="55"/>
        <v>2045</v>
      </c>
    </row>
    <row r="89" hidden="1" spans="2:53">
      <c r="B89" s="556"/>
      <c r="C89" s="511"/>
      <c r="D89" s="528" t="s">
        <v>533</v>
      </c>
      <c r="E89" s="50" t="str">
        <f>IF(E90=D82,"OK","F")</f>
        <v>OK</v>
      </c>
      <c r="F89" s="505">
        <v>2023</v>
      </c>
      <c r="G89" s="505">
        <v>2024</v>
      </c>
      <c r="H89" s="505">
        <v>2025</v>
      </c>
      <c r="I89" s="505">
        <v>2026</v>
      </c>
      <c r="J89" s="505">
        <v>2027</v>
      </c>
      <c r="K89" s="505">
        <v>2028</v>
      </c>
      <c r="L89" s="505">
        <v>2029</v>
      </c>
      <c r="M89" s="505">
        <v>2030</v>
      </c>
      <c r="N89" s="505">
        <v>2031</v>
      </c>
      <c r="O89" s="505">
        <v>2032</v>
      </c>
      <c r="P89" s="505">
        <v>2033</v>
      </c>
      <c r="Q89" s="505">
        <v>2034</v>
      </c>
      <c r="R89" s="505">
        <v>2035</v>
      </c>
      <c r="S89" s="505">
        <v>2036</v>
      </c>
      <c r="T89" s="505">
        <v>2037</v>
      </c>
      <c r="U89" s="505">
        <v>2038</v>
      </c>
      <c r="V89" s="505">
        <v>2039</v>
      </c>
      <c r="W89" s="505">
        <v>2040</v>
      </c>
      <c r="X89" s="505">
        <v>2041</v>
      </c>
      <c r="Y89" s="505">
        <v>2042</v>
      </c>
      <c r="Z89" s="505">
        <v>2043</v>
      </c>
      <c r="AA89" s="505">
        <v>2044</v>
      </c>
      <c r="AB89" s="505">
        <v>2045</v>
      </c>
      <c r="AC89" s="505">
        <v>2046</v>
      </c>
      <c r="AD89" s="505">
        <v>2047</v>
      </c>
      <c r="AE89" s="505">
        <v>2048</v>
      </c>
      <c r="AF89" s="505">
        <v>2049</v>
      </c>
      <c r="AG89" s="505">
        <v>2050</v>
      </c>
      <c r="AH89" s="505">
        <v>2051</v>
      </c>
      <c r="AI89" s="557">
        <v>2052</v>
      </c>
      <c r="AJ89" s="558">
        <v>2053</v>
      </c>
      <c r="AK89" s="505">
        <v>2054</v>
      </c>
      <c r="AL89" s="505">
        <v>2055</v>
      </c>
      <c r="AM89" s="505">
        <v>2056</v>
      </c>
      <c r="AN89" s="505">
        <v>2057</v>
      </c>
      <c r="AO89" s="505">
        <v>2058</v>
      </c>
      <c r="AP89" s="505">
        <v>2059</v>
      </c>
      <c r="AQ89" s="505">
        <v>2060</v>
      </c>
      <c r="AR89" s="505">
        <v>2061</v>
      </c>
      <c r="AS89" s="505">
        <v>2062</v>
      </c>
      <c r="AT89" s="505">
        <v>2063</v>
      </c>
      <c r="AU89" s="505">
        <v>2064</v>
      </c>
      <c r="AV89" s="505">
        <v>2065</v>
      </c>
      <c r="AW89" s="505">
        <v>2066</v>
      </c>
      <c r="AX89" s="505">
        <v>2067</v>
      </c>
      <c r="AY89" s="505">
        <v>2068</v>
      </c>
      <c r="AZ89" s="505">
        <v>2069</v>
      </c>
      <c r="BA89" s="505">
        <v>2070</v>
      </c>
    </row>
    <row r="90" ht="17.25" hidden="1" spans="2:53">
      <c r="B90" s="556"/>
      <c r="C90" s="517"/>
      <c r="D90" s="531"/>
      <c r="E90" s="90">
        <f>SUM(F90:BA90)</f>
        <v>30</v>
      </c>
      <c r="F90" s="533">
        <f>COUNTIF($F$88:$BM$88,F89)</f>
        <v>0</v>
      </c>
      <c r="G90" s="533">
        <f t="shared" ref="G90:BA90" si="56">COUNTIF($F$88:$BM$88,G89)</f>
        <v>0</v>
      </c>
      <c r="H90" s="533">
        <f t="shared" si="56"/>
        <v>0</v>
      </c>
      <c r="I90" s="533">
        <f t="shared" si="56"/>
        <v>0</v>
      </c>
      <c r="J90" s="533">
        <f t="shared" si="56"/>
        <v>0</v>
      </c>
      <c r="K90" s="533">
        <f t="shared" si="56"/>
        <v>0</v>
      </c>
      <c r="L90" s="533">
        <f t="shared" si="56"/>
        <v>0</v>
      </c>
      <c r="M90" s="533">
        <f t="shared" si="56"/>
        <v>0</v>
      </c>
      <c r="N90" s="533">
        <f t="shared" si="56"/>
        <v>2</v>
      </c>
      <c r="O90" s="533">
        <f t="shared" si="56"/>
        <v>2</v>
      </c>
      <c r="P90" s="533">
        <f t="shared" si="56"/>
        <v>2</v>
      </c>
      <c r="Q90" s="533">
        <f t="shared" si="56"/>
        <v>2</v>
      </c>
      <c r="R90" s="533">
        <f t="shared" si="56"/>
        <v>2</v>
      </c>
      <c r="S90" s="533">
        <f t="shared" si="56"/>
        <v>2</v>
      </c>
      <c r="T90" s="533">
        <f t="shared" si="56"/>
        <v>2</v>
      </c>
      <c r="U90" s="533">
        <f t="shared" si="56"/>
        <v>2</v>
      </c>
      <c r="V90" s="533">
        <f t="shared" si="56"/>
        <v>2</v>
      </c>
      <c r="W90" s="533">
        <f t="shared" si="56"/>
        <v>2</v>
      </c>
      <c r="X90" s="533">
        <f t="shared" si="56"/>
        <v>2</v>
      </c>
      <c r="Y90" s="533">
        <f t="shared" si="56"/>
        <v>2</v>
      </c>
      <c r="Z90" s="533">
        <f t="shared" si="56"/>
        <v>2</v>
      </c>
      <c r="AA90" s="533">
        <f t="shared" si="56"/>
        <v>2</v>
      </c>
      <c r="AB90" s="533">
        <f t="shared" si="56"/>
        <v>2</v>
      </c>
      <c r="AC90" s="533">
        <f t="shared" si="56"/>
        <v>0</v>
      </c>
      <c r="AD90" s="533">
        <f t="shared" si="56"/>
        <v>0</v>
      </c>
      <c r="AE90" s="533">
        <f t="shared" si="56"/>
        <v>0</v>
      </c>
      <c r="AF90" s="533">
        <f t="shared" si="56"/>
        <v>0</v>
      </c>
      <c r="AG90" s="533">
        <f t="shared" si="56"/>
        <v>0</v>
      </c>
      <c r="AH90" s="533">
        <f t="shared" si="56"/>
        <v>0</v>
      </c>
      <c r="AI90" s="559">
        <f t="shared" si="56"/>
        <v>0</v>
      </c>
      <c r="AJ90" s="558">
        <f t="shared" si="56"/>
        <v>0</v>
      </c>
      <c r="AK90" s="505">
        <f t="shared" si="56"/>
        <v>0</v>
      </c>
      <c r="AL90" s="505">
        <f t="shared" si="56"/>
        <v>0</v>
      </c>
      <c r="AM90" s="505">
        <f t="shared" si="56"/>
        <v>0</v>
      </c>
      <c r="AN90" s="505">
        <f t="shared" si="56"/>
        <v>0</v>
      </c>
      <c r="AO90" s="505">
        <f t="shared" si="56"/>
        <v>0</v>
      </c>
      <c r="AP90" s="505">
        <f t="shared" si="56"/>
        <v>0</v>
      </c>
      <c r="AQ90" s="505">
        <f t="shared" si="56"/>
        <v>0</v>
      </c>
      <c r="AR90" s="505">
        <f t="shared" si="56"/>
        <v>0</v>
      </c>
      <c r="AS90" s="505">
        <f t="shared" si="56"/>
        <v>0</v>
      </c>
      <c r="AT90" s="505">
        <f t="shared" si="56"/>
        <v>0</v>
      </c>
      <c r="AU90" s="505">
        <f t="shared" si="56"/>
        <v>0</v>
      </c>
      <c r="AV90" s="505">
        <f t="shared" si="56"/>
        <v>0</v>
      </c>
      <c r="AW90" s="505">
        <f t="shared" si="56"/>
        <v>0</v>
      </c>
      <c r="AX90" s="505">
        <f t="shared" si="56"/>
        <v>0</v>
      </c>
      <c r="AY90" s="505">
        <f t="shared" si="56"/>
        <v>0</v>
      </c>
      <c r="AZ90" s="505">
        <f t="shared" si="56"/>
        <v>0</v>
      </c>
      <c r="BA90" s="505">
        <f t="shared" si="56"/>
        <v>0</v>
      </c>
    </row>
    <row r="91" spans="2:53">
      <c r="B91" s="556"/>
      <c r="C91" s="536" t="s">
        <v>546</v>
      </c>
      <c r="D91" s="537" t="s">
        <v>535</v>
      </c>
      <c r="E91" s="538"/>
      <c r="F91" s="539">
        <f ca="1">D84</f>
        <v>725209.263168492</v>
      </c>
      <c r="G91" s="539">
        <f ca="1">F96</f>
        <v>707749.061648955</v>
      </c>
      <c r="H91" s="539">
        <f ca="1" t="shared" ref="H91:AI91" si="57">G96</f>
        <v>689913.465796748</v>
      </c>
      <c r="I91" s="539">
        <f ca="1" t="shared" si="57"/>
        <v>671694.404633719</v>
      </c>
      <c r="J91" s="539">
        <f ca="1" t="shared" si="57"/>
        <v>653083.633655684</v>
      </c>
      <c r="K91" s="539">
        <f ca="1" t="shared" si="57"/>
        <v>634072.731101622</v>
      </c>
      <c r="L91" s="539">
        <f ca="1" t="shared" si="57"/>
        <v>614653.094142647</v>
      </c>
      <c r="M91" s="539">
        <f ca="1" t="shared" si="57"/>
        <v>594815.934989054</v>
      </c>
      <c r="N91" s="539">
        <f ca="1" t="shared" si="57"/>
        <v>574552.276913659</v>
      </c>
      <c r="O91" s="539">
        <f ca="1" t="shared" si="57"/>
        <v>553852.950189643</v>
      </c>
      <c r="P91" s="539">
        <f ca="1" t="shared" si="57"/>
        <v>532708.587941061</v>
      </c>
      <c r="Q91" s="539">
        <f ca="1" t="shared" si="57"/>
        <v>511109.621904134</v>
      </c>
      <c r="R91" s="539">
        <f ca="1" t="shared" si="57"/>
        <v>489046.278097413</v>
      </c>
      <c r="S91" s="539">
        <f ca="1" t="shared" si="57"/>
        <v>466508.572398848</v>
      </c>
      <c r="T91" s="539">
        <f ca="1" t="shared" si="57"/>
        <v>443486.306027764</v>
      </c>
      <c r="U91" s="539">
        <f ca="1" t="shared" si="57"/>
        <v>419969.060929701</v>
      </c>
      <c r="V91" s="539">
        <f ca="1" t="shared" si="57"/>
        <v>395946.19506203</v>
      </c>
      <c r="W91" s="539">
        <f ca="1" t="shared" si="57"/>
        <v>371406.837578204</v>
      </c>
      <c r="X91" s="539">
        <f ca="1" t="shared" si="57"/>
        <v>346339.883908476</v>
      </c>
      <c r="Y91" s="539">
        <f ca="1" t="shared" si="57"/>
        <v>320733.990734848</v>
      </c>
      <c r="Z91" s="539">
        <f ca="1" t="shared" si="57"/>
        <v>294577.570857988</v>
      </c>
      <c r="AA91" s="539">
        <f ca="1" t="shared" si="57"/>
        <v>267858.787953775</v>
      </c>
      <c r="AB91" s="539">
        <f ca="1" t="shared" si="57"/>
        <v>240565.551217121</v>
      </c>
      <c r="AC91" s="539">
        <f ca="1" t="shared" si="57"/>
        <v>212685.50989063</v>
      </c>
      <c r="AD91" s="539">
        <f ca="1" t="shared" si="57"/>
        <v>184206.047675618</v>
      </c>
      <c r="AE91" s="539">
        <f ca="1" t="shared" si="57"/>
        <v>155114.277022984</v>
      </c>
      <c r="AF91" s="539">
        <f ca="1" t="shared" si="57"/>
        <v>125397.033301319</v>
      </c>
      <c r="AG91" s="539">
        <f ca="1" t="shared" si="57"/>
        <v>95040.8688396374</v>
      </c>
      <c r="AH91" s="539">
        <f ca="1" t="shared" si="57"/>
        <v>64032.0468420298</v>
      </c>
      <c r="AI91" s="540">
        <f ca="1" t="shared" si="57"/>
        <v>32356.5351714735</v>
      </c>
      <c r="AJ91" s="554"/>
      <c r="AK91" s="554"/>
      <c r="AL91" s="554"/>
      <c r="AM91" s="554"/>
      <c r="AN91" s="554"/>
      <c r="AO91" s="554"/>
      <c r="AP91" s="554"/>
      <c r="AQ91" s="554"/>
      <c r="AR91" s="554"/>
      <c r="AS91" s="554"/>
      <c r="AT91" s="554"/>
      <c r="AU91" s="554"/>
      <c r="AV91" s="554"/>
      <c r="AW91" s="554"/>
      <c r="AX91" s="554"/>
      <c r="AY91" s="554"/>
      <c r="AZ91" s="554"/>
      <c r="BA91" s="554"/>
    </row>
    <row r="92" spans="2:53">
      <c r="B92" s="556"/>
      <c r="C92" s="541"/>
      <c r="D92" s="144" t="s">
        <v>536</v>
      </c>
      <c r="E92" s="50"/>
      <c r="F92" s="542">
        <v>0</v>
      </c>
      <c r="G92" s="542">
        <v>0</v>
      </c>
      <c r="H92" s="542">
        <v>0</v>
      </c>
      <c r="I92" s="542">
        <v>0</v>
      </c>
      <c r="J92" s="542">
        <v>0</v>
      </c>
      <c r="K92" s="542">
        <v>0</v>
      </c>
      <c r="L92" s="542">
        <v>0</v>
      </c>
      <c r="M92" s="542">
        <v>0</v>
      </c>
      <c r="N92" s="542">
        <v>0</v>
      </c>
      <c r="O92" s="542">
        <v>0</v>
      </c>
      <c r="P92" s="542">
        <v>0</v>
      </c>
      <c r="Q92" s="542">
        <v>0</v>
      </c>
      <c r="R92" s="542">
        <v>0</v>
      </c>
      <c r="S92" s="542">
        <v>0</v>
      </c>
      <c r="T92" s="542">
        <v>0</v>
      </c>
      <c r="U92" s="542">
        <v>0</v>
      </c>
      <c r="V92" s="542">
        <v>0</v>
      </c>
      <c r="W92" s="542">
        <v>0</v>
      </c>
      <c r="X92" s="542">
        <v>0</v>
      </c>
      <c r="Y92" s="542">
        <v>0</v>
      </c>
      <c r="Z92" s="542">
        <v>0</v>
      </c>
      <c r="AA92" s="542">
        <v>0</v>
      </c>
      <c r="AB92" s="542">
        <v>0</v>
      </c>
      <c r="AC92" s="542">
        <v>0</v>
      </c>
      <c r="AD92" s="542">
        <v>0</v>
      </c>
      <c r="AE92" s="542">
        <v>0</v>
      </c>
      <c r="AF92" s="542">
        <v>0</v>
      </c>
      <c r="AG92" s="542">
        <v>0</v>
      </c>
      <c r="AH92" s="542">
        <v>0</v>
      </c>
      <c r="AI92" s="543">
        <v>0</v>
      </c>
      <c r="AJ92" s="554"/>
      <c r="AK92" s="554"/>
      <c r="AL92" s="554"/>
      <c r="AM92" s="554"/>
      <c r="AN92" s="554"/>
      <c r="AO92" s="554"/>
      <c r="AP92" s="554"/>
      <c r="AQ92" s="554"/>
      <c r="AR92" s="554"/>
      <c r="AS92" s="554"/>
      <c r="AT92" s="554"/>
      <c r="AU92" s="554"/>
      <c r="AV92" s="554"/>
      <c r="AW92" s="554"/>
      <c r="AX92" s="554"/>
      <c r="AY92" s="554"/>
      <c r="AZ92" s="554"/>
      <c r="BA92" s="554"/>
    </row>
    <row r="93" spans="2:53">
      <c r="B93" s="556"/>
      <c r="C93" s="541"/>
      <c r="D93" s="144" t="s">
        <v>537</v>
      </c>
      <c r="E93" s="544">
        <f ca="1">SUM(F93:AI93)</f>
        <v>991566.020329791</v>
      </c>
      <c r="F93" s="542">
        <f ca="1">-PMT($D$85,$D$82+1-F86,F91)</f>
        <v>33052.2006776596</v>
      </c>
      <c r="G93" s="542">
        <f ca="1" t="shared" ref="G93:AI93" si="58">-PMT($D$85,$D$82+1-G86,G91)</f>
        <v>33052.2006776596</v>
      </c>
      <c r="H93" s="542">
        <f ca="1" t="shared" si="58"/>
        <v>33052.2006776596</v>
      </c>
      <c r="I93" s="542">
        <f ca="1" t="shared" si="58"/>
        <v>33052.2006776596</v>
      </c>
      <c r="J93" s="542">
        <f ca="1" t="shared" si="58"/>
        <v>33052.2006776596</v>
      </c>
      <c r="K93" s="542">
        <f ca="1" t="shared" si="58"/>
        <v>33052.2006776596</v>
      </c>
      <c r="L93" s="542">
        <f ca="1" t="shared" si="58"/>
        <v>33052.2006776596</v>
      </c>
      <c r="M93" s="542">
        <f ca="1" t="shared" si="58"/>
        <v>33052.2006776596</v>
      </c>
      <c r="N93" s="542">
        <f ca="1" t="shared" si="58"/>
        <v>33052.2006776596</v>
      </c>
      <c r="O93" s="542">
        <f ca="1" t="shared" si="58"/>
        <v>33052.2006776596</v>
      </c>
      <c r="P93" s="542">
        <f ca="1" t="shared" si="58"/>
        <v>33052.2006776596</v>
      </c>
      <c r="Q93" s="542">
        <f ca="1" t="shared" si="58"/>
        <v>33052.2006776596</v>
      </c>
      <c r="R93" s="542">
        <f ca="1" t="shared" si="58"/>
        <v>33052.2006776596</v>
      </c>
      <c r="S93" s="542">
        <f ca="1" t="shared" si="58"/>
        <v>33052.2006776597</v>
      </c>
      <c r="T93" s="542">
        <f ca="1" t="shared" si="58"/>
        <v>33052.2006776597</v>
      </c>
      <c r="U93" s="542">
        <f ca="1" t="shared" si="58"/>
        <v>33052.2006776597</v>
      </c>
      <c r="V93" s="542">
        <f ca="1" t="shared" si="58"/>
        <v>33052.2006776597</v>
      </c>
      <c r="W93" s="542">
        <f ca="1" t="shared" si="58"/>
        <v>33052.2006776597</v>
      </c>
      <c r="X93" s="542">
        <f ca="1" t="shared" si="58"/>
        <v>33052.2006776597</v>
      </c>
      <c r="Y93" s="542">
        <f ca="1" t="shared" si="58"/>
        <v>33052.2006776597</v>
      </c>
      <c r="Z93" s="542">
        <f ca="1" t="shared" si="58"/>
        <v>33052.2006776597</v>
      </c>
      <c r="AA93" s="542">
        <f ca="1" t="shared" si="58"/>
        <v>33052.2006776597</v>
      </c>
      <c r="AB93" s="542">
        <f ca="1" t="shared" si="58"/>
        <v>33052.2006776597</v>
      </c>
      <c r="AC93" s="542">
        <f ca="1" t="shared" si="58"/>
        <v>33052.2006776597</v>
      </c>
      <c r="AD93" s="542">
        <f ca="1" t="shared" si="58"/>
        <v>33052.2006776598</v>
      </c>
      <c r="AE93" s="542">
        <f ca="1" t="shared" si="58"/>
        <v>33052.2006776598</v>
      </c>
      <c r="AF93" s="542">
        <f ca="1" t="shared" si="58"/>
        <v>33052.2006776598</v>
      </c>
      <c r="AG93" s="542">
        <f ca="1" t="shared" si="58"/>
        <v>33052.2006776598</v>
      </c>
      <c r="AH93" s="542">
        <f ca="1" t="shared" si="58"/>
        <v>33052.2006776599</v>
      </c>
      <c r="AI93" s="542">
        <f ca="1" t="shared" si="58"/>
        <v>33052.20067766</v>
      </c>
      <c r="AJ93" s="554"/>
      <c r="AK93" s="554"/>
      <c r="AL93" s="554"/>
      <c r="AM93" s="554"/>
      <c r="AN93" s="554"/>
      <c r="AO93" s="554"/>
      <c r="AP93" s="554"/>
      <c r="AQ93" s="554"/>
      <c r="AR93" s="554"/>
      <c r="AS93" s="554"/>
      <c r="AT93" s="554"/>
      <c r="AU93" s="554"/>
      <c r="AV93" s="554"/>
      <c r="AW93" s="554"/>
      <c r="AX93" s="554"/>
      <c r="AY93" s="554"/>
      <c r="AZ93" s="554"/>
      <c r="BA93" s="554"/>
    </row>
    <row r="94" spans="2:53">
      <c r="B94" s="556"/>
      <c r="C94" s="541"/>
      <c r="D94" s="145" t="s">
        <v>538</v>
      </c>
      <c r="E94" s="542">
        <f ca="1">SUM(F94:AI94)</f>
        <v>725209.263168492</v>
      </c>
      <c r="F94" s="542">
        <f ca="1">F93-F95</f>
        <v>17460.201519537</v>
      </c>
      <c r="G94" s="542">
        <f ca="1">G93-G95</f>
        <v>17835.5958522071</v>
      </c>
      <c r="H94" s="542">
        <f ca="1" t="shared" ref="H94:AI94" si="59">H93-H95</f>
        <v>18219.0611630295</v>
      </c>
      <c r="I94" s="542">
        <f ca="1" t="shared" si="59"/>
        <v>18610.7709780347</v>
      </c>
      <c r="J94" s="542">
        <f ca="1" t="shared" si="59"/>
        <v>19010.9025540624</v>
      </c>
      <c r="K94" s="542">
        <f ca="1" t="shared" si="59"/>
        <v>19419.6369589747</v>
      </c>
      <c r="L94" s="542">
        <f ca="1" t="shared" si="59"/>
        <v>19837.1591535927</v>
      </c>
      <c r="M94" s="542">
        <f ca="1" t="shared" si="59"/>
        <v>20263.658075395</v>
      </c>
      <c r="N94" s="542">
        <f ca="1" t="shared" si="59"/>
        <v>20699.3267240159</v>
      </c>
      <c r="O94" s="542">
        <f ca="1" t="shared" si="59"/>
        <v>21144.3622485823</v>
      </c>
      <c r="P94" s="542">
        <f ca="1" t="shared" si="59"/>
        <v>21598.9660369268</v>
      </c>
      <c r="Q94" s="542">
        <f ca="1" t="shared" si="59"/>
        <v>22063.3438067208</v>
      </c>
      <c r="R94" s="542">
        <f ca="1" t="shared" si="59"/>
        <v>22537.7056985653</v>
      </c>
      <c r="S94" s="542">
        <f ca="1" t="shared" si="59"/>
        <v>23022.2663710844</v>
      </c>
      <c r="T94" s="542">
        <f ca="1" t="shared" si="59"/>
        <v>23517.2450980627</v>
      </c>
      <c r="U94" s="542">
        <f ca="1" t="shared" si="59"/>
        <v>24022.8658676711</v>
      </c>
      <c r="V94" s="542">
        <f ca="1" t="shared" si="59"/>
        <v>24539.357483826</v>
      </c>
      <c r="W94" s="542">
        <f ca="1" t="shared" si="59"/>
        <v>25066.9536697283</v>
      </c>
      <c r="X94" s="542">
        <f ca="1" t="shared" si="59"/>
        <v>25605.8931736275</v>
      </c>
      <c r="Y94" s="542">
        <f ca="1" t="shared" si="59"/>
        <v>26156.4198768604</v>
      </c>
      <c r="Z94" s="542">
        <f ca="1" t="shared" si="59"/>
        <v>26718.782904213</v>
      </c>
      <c r="AA94" s="542">
        <f ca="1" t="shared" si="59"/>
        <v>27293.2367366535</v>
      </c>
      <c r="AB94" s="542">
        <f ca="1" t="shared" si="59"/>
        <v>27880.0413264916</v>
      </c>
      <c r="AC94" s="542">
        <f ca="1" t="shared" si="59"/>
        <v>28479.4622150112</v>
      </c>
      <c r="AD94" s="542">
        <f ca="1" t="shared" si="59"/>
        <v>29091.770652634</v>
      </c>
      <c r="AE94" s="542">
        <f ca="1" t="shared" si="59"/>
        <v>29717.2437216656</v>
      </c>
      <c r="AF94" s="542">
        <f ca="1" t="shared" si="59"/>
        <v>30356.1644616814</v>
      </c>
      <c r="AG94" s="542">
        <f ca="1" t="shared" si="59"/>
        <v>31008.8219976076</v>
      </c>
      <c r="AH94" s="542">
        <f ca="1" t="shared" si="59"/>
        <v>31675.5116705563</v>
      </c>
      <c r="AI94" s="543">
        <f ca="1" t="shared" si="59"/>
        <v>32356.5351714734</v>
      </c>
      <c r="AJ94" s="554"/>
      <c r="AK94" s="554"/>
      <c r="AL94" s="554"/>
      <c r="AM94" s="554"/>
      <c r="AN94" s="554"/>
      <c r="AO94" s="554"/>
      <c r="AP94" s="554"/>
      <c r="AQ94" s="554"/>
      <c r="AR94" s="554"/>
      <c r="AS94" s="554"/>
      <c r="AT94" s="554"/>
      <c r="AU94" s="554"/>
      <c r="AV94" s="554"/>
      <c r="AW94" s="554"/>
      <c r="AX94" s="554"/>
      <c r="AY94" s="554"/>
      <c r="AZ94" s="554"/>
      <c r="BA94" s="554"/>
    </row>
    <row r="95" spans="2:53">
      <c r="B95" s="556"/>
      <c r="C95" s="541"/>
      <c r="D95" s="33" t="s">
        <v>539</v>
      </c>
      <c r="E95" s="542">
        <f ca="1">SUM(F95:AI95)</f>
        <v>266356.757161298</v>
      </c>
      <c r="F95" s="542">
        <f ca="1">(F91+F92/2)*$D$85</f>
        <v>15591.9991581226</v>
      </c>
      <c r="G95" s="542">
        <f ca="1">(G91+G92/2)*$D$85</f>
        <v>15216.6048254525</v>
      </c>
      <c r="H95" s="542">
        <f ca="1" t="shared" ref="H95:AI95" si="60">(H91+H92/2)*$D$85</f>
        <v>14833.1395146301</v>
      </c>
      <c r="I95" s="542">
        <f ca="1" t="shared" si="60"/>
        <v>14441.429699625</v>
      </c>
      <c r="J95" s="542">
        <f ca="1" t="shared" si="60"/>
        <v>14041.2981235972</v>
      </c>
      <c r="K95" s="542">
        <f ca="1" t="shared" si="60"/>
        <v>13632.5637186849</v>
      </c>
      <c r="L95" s="542">
        <f ca="1" t="shared" si="60"/>
        <v>13215.0415240669</v>
      </c>
      <c r="M95" s="542">
        <f ca="1" t="shared" si="60"/>
        <v>12788.5426022647</v>
      </c>
      <c r="N95" s="542">
        <f ca="1" t="shared" si="60"/>
        <v>12352.8739536437</v>
      </c>
      <c r="O95" s="542">
        <f ca="1" t="shared" si="60"/>
        <v>11907.8384290773</v>
      </c>
      <c r="P95" s="542">
        <f ca="1" t="shared" si="60"/>
        <v>11453.2346407328</v>
      </c>
      <c r="Q95" s="542">
        <f ca="1" t="shared" si="60"/>
        <v>10988.8568709389</v>
      </c>
      <c r="R95" s="542">
        <f ca="1" t="shared" si="60"/>
        <v>10514.4949790944</v>
      </c>
      <c r="S95" s="542">
        <f ca="1" t="shared" si="60"/>
        <v>10029.9343065752</v>
      </c>
      <c r="T95" s="542">
        <f ca="1" t="shared" si="60"/>
        <v>9534.95557959692</v>
      </c>
      <c r="U95" s="542">
        <f ca="1" t="shared" si="60"/>
        <v>9029.33480998857</v>
      </c>
      <c r="V95" s="542">
        <f ca="1" t="shared" si="60"/>
        <v>8512.84319383364</v>
      </c>
      <c r="W95" s="542">
        <f ca="1" t="shared" si="60"/>
        <v>7985.24700793138</v>
      </c>
      <c r="X95" s="542">
        <f ca="1" t="shared" si="60"/>
        <v>7446.30750403223</v>
      </c>
      <c r="Y95" s="542">
        <f ca="1" t="shared" si="60"/>
        <v>6895.78080079924</v>
      </c>
      <c r="Z95" s="542">
        <f ca="1" t="shared" si="60"/>
        <v>6333.41777344674</v>
      </c>
      <c r="AA95" s="542">
        <f ca="1" t="shared" si="60"/>
        <v>5758.96394100616</v>
      </c>
      <c r="AB95" s="542">
        <f ca="1" t="shared" si="60"/>
        <v>5172.15935116811</v>
      </c>
      <c r="AC95" s="542">
        <f ca="1" t="shared" si="60"/>
        <v>4572.73846264854</v>
      </c>
      <c r="AD95" s="542">
        <f ca="1" t="shared" si="60"/>
        <v>3960.4300250258</v>
      </c>
      <c r="AE95" s="542">
        <f ca="1" t="shared" si="60"/>
        <v>3334.95695599417</v>
      </c>
      <c r="AF95" s="542">
        <f ca="1" t="shared" si="60"/>
        <v>2696.03621597835</v>
      </c>
      <c r="AG95" s="542">
        <f ca="1" t="shared" si="60"/>
        <v>2043.3786800522</v>
      </c>
      <c r="AH95" s="542">
        <f ca="1" t="shared" si="60"/>
        <v>1376.68900710364</v>
      </c>
      <c r="AI95" s="543">
        <f ca="1" t="shared" si="60"/>
        <v>695.66550618668</v>
      </c>
      <c r="AJ95" s="554"/>
      <c r="AK95" s="554"/>
      <c r="AL95" s="554"/>
      <c r="AM95" s="554"/>
      <c r="AN95" s="554"/>
      <c r="AO95" s="554"/>
      <c r="AP95" s="554"/>
      <c r="AQ95" s="554"/>
      <c r="AR95" s="554"/>
      <c r="AS95" s="554"/>
      <c r="AT95" s="554"/>
      <c r="AU95" s="554"/>
      <c r="AV95" s="554"/>
      <c r="AW95" s="554"/>
      <c r="AX95" s="554"/>
      <c r="AY95" s="554"/>
      <c r="AZ95" s="554"/>
      <c r="BA95" s="554"/>
    </row>
    <row r="96" ht="17.25" spans="2:53">
      <c r="B96" s="556"/>
      <c r="C96" s="545"/>
      <c r="D96" s="163" t="s">
        <v>540</v>
      </c>
      <c r="E96" s="546">
        <f ca="1">AI96</f>
        <v>1.12777343019843e-10</v>
      </c>
      <c r="F96" s="546">
        <f ca="1">F91+F92-F94</f>
        <v>707749.061648955</v>
      </c>
      <c r="G96" s="546">
        <f ca="1">G91+G92-G94</f>
        <v>689913.465796748</v>
      </c>
      <c r="H96" s="546">
        <f ca="1" t="shared" ref="H96:AI96" si="61">H91+H92-H94</f>
        <v>671694.404633719</v>
      </c>
      <c r="I96" s="546">
        <f ca="1" t="shared" si="61"/>
        <v>653083.633655684</v>
      </c>
      <c r="J96" s="546">
        <f ca="1" t="shared" si="61"/>
        <v>634072.731101622</v>
      </c>
      <c r="K96" s="546">
        <f ca="1" t="shared" si="61"/>
        <v>614653.094142647</v>
      </c>
      <c r="L96" s="546">
        <f ca="1" t="shared" si="61"/>
        <v>594815.934989054</v>
      </c>
      <c r="M96" s="546">
        <f ca="1" t="shared" si="61"/>
        <v>574552.276913659</v>
      </c>
      <c r="N96" s="546">
        <f ca="1" t="shared" si="61"/>
        <v>553852.950189643</v>
      </c>
      <c r="O96" s="546">
        <f ca="1" t="shared" si="61"/>
        <v>532708.587941061</v>
      </c>
      <c r="P96" s="546">
        <f ca="1" t="shared" si="61"/>
        <v>511109.621904134</v>
      </c>
      <c r="Q96" s="546">
        <f ca="1" t="shared" si="61"/>
        <v>489046.278097413</v>
      </c>
      <c r="R96" s="546">
        <f ca="1" t="shared" si="61"/>
        <v>466508.572398848</v>
      </c>
      <c r="S96" s="546">
        <f ca="1" t="shared" si="61"/>
        <v>443486.306027764</v>
      </c>
      <c r="T96" s="546">
        <f ca="1" t="shared" si="61"/>
        <v>419969.060929701</v>
      </c>
      <c r="U96" s="546">
        <f ca="1" t="shared" si="61"/>
        <v>395946.19506203</v>
      </c>
      <c r="V96" s="546">
        <f ca="1" t="shared" si="61"/>
        <v>371406.837578204</v>
      </c>
      <c r="W96" s="546">
        <f ca="1" t="shared" si="61"/>
        <v>346339.883908476</v>
      </c>
      <c r="X96" s="546">
        <f ca="1" t="shared" si="61"/>
        <v>320733.990734848</v>
      </c>
      <c r="Y96" s="546">
        <f ca="1" t="shared" si="61"/>
        <v>294577.570857988</v>
      </c>
      <c r="Z96" s="546">
        <f ca="1" t="shared" si="61"/>
        <v>267858.787953775</v>
      </c>
      <c r="AA96" s="546">
        <f ca="1" t="shared" si="61"/>
        <v>240565.551217121</v>
      </c>
      <c r="AB96" s="546">
        <f ca="1" t="shared" si="61"/>
        <v>212685.50989063</v>
      </c>
      <c r="AC96" s="546">
        <f ca="1" t="shared" si="61"/>
        <v>184206.047675618</v>
      </c>
      <c r="AD96" s="546">
        <f ca="1" t="shared" si="61"/>
        <v>155114.277022984</v>
      </c>
      <c r="AE96" s="546">
        <f ca="1" t="shared" si="61"/>
        <v>125397.033301319</v>
      </c>
      <c r="AF96" s="546">
        <f ca="1" t="shared" si="61"/>
        <v>95040.8688396374</v>
      </c>
      <c r="AG96" s="546">
        <f ca="1" t="shared" si="61"/>
        <v>64032.0468420298</v>
      </c>
      <c r="AH96" s="546">
        <f ca="1" t="shared" si="61"/>
        <v>32356.5351714735</v>
      </c>
      <c r="AI96" s="547">
        <f ca="1" t="shared" si="61"/>
        <v>1.12777343019843e-10</v>
      </c>
      <c r="AJ96" s="554"/>
      <c r="AK96" s="554"/>
      <c r="AL96" s="554"/>
      <c r="AM96" s="554"/>
      <c r="AN96" s="554"/>
      <c r="AO96" s="554"/>
      <c r="AP96" s="554"/>
      <c r="AQ96" s="554"/>
      <c r="AR96" s="554"/>
      <c r="AS96" s="554"/>
      <c r="AT96" s="554"/>
      <c r="AU96" s="554"/>
      <c r="AV96" s="554"/>
      <c r="AW96" s="554"/>
      <c r="AX96" s="554"/>
      <c r="AY96" s="554"/>
      <c r="AZ96" s="554"/>
      <c r="BA96" s="554"/>
    </row>
    <row r="97" spans="2:53">
      <c r="B97" s="556"/>
      <c r="C97" s="548" t="s">
        <v>547</v>
      </c>
      <c r="D97" s="537" t="s">
        <v>535</v>
      </c>
      <c r="E97" s="539"/>
      <c r="F97" s="539">
        <f ca="1">D84</f>
        <v>725209.263168492</v>
      </c>
      <c r="G97" s="539">
        <f ca="1">F102</f>
        <v>701035.621062876</v>
      </c>
      <c r="H97" s="539">
        <f ca="1" t="shared" ref="H97:AI97" si="62">G102</f>
        <v>676861.97895726</v>
      </c>
      <c r="I97" s="539">
        <f ca="1" t="shared" si="62"/>
        <v>652688.336851643</v>
      </c>
      <c r="J97" s="539">
        <f ca="1" t="shared" si="62"/>
        <v>628514.694746027</v>
      </c>
      <c r="K97" s="539">
        <f ca="1" t="shared" si="62"/>
        <v>604341.05264041</v>
      </c>
      <c r="L97" s="539">
        <f ca="1" t="shared" si="62"/>
        <v>580167.410534794</v>
      </c>
      <c r="M97" s="539">
        <f ca="1" t="shared" si="62"/>
        <v>555993.768429178</v>
      </c>
      <c r="N97" s="539">
        <f ca="1" t="shared" si="62"/>
        <v>531820.126323561</v>
      </c>
      <c r="O97" s="539">
        <f ca="1" t="shared" si="62"/>
        <v>507646.484217945</v>
      </c>
      <c r="P97" s="539">
        <f ca="1" t="shared" si="62"/>
        <v>483472.842112328</v>
      </c>
      <c r="Q97" s="539">
        <f ca="1" t="shared" si="62"/>
        <v>459299.200006712</v>
      </c>
      <c r="R97" s="539">
        <f ca="1" t="shared" si="62"/>
        <v>435125.557901096</v>
      </c>
      <c r="S97" s="539">
        <f ca="1" t="shared" si="62"/>
        <v>410951.915795479</v>
      </c>
      <c r="T97" s="539">
        <f ca="1" t="shared" si="62"/>
        <v>386778.273689863</v>
      </c>
      <c r="U97" s="539">
        <f ca="1" t="shared" si="62"/>
        <v>362604.631584246</v>
      </c>
      <c r="V97" s="539">
        <f ca="1" t="shared" si="62"/>
        <v>338430.98947863</v>
      </c>
      <c r="W97" s="539">
        <f ca="1" t="shared" si="62"/>
        <v>314257.347373014</v>
      </c>
      <c r="X97" s="539">
        <f ca="1" t="shared" si="62"/>
        <v>290083.705267397</v>
      </c>
      <c r="Y97" s="539">
        <f ca="1" t="shared" si="62"/>
        <v>265910.063161781</v>
      </c>
      <c r="Z97" s="539">
        <f ca="1" t="shared" si="62"/>
        <v>241736.421056164</v>
      </c>
      <c r="AA97" s="539">
        <f ca="1" t="shared" si="62"/>
        <v>217562.778950548</v>
      </c>
      <c r="AB97" s="539">
        <f ca="1" t="shared" si="62"/>
        <v>193389.136844932</v>
      </c>
      <c r="AC97" s="539">
        <f ca="1" t="shared" si="62"/>
        <v>169215.494739315</v>
      </c>
      <c r="AD97" s="539">
        <f ca="1" t="shared" si="62"/>
        <v>145041.852633699</v>
      </c>
      <c r="AE97" s="539">
        <f ca="1" t="shared" si="62"/>
        <v>120868.210528082</v>
      </c>
      <c r="AF97" s="539">
        <f ca="1" t="shared" si="62"/>
        <v>96694.568422466</v>
      </c>
      <c r="AG97" s="539">
        <f ca="1" t="shared" si="62"/>
        <v>72520.9263168496</v>
      </c>
      <c r="AH97" s="539">
        <f ca="1" t="shared" si="62"/>
        <v>48347.2842112332</v>
      </c>
      <c r="AI97" s="540">
        <f ca="1" t="shared" si="62"/>
        <v>24173.6421056168</v>
      </c>
      <c r="AJ97" s="554"/>
      <c r="AK97" s="554"/>
      <c r="AL97" s="554"/>
      <c r="AM97" s="554"/>
      <c r="AN97" s="554"/>
      <c r="AO97" s="554"/>
      <c r="AP97" s="554"/>
      <c r="AQ97" s="554"/>
      <c r="AR97" s="554"/>
      <c r="AS97" s="554"/>
      <c r="AT97" s="554"/>
      <c r="AU97" s="554"/>
      <c r="AV97" s="554"/>
      <c r="AW97" s="554"/>
      <c r="AX97" s="554"/>
      <c r="AY97" s="554"/>
      <c r="AZ97" s="554"/>
      <c r="BA97" s="554"/>
    </row>
    <row r="98" spans="2:53">
      <c r="B98" s="556"/>
      <c r="C98" s="549"/>
      <c r="D98" s="144" t="s">
        <v>536</v>
      </c>
      <c r="E98" s="542"/>
      <c r="F98" s="542">
        <v>0</v>
      </c>
      <c r="G98" s="542">
        <v>0</v>
      </c>
      <c r="H98" s="542">
        <v>0</v>
      </c>
      <c r="I98" s="542">
        <v>0</v>
      </c>
      <c r="J98" s="542">
        <v>0</v>
      </c>
      <c r="K98" s="542">
        <v>0</v>
      </c>
      <c r="L98" s="542">
        <v>0</v>
      </c>
      <c r="M98" s="542">
        <v>0</v>
      </c>
      <c r="N98" s="542">
        <v>0</v>
      </c>
      <c r="O98" s="542">
        <v>0</v>
      </c>
      <c r="P98" s="542">
        <v>0</v>
      </c>
      <c r="Q98" s="542">
        <v>0</v>
      </c>
      <c r="R98" s="542">
        <v>0</v>
      </c>
      <c r="S98" s="542">
        <v>0</v>
      </c>
      <c r="T98" s="542">
        <v>0</v>
      </c>
      <c r="U98" s="542">
        <v>0</v>
      </c>
      <c r="V98" s="542">
        <v>0</v>
      </c>
      <c r="W98" s="542">
        <v>0</v>
      </c>
      <c r="X98" s="542">
        <v>0</v>
      </c>
      <c r="Y98" s="542">
        <v>0</v>
      </c>
      <c r="Z98" s="542">
        <v>0</v>
      </c>
      <c r="AA98" s="542">
        <v>0</v>
      </c>
      <c r="AB98" s="542">
        <v>0</v>
      </c>
      <c r="AC98" s="542">
        <v>0</v>
      </c>
      <c r="AD98" s="542">
        <v>0</v>
      </c>
      <c r="AE98" s="542">
        <v>0</v>
      </c>
      <c r="AF98" s="542">
        <v>0</v>
      </c>
      <c r="AG98" s="542">
        <v>0</v>
      </c>
      <c r="AH98" s="542">
        <v>0</v>
      </c>
      <c r="AI98" s="543">
        <v>0</v>
      </c>
      <c r="AJ98" s="554"/>
      <c r="AK98" s="554"/>
      <c r="AL98" s="554"/>
      <c r="AM98" s="554"/>
      <c r="AN98" s="554"/>
      <c r="AO98" s="554"/>
      <c r="AP98" s="554"/>
      <c r="AQ98" s="554"/>
      <c r="AR98" s="554"/>
      <c r="AS98" s="554"/>
      <c r="AT98" s="554"/>
      <c r="AU98" s="554"/>
      <c r="AV98" s="554"/>
      <c r="AW98" s="554"/>
      <c r="AX98" s="554"/>
      <c r="AY98" s="554"/>
      <c r="AZ98" s="554"/>
      <c r="BA98" s="554"/>
    </row>
    <row r="99" spans="2:53">
      <c r="B99" s="556"/>
      <c r="C99" s="549"/>
      <c r="D99" s="144" t="s">
        <v>537</v>
      </c>
      <c r="E99" s="544">
        <f ca="1">SUM(F99:AI99)</f>
        <v>966885.250119393</v>
      </c>
      <c r="F99" s="542">
        <f ca="1">SUM(F100:F101)</f>
        <v>39765.641263739</v>
      </c>
      <c r="G99" s="542">
        <f ca="1" t="shared" ref="G99:AI99" si="63">SUM(G100:G101)</f>
        <v>39245.9079584682</v>
      </c>
      <c r="H99" s="542">
        <f ca="1" t="shared" si="63"/>
        <v>38726.1746531975</v>
      </c>
      <c r="I99" s="542">
        <f ca="1" t="shared" si="63"/>
        <v>38206.4413479267</v>
      </c>
      <c r="J99" s="542">
        <f ca="1" t="shared" si="63"/>
        <v>37686.708042656</v>
      </c>
      <c r="K99" s="542">
        <f ca="1" t="shared" si="63"/>
        <v>37166.9747373852</v>
      </c>
      <c r="L99" s="542">
        <f ca="1" t="shared" si="63"/>
        <v>36647.2414321145</v>
      </c>
      <c r="M99" s="542">
        <f ca="1" t="shared" si="63"/>
        <v>36127.5081268437</v>
      </c>
      <c r="N99" s="542">
        <f ca="1" t="shared" si="63"/>
        <v>35607.774821573</v>
      </c>
      <c r="O99" s="542">
        <f ca="1" t="shared" si="63"/>
        <v>35088.0415163022</v>
      </c>
      <c r="P99" s="542">
        <f ca="1" t="shared" si="63"/>
        <v>34568.3082110315</v>
      </c>
      <c r="Q99" s="542">
        <f ca="1" t="shared" si="63"/>
        <v>34048.5749057607</v>
      </c>
      <c r="R99" s="542">
        <f ca="1" t="shared" si="63"/>
        <v>33528.84160049</v>
      </c>
      <c r="S99" s="542">
        <f ca="1" t="shared" si="63"/>
        <v>33009.1082952192</v>
      </c>
      <c r="T99" s="542">
        <f ca="1" t="shared" si="63"/>
        <v>32489.3749899485</v>
      </c>
      <c r="U99" s="542">
        <f ca="1" t="shared" si="63"/>
        <v>31969.6416846777</v>
      </c>
      <c r="V99" s="542">
        <f ca="1" t="shared" si="63"/>
        <v>31449.908379407</v>
      </c>
      <c r="W99" s="542">
        <f ca="1" t="shared" si="63"/>
        <v>30930.1750741362</v>
      </c>
      <c r="X99" s="542">
        <f ca="1" t="shared" si="63"/>
        <v>30410.4417688655</v>
      </c>
      <c r="Y99" s="542">
        <f ca="1" t="shared" si="63"/>
        <v>29890.7084635947</v>
      </c>
      <c r="Z99" s="542">
        <f ca="1" t="shared" si="63"/>
        <v>29370.9751583239</v>
      </c>
      <c r="AA99" s="542">
        <f ca="1" t="shared" si="63"/>
        <v>28851.2418530532</v>
      </c>
      <c r="AB99" s="542">
        <f ca="1" t="shared" si="63"/>
        <v>28331.5085477824</v>
      </c>
      <c r="AC99" s="542">
        <f ca="1" t="shared" si="63"/>
        <v>27811.7752425117</v>
      </c>
      <c r="AD99" s="542">
        <f ca="1" t="shared" si="63"/>
        <v>27292.0419372409</v>
      </c>
      <c r="AE99" s="542">
        <f ca="1" t="shared" si="63"/>
        <v>26772.3086319702</v>
      </c>
      <c r="AF99" s="542">
        <f ca="1" t="shared" si="63"/>
        <v>26252.5753266994</v>
      </c>
      <c r="AG99" s="542">
        <f ca="1" t="shared" si="63"/>
        <v>25732.8420214287</v>
      </c>
      <c r="AH99" s="542">
        <f ca="1" t="shared" si="63"/>
        <v>25213.1087161579</v>
      </c>
      <c r="AI99" s="543">
        <f ca="1" t="shared" si="63"/>
        <v>24693.3754108872</v>
      </c>
      <c r="AJ99" s="554"/>
      <c r="AK99" s="554"/>
      <c r="AL99" s="554"/>
      <c r="AM99" s="554"/>
      <c r="AN99" s="554"/>
      <c r="AO99" s="554"/>
      <c r="AP99" s="554"/>
      <c r="AQ99" s="554"/>
      <c r="AR99" s="554"/>
      <c r="AS99" s="554"/>
      <c r="AT99" s="554"/>
      <c r="AU99" s="554"/>
      <c r="AV99" s="554"/>
      <c r="AW99" s="554"/>
      <c r="AX99" s="554"/>
      <c r="AY99" s="554"/>
      <c r="AZ99" s="554"/>
      <c r="BA99" s="554"/>
    </row>
    <row r="100" spans="2:53">
      <c r="B100" s="556"/>
      <c r="C100" s="549"/>
      <c r="D100" s="145" t="s">
        <v>538</v>
      </c>
      <c r="E100" s="542">
        <f ca="1">SUM(F100:AI100)</f>
        <v>725209.263168492</v>
      </c>
      <c r="F100" s="542">
        <f ca="1">$D$84/$D$82</f>
        <v>24173.6421056164</v>
      </c>
      <c r="G100" s="542">
        <f ca="1" t="shared" ref="G100:P100" si="64">$D$84/$D$82</f>
        <v>24173.6421056164</v>
      </c>
      <c r="H100" s="542">
        <f ca="1" t="shared" si="64"/>
        <v>24173.6421056164</v>
      </c>
      <c r="I100" s="542">
        <f ca="1" t="shared" si="64"/>
        <v>24173.6421056164</v>
      </c>
      <c r="J100" s="542">
        <f ca="1" t="shared" si="64"/>
        <v>24173.6421056164</v>
      </c>
      <c r="K100" s="542">
        <f ca="1" t="shared" si="64"/>
        <v>24173.6421056164</v>
      </c>
      <c r="L100" s="542">
        <f ca="1" t="shared" si="64"/>
        <v>24173.6421056164</v>
      </c>
      <c r="M100" s="542">
        <f ca="1" t="shared" si="64"/>
        <v>24173.6421056164</v>
      </c>
      <c r="N100" s="542">
        <f ca="1" t="shared" si="64"/>
        <v>24173.6421056164</v>
      </c>
      <c r="O100" s="542">
        <f ca="1" t="shared" si="64"/>
        <v>24173.6421056164</v>
      </c>
      <c r="P100" s="542">
        <f ca="1" t="shared" si="64"/>
        <v>24173.6421056164</v>
      </c>
      <c r="Q100" s="542">
        <f ca="1" t="shared" ref="Q100:Z100" si="65">$D$84/$D$82</f>
        <v>24173.6421056164</v>
      </c>
      <c r="R100" s="542">
        <f ca="1" t="shared" si="65"/>
        <v>24173.6421056164</v>
      </c>
      <c r="S100" s="542">
        <f ca="1" t="shared" si="65"/>
        <v>24173.6421056164</v>
      </c>
      <c r="T100" s="542">
        <f ca="1" t="shared" si="65"/>
        <v>24173.6421056164</v>
      </c>
      <c r="U100" s="542">
        <f ca="1" t="shared" si="65"/>
        <v>24173.6421056164</v>
      </c>
      <c r="V100" s="542">
        <f ca="1" t="shared" si="65"/>
        <v>24173.6421056164</v>
      </c>
      <c r="W100" s="542">
        <f ca="1" t="shared" si="65"/>
        <v>24173.6421056164</v>
      </c>
      <c r="X100" s="542">
        <f ca="1" t="shared" si="65"/>
        <v>24173.6421056164</v>
      </c>
      <c r="Y100" s="542">
        <f ca="1" t="shared" si="65"/>
        <v>24173.6421056164</v>
      </c>
      <c r="Z100" s="542">
        <f ca="1" t="shared" si="65"/>
        <v>24173.6421056164</v>
      </c>
      <c r="AA100" s="542">
        <f ca="1" t="shared" ref="AA100:AI100" si="66">$D$84/$D$82</f>
        <v>24173.6421056164</v>
      </c>
      <c r="AB100" s="542">
        <f ca="1" t="shared" si="66"/>
        <v>24173.6421056164</v>
      </c>
      <c r="AC100" s="542">
        <f ca="1" t="shared" si="66"/>
        <v>24173.6421056164</v>
      </c>
      <c r="AD100" s="542">
        <f ca="1" t="shared" si="66"/>
        <v>24173.6421056164</v>
      </c>
      <c r="AE100" s="542">
        <f ca="1" t="shared" si="66"/>
        <v>24173.6421056164</v>
      </c>
      <c r="AF100" s="542">
        <f ca="1" t="shared" si="66"/>
        <v>24173.6421056164</v>
      </c>
      <c r="AG100" s="542">
        <f ca="1" t="shared" si="66"/>
        <v>24173.6421056164</v>
      </c>
      <c r="AH100" s="542">
        <f ca="1" t="shared" si="66"/>
        <v>24173.6421056164</v>
      </c>
      <c r="AI100" s="543">
        <f ca="1" t="shared" si="66"/>
        <v>24173.6421056164</v>
      </c>
      <c r="AJ100" s="554"/>
      <c r="AK100" s="554"/>
      <c r="AL100" s="554"/>
      <c r="AM100" s="554"/>
      <c r="AN100" s="554"/>
      <c r="AO100" s="554"/>
      <c r="AP100" s="554"/>
      <c r="AQ100" s="554"/>
      <c r="AR100" s="554"/>
      <c r="AS100" s="554"/>
      <c r="AT100" s="554"/>
      <c r="AU100" s="554"/>
      <c r="AV100" s="554"/>
      <c r="AW100" s="554"/>
      <c r="AX100" s="554"/>
      <c r="AY100" s="554"/>
      <c r="AZ100" s="554"/>
      <c r="BA100" s="554"/>
    </row>
    <row r="101" spans="2:53">
      <c r="B101" s="556"/>
      <c r="C101" s="549"/>
      <c r="D101" s="33" t="s">
        <v>539</v>
      </c>
      <c r="E101" s="542">
        <f ca="1">SUM(F101:AI101)</f>
        <v>241675.9869509</v>
      </c>
      <c r="F101" s="542">
        <f ca="1">(F97+F98/2)*$D$85</f>
        <v>15591.9991581226</v>
      </c>
      <c r="G101" s="542">
        <f ca="1" t="shared" ref="G101:AI101" si="67">(G97+G98/2)*$D$85</f>
        <v>15072.2658528518</v>
      </c>
      <c r="H101" s="542">
        <f ca="1" t="shared" si="67"/>
        <v>14552.5325475811</v>
      </c>
      <c r="I101" s="542">
        <f ca="1" t="shared" si="67"/>
        <v>14032.7992423103</v>
      </c>
      <c r="J101" s="542">
        <f ca="1" t="shared" si="67"/>
        <v>13513.0659370396</v>
      </c>
      <c r="K101" s="542">
        <f ca="1" t="shared" si="67"/>
        <v>12993.3326317688</v>
      </c>
      <c r="L101" s="542">
        <f ca="1" t="shared" si="67"/>
        <v>12473.5993264981</v>
      </c>
      <c r="M101" s="542">
        <f ca="1" t="shared" si="67"/>
        <v>11953.8660212273</v>
      </c>
      <c r="N101" s="542">
        <f ca="1" t="shared" si="67"/>
        <v>11434.1327159566</v>
      </c>
      <c r="O101" s="542">
        <f ca="1" t="shared" si="67"/>
        <v>10914.3994106858</v>
      </c>
      <c r="P101" s="542">
        <f ca="1" t="shared" si="67"/>
        <v>10394.6661054151</v>
      </c>
      <c r="Q101" s="542">
        <f ca="1" t="shared" si="67"/>
        <v>9874.93280014431</v>
      </c>
      <c r="R101" s="542">
        <f ca="1" t="shared" si="67"/>
        <v>9355.19949487356</v>
      </c>
      <c r="S101" s="542">
        <f ca="1" t="shared" si="67"/>
        <v>8835.4661896028</v>
      </c>
      <c r="T101" s="542">
        <f ca="1" t="shared" si="67"/>
        <v>8315.73288433205</v>
      </c>
      <c r="U101" s="542">
        <f ca="1" t="shared" si="67"/>
        <v>7795.9995790613</v>
      </c>
      <c r="V101" s="542">
        <f ca="1" t="shared" si="67"/>
        <v>7276.26627379054</v>
      </c>
      <c r="W101" s="542">
        <f ca="1" t="shared" si="67"/>
        <v>6756.53296851979</v>
      </c>
      <c r="X101" s="542">
        <f ca="1" t="shared" si="67"/>
        <v>6236.79966324904</v>
      </c>
      <c r="Y101" s="542">
        <f ca="1" t="shared" si="67"/>
        <v>5717.06635797829</v>
      </c>
      <c r="Z101" s="542">
        <f ca="1" t="shared" si="67"/>
        <v>5197.33305270753</v>
      </c>
      <c r="AA101" s="542">
        <f ca="1" t="shared" si="67"/>
        <v>4677.59974743678</v>
      </c>
      <c r="AB101" s="542">
        <f ca="1" t="shared" si="67"/>
        <v>4157.86644216603</v>
      </c>
      <c r="AC101" s="542">
        <f ca="1" t="shared" si="67"/>
        <v>3638.13313689528</v>
      </c>
      <c r="AD101" s="542">
        <f ca="1" t="shared" si="67"/>
        <v>3118.39983162452</v>
      </c>
      <c r="AE101" s="542">
        <f ca="1" t="shared" si="67"/>
        <v>2598.66652635377</v>
      </c>
      <c r="AF101" s="542">
        <f ca="1" t="shared" si="67"/>
        <v>2078.93322108302</v>
      </c>
      <c r="AG101" s="542">
        <f ca="1" t="shared" si="67"/>
        <v>1559.19991581227</v>
      </c>
      <c r="AH101" s="542">
        <f ca="1" t="shared" si="67"/>
        <v>1039.46661054151</v>
      </c>
      <c r="AI101" s="543">
        <f ca="1" t="shared" si="67"/>
        <v>519.733305270761</v>
      </c>
      <c r="AJ101" s="554"/>
      <c r="AK101" s="554"/>
      <c r="AL101" s="554"/>
      <c r="AM101" s="554"/>
      <c r="AN101" s="554"/>
      <c r="AO101" s="554"/>
      <c r="AP101" s="554"/>
      <c r="AQ101" s="554"/>
      <c r="AR101" s="554"/>
      <c r="AS101" s="554"/>
      <c r="AT101" s="554"/>
      <c r="AU101" s="554"/>
      <c r="AV101" s="554"/>
      <c r="AW101" s="554"/>
      <c r="AX101" s="554"/>
      <c r="AY101" s="554"/>
      <c r="AZ101" s="554"/>
      <c r="BA101" s="554"/>
    </row>
    <row r="102" ht="17.25" spans="2:53">
      <c r="B102" s="560"/>
      <c r="C102" s="551"/>
      <c r="D102" s="163" t="s">
        <v>540</v>
      </c>
      <c r="E102" s="546">
        <f ca="1">AI102</f>
        <v>3.78349795937538e-10</v>
      </c>
      <c r="F102" s="546">
        <f ca="1">F97+F98-F100</f>
        <v>701035.621062876</v>
      </c>
      <c r="G102" s="546">
        <f ca="1" t="shared" ref="G102:AI102" si="68">G97+G98-G100</f>
        <v>676861.97895726</v>
      </c>
      <c r="H102" s="546">
        <f ca="1" t="shared" si="68"/>
        <v>652688.336851643</v>
      </c>
      <c r="I102" s="546">
        <f ca="1" t="shared" si="68"/>
        <v>628514.694746027</v>
      </c>
      <c r="J102" s="546">
        <f ca="1" t="shared" si="68"/>
        <v>604341.05264041</v>
      </c>
      <c r="K102" s="546">
        <f ca="1" t="shared" si="68"/>
        <v>580167.410534794</v>
      </c>
      <c r="L102" s="546">
        <f ca="1" t="shared" si="68"/>
        <v>555993.768429178</v>
      </c>
      <c r="M102" s="546">
        <f ca="1" t="shared" si="68"/>
        <v>531820.126323561</v>
      </c>
      <c r="N102" s="546">
        <f ca="1" t="shared" si="68"/>
        <v>507646.484217945</v>
      </c>
      <c r="O102" s="546">
        <f ca="1" t="shared" si="68"/>
        <v>483472.842112328</v>
      </c>
      <c r="P102" s="546">
        <f ca="1" t="shared" si="68"/>
        <v>459299.200006712</v>
      </c>
      <c r="Q102" s="546">
        <f ca="1" t="shared" si="68"/>
        <v>435125.557901096</v>
      </c>
      <c r="R102" s="546">
        <f ca="1" t="shared" si="68"/>
        <v>410951.915795479</v>
      </c>
      <c r="S102" s="546">
        <f ca="1" t="shared" si="68"/>
        <v>386778.273689863</v>
      </c>
      <c r="T102" s="546">
        <f ca="1" t="shared" si="68"/>
        <v>362604.631584246</v>
      </c>
      <c r="U102" s="546">
        <f ca="1" t="shared" si="68"/>
        <v>338430.98947863</v>
      </c>
      <c r="V102" s="546">
        <f ca="1" t="shared" si="68"/>
        <v>314257.347373014</v>
      </c>
      <c r="W102" s="546">
        <f ca="1" t="shared" si="68"/>
        <v>290083.705267397</v>
      </c>
      <c r="X102" s="546">
        <f ca="1" t="shared" si="68"/>
        <v>265910.063161781</v>
      </c>
      <c r="Y102" s="546">
        <f ca="1" t="shared" si="68"/>
        <v>241736.421056164</v>
      </c>
      <c r="Z102" s="546">
        <f ca="1" t="shared" si="68"/>
        <v>217562.778950548</v>
      </c>
      <c r="AA102" s="546">
        <f ca="1" t="shared" si="68"/>
        <v>193389.136844932</v>
      </c>
      <c r="AB102" s="546">
        <f ca="1" t="shared" si="68"/>
        <v>169215.494739315</v>
      </c>
      <c r="AC102" s="546">
        <f ca="1" t="shared" si="68"/>
        <v>145041.852633699</v>
      </c>
      <c r="AD102" s="546">
        <f ca="1" t="shared" si="68"/>
        <v>120868.210528082</v>
      </c>
      <c r="AE102" s="546">
        <f ca="1" t="shared" si="68"/>
        <v>96694.568422466</v>
      </c>
      <c r="AF102" s="546">
        <f ca="1" t="shared" si="68"/>
        <v>72520.9263168496</v>
      </c>
      <c r="AG102" s="546">
        <f ca="1" t="shared" si="68"/>
        <v>48347.2842112332</v>
      </c>
      <c r="AH102" s="546">
        <f ca="1" t="shared" si="68"/>
        <v>24173.6421056168</v>
      </c>
      <c r="AI102" s="547">
        <f ca="1" t="shared" si="68"/>
        <v>3.78349795937538e-10</v>
      </c>
      <c r="AJ102" s="554"/>
      <c r="AK102" s="554"/>
      <c r="AL102" s="554"/>
      <c r="AM102" s="554"/>
      <c r="AN102" s="554"/>
      <c r="AO102" s="554"/>
      <c r="AP102" s="554"/>
      <c r="AQ102" s="554"/>
      <c r="AR102" s="554"/>
      <c r="AS102" s="554"/>
      <c r="AT102" s="554"/>
      <c r="AU102" s="554"/>
      <c r="AV102" s="554"/>
      <c r="AW102" s="554"/>
      <c r="AX102" s="554"/>
      <c r="AY102" s="554"/>
      <c r="AZ102" s="554"/>
      <c r="BA102" s="554"/>
    </row>
    <row r="103" ht="17.25" spans="2:53">
      <c r="B103" s="92"/>
      <c r="C103" s="552"/>
      <c r="D103" s="561"/>
      <c r="E103" s="92"/>
      <c r="F103" s="500"/>
      <c r="G103" s="501"/>
      <c r="H103" s="501"/>
      <c r="I103" s="501"/>
      <c r="J103" s="501"/>
      <c r="K103" s="501"/>
      <c r="L103" s="501"/>
      <c r="M103" s="501"/>
      <c r="N103" s="501"/>
      <c r="O103" s="501"/>
      <c r="P103" s="501"/>
      <c r="Q103" s="501"/>
      <c r="R103" s="501"/>
      <c r="S103" s="502"/>
      <c r="T103" s="502"/>
      <c r="U103" s="502"/>
      <c r="V103" s="502"/>
      <c r="W103" s="502"/>
    </row>
    <row r="104" spans="2:53">
      <c r="B104" s="555" t="s">
        <v>548</v>
      </c>
      <c r="C104" s="497" t="s">
        <v>13</v>
      </c>
      <c r="D104" s="498">
        <f>参数输入表!I5</f>
        <v>44958</v>
      </c>
      <c r="E104" s="499"/>
      <c r="F104" s="500"/>
      <c r="G104" s="501"/>
      <c r="H104" s="501"/>
      <c r="I104" s="501"/>
      <c r="J104" s="501"/>
      <c r="K104" s="501"/>
      <c r="L104" s="501"/>
      <c r="M104" s="501"/>
      <c r="N104" s="501"/>
      <c r="O104" s="501"/>
      <c r="P104" s="501"/>
      <c r="Q104" s="501"/>
      <c r="R104" s="501"/>
      <c r="S104" s="502"/>
      <c r="T104" s="502"/>
      <c r="U104" s="502"/>
      <c r="V104" s="502"/>
      <c r="W104" s="502"/>
    </row>
    <row r="105" spans="2:53">
      <c r="B105" s="556"/>
      <c r="C105" s="504" t="s">
        <v>196</v>
      </c>
      <c r="D105" s="505">
        <f>D47</f>
        <v>91</v>
      </c>
      <c r="E105" s="506" t="s">
        <v>25</v>
      </c>
      <c r="F105" s="500"/>
      <c r="G105" s="501"/>
      <c r="H105" s="501"/>
      <c r="I105" s="501"/>
      <c r="J105" s="501"/>
      <c r="K105" s="501"/>
      <c r="L105" s="501"/>
      <c r="M105" s="501"/>
      <c r="N105" s="501"/>
      <c r="O105" s="501"/>
      <c r="P105" s="501"/>
      <c r="Q105" s="501"/>
      <c r="R105" s="501"/>
      <c r="S105" s="502"/>
      <c r="T105" s="502"/>
      <c r="U105" s="502"/>
      <c r="V105" s="502"/>
      <c r="W105" s="502"/>
    </row>
    <row r="106" spans="2:53">
      <c r="B106" s="556"/>
      <c r="C106" s="508"/>
      <c r="D106" s="509">
        <f>EDATE(D104,D105)-1</f>
        <v>47726</v>
      </c>
      <c r="E106" s="506" t="s">
        <v>518</v>
      </c>
      <c r="F106" s="500"/>
      <c r="G106" s="501"/>
      <c r="H106" s="501"/>
      <c r="I106" s="501"/>
      <c r="J106" s="501"/>
      <c r="K106" s="501"/>
      <c r="L106" s="501"/>
      <c r="M106" s="501"/>
      <c r="N106" s="501"/>
      <c r="O106" s="501"/>
      <c r="P106" s="501"/>
      <c r="Q106" s="501"/>
      <c r="R106" s="501"/>
      <c r="S106" s="502"/>
      <c r="T106" s="502"/>
      <c r="U106" s="502"/>
      <c r="V106" s="502"/>
      <c r="W106" s="502"/>
    </row>
    <row r="107" spans="2:53">
      <c r="B107" s="556"/>
      <c r="C107" s="511" t="s">
        <v>519</v>
      </c>
      <c r="D107" s="512">
        <f>EDATE(D104,D105+D109)</f>
        <v>47757</v>
      </c>
      <c r="E107" s="513"/>
      <c r="F107" s="500"/>
      <c r="G107" s="501"/>
      <c r="H107" s="501"/>
      <c r="I107" s="501"/>
      <c r="J107" s="501"/>
      <c r="K107" s="501"/>
      <c r="L107" s="501"/>
      <c r="M107" s="501"/>
      <c r="N107" s="501"/>
      <c r="O107" s="501"/>
      <c r="P107" s="501"/>
      <c r="Q107" s="501"/>
      <c r="R107" s="501"/>
      <c r="S107" s="502"/>
      <c r="T107" s="502"/>
      <c r="U107" s="502"/>
      <c r="V107" s="502"/>
      <c r="W107" s="502"/>
    </row>
    <row r="108" spans="2:53">
      <c r="B108" s="556"/>
      <c r="C108" s="511" t="s">
        <v>520</v>
      </c>
      <c r="D108" s="505">
        <f>参数输入表!I256</f>
        <v>15</v>
      </c>
      <c r="E108" s="506" t="s">
        <v>15</v>
      </c>
      <c r="F108" s="500"/>
      <c r="G108" s="501"/>
      <c r="H108" s="501"/>
      <c r="I108" s="501"/>
      <c r="J108" s="501"/>
      <c r="K108" s="501"/>
      <c r="L108" s="501"/>
      <c r="M108" s="501"/>
      <c r="N108" s="501"/>
      <c r="O108" s="501"/>
      <c r="P108" s="501"/>
      <c r="Q108" s="501"/>
      <c r="R108" s="501"/>
      <c r="S108" s="502"/>
      <c r="T108" s="502"/>
      <c r="U108" s="502"/>
      <c r="V108" s="502"/>
      <c r="W108" s="502"/>
    </row>
    <row r="109" spans="2:53">
      <c r="B109" s="556"/>
      <c r="C109" s="511" t="s">
        <v>521</v>
      </c>
      <c r="D109" s="505">
        <v>1</v>
      </c>
      <c r="E109" s="506" t="s">
        <v>25</v>
      </c>
      <c r="F109" s="500"/>
      <c r="G109" s="501"/>
      <c r="H109" s="501"/>
      <c r="I109" s="501"/>
      <c r="J109" s="501"/>
      <c r="K109" s="501"/>
      <c r="L109" s="501"/>
      <c r="M109" s="501"/>
      <c r="N109" s="501"/>
      <c r="O109" s="501"/>
      <c r="P109" s="501"/>
      <c r="Q109" s="501"/>
      <c r="R109" s="501"/>
      <c r="S109" s="502"/>
      <c r="T109" s="502"/>
      <c r="U109" s="502"/>
      <c r="V109" s="502"/>
      <c r="W109" s="502"/>
    </row>
    <row r="110" spans="2:53">
      <c r="B110" s="556"/>
      <c r="C110" s="511" t="s">
        <v>522</v>
      </c>
      <c r="D110" s="505">
        <f>12/D109</f>
        <v>12</v>
      </c>
      <c r="E110" s="506" t="s">
        <v>523</v>
      </c>
      <c r="F110" s="500"/>
      <c r="G110" s="501"/>
      <c r="H110" s="501"/>
      <c r="I110" s="501"/>
      <c r="J110" s="501"/>
      <c r="K110" s="501"/>
      <c r="L110" s="501"/>
      <c r="M110" s="501"/>
      <c r="N110" s="501"/>
      <c r="O110" s="501"/>
      <c r="P110" s="501"/>
      <c r="Q110" s="501"/>
      <c r="R110" s="501"/>
      <c r="S110" s="502"/>
      <c r="T110" s="502"/>
      <c r="U110" s="502"/>
      <c r="V110" s="502"/>
      <c r="W110" s="502"/>
    </row>
    <row r="111" spans="2:53">
      <c r="B111" s="556"/>
      <c r="C111" s="511" t="s">
        <v>524</v>
      </c>
      <c r="D111" s="505">
        <f>D108*D110</f>
        <v>180</v>
      </c>
      <c r="E111" s="506" t="s">
        <v>525</v>
      </c>
      <c r="F111" s="500"/>
      <c r="G111" s="501"/>
      <c r="H111" s="501"/>
      <c r="I111" s="501"/>
      <c r="J111" s="501"/>
      <c r="K111" s="501"/>
      <c r="L111" s="501"/>
      <c r="M111" s="501"/>
      <c r="N111" s="501"/>
      <c r="O111" s="501"/>
      <c r="P111" s="501"/>
      <c r="Q111" s="501"/>
      <c r="R111" s="501"/>
      <c r="S111" s="502"/>
      <c r="T111" s="502"/>
      <c r="U111" s="502"/>
      <c r="V111" s="502"/>
      <c r="W111" s="502"/>
    </row>
    <row r="112" spans="2:53">
      <c r="B112" s="556"/>
      <c r="C112" s="511" t="s">
        <v>526</v>
      </c>
      <c r="D112" s="509">
        <f>EDATE(D107,D108*12-D109)</f>
        <v>53206</v>
      </c>
      <c r="E112" s="514">
        <f>GC116</f>
        <v>53206</v>
      </c>
      <c r="F112" s="500"/>
      <c r="G112" s="501"/>
      <c r="H112" s="501"/>
      <c r="I112" s="501"/>
      <c r="J112" s="501"/>
      <c r="K112" s="501"/>
      <c r="L112" s="501"/>
      <c r="M112" s="501"/>
      <c r="N112" s="501"/>
      <c r="O112" s="501"/>
      <c r="P112" s="501"/>
      <c r="Q112" s="501"/>
      <c r="R112" s="501"/>
      <c r="S112" s="502"/>
      <c r="T112" s="502"/>
      <c r="U112" s="502"/>
      <c r="V112" s="502"/>
      <c r="W112" s="502"/>
    </row>
    <row r="113" spans="2:185">
      <c r="B113" s="556"/>
      <c r="C113" s="511" t="s">
        <v>527</v>
      </c>
      <c r="D113" s="515">
        <f ca="1">SUM(D42:D43)</f>
        <v>725209.263168492</v>
      </c>
      <c r="E113" s="516" t="s">
        <v>130</v>
      </c>
      <c r="F113" s="500"/>
      <c r="G113" s="501"/>
      <c r="H113" s="501"/>
      <c r="I113" s="501"/>
      <c r="J113" s="501"/>
      <c r="K113" s="501"/>
      <c r="L113" s="501"/>
      <c r="M113" s="501"/>
      <c r="N113" s="501"/>
      <c r="O113" s="501"/>
      <c r="P113" s="501"/>
      <c r="Q113" s="501"/>
      <c r="R113" s="501"/>
      <c r="S113" s="502"/>
      <c r="T113" s="502"/>
      <c r="U113" s="502"/>
      <c r="V113" s="502"/>
      <c r="W113" s="502"/>
    </row>
    <row r="114" ht="17.25" spans="2:185">
      <c r="B114" s="556"/>
      <c r="C114" s="517" t="s">
        <v>549</v>
      </c>
      <c r="D114" s="518">
        <f>参数输入表!$I$252/D110</f>
        <v>0.00358333333333333</v>
      </c>
      <c r="E114" s="519" t="s">
        <v>31</v>
      </c>
      <c r="F114" s="500"/>
      <c r="G114" s="501"/>
      <c r="H114" s="501"/>
      <c r="I114" s="501"/>
      <c r="J114" s="501"/>
      <c r="K114" s="501"/>
      <c r="L114" s="501"/>
      <c r="M114" s="501"/>
      <c r="N114" s="501"/>
      <c r="O114" s="501"/>
      <c r="P114" s="501"/>
      <c r="Q114" s="501"/>
      <c r="R114" s="501"/>
      <c r="S114" s="502"/>
      <c r="T114" s="502"/>
      <c r="U114" s="502"/>
      <c r="V114" s="502"/>
      <c r="W114" s="502"/>
    </row>
    <row r="115" spans="2:185">
      <c r="B115" s="556"/>
      <c r="C115" s="497" t="s">
        <v>550</v>
      </c>
      <c r="D115" s="520" t="s">
        <v>530</v>
      </c>
      <c r="E115" s="521"/>
      <c r="F115" s="522">
        <v>1</v>
      </c>
      <c r="G115" s="522">
        <v>2</v>
      </c>
      <c r="H115" s="522">
        <v>3</v>
      </c>
      <c r="I115" s="522">
        <v>4</v>
      </c>
      <c r="J115" s="522">
        <v>5</v>
      </c>
      <c r="K115" s="522">
        <v>6</v>
      </c>
      <c r="L115" s="522">
        <v>7</v>
      </c>
      <c r="M115" s="522">
        <v>8</v>
      </c>
      <c r="N115" s="522">
        <v>9</v>
      </c>
      <c r="O115" s="522">
        <v>10</v>
      </c>
      <c r="P115" s="522">
        <v>11</v>
      </c>
      <c r="Q115" s="522">
        <v>12</v>
      </c>
      <c r="R115" s="522">
        <v>13</v>
      </c>
      <c r="S115" s="522">
        <v>14</v>
      </c>
      <c r="T115" s="522">
        <v>15</v>
      </c>
      <c r="U115" s="522">
        <v>16</v>
      </c>
      <c r="V115" s="522">
        <v>17</v>
      </c>
      <c r="W115" s="522">
        <v>18</v>
      </c>
      <c r="X115" s="522">
        <v>19</v>
      </c>
      <c r="Y115" s="522">
        <v>20</v>
      </c>
      <c r="Z115" s="522">
        <v>21</v>
      </c>
      <c r="AA115" s="522">
        <v>22</v>
      </c>
      <c r="AB115" s="522">
        <v>23</v>
      </c>
      <c r="AC115" s="522">
        <v>24</v>
      </c>
      <c r="AD115" s="522">
        <v>25</v>
      </c>
      <c r="AE115" s="522">
        <v>26</v>
      </c>
      <c r="AF115" s="522">
        <v>27</v>
      </c>
      <c r="AG115" s="522">
        <v>28</v>
      </c>
      <c r="AH115" s="522">
        <v>29</v>
      </c>
      <c r="AI115" s="522">
        <v>30</v>
      </c>
      <c r="AJ115" s="522">
        <v>31</v>
      </c>
      <c r="AK115" s="522">
        <v>32</v>
      </c>
      <c r="AL115" s="522">
        <v>33</v>
      </c>
      <c r="AM115" s="522">
        <v>34</v>
      </c>
      <c r="AN115" s="522">
        <v>35</v>
      </c>
      <c r="AO115" s="522">
        <v>36</v>
      </c>
      <c r="AP115" s="522">
        <v>37</v>
      </c>
      <c r="AQ115" s="522">
        <v>38</v>
      </c>
      <c r="AR115" s="522">
        <v>39</v>
      </c>
      <c r="AS115" s="522">
        <v>40</v>
      </c>
      <c r="AT115" s="522">
        <v>41</v>
      </c>
      <c r="AU115" s="522">
        <v>42</v>
      </c>
      <c r="AV115" s="522">
        <v>43</v>
      </c>
      <c r="AW115" s="522">
        <v>44</v>
      </c>
      <c r="AX115" s="522">
        <v>45</v>
      </c>
      <c r="AY115" s="522">
        <v>46</v>
      </c>
      <c r="AZ115" s="522">
        <v>47</v>
      </c>
      <c r="BA115" s="522">
        <v>48</v>
      </c>
      <c r="BB115" s="522">
        <v>49</v>
      </c>
      <c r="BC115" s="522">
        <v>50</v>
      </c>
      <c r="BD115" s="522">
        <v>51</v>
      </c>
      <c r="BE115" s="522">
        <v>52</v>
      </c>
      <c r="BF115" s="522">
        <v>53</v>
      </c>
      <c r="BG115" s="522">
        <v>54</v>
      </c>
      <c r="BH115" s="522">
        <v>55</v>
      </c>
      <c r="BI115" s="522">
        <v>56</v>
      </c>
      <c r="BJ115" s="522">
        <v>57</v>
      </c>
      <c r="BK115" s="522">
        <v>58</v>
      </c>
      <c r="BL115" s="522">
        <v>59</v>
      </c>
      <c r="BM115" s="522">
        <v>60</v>
      </c>
      <c r="BN115" s="522">
        <v>61</v>
      </c>
      <c r="BO115" s="522">
        <v>62</v>
      </c>
      <c r="BP115" s="522">
        <v>63</v>
      </c>
      <c r="BQ115" s="522">
        <v>64</v>
      </c>
      <c r="BR115" s="522">
        <v>65</v>
      </c>
      <c r="BS115" s="522">
        <v>66</v>
      </c>
      <c r="BT115" s="522">
        <v>67</v>
      </c>
      <c r="BU115" s="522">
        <v>68</v>
      </c>
      <c r="BV115" s="522">
        <v>69</v>
      </c>
      <c r="BW115" s="522">
        <v>70</v>
      </c>
      <c r="BX115" s="522">
        <v>71</v>
      </c>
      <c r="BY115" s="522">
        <v>72</v>
      </c>
      <c r="BZ115" s="522">
        <v>73</v>
      </c>
      <c r="CA115" s="522">
        <v>74</v>
      </c>
      <c r="CB115" s="522">
        <v>75</v>
      </c>
      <c r="CC115" s="522">
        <v>76</v>
      </c>
      <c r="CD115" s="522">
        <v>77</v>
      </c>
      <c r="CE115" s="522">
        <v>78</v>
      </c>
      <c r="CF115" s="522">
        <v>79</v>
      </c>
      <c r="CG115" s="522">
        <v>80</v>
      </c>
      <c r="CH115" s="522">
        <v>81</v>
      </c>
      <c r="CI115" s="522">
        <v>82</v>
      </c>
      <c r="CJ115" s="522">
        <v>83</v>
      </c>
      <c r="CK115" s="522">
        <v>84</v>
      </c>
      <c r="CL115" s="522">
        <v>85</v>
      </c>
      <c r="CM115" s="522">
        <v>86</v>
      </c>
      <c r="CN115" s="522">
        <v>87</v>
      </c>
      <c r="CO115" s="522">
        <v>88</v>
      </c>
      <c r="CP115" s="522">
        <v>89</v>
      </c>
      <c r="CQ115" s="522">
        <v>90</v>
      </c>
      <c r="CR115" s="522">
        <v>91</v>
      </c>
      <c r="CS115" s="522">
        <v>92</v>
      </c>
      <c r="CT115" s="522">
        <v>93</v>
      </c>
      <c r="CU115" s="522">
        <v>94</v>
      </c>
      <c r="CV115" s="522">
        <v>95</v>
      </c>
      <c r="CW115" s="522">
        <v>96</v>
      </c>
      <c r="CX115" s="522">
        <v>97</v>
      </c>
      <c r="CY115" s="522">
        <v>98</v>
      </c>
      <c r="CZ115" s="522">
        <v>99</v>
      </c>
      <c r="DA115" s="522">
        <v>100</v>
      </c>
      <c r="DB115" s="522">
        <v>101</v>
      </c>
      <c r="DC115" s="522">
        <v>102</v>
      </c>
      <c r="DD115" s="522">
        <v>103</v>
      </c>
      <c r="DE115" s="522">
        <v>104</v>
      </c>
      <c r="DF115" s="522">
        <v>105</v>
      </c>
      <c r="DG115" s="522">
        <v>106</v>
      </c>
      <c r="DH115" s="522">
        <v>107</v>
      </c>
      <c r="DI115" s="522">
        <v>108</v>
      </c>
      <c r="DJ115" s="522">
        <v>109</v>
      </c>
      <c r="DK115" s="522">
        <v>110</v>
      </c>
      <c r="DL115" s="522">
        <v>111</v>
      </c>
      <c r="DM115" s="522">
        <v>112</v>
      </c>
      <c r="DN115" s="522">
        <v>113</v>
      </c>
      <c r="DO115" s="522">
        <v>114</v>
      </c>
      <c r="DP115" s="522">
        <v>115</v>
      </c>
      <c r="DQ115" s="522">
        <v>116</v>
      </c>
      <c r="DR115" s="522">
        <v>117</v>
      </c>
      <c r="DS115" s="522">
        <v>118</v>
      </c>
      <c r="DT115" s="522">
        <v>119</v>
      </c>
      <c r="DU115" s="522">
        <v>120</v>
      </c>
      <c r="DV115" s="522">
        <v>121</v>
      </c>
      <c r="DW115" s="522">
        <v>122</v>
      </c>
      <c r="DX115" s="522">
        <v>123</v>
      </c>
      <c r="DY115" s="522">
        <v>124</v>
      </c>
      <c r="DZ115" s="522">
        <v>125</v>
      </c>
      <c r="EA115" s="522">
        <v>126</v>
      </c>
      <c r="EB115" s="522">
        <v>127</v>
      </c>
      <c r="EC115" s="522">
        <v>128</v>
      </c>
      <c r="ED115" s="522">
        <v>129</v>
      </c>
      <c r="EE115" s="522">
        <v>130</v>
      </c>
      <c r="EF115" s="522">
        <v>131</v>
      </c>
      <c r="EG115" s="522">
        <v>132</v>
      </c>
      <c r="EH115" s="522">
        <v>133</v>
      </c>
      <c r="EI115" s="522">
        <v>134</v>
      </c>
      <c r="EJ115" s="522">
        <v>135</v>
      </c>
      <c r="EK115" s="522">
        <v>136</v>
      </c>
      <c r="EL115" s="522">
        <v>137</v>
      </c>
      <c r="EM115" s="522">
        <v>138</v>
      </c>
      <c r="EN115" s="522">
        <v>139</v>
      </c>
      <c r="EO115" s="522">
        <v>140</v>
      </c>
      <c r="EP115" s="522">
        <v>141</v>
      </c>
      <c r="EQ115" s="522">
        <v>142</v>
      </c>
      <c r="ER115" s="522">
        <v>143</v>
      </c>
      <c r="ES115" s="522">
        <v>144</v>
      </c>
      <c r="ET115" s="522">
        <v>145</v>
      </c>
      <c r="EU115" s="522">
        <v>146</v>
      </c>
      <c r="EV115" s="522">
        <v>147</v>
      </c>
      <c r="EW115" s="522">
        <v>148</v>
      </c>
      <c r="EX115" s="522">
        <v>149</v>
      </c>
      <c r="EY115" s="522">
        <v>150</v>
      </c>
      <c r="EZ115" s="522">
        <v>151</v>
      </c>
      <c r="FA115" s="522">
        <v>152</v>
      </c>
      <c r="FB115" s="522">
        <v>153</v>
      </c>
      <c r="FC115" s="522">
        <v>154</v>
      </c>
      <c r="FD115" s="522">
        <v>155</v>
      </c>
      <c r="FE115" s="522">
        <v>156</v>
      </c>
      <c r="FF115" s="522">
        <v>157</v>
      </c>
      <c r="FG115" s="522">
        <v>158</v>
      </c>
      <c r="FH115" s="522">
        <v>159</v>
      </c>
      <c r="FI115" s="522">
        <v>160</v>
      </c>
      <c r="FJ115" s="522">
        <v>161</v>
      </c>
      <c r="FK115" s="522">
        <v>162</v>
      </c>
      <c r="FL115" s="522">
        <v>163</v>
      </c>
      <c r="FM115" s="522">
        <v>164</v>
      </c>
      <c r="FN115" s="522">
        <v>165</v>
      </c>
      <c r="FO115" s="522">
        <v>166</v>
      </c>
      <c r="FP115" s="522">
        <v>167</v>
      </c>
      <c r="FQ115" s="522">
        <v>168</v>
      </c>
      <c r="FR115" s="522">
        <v>169</v>
      </c>
      <c r="FS115" s="522">
        <v>170</v>
      </c>
      <c r="FT115" s="522">
        <v>171</v>
      </c>
      <c r="FU115" s="522">
        <v>172</v>
      </c>
      <c r="FV115" s="522">
        <v>173</v>
      </c>
      <c r="FW115" s="522">
        <v>174</v>
      </c>
      <c r="FX115" s="522">
        <v>175</v>
      </c>
      <c r="FY115" s="522">
        <v>176</v>
      </c>
      <c r="FZ115" s="522">
        <v>177</v>
      </c>
      <c r="GA115" s="522">
        <v>178</v>
      </c>
      <c r="GB115" s="522">
        <v>179</v>
      </c>
      <c r="GC115" s="522">
        <v>180</v>
      </c>
    </row>
    <row r="116" spans="2:185">
      <c r="B116" s="556"/>
      <c r="C116" s="511"/>
      <c r="D116" s="524" t="s">
        <v>545</v>
      </c>
      <c r="E116" s="525"/>
      <c r="F116" s="509">
        <f>D107</f>
        <v>47757</v>
      </c>
      <c r="G116" s="509">
        <f>EDATE(F116,$D$109)</f>
        <v>47788</v>
      </c>
      <c r="H116" s="509">
        <f t="shared" ref="H116:AM116" si="69">EDATE(G116,$D$109)</f>
        <v>47818</v>
      </c>
      <c r="I116" s="509">
        <f t="shared" si="69"/>
        <v>47849</v>
      </c>
      <c r="J116" s="509">
        <f t="shared" si="69"/>
        <v>47880</v>
      </c>
      <c r="K116" s="509">
        <f t="shared" si="69"/>
        <v>47908</v>
      </c>
      <c r="L116" s="509">
        <f t="shared" si="69"/>
        <v>47939</v>
      </c>
      <c r="M116" s="509">
        <f t="shared" si="69"/>
        <v>47969</v>
      </c>
      <c r="N116" s="509">
        <f t="shared" si="69"/>
        <v>48000</v>
      </c>
      <c r="O116" s="509">
        <f t="shared" si="69"/>
        <v>48030</v>
      </c>
      <c r="P116" s="509">
        <f t="shared" si="69"/>
        <v>48061</v>
      </c>
      <c r="Q116" s="509">
        <f t="shared" si="69"/>
        <v>48092</v>
      </c>
      <c r="R116" s="509">
        <f t="shared" si="69"/>
        <v>48122</v>
      </c>
      <c r="S116" s="509">
        <f t="shared" si="69"/>
        <v>48153</v>
      </c>
      <c r="T116" s="509">
        <f t="shared" si="69"/>
        <v>48183</v>
      </c>
      <c r="U116" s="509">
        <f t="shared" si="69"/>
        <v>48214</v>
      </c>
      <c r="V116" s="509">
        <f t="shared" si="69"/>
        <v>48245</v>
      </c>
      <c r="W116" s="509">
        <f t="shared" si="69"/>
        <v>48274</v>
      </c>
      <c r="X116" s="509">
        <f t="shared" si="69"/>
        <v>48305</v>
      </c>
      <c r="Y116" s="509">
        <f t="shared" si="69"/>
        <v>48335</v>
      </c>
      <c r="Z116" s="509">
        <f t="shared" si="69"/>
        <v>48366</v>
      </c>
      <c r="AA116" s="509">
        <f t="shared" si="69"/>
        <v>48396</v>
      </c>
      <c r="AB116" s="509">
        <f t="shared" si="69"/>
        <v>48427</v>
      </c>
      <c r="AC116" s="509">
        <f t="shared" si="69"/>
        <v>48458</v>
      </c>
      <c r="AD116" s="509">
        <f t="shared" si="69"/>
        <v>48488</v>
      </c>
      <c r="AE116" s="509">
        <f t="shared" si="69"/>
        <v>48519</v>
      </c>
      <c r="AF116" s="509">
        <f t="shared" si="69"/>
        <v>48549</v>
      </c>
      <c r="AG116" s="509">
        <f t="shared" si="69"/>
        <v>48580</v>
      </c>
      <c r="AH116" s="509">
        <f t="shared" si="69"/>
        <v>48611</v>
      </c>
      <c r="AI116" s="509">
        <f t="shared" si="69"/>
        <v>48639</v>
      </c>
      <c r="AJ116" s="509">
        <f t="shared" si="69"/>
        <v>48670</v>
      </c>
      <c r="AK116" s="509">
        <f t="shared" si="69"/>
        <v>48700</v>
      </c>
      <c r="AL116" s="509">
        <f t="shared" si="69"/>
        <v>48731</v>
      </c>
      <c r="AM116" s="509">
        <f t="shared" si="69"/>
        <v>48761</v>
      </c>
      <c r="AN116" s="509">
        <f t="shared" ref="AN116:BS116" si="70">EDATE(AM116,$D$109)</f>
        <v>48792</v>
      </c>
      <c r="AO116" s="509">
        <f t="shared" si="70"/>
        <v>48823</v>
      </c>
      <c r="AP116" s="509">
        <f t="shared" si="70"/>
        <v>48853</v>
      </c>
      <c r="AQ116" s="509">
        <f t="shared" si="70"/>
        <v>48884</v>
      </c>
      <c r="AR116" s="509">
        <f t="shared" si="70"/>
        <v>48914</v>
      </c>
      <c r="AS116" s="509">
        <f t="shared" si="70"/>
        <v>48945</v>
      </c>
      <c r="AT116" s="509">
        <f t="shared" si="70"/>
        <v>48976</v>
      </c>
      <c r="AU116" s="509">
        <f t="shared" si="70"/>
        <v>49004</v>
      </c>
      <c r="AV116" s="509">
        <f t="shared" si="70"/>
        <v>49035</v>
      </c>
      <c r="AW116" s="509">
        <f t="shared" si="70"/>
        <v>49065</v>
      </c>
      <c r="AX116" s="509">
        <f t="shared" si="70"/>
        <v>49096</v>
      </c>
      <c r="AY116" s="509">
        <f t="shared" si="70"/>
        <v>49126</v>
      </c>
      <c r="AZ116" s="509">
        <f t="shared" si="70"/>
        <v>49157</v>
      </c>
      <c r="BA116" s="509">
        <f t="shared" si="70"/>
        <v>49188</v>
      </c>
      <c r="BB116" s="509">
        <f t="shared" si="70"/>
        <v>49218</v>
      </c>
      <c r="BC116" s="509">
        <f t="shared" si="70"/>
        <v>49249</v>
      </c>
      <c r="BD116" s="509">
        <f t="shared" si="70"/>
        <v>49279</v>
      </c>
      <c r="BE116" s="509">
        <f t="shared" si="70"/>
        <v>49310</v>
      </c>
      <c r="BF116" s="509">
        <f t="shared" si="70"/>
        <v>49341</v>
      </c>
      <c r="BG116" s="509">
        <f t="shared" si="70"/>
        <v>49369</v>
      </c>
      <c r="BH116" s="509">
        <f t="shared" si="70"/>
        <v>49400</v>
      </c>
      <c r="BI116" s="509">
        <f t="shared" si="70"/>
        <v>49430</v>
      </c>
      <c r="BJ116" s="509">
        <f t="shared" si="70"/>
        <v>49461</v>
      </c>
      <c r="BK116" s="509">
        <f t="shared" si="70"/>
        <v>49491</v>
      </c>
      <c r="BL116" s="509">
        <f t="shared" si="70"/>
        <v>49522</v>
      </c>
      <c r="BM116" s="509">
        <f t="shared" si="70"/>
        <v>49553</v>
      </c>
      <c r="BN116" s="509">
        <f t="shared" si="70"/>
        <v>49583</v>
      </c>
      <c r="BO116" s="509">
        <f t="shared" si="70"/>
        <v>49614</v>
      </c>
      <c r="BP116" s="509">
        <f t="shared" si="70"/>
        <v>49644</v>
      </c>
      <c r="BQ116" s="509">
        <f t="shared" si="70"/>
        <v>49675</v>
      </c>
      <c r="BR116" s="509">
        <f t="shared" si="70"/>
        <v>49706</v>
      </c>
      <c r="BS116" s="509">
        <f t="shared" si="70"/>
        <v>49735</v>
      </c>
      <c r="BT116" s="509">
        <f t="shared" ref="BT116:CY116" si="71">EDATE(BS116,$D$109)</f>
        <v>49766</v>
      </c>
      <c r="BU116" s="509">
        <f t="shared" si="71"/>
        <v>49796</v>
      </c>
      <c r="BV116" s="509">
        <f t="shared" si="71"/>
        <v>49827</v>
      </c>
      <c r="BW116" s="509">
        <f t="shared" si="71"/>
        <v>49857</v>
      </c>
      <c r="BX116" s="509">
        <f t="shared" si="71"/>
        <v>49888</v>
      </c>
      <c r="BY116" s="509">
        <f t="shared" si="71"/>
        <v>49919</v>
      </c>
      <c r="BZ116" s="509">
        <f t="shared" si="71"/>
        <v>49949</v>
      </c>
      <c r="CA116" s="509">
        <f t="shared" si="71"/>
        <v>49980</v>
      </c>
      <c r="CB116" s="509">
        <f t="shared" si="71"/>
        <v>50010</v>
      </c>
      <c r="CC116" s="509">
        <f t="shared" si="71"/>
        <v>50041</v>
      </c>
      <c r="CD116" s="509">
        <f t="shared" si="71"/>
        <v>50072</v>
      </c>
      <c r="CE116" s="509">
        <f t="shared" si="71"/>
        <v>50100</v>
      </c>
      <c r="CF116" s="509">
        <f t="shared" si="71"/>
        <v>50131</v>
      </c>
      <c r="CG116" s="509">
        <f t="shared" si="71"/>
        <v>50161</v>
      </c>
      <c r="CH116" s="509">
        <f t="shared" si="71"/>
        <v>50192</v>
      </c>
      <c r="CI116" s="509">
        <f t="shared" si="71"/>
        <v>50222</v>
      </c>
      <c r="CJ116" s="509">
        <f t="shared" si="71"/>
        <v>50253</v>
      </c>
      <c r="CK116" s="509">
        <f t="shared" si="71"/>
        <v>50284</v>
      </c>
      <c r="CL116" s="509">
        <f t="shared" si="71"/>
        <v>50314</v>
      </c>
      <c r="CM116" s="509">
        <f t="shared" si="71"/>
        <v>50345</v>
      </c>
      <c r="CN116" s="509">
        <f t="shared" si="71"/>
        <v>50375</v>
      </c>
      <c r="CO116" s="509">
        <f t="shared" si="71"/>
        <v>50406</v>
      </c>
      <c r="CP116" s="509">
        <f t="shared" si="71"/>
        <v>50437</v>
      </c>
      <c r="CQ116" s="509">
        <f t="shared" si="71"/>
        <v>50465</v>
      </c>
      <c r="CR116" s="509">
        <f t="shared" si="71"/>
        <v>50496</v>
      </c>
      <c r="CS116" s="509">
        <f t="shared" si="71"/>
        <v>50526</v>
      </c>
      <c r="CT116" s="509">
        <f t="shared" si="71"/>
        <v>50557</v>
      </c>
      <c r="CU116" s="509">
        <f t="shared" si="71"/>
        <v>50587</v>
      </c>
      <c r="CV116" s="509">
        <f t="shared" si="71"/>
        <v>50618</v>
      </c>
      <c r="CW116" s="509">
        <f t="shared" si="71"/>
        <v>50649</v>
      </c>
      <c r="CX116" s="509">
        <f t="shared" si="71"/>
        <v>50679</v>
      </c>
      <c r="CY116" s="509">
        <f t="shared" si="71"/>
        <v>50710</v>
      </c>
      <c r="CZ116" s="509">
        <f t="shared" ref="CZ116:EE116" si="72">EDATE(CY116,$D$109)</f>
        <v>50740</v>
      </c>
      <c r="DA116" s="509">
        <f t="shared" si="72"/>
        <v>50771</v>
      </c>
      <c r="DB116" s="509">
        <f t="shared" si="72"/>
        <v>50802</v>
      </c>
      <c r="DC116" s="509">
        <f t="shared" si="72"/>
        <v>50830</v>
      </c>
      <c r="DD116" s="509">
        <f t="shared" si="72"/>
        <v>50861</v>
      </c>
      <c r="DE116" s="509">
        <f t="shared" si="72"/>
        <v>50891</v>
      </c>
      <c r="DF116" s="509">
        <f t="shared" si="72"/>
        <v>50922</v>
      </c>
      <c r="DG116" s="509">
        <f t="shared" si="72"/>
        <v>50952</v>
      </c>
      <c r="DH116" s="509">
        <f t="shared" si="72"/>
        <v>50983</v>
      </c>
      <c r="DI116" s="509">
        <f t="shared" si="72"/>
        <v>51014</v>
      </c>
      <c r="DJ116" s="509">
        <f t="shared" si="72"/>
        <v>51044</v>
      </c>
      <c r="DK116" s="509">
        <f t="shared" si="72"/>
        <v>51075</v>
      </c>
      <c r="DL116" s="509">
        <f t="shared" si="72"/>
        <v>51105</v>
      </c>
      <c r="DM116" s="509">
        <f t="shared" si="72"/>
        <v>51136</v>
      </c>
      <c r="DN116" s="509">
        <f t="shared" si="72"/>
        <v>51167</v>
      </c>
      <c r="DO116" s="509">
        <f t="shared" si="72"/>
        <v>51196</v>
      </c>
      <c r="DP116" s="509">
        <f t="shared" si="72"/>
        <v>51227</v>
      </c>
      <c r="DQ116" s="509">
        <f t="shared" si="72"/>
        <v>51257</v>
      </c>
      <c r="DR116" s="509">
        <f t="shared" si="72"/>
        <v>51288</v>
      </c>
      <c r="DS116" s="509">
        <f t="shared" si="72"/>
        <v>51318</v>
      </c>
      <c r="DT116" s="509">
        <f t="shared" si="72"/>
        <v>51349</v>
      </c>
      <c r="DU116" s="509">
        <f t="shared" si="72"/>
        <v>51380</v>
      </c>
      <c r="DV116" s="509">
        <f t="shared" si="72"/>
        <v>51410</v>
      </c>
      <c r="DW116" s="509">
        <f t="shared" si="72"/>
        <v>51441</v>
      </c>
      <c r="DX116" s="509">
        <f t="shared" si="72"/>
        <v>51471</v>
      </c>
      <c r="DY116" s="509">
        <f t="shared" si="72"/>
        <v>51502</v>
      </c>
      <c r="DZ116" s="509">
        <f t="shared" si="72"/>
        <v>51533</v>
      </c>
      <c r="EA116" s="509">
        <f t="shared" si="72"/>
        <v>51561</v>
      </c>
      <c r="EB116" s="509">
        <f t="shared" si="72"/>
        <v>51592</v>
      </c>
      <c r="EC116" s="509">
        <f t="shared" si="72"/>
        <v>51622</v>
      </c>
      <c r="ED116" s="509">
        <f t="shared" si="72"/>
        <v>51653</v>
      </c>
      <c r="EE116" s="509">
        <f t="shared" si="72"/>
        <v>51683</v>
      </c>
      <c r="EF116" s="509">
        <f t="shared" ref="EF116:FK116" si="73">EDATE(EE116,$D$109)</f>
        <v>51714</v>
      </c>
      <c r="EG116" s="509">
        <f t="shared" si="73"/>
        <v>51745</v>
      </c>
      <c r="EH116" s="509">
        <f t="shared" si="73"/>
        <v>51775</v>
      </c>
      <c r="EI116" s="509">
        <f t="shared" si="73"/>
        <v>51806</v>
      </c>
      <c r="EJ116" s="509">
        <f t="shared" si="73"/>
        <v>51836</v>
      </c>
      <c r="EK116" s="509">
        <f t="shared" si="73"/>
        <v>51867</v>
      </c>
      <c r="EL116" s="509">
        <f t="shared" si="73"/>
        <v>51898</v>
      </c>
      <c r="EM116" s="509">
        <f t="shared" si="73"/>
        <v>51926</v>
      </c>
      <c r="EN116" s="509">
        <f t="shared" si="73"/>
        <v>51957</v>
      </c>
      <c r="EO116" s="509">
        <f t="shared" si="73"/>
        <v>51987</v>
      </c>
      <c r="EP116" s="509">
        <f t="shared" si="73"/>
        <v>52018</v>
      </c>
      <c r="EQ116" s="509">
        <f t="shared" si="73"/>
        <v>52048</v>
      </c>
      <c r="ER116" s="509">
        <f t="shared" si="73"/>
        <v>52079</v>
      </c>
      <c r="ES116" s="509">
        <f t="shared" si="73"/>
        <v>52110</v>
      </c>
      <c r="ET116" s="509">
        <f t="shared" si="73"/>
        <v>52140</v>
      </c>
      <c r="EU116" s="509">
        <f t="shared" si="73"/>
        <v>52171</v>
      </c>
      <c r="EV116" s="509">
        <f t="shared" si="73"/>
        <v>52201</v>
      </c>
      <c r="EW116" s="509">
        <f t="shared" si="73"/>
        <v>52232</v>
      </c>
      <c r="EX116" s="509">
        <f t="shared" si="73"/>
        <v>52263</v>
      </c>
      <c r="EY116" s="509">
        <f t="shared" si="73"/>
        <v>52291</v>
      </c>
      <c r="EZ116" s="509">
        <f t="shared" si="73"/>
        <v>52322</v>
      </c>
      <c r="FA116" s="509">
        <f t="shared" si="73"/>
        <v>52352</v>
      </c>
      <c r="FB116" s="509">
        <f t="shared" si="73"/>
        <v>52383</v>
      </c>
      <c r="FC116" s="509">
        <f t="shared" si="73"/>
        <v>52413</v>
      </c>
      <c r="FD116" s="509">
        <f t="shared" si="73"/>
        <v>52444</v>
      </c>
      <c r="FE116" s="509">
        <f t="shared" si="73"/>
        <v>52475</v>
      </c>
      <c r="FF116" s="509">
        <f t="shared" si="73"/>
        <v>52505</v>
      </c>
      <c r="FG116" s="509">
        <f t="shared" si="73"/>
        <v>52536</v>
      </c>
      <c r="FH116" s="509">
        <f t="shared" si="73"/>
        <v>52566</v>
      </c>
      <c r="FI116" s="509">
        <f t="shared" si="73"/>
        <v>52597</v>
      </c>
      <c r="FJ116" s="509">
        <f t="shared" si="73"/>
        <v>52628</v>
      </c>
      <c r="FK116" s="509">
        <f t="shared" si="73"/>
        <v>52657</v>
      </c>
      <c r="FL116" s="509">
        <f t="shared" ref="FL116:GC116" si="74">EDATE(FK116,$D$109)</f>
        <v>52688</v>
      </c>
      <c r="FM116" s="509">
        <f t="shared" si="74"/>
        <v>52718</v>
      </c>
      <c r="FN116" s="509">
        <f t="shared" si="74"/>
        <v>52749</v>
      </c>
      <c r="FO116" s="509">
        <f t="shared" si="74"/>
        <v>52779</v>
      </c>
      <c r="FP116" s="509">
        <f t="shared" si="74"/>
        <v>52810</v>
      </c>
      <c r="FQ116" s="509">
        <f t="shared" si="74"/>
        <v>52841</v>
      </c>
      <c r="FR116" s="509">
        <f t="shared" si="74"/>
        <v>52871</v>
      </c>
      <c r="FS116" s="509">
        <f t="shared" si="74"/>
        <v>52902</v>
      </c>
      <c r="FT116" s="509">
        <f t="shared" si="74"/>
        <v>52932</v>
      </c>
      <c r="FU116" s="509">
        <f t="shared" si="74"/>
        <v>52963</v>
      </c>
      <c r="FV116" s="509">
        <f t="shared" si="74"/>
        <v>52994</v>
      </c>
      <c r="FW116" s="509">
        <f t="shared" si="74"/>
        <v>53022</v>
      </c>
      <c r="FX116" s="509">
        <f t="shared" si="74"/>
        <v>53053</v>
      </c>
      <c r="FY116" s="509">
        <f t="shared" si="74"/>
        <v>53083</v>
      </c>
      <c r="FZ116" s="509">
        <f t="shared" si="74"/>
        <v>53114</v>
      </c>
      <c r="GA116" s="509">
        <f t="shared" si="74"/>
        <v>53144</v>
      </c>
      <c r="GB116" s="509">
        <f t="shared" si="74"/>
        <v>53175</v>
      </c>
      <c r="GC116" s="516">
        <f t="shared" si="74"/>
        <v>53206</v>
      </c>
    </row>
    <row r="117" ht="17.25" spans="2:185">
      <c r="B117" s="556"/>
      <c r="C117" s="511"/>
      <c r="D117" s="524" t="s">
        <v>532</v>
      </c>
      <c r="E117" s="525"/>
      <c r="F117" s="526">
        <f>YEAR(F116)</f>
        <v>2030</v>
      </c>
      <c r="G117" s="526">
        <f>YEAR(G116)</f>
        <v>2030</v>
      </c>
      <c r="H117" s="526">
        <f t="shared" ref="H117:AM117" si="75">YEAR(H116)</f>
        <v>2030</v>
      </c>
      <c r="I117" s="526">
        <f t="shared" si="75"/>
        <v>2031</v>
      </c>
      <c r="J117" s="526">
        <f t="shared" si="75"/>
        <v>2031</v>
      </c>
      <c r="K117" s="526">
        <f t="shared" si="75"/>
        <v>2031</v>
      </c>
      <c r="L117" s="526">
        <f t="shared" si="75"/>
        <v>2031</v>
      </c>
      <c r="M117" s="526">
        <f t="shared" si="75"/>
        <v>2031</v>
      </c>
      <c r="N117" s="526">
        <f t="shared" si="75"/>
        <v>2031</v>
      </c>
      <c r="O117" s="526">
        <f t="shared" si="75"/>
        <v>2031</v>
      </c>
      <c r="P117" s="526">
        <f t="shared" si="75"/>
        <v>2031</v>
      </c>
      <c r="Q117" s="526">
        <f t="shared" si="75"/>
        <v>2031</v>
      </c>
      <c r="R117" s="526">
        <f t="shared" si="75"/>
        <v>2031</v>
      </c>
      <c r="S117" s="526">
        <f t="shared" si="75"/>
        <v>2031</v>
      </c>
      <c r="T117" s="526">
        <f t="shared" si="75"/>
        <v>2031</v>
      </c>
      <c r="U117" s="526">
        <f t="shared" si="75"/>
        <v>2032</v>
      </c>
      <c r="V117" s="526">
        <f t="shared" si="75"/>
        <v>2032</v>
      </c>
      <c r="W117" s="526">
        <f t="shared" si="75"/>
        <v>2032</v>
      </c>
      <c r="X117" s="526">
        <f t="shared" si="75"/>
        <v>2032</v>
      </c>
      <c r="Y117" s="526">
        <f t="shared" si="75"/>
        <v>2032</v>
      </c>
      <c r="Z117" s="526">
        <f t="shared" si="75"/>
        <v>2032</v>
      </c>
      <c r="AA117" s="526">
        <f t="shared" si="75"/>
        <v>2032</v>
      </c>
      <c r="AB117" s="526">
        <f t="shared" si="75"/>
        <v>2032</v>
      </c>
      <c r="AC117" s="526">
        <f t="shared" si="75"/>
        <v>2032</v>
      </c>
      <c r="AD117" s="526">
        <f t="shared" si="75"/>
        <v>2032</v>
      </c>
      <c r="AE117" s="526">
        <f t="shared" si="75"/>
        <v>2032</v>
      </c>
      <c r="AF117" s="526">
        <f t="shared" si="75"/>
        <v>2032</v>
      </c>
      <c r="AG117" s="526">
        <f t="shared" si="75"/>
        <v>2033</v>
      </c>
      <c r="AH117" s="526">
        <f t="shared" si="75"/>
        <v>2033</v>
      </c>
      <c r="AI117" s="526">
        <f t="shared" si="75"/>
        <v>2033</v>
      </c>
      <c r="AJ117" s="526">
        <f t="shared" si="75"/>
        <v>2033</v>
      </c>
      <c r="AK117" s="526">
        <f t="shared" si="75"/>
        <v>2033</v>
      </c>
      <c r="AL117" s="526">
        <f t="shared" si="75"/>
        <v>2033</v>
      </c>
      <c r="AM117" s="526">
        <f t="shared" si="75"/>
        <v>2033</v>
      </c>
      <c r="AN117" s="526">
        <f t="shared" ref="AN117:BS117" si="76">YEAR(AN116)</f>
        <v>2033</v>
      </c>
      <c r="AO117" s="526">
        <f t="shared" si="76"/>
        <v>2033</v>
      </c>
      <c r="AP117" s="526">
        <f t="shared" si="76"/>
        <v>2033</v>
      </c>
      <c r="AQ117" s="526">
        <f t="shared" si="76"/>
        <v>2033</v>
      </c>
      <c r="AR117" s="526">
        <f t="shared" si="76"/>
        <v>2033</v>
      </c>
      <c r="AS117" s="526">
        <f t="shared" si="76"/>
        <v>2034</v>
      </c>
      <c r="AT117" s="526">
        <f t="shared" si="76"/>
        <v>2034</v>
      </c>
      <c r="AU117" s="526">
        <f t="shared" si="76"/>
        <v>2034</v>
      </c>
      <c r="AV117" s="526">
        <f t="shared" si="76"/>
        <v>2034</v>
      </c>
      <c r="AW117" s="526">
        <f t="shared" si="76"/>
        <v>2034</v>
      </c>
      <c r="AX117" s="526">
        <f t="shared" si="76"/>
        <v>2034</v>
      </c>
      <c r="AY117" s="526">
        <f t="shared" si="76"/>
        <v>2034</v>
      </c>
      <c r="AZ117" s="526">
        <f t="shared" si="76"/>
        <v>2034</v>
      </c>
      <c r="BA117" s="526">
        <f t="shared" si="76"/>
        <v>2034</v>
      </c>
      <c r="BB117" s="526">
        <f t="shared" si="76"/>
        <v>2034</v>
      </c>
      <c r="BC117" s="526">
        <f t="shared" si="76"/>
        <v>2034</v>
      </c>
      <c r="BD117" s="526">
        <f t="shared" si="76"/>
        <v>2034</v>
      </c>
      <c r="BE117" s="526">
        <f t="shared" si="76"/>
        <v>2035</v>
      </c>
      <c r="BF117" s="526">
        <f t="shared" si="76"/>
        <v>2035</v>
      </c>
      <c r="BG117" s="526">
        <f t="shared" si="76"/>
        <v>2035</v>
      </c>
      <c r="BH117" s="526">
        <f t="shared" si="76"/>
        <v>2035</v>
      </c>
      <c r="BI117" s="526">
        <f t="shared" si="76"/>
        <v>2035</v>
      </c>
      <c r="BJ117" s="526">
        <f t="shared" si="76"/>
        <v>2035</v>
      </c>
      <c r="BK117" s="526">
        <f t="shared" si="76"/>
        <v>2035</v>
      </c>
      <c r="BL117" s="526">
        <f t="shared" si="76"/>
        <v>2035</v>
      </c>
      <c r="BM117" s="526">
        <f t="shared" si="76"/>
        <v>2035</v>
      </c>
      <c r="BN117" s="526">
        <f t="shared" si="76"/>
        <v>2035</v>
      </c>
      <c r="BO117" s="526">
        <f t="shared" si="76"/>
        <v>2035</v>
      </c>
      <c r="BP117" s="526">
        <f t="shared" si="76"/>
        <v>2035</v>
      </c>
      <c r="BQ117" s="526">
        <f t="shared" si="76"/>
        <v>2036</v>
      </c>
      <c r="BR117" s="526">
        <f t="shared" si="76"/>
        <v>2036</v>
      </c>
      <c r="BS117" s="526">
        <f t="shared" si="76"/>
        <v>2036</v>
      </c>
      <c r="BT117" s="526">
        <f t="shared" ref="BT117:CY117" si="77">YEAR(BT116)</f>
        <v>2036</v>
      </c>
      <c r="BU117" s="526">
        <f t="shared" si="77"/>
        <v>2036</v>
      </c>
      <c r="BV117" s="526">
        <f t="shared" si="77"/>
        <v>2036</v>
      </c>
      <c r="BW117" s="526">
        <f t="shared" si="77"/>
        <v>2036</v>
      </c>
      <c r="BX117" s="526">
        <f t="shared" si="77"/>
        <v>2036</v>
      </c>
      <c r="BY117" s="526">
        <f t="shared" si="77"/>
        <v>2036</v>
      </c>
      <c r="BZ117" s="526">
        <f t="shared" si="77"/>
        <v>2036</v>
      </c>
      <c r="CA117" s="526">
        <f t="shared" si="77"/>
        <v>2036</v>
      </c>
      <c r="CB117" s="526">
        <f t="shared" si="77"/>
        <v>2036</v>
      </c>
      <c r="CC117" s="526">
        <f t="shared" si="77"/>
        <v>2037</v>
      </c>
      <c r="CD117" s="526">
        <f t="shared" si="77"/>
        <v>2037</v>
      </c>
      <c r="CE117" s="526">
        <f t="shared" si="77"/>
        <v>2037</v>
      </c>
      <c r="CF117" s="526">
        <f t="shared" si="77"/>
        <v>2037</v>
      </c>
      <c r="CG117" s="526">
        <f t="shared" si="77"/>
        <v>2037</v>
      </c>
      <c r="CH117" s="526">
        <f t="shared" si="77"/>
        <v>2037</v>
      </c>
      <c r="CI117" s="526">
        <f t="shared" si="77"/>
        <v>2037</v>
      </c>
      <c r="CJ117" s="526">
        <f t="shared" si="77"/>
        <v>2037</v>
      </c>
      <c r="CK117" s="526">
        <f t="shared" si="77"/>
        <v>2037</v>
      </c>
      <c r="CL117" s="526">
        <f t="shared" si="77"/>
        <v>2037</v>
      </c>
      <c r="CM117" s="526">
        <f t="shared" si="77"/>
        <v>2037</v>
      </c>
      <c r="CN117" s="526">
        <f t="shared" si="77"/>
        <v>2037</v>
      </c>
      <c r="CO117" s="526">
        <f t="shared" si="77"/>
        <v>2038</v>
      </c>
      <c r="CP117" s="526">
        <f t="shared" si="77"/>
        <v>2038</v>
      </c>
      <c r="CQ117" s="526">
        <f t="shared" si="77"/>
        <v>2038</v>
      </c>
      <c r="CR117" s="526">
        <f t="shared" si="77"/>
        <v>2038</v>
      </c>
      <c r="CS117" s="526">
        <f t="shared" si="77"/>
        <v>2038</v>
      </c>
      <c r="CT117" s="526">
        <f t="shared" si="77"/>
        <v>2038</v>
      </c>
      <c r="CU117" s="526">
        <f t="shared" si="77"/>
        <v>2038</v>
      </c>
      <c r="CV117" s="526">
        <f t="shared" si="77"/>
        <v>2038</v>
      </c>
      <c r="CW117" s="526">
        <f t="shared" si="77"/>
        <v>2038</v>
      </c>
      <c r="CX117" s="526">
        <f t="shared" si="77"/>
        <v>2038</v>
      </c>
      <c r="CY117" s="526">
        <f t="shared" si="77"/>
        <v>2038</v>
      </c>
      <c r="CZ117" s="526">
        <f t="shared" ref="CZ117:EE117" si="78">YEAR(CZ116)</f>
        <v>2038</v>
      </c>
      <c r="DA117" s="526">
        <f t="shared" si="78"/>
        <v>2039</v>
      </c>
      <c r="DB117" s="526">
        <f t="shared" si="78"/>
        <v>2039</v>
      </c>
      <c r="DC117" s="526">
        <f t="shared" si="78"/>
        <v>2039</v>
      </c>
      <c r="DD117" s="526">
        <f t="shared" si="78"/>
        <v>2039</v>
      </c>
      <c r="DE117" s="526">
        <f t="shared" si="78"/>
        <v>2039</v>
      </c>
      <c r="DF117" s="526">
        <f t="shared" si="78"/>
        <v>2039</v>
      </c>
      <c r="DG117" s="526">
        <f t="shared" si="78"/>
        <v>2039</v>
      </c>
      <c r="DH117" s="526">
        <f t="shared" si="78"/>
        <v>2039</v>
      </c>
      <c r="DI117" s="526">
        <f t="shared" si="78"/>
        <v>2039</v>
      </c>
      <c r="DJ117" s="526">
        <f t="shared" si="78"/>
        <v>2039</v>
      </c>
      <c r="DK117" s="526">
        <f t="shared" si="78"/>
        <v>2039</v>
      </c>
      <c r="DL117" s="526">
        <f t="shared" si="78"/>
        <v>2039</v>
      </c>
      <c r="DM117" s="526">
        <f t="shared" si="78"/>
        <v>2040</v>
      </c>
      <c r="DN117" s="526">
        <f t="shared" si="78"/>
        <v>2040</v>
      </c>
      <c r="DO117" s="526">
        <f t="shared" si="78"/>
        <v>2040</v>
      </c>
      <c r="DP117" s="526">
        <f t="shared" si="78"/>
        <v>2040</v>
      </c>
      <c r="DQ117" s="526">
        <f t="shared" si="78"/>
        <v>2040</v>
      </c>
      <c r="DR117" s="526">
        <f t="shared" si="78"/>
        <v>2040</v>
      </c>
      <c r="DS117" s="526">
        <f t="shared" si="78"/>
        <v>2040</v>
      </c>
      <c r="DT117" s="526">
        <f t="shared" si="78"/>
        <v>2040</v>
      </c>
      <c r="DU117" s="526">
        <f t="shared" si="78"/>
        <v>2040</v>
      </c>
      <c r="DV117" s="526">
        <f t="shared" si="78"/>
        <v>2040</v>
      </c>
      <c r="DW117" s="526">
        <f t="shared" si="78"/>
        <v>2040</v>
      </c>
      <c r="DX117" s="526">
        <f t="shared" si="78"/>
        <v>2040</v>
      </c>
      <c r="DY117" s="526">
        <f t="shared" si="78"/>
        <v>2041</v>
      </c>
      <c r="DZ117" s="526">
        <f t="shared" si="78"/>
        <v>2041</v>
      </c>
      <c r="EA117" s="526">
        <f t="shared" si="78"/>
        <v>2041</v>
      </c>
      <c r="EB117" s="526">
        <f t="shared" si="78"/>
        <v>2041</v>
      </c>
      <c r="EC117" s="526">
        <f t="shared" si="78"/>
        <v>2041</v>
      </c>
      <c r="ED117" s="526">
        <f t="shared" si="78"/>
        <v>2041</v>
      </c>
      <c r="EE117" s="526">
        <f t="shared" si="78"/>
        <v>2041</v>
      </c>
      <c r="EF117" s="526">
        <f t="shared" ref="EF117:FC117" si="79">YEAR(EF116)</f>
        <v>2041</v>
      </c>
      <c r="EG117" s="526">
        <f t="shared" si="79"/>
        <v>2041</v>
      </c>
      <c r="EH117" s="526">
        <f t="shared" si="79"/>
        <v>2041</v>
      </c>
      <c r="EI117" s="526">
        <f t="shared" si="79"/>
        <v>2041</v>
      </c>
      <c r="EJ117" s="526">
        <f t="shared" si="79"/>
        <v>2041</v>
      </c>
      <c r="EK117" s="526">
        <f t="shared" si="79"/>
        <v>2042</v>
      </c>
      <c r="EL117" s="526">
        <f t="shared" si="79"/>
        <v>2042</v>
      </c>
      <c r="EM117" s="526">
        <f t="shared" si="79"/>
        <v>2042</v>
      </c>
      <c r="EN117" s="526">
        <f t="shared" si="79"/>
        <v>2042</v>
      </c>
      <c r="EO117" s="526">
        <f t="shared" si="79"/>
        <v>2042</v>
      </c>
      <c r="EP117" s="526">
        <f t="shared" si="79"/>
        <v>2042</v>
      </c>
      <c r="EQ117" s="526">
        <f t="shared" si="79"/>
        <v>2042</v>
      </c>
      <c r="ER117" s="526">
        <f t="shared" si="79"/>
        <v>2042</v>
      </c>
      <c r="ES117" s="526">
        <f t="shared" si="79"/>
        <v>2042</v>
      </c>
      <c r="ET117" s="526">
        <f t="shared" si="79"/>
        <v>2042</v>
      </c>
      <c r="EU117" s="526">
        <f t="shared" si="79"/>
        <v>2042</v>
      </c>
      <c r="EV117" s="526">
        <f t="shared" si="79"/>
        <v>2042</v>
      </c>
      <c r="EW117" s="526">
        <f t="shared" si="79"/>
        <v>2043</v>
      </c>
      <c r="EX117" s="526">
        <f t="shared" si="79"/>
        <v>2043</v>
      </c>
      <c r="EY117" s="526">
        <f t="shared" si="79"/>
        <v>2043</v>
      </c>
      <c r="EZ117" s="526">
        <f t="shared" ref="EZ117:GC117" si="80">YEAR(EZ116)</f>
        <v>2043</v>
      </c>
      <c r="FA117" s="526">
        <f t="shared" si="80"/>
        <v>2043</v>
      </c>
      <c r="FB117" s="526">
        <f t="shared" si="80"/>
        <v>2043</v>
      </c>
      <c r="FC117" s="526">
        <f t="shared" si="80"/>
        <v>2043</v>
      </c>
      <c r="FD117" s="526">
        <f t="shared" si="80"/>
        <v>2043</v>
      </c>
      <c r="FE117" s="526">
        <f t="shared" si="80"/>
        <v>2043</v>
      </c>
      <c r="FF117" s="526">
        <f t="shared" si="80"/>
        <v>2043</v>
      </c>
      <c r="FG117" s="526">
        <f t="shared" si="80"/>
        <v>2043</v>
      </c>
      <c r="FH117" s="526">
        <f t="shared" si="80"/>
        <v>2043</v>
      </c>
      <c r="FI117" s="526">
        <f t="shared" si="80"/>
        <v>2044</v>
      </c>
      <c r="FJ117" s="526">
        <f t="shared" si="80"/>
        <v>2044</v>
      </c>
      <c r="FK117" s="526">
        <f t="shared" si="80"/>
        <v>2044</v>
      </c>
      <c r="FL117" s="526">
        <f t="shared" si="80"/>
        <v>2044</v>
      </c>
      <c r="FM117" s="526">
        <f t="shared" si="80"/>
        <v>2044</v>
      </c>
      <c r="FN117" s="526">
        <f t="shared" si="80"/>
        <v>2044</v>
      </c>
      <c r="FO117" s="526">
        <f t="shared" si="80"/>
        <v>2044</v>
      </c>
      <c r="FP117" s="526">
        <f t="shared" si="80"/>
        <v>2044</v>
      </c>
      <c r="FQ117" s="526">
        <f t="shared" si="80"/>
        <v>2044</v>
      </c>
      <c r="FR117" s="526">
        <f t="shared" si="80"/>
        <v>2044</v>
      </c>
      <c r="FS117" s="526">
        <f t="shared" si="80"/>
        <v>2044</v>
      </c>
      <c r="FT117" s="526">
        <f t="shared" si="80"/>
        <v>2044</v>
      </c>
      <c r="FU117" s="526">
        <f t="shared" si="80"/>
        <v>2045</v>
      </c>
      <c r="FV117" s="526">
        <f t="shared" si="80"/>
        <v>2045</v>
      </c>
      <c r="FW117" s="526">
        <f t="shared" si="80"/>
        <v>2045</v>
      </c>
      <c r="FX117" s="526">
        <f t="shared" si="80"/>
        <v>2045</v>
      </c>
      <c r="FY117" s="526">
        <f t="shared" si="80"/>
        <v>2045</v>
      </c>
      <c r="FZ117" s="526">
        <f t="shared" si="80"/>
        <v>2045</v>
      </c>
      <c r="GA117" s="526">
        <f t="shared" si="80"/>
        <v>2045</v>
      </c>
      <c r="GB117" s="526">
        <f t="shared" si="80"/>
        <v>2045</v>
      </c>
      <c r="GC117" s="527">
        <f t="shared" si="80"/>
        <v>2045</v>
      </c>
    </row>
    <row r="118" hidden="1" spans="2:185">
      <c r="B118" s="556"/>
      <c r="C118" s="511"/>
      <c r="D118" s="528" t="s">
        <v>533</v>
      </c>
      <c r="E118" s="50" t="str">
        <f>IF(E119=D111,"OK","F")</f>
        <v>OK</v>
      </c>
      <c r="F118" s="505">
        <v>2023</v>
      </c>
      <c r="G118" s="505">
        <v>2024</v>
      </c>
      <c r="H118" s="505">
        <v>2025</v>
      </c>
      <c r="I118" s="505">
        <v>2026</v>
      </c>
      <c r="J118" s="505">
        <v>2027</v>
      </c>
      <c r="K118" s="505">
        <v>2028</v>
      </c>
      <c r="L118" s="505">
        <v>2029</v>
      </c>
      <c r="M118" s="505">
        <v>2030</v>
      </c>
      <c r="N118" s="505">
        <v>2031</v>
      </c>
      <c r="O118" s="505">
        <v>2032</v>
      </c>
      <c r="P118" s="505">
        <v>2033</v>
      </c>
      <c r="Q118" s="505">
        <v>2034</v>
      </c>
      <c r="R118" s="505">
        <v>2035</v>
      </c>
      <c r="S118" s="505">
        <v>2036</v>
      </c>
      <c r="T118" s="505">
        <v>2037</v>
      </c>
      <c r="U118" s="505">
        <v>2038</v>
      </c>
      <c r="V118" s="505">
        <v>2039</v>
      </c>
      <c r="W118" s="505">
        <v>2040</v>
      </c>
      <c r="X118" s="505">
        <v>2041</v>
      </c>
      <c r="Y118" s="505">
        <v>2042</v>
      </c>
      <c r="Z118" s="505">
        <v>2043</v>
      </c>
      <c r="AA118" s="505">
        <v>2044</v>
      </c>
      <c r="AB118" s="505">
        <v>2045</v>
      </c>
      <c r="AC118" s="505">
        <v>2046</v>
      </c>
      <c r="AD118" s="505">
        <v>2047</v>
      </c>
      <c r="AE118" s="505">
        <v>2048</v>
      </c>
      <c r="AF118" s="505">
        <v>2049</v>
      </c>
      <c r="AG118" s="505">
        <v>2050</v>
      </c>
      <c r="AH118" s="505">
        <v>2051</v>
      </c>
      <c r="AI118" s="505">
        <v>2052</v>
      </c>
      <c r="AJ118" s="505">
        <v>2053</v>
      </c>
      <c r="AK118" s="505">
        <v>2054</v>
      </c>
      <c r="AL118" s="505">
        <v>2055</v>
      </c>
      <c r="AM118" s="505">
        <v>2056</v>
      </c>
      <c r="AN118" s="505">
        <v>2057</v>
      </c>
      <c r="AO118" s="505">
        <v>2058</v>
      </c>
      <c r="AP118" s="505">
        <v>2059</v>
      </c>
      <c r="AQ118" s="505">
        <v>2060</v>
      </c>
      <c r="AR118" s="505">
        <v>2061</v>
      </c>
      <c r="AS118" s="505">
        <v>2062</v>
      </c>
      <c r="AT118" s="505">
        <v>2063</v>
      </c>
      <c r="AU118" s="505">
        <v>2064</v>
      </c>
      <c r="AV118" s="505">
        <v>2065</v>
      </c>
      <c r="AW118" s="505">
        <v>2066</v>
      </c>
      <c r="AX118" s="505">
        <v>2067</v>
      </c>
      <c r="AY118" s="505">
        <v>2068</v>
      </c>
      <c r="AZ118" s="505">
        <v>2069</v>
      </c>
      <c r="BA118" s="505">
        <v>2070</v>
      </c>
      <c r="GC118" s="530"/>
    </row>
    <row r="119" ht="17.25" hidden="1" spans="2:185">
      <c r="B119" s="556"/>
      <c r="C119" s="517"/>
      <c r="D119" s="531"/>
      <c r="E119" s="90">
        <f>SUM(F119:BA119)</f>
        <v>180</v>
      </c>
      <c r="F119" s="533">
        <f>COUNTIF($F$117:$GC$117,F118)</f>
        <v>0</v>
      </c>
      <c r="G119" s="533">
        <f t="shared" ref="G119:BA119" si="81">COUNTIF($F$117:$GC$117,G118)</f>
        <v>0</v>
      </c>
      <c r="H119" s="533">
        <f t="shared" si="81"/>
        <v>0</v>
      </c>
      <c r="I119" s="533">
        <f t="shared" si="81"/>
        <v>0</v>
      </c>
      <c r="J119" s="533">
        <f t="shared" si="81"/>
        <v>0</v>
      </c>
      <c r="K119" s="533">
        <f t="shared" si="81"/>
        <v>0</v>
      </c>
      <c r="L119" s="533">
        <f t="shared" si="81"/>
        <v>0</v>
      </c>
      <c r="M119" s="533">
        <f t="shared" si="81"/>
        <v>3</v>
      </c>
      <c r="N119" s="533">
        <f t="shared" si="81"/>
        <v>12</v>
      </c>
      <c r="O119" s="533">
        <f t="shared" si="81"/>
        <v>12</v>
      </c>
      <c r="P119" s="533">
        <f t="shared" si="81"/>
        <v>12</v>
      </c>
      <c r="Q119" s="533">
        <f t="shared" si="81"/>
        <v>12</v>
      </c>
      <c r="R119" s="533">
        <f t="shared" si="81"/>
        <v>12</v>
      </c>
      <c r="S119" s="533">
        <f t="shared" si="81"/>
        <v>12</v>
      </c>
      <c r="T119" s="533">
        <f t="shared" si="81"/>
        <v>12</v>
      </c>
      <c r="U119" s="533">
        <f t="shared" si="81"/>
        <v>12</v>
      </c>
      <c r="V119" s="533">
        <f t="shared" si="81"/>
        <v>12</v>
      </c>
      <c r="W119" s="533">
        <f t="shared" si="81"/>
        <v>12</v>
      </c>
      <c r="X119" s="533">
        <f t="shared" si="81"/>
        <v>12</v>
      </c>
      <c r="Y119" s="533">
        <f t="shared" si="81"/>
        <v>12</v>
      </c>
      <c r="Z119" s="533">
        <f t="shared" si="81"/>
        <v>12</v>
      </c>
      <c r="AA119" s="533">
        <f t="shared" si="81"/>
        <v>12</v>
      </c>
      <c r="AB119" s="533">
        <f t="shared" si="81"/>
        <v>9</v>
      </c>
      <c r="AC119" s="533">
        <f t="shared" si="81"/>
        <v>0</v>
      </c>
      <c r="AD119" s="533">
        <f t="shared" si="81"/>
        <v>0</v>
      </c>
      <c r="AE119" s="533">
        <f t="shared" si="81"/>
        <v>0</v>
      </c>
      <c r="AF119" s="533">
        <f t="shared" si="81"/>
        <v>0</v>
      </c>
      <c r="AG119" s="533">
        <f t="shared" si="81"/>
        <v>0</v>
      </c>
      <c r="AH119" s="533">
        <f t="shared" si="81"/>
        <v>0</v>
      </c>
      <c r="AI119" s="533">
        <f t="shared" si="81"/>
        <v>0</v>
      </c>
      <c r="AJ119" s="533">
        <f t="shared" si="81"/>
        <v>0</v>
      </c>
      <c r="AK119" s="533">
        <f t="shared" si="81"/>
        <v>0</v>
      </c>
      <c r="AL119" s="533">
        <f t="shared" si="81"/>
        <v>0</v>
      </c>
      <c r="AM119" s="533">
        <f t="shared" si="81"/>
        <v>0</v>
      </c>
      <c r="AN119" s="533">
        <f t="shared" si="81"/>
        <v>0</v>
      </c>
      <c r="AO119" s="533">
        <f t="shared" si="81"/>
        <v>0</v>
      </c>
      <c r="AP119" s="533">
        <f t="shared" si="81"/>
        <v>0</v>
      </c>
      <c r="AQ119" s="533">
        <f t="shared" si="81"/>
        <v>0</v>
      </c>
      <c r="AR119" s="533">
        <f t="shared" si="81"/>
        <v>0</v>
      </c>
      <c r="AS119" s="533">
        <f t="shared" si="81"/>
        <v>0</v>
      </c>
      <c r="AT119" s="533">
        <f t="shared" si="81"/>
        <v>0</v>
      </c>
      <c r="AU119" s="533">
        <f t="shared" si="81"/>
        <v>0</v>
      </c>
      <c r="AV119" s="533">
        <f t="shared" si="81"/>
        <v>0</v>
      </c>
      <c r="AW119" s="533">
        <f t="shared" si="81"/>
        <v>0</v>
      </c>
      <c r="AX119" s="533">
        <f t="shared" si="81"/>
        <v>0</v>
      </c>
      <c r="AY119" s="533">
        <f t="shared" si="81"/>
        <v>0</v>
      </c>
      <c r="AZ119" s="533">
        <f t="shared" si="81"/>
        <v>0</v>
      </c>
      <c r="BA119" s="533">
        <f t="shared" si="81"/>
        <v>0</v>
      </c>
      <c r="BB119" s="534"/>
      <c r="BC119" s="534"/>
      <c r="BD119" s="534"/>
      <c r="BE119" s="534"/>
      <c r="BF119" s="534"/>
      <c r="BG119" s="534"/>
      <c r="BH119" s="534"/>
      <c r="BI119" s="534"/>
      <c r="BJ119" s="534"/>
      <c r="BK119" s="534"/>
      <c r="BL119" s="534"/>
      <c r="BM119" s="534"/>
      <c r="BN119" s="534"/>
      <c r="BO119" s="534"/>
      <c r="BP119" s="534"/>
      <c r="BQ119" s="534"/>
      <c r="BR119" s="534"/>
      <c r="BS119" s="534"/>
      <c r="BT119" s="534"/>
      <c r="BU119" s="534"/>
      <c r="BV119" s="534"/>
      <c r="BW119" s="534"/>
      <c r="BX119" s="534"/>
      <c r="BY119" s="534"/>
      <c r="BZ119" s="534"/>
      <c r="CA119" s="534"/>
      <c r="CB119" s="534"/>
      <c r="CC119" s="534"/>
      <c r="CD119" s="534"/>
      <c r="CE119" s="534"/>
      <c r="CF119" s="534"/>
      <c r="CG119" s="534"/>
      <c r="CH119" s="534"/>
      <c r="CI119" s="534"/>
      <c r="CJ119" s="534"/>
      <c r="CK119" s="534"/>
      <c r="CL119" s="534"/>
      <c r="CM119" s="534"/>
      <c r="CN119" s="534"/>
      <c r="CO119" s="534"/>
      <c r="CP119" s="534"/>
      <c r="CQ119" s="534"/>
      <c r="CR119" s="534"/>
      <c r="CS119" s="534"/>
      <c r="CT119" s="534"/>
      <c r="CU119" s="534"/>
      <c r="CV119" s="534"/>
      <c r="CW119" s="534"/>
      <c r="CX119" s="534"/>
      <c r="CY119" s="534"/>
      <c r="CZ119" s="534"/>
      <c r="DA119" s="534"/>
      <c r="DB119" s="534"/>
      <c r="DC119" s="534"/>
      <c r="DD119" s="534"/>
      <c r="DE119" s="534"/>
      <c r="DF119" s="534"/>
      <c r="DG119" s="534"/>
      <c r="DH119" s="534"/>
      <c r="DI119" s="534"/>
      <c r="DJ119" s="534"/>
      <c r="DK119" s="534"/>
      <c r="DL119" s="534"/>
      <c r="DM119" s="534"/>
      <c r="DN119" s="534"/>
      <c r="DO119" s="534"/>
      <c r="DP119" s="534"/>
      <c r="DQ119" s="534"/>
      <c r="DR119" s="534"/>
      <c r="DS119" s="534"/>
      <c r="DT119" s="534"/>
      <c r="DU119" s="534"/>
      <c r="DV119" s="534"/>
      <c r="DW119" s="534"/>
      <c r="DX119" s="534"/>
      <c r="DY119" s="534"/>
      <c r="DZ119" s="534"/>
      <c r="EA119" s="534"/>
      <c r="EB119" s="534"/>
      <c r="EC119" s="534"/>
      <c r="ED119" s="534"/>
      <c r="EE119" s="534"/>
      <c r="EF119" s="534"/>
      <c r="EG119" s="534"/>
      <c r="EH119" s="534"/>
      <c r="EI119" s="534"/>
      <c r="EJ119" s="534"/>
      <c r="EK119" s="534"/>
      <c r="EL119" s="534"/>
      <c r="EM119" s="534"/>
      <c r="EN119" s="534"/>
      <c r="EO119" s="534"/>
      <c r="EP119" s="534"/>
      <c r="EQ119" s="534"/>
      <c r="ER119" s="534"/>
      <c r="ES119" s="534"/>
      <c r="ET119" s="534"/>
      <c r="EU119" s="534"/>
      <c r="EV119" s="534"/>
      <c r="EW119" s="534"/>
      <c r="EX119" s="534"/>
      <c r="EY119" s="534"/>
      <c r="EZ119" s="534"/>
      <c r="FA119" s="534"/>
      <c r="FB119" s="534"/>
      <c r="FC119" s="534"/>
      <c r="FD119" s="534"/>
      <c r="FE119" s="534"/>
      <c r="FF119" s="534"/>
      <c r="FG119" s="534"/>
      <c r="FH119" s="534"/>
      <c r="FI119" s="534"/>
      <c r="FJ119" s="534"/>
      <c r="FK119" s="534"/>
      <c r="FL119" s="534"/>
      <c r="FM119" s="534"/>
      <c r="FN119" s="534"/>
      <c r="FO119" s="534"/>
      <c r="FP119" s="534"/>
      <c r="FQ119" s="534"/>
      <c r="FR119" s="534"/>
      <c r="FS119" s="534"/>
      <c r="FT119" s="534"/>
      <c r="FU119" s="534"/>
      <c r="FV119" s="534"/>
      <c r="FW119" s="534"/>
      <c r="FX119" s="534"/>
      <c r="FY119" s="534"/>
      <c r="FZ119" s="534"/>
      <c r="GA119" s="534"/>
      <c r="GB119" s="534"/>
      <c r="GC119" s="535"/>
    </row>
    <row r="120" spans="2:185">
      <c r="B120" s="556"/>
      <c r="C120" s="536" t="s">
        <v>551</v>
      </c>
      <c r="D120" s="537" t="s">
        <v>535</v>
      </c>
      <c r="E120" s="538"/>
      <c r="F120" s="539">
        <f ca="1">D113</f>
        <v>725209.263168492</v>
      </c>
      <c r="G120" s="539">
        <f ca="1">F125</f>
        <v>722333.967101202</v>
      </c>
      <c r="H120" s="539">
        <f ca="1" t="shared" ref="H120:AM120" si="82">G125</f>
        <v>719448.367889671</v>
      </c>
      <c r="I120" s="539">
        <f ca="1" t="shared" si="82"/>
        <v>716552.428614299</v>
      </c>
      <c r="J120" s="539">
        <f ca="1" t="shared" si="82"/>
        <v>713646.11222319</v>
      </c>
      <c r="K120" s="539">
        <f ca="1" t="shared" si="82"/>
        <v>710729.381531679</v>
      </c>
      <c r="L120" s="539">
        <f ca="1" t="shared" si="82"/>
        <v>707802.199221857</v>
      </c>
      <c r="M120" s="539">
        <f ca="1" t="shared" si="82"/>
        <v>704864.527842092</v>
      </c>
      <c r="N120" s="539">
        <f ca="1" t="shared" si="82"/>
        <v>701916.329806549</v>
      </c>
      <c r="O120" s="539">
        <f ca="1" t="shared" si="82"/>
        <v>698957.567394712</v>
      </c>
      <c r="P120" s="539">
        <f ca="1" t="shared" si="82"/>
        <v>695988.2027509</v>
      </c>
      <c r="Q120" s="539">
        <f ca="1" t="shared" si="82"/>
        <v>693008.19788378</v>
      </c>
      <c r="R120" s="539">
        <f ca="1" t="shared" si="82"/>
        <v>690017.514665887</v>
      </c>
      <c r="S120" s="539">
        <f ca="1" t="shared" si="82"/>
        <v>687016.114833129</v>
      </c>
      <c r="T120" s="539">
        <f ca="1" t="shared" si="82"/>
        <v>684003.959984304</v>
      </c>
      <c r="U120" s="539">
        <f ca="1" t="shared" si="82"/>
        <v>680981.011580604</v>
      </c>
      <c r="V120" s="539">
        <f ca="1" t="shared" si="82"/>
        <v>677947.230945124</v>
      </c>
      <c r="W120" s="539">
        <f ca="1" t="shared" si="82"/>
        <v>674902.579262367</v>
      </c>
      <c r="X120" s="539">
        <f ca="1" t="shared" si="82"/>
        <v>671847.017577747</v>
      </c>
      <c r="Y120" s="539">
        <f ca="1" t="shared" si="82"/>
        <v>668780.50679709</v>
      </c>
      <c r="Z120" s="539">
        <f ca="1" t="shared" si="82"/>
        <v>665703.007686136</v>
      </c>
      <c r="AA120" s="539">
        <f ca="1" t="shared" si="82"/>
        <v>662614.480870035</v>
      </c>
      <c r="AB120" s="539">
        <f ca="1" t="shared" si="82"/>
        <v>659514.886832842</v>
      </c>
      <c r="AC120" s="539">
        <f ca="1" t="shared" si="82"/>
        <v>656404.185917016</v>
      </c>
      <c r="AD120" s="539">
        <f ca="1" t="shared" si="82"/>
        <v>653282.338322908</v>
      </c>
      <c r="AE120" s="539">
        <f ca="1" t="shared" si="82"/>
        <v>650149.304108255</v>
      </c>
      <c r="AF120" s="539">
        <f ca="1" t="shared" si="82"/>
        <v>647005.043187666</v>
      </c>
      <c r="AG120" s="539">
        <f ca="1" t="shared" si="82"/>
        <v>643849.515332111</v>
      </c>
      <c r="AH120" s="539">
        <f ca="1" t="shared" si="82"/>
        <v>640682.680168407</v>
      </c>
      <c r="AI120" s="539">
        <f ca="1" t="shared" si="82"/>
        <v>637504.497178701</v>
      </c>
      <c r="AJ120" s="539">
        <f ca="1" t="shared" si="82"/>
        <v>634314.925699947</v>
      </c>
      <c r="AK120" s="539">
        <f ca="1" t="shared" si="82"/>
        <v>631113.924923395</v>
      </c>
      <c r="AL120" s="539">
        <f ca="1" t="shared" si="82"/>
        <v>627901.45389406</v>
      </c>
      <c r="AM120" s="539">
        <f ca="1" t="shared" si="82"/>
        <v>624677.471510203</v>
      </c>
      <c r="AN120" s="539">
        <f ca="1" t="shared" ref="AN120:BS120" si="83">AM125</f>
        <v>621441.936522805</v>
      </c>
      <c r="AO120" s="539">
        <f ca="1" t="shared" si="83"/>
        <v>618194.807535034</v>
      </c>
      <c r="AP120" s="539">
        <f ca="1" t="shared" si="83"/>
        <v>614936.043001725</v>
      </c>
      <c r="AQ120" s="539">
        <f ca="1" t="shared" si="83"/>
        <v>611665.601228837</v>
      </c>
      <c r="AR120" s="539">
        <f ca="1" t="shared" si="83"/>
        <v>608383.44037293</v>
      </c>
      <c r="AS120" s="539">
        <f ca="1" t="shared" si="83"/>
        <v>605089.518440623</v>
      </c>
      <c r="AT120" s="539">
        <f ca="1" t="shared" si="83"/>
        <v>601783.793288058</v>
      </c>
      <c r="AU120" s="539">
        <f ca="1" t="shared" si="83"/>
        <v>598466.222620363</v>
      </c>
      <c r="AV120" s="539">
        <f ca="1" t="shared" si="83"/>
        <v>595136.763991109</v>
      </c>
      <c r="AW120" s="539">
        <f ca="1" t="shared" si="83"/>
        <v>591795.374801767</v>
      </c>
      <c r="AX120" s="539">
        <f ca="1" t="shared" si="83"/>
        <v>588442.012301163</v>
      </c>
      <c r="AY120" s="539">
        <f ca="1" t="shared" si="83"/>
        <v>585076.633584932</v>
      </c>
      <c r="AZ120" s="539">
        <f ca="1" t="shared" si="83"/>
        <v>581699.195594967</v>
      </c>
      <c r="BA120" s="539">
        <f ca="1" t="shared" si="83"/>
        <v>578309.655118872</v>
      </c>
      <c r="BB120" s="539">
        <f ca="1" t="shared" si="83"/>
        <v>574907.968789405</v>
      </c>
      <c r="BC120" s="539">
        <f ca="1" t="shared" si="83"/>
        <v>571494.093083923</v>
      </c>
      <c r="BD120" s="539">
        <f ca="1" t="shared" si="83"/>
        <v>568067.98432383</v>
      </c>
      <c r="BE120" s="539">
        <f ca="1" t="shared" si="83"/>
        <v>564629.598674013</v>
      </c>
      <c r="BF120" s="539">
        <f ca="1" t="shared" si="83"/>
        <v>561178.892142285</v>
      </c>
      <c r="BG120" s="539">
        <f ca="1" t="shared" si="83"/>
        <v>557715.820578818</v>
      </c>
      <c r="BH120" s="539">
        <f ca="1" t="shared" si="83"/>
        <v>554240.339675582</v>
      </c>
      <c r="BI120" s="539">
        <f ca="1" t="shared" si="83"/>
        <v>550752.404965775</v>
      </c>
      <c r="BJ120" s="539">
        <f ca="1" t="shared" si="83"/>
        <v>547251.971823259</v>
      </c>
      <c r="BK120" s="539">
        <f ca="1" t="shared" si="83"/>
        <v>543738.995461982</v>
      </c>
      <c r="BL120" s="539">
        <f ca="1" t="shared" si="83"/>
        <v>540213.430935411</v>
      </c>
      <c r="BM120" s="539">
        <f ca="1" t="shared" si="83"/>
        <v>536675.233135952</v>
      </c>
      <c r="BN120" s="539">
        <f ca="1" t="shared" si="83"/>
        <v>533124.356794379</v>
      </c>
      <c r="BO120" s="539">
        <f ca="1" t="shared" si="83"/>
        <v>529560.756479249</v>
      </c>
      <c r="BP120" s="539">
        <f ca="1" t="shared" si="83"/>
        <v>525984.386596322</v>
      </c>
      <c r="BQ120" s="539">
        <f ca="1" t="shared" si="83"/>
        <v>522395.201387982</v>
      </c>
      <c r="BR120" s="539">
        <f ca="1" t="shared" si="83"/>
        <v>518793.154932645</v>
      </c>
      <c r="BS120" s="539">
        <f ca="1" t="shared" si="83"/>
        <v>515178.201144177</v>
      </c>
      <c r="BT120" s="539">
        <f ca="1" t="shared" ref="BT120:CY120" si="84">BS125</f>
        <v>511550.2937713</v>
      </c>
      <c r="BU120" s="539">
        <f ca="1" t="shared" si="84"/>
        <v>507909.386397003</v>
      </c>
      <c r="BV120" s="539">
        <f ca="1" t="shared" si="84"/>
        <v>504255.432437949</v>
      </c>
      <c r="BW120" s="539">
        <f ca="1" t="shared" si="84"/>
        <v>500588.385143875</v>
      </c>
      <c r="BX120" s="539">
        <f ca="1" t="shared" si="84"/>
        <v>496908.197596996</v>
      </c>
      <c r="BY120" s="539">
        <f ca="1" t="shared" si="84"/>
        <v>493214.822711409</v>
      </c>
      <c r="BZ120" s="539">
        <f ca="1" t="shared" si="84"/>
        <v>489508.213232481</v>
      </c>
      <c r="CA120" s="539">
        <f ca="1" t="shared" si="84"/>
        <v>485788.321736254</v>
      </c>
      <c r="CB120" s="539">
        <f ca="1" t="shared" si="84"/>
        <v>482055.100628832</v>
      </c>
      <c r="CC120" s="539">
        <f ca="1" t="shared" si="84"/>
        <v>478308.502145775</v>
      </c>
      <c r="CD120" s="539">
        <f ca="1" t="shared" si="84"/>
        <v>474548.478351487</v>
      </c>
      <c r="CE120" s="539">
        <f ca="1" t="shared" si="84"/>
        <v>470774.981138602</v>
      </c>
      <c r="CF120" s="539">
        <f ca="1" t="shared" si="84"/>
        <v>466987.962227372</v>
      </c>
      <c r="CG120" s="539">
        <f ca="1" t="shared" si="84"/>
        <v>463187.373165043</v>
      </c>
      <c r="CH120" s="539">
        <f ca="1" t="shared" si="84"/>
        <v>459373.165325241</v>
      </c>
      <c r="CI120" s="539">
        <f ca="1" t="shared" si="84"/>
        <v>455545.289907346</v>
      </c>
      <c r="CJ120" s="539">
        <f ca="1" t="shared" si="84"/>
        <v>451703.69793587</v>
      </c>
      <c r="CK120" s="539">
        <f ca="1" t="shared" si="84"/>
        <v>447848.34025983</v>
      </c>
      <c r="CL120" s="539">
        <f ca="1" t="shared" si="84"/>
        <v>443979.167552118</v>
      </c>
      <c r="CM120" s="539">
        <f ca="1" t="shared" si="84"/>
        <v>440096.130308869</v>
      </c>
      <c r="CN120" s="539">
        <f ca="1" t="shared" si="84"/>
        <v>436199.178848832</v>
      </c>
      <c r="CO120" s="539">
        <f ca="1" t="shared" si="84"/>
        <v>432288.26331273</v>
      </c>
      <c r="CP120" s="539">
        <f ca="1" t="shared" si="84"/>
        <v>428363.333662624</v>
      </c>
      <c r="CQ120" s="539">
        <f ca="1" t="shared" si="84"/>
        <v>424424.339681271</v>
      </c>
      <c r="CR120" s="539">
        <f ca="1" t="shared" si="84"/>
        <v>420471.230971485</v>
      </c>
      <c r="CS120" s="539">
        <f ca="1" t="shared" si="84"/>
        <v>416503.95695549</v>
      </c>
      <c r="CT120" s="539">
        <f ca="1" t="shared" si="84"/>
        <v>412522.46687427</v>
      </c>
      <c r="CU120" s="539">
        <f ca="1" t="shared" si="84"/>
        <v>408526.709786926</v>
      </c>
      <c r="CV120" s="539">
        <f ca="1" t="shared" si="84"/>
        <v>404516.634570019</v>
      </c>
      <c r="CW120" s="539">
        <f ca="1" t="shared" si="84"/>
        <v>400492.189916917</v>
      </c>
      <c r="CX120" s="539">
        <f ca="1" t="shared" si="84"/>
        <v>396453.324337143</v>
      </c>
      <c r="CY120" s="539">
        <f ca="1" t="shared" si="84"/>
        <v>392399.986155707</v>
      </c>
      <c r="CZ120" s="539">
        <f ca="1" t="shared" ref="CZ120:EE120" si="85">CY125</f>
        <v>388332.123512455</v>
      </c>
      <c r="DA120" s="539">
        <f ca="1" t="shared" si="85"/>
        <v>384249.684361397</v>
      </c>
      <c r="DB120" s="539">
        <f ca="1" t="shared" si="85"/>
        <v>380152.616470049</v>
      </c>
      <c r="DC120" s="539">
        <f ca="1" t="shared" si="85"/>
        <v>376040.867418756</v>
      </c>
      <c r="DD120" s="539">
        <f ca="1" t="shared" si="85"/>
        <v>371914.38460003</v>
      </c>
      <c r="DE120" s="539">
        <f ca="1" t="shared" si="85"/>
        <v>367773.11521787</v>
      </c>
      <c r="DF120" s="539">
        <f ca="1" t="shared" si="85"/>
        <v>363617.00628709</v>
      </c>
      <c r="DG120" s="539">
        <f ca="1" t="shared" si="85"/>
        <v>359446.004632642</v>
      </c>
      <c r="DH120" s="539">
        <f ca="1" t="shared" si="85"/>
        <v>355260.056888932</v>
      </c>
      <c r="DI120" s="539">
        <f ca="1" t="shared" si="85"/>
        <v>351059.10949914</v>
      </c>
      <c r="DJ120" s="539">
        <f ca="1" t="shared" si="85"/>
        <v>346843.108714535</v>
      </c>
      <c r="DK120" s="539">
        <f ca="1" t="shared" si="85"/>
        <v>342612.000593785</v>
      </c>
      <c r="DL120" s="539">
        <f ca="1" t="shared" si="85"/>
        <v>338365.731002269</v>
      </c>
      <c r="DM120" s="539">
        <f ca="1" t="shared" si="85"/>
        <v>334104.245611384</v>
      </c>
      <c r="DN120" s="539">
        <f ca="1" t="shared" si="85"/>
        <v>329827.489897848</v>
      </c>
      <c r="DO120" s="539">
        <f ca="1" t="shared" si="85"/>
        <v>325535.409143005</v>
      </c>
      <c r="DP120" s="539">
        <f ca="1" t="shared" si="85"/>
        <v>321227.948432124</v>
      </c>
      <c r="DQ120" s="539">
        <f ca="1" t="shared" si="85"/>
        <v>316905.052653695</v>
      </c>
      <c r="DR120" s="539">
        <f ca="1" t="shared" si="85"/>
        <v>312566.666498727</v>
      </c>
      <c r="DS120" s="539">
        <f ca="1" t="shared" si="85"/>
        <v>308212.734460037</v>
      </c>
      <c r="DT120" s="539">
        <f ca="1" t="shared" si="85"/>
        <v>303843.200831542</v>
      </c>
      <c r="DU120" s="539">
        <f ca="1" t="shared" si="85"/>
        <v>299458.009707545</v>
      </c>
      <c r="DV120" s="539">
        <f ca="1" t="shared" si="85"/>
        <v>295057.10498202</v>
      </c>
      <c r="DW120" s="539">
        <f ca="1" t="shared" si="85"/>
        <v>290640.430347895</v>
      </c>
      <c r="DX120" s="539">
        <f ca="1" t="shared" si="85"/>
        <v>286207.929296332</v>
      </c>
      <c r="DY120" s="539">
        <f ca="1" t="shared" si="85"/>
        <v>281759.545116</v>
      </c>
      <c r="DZ120" s="539">
        <f ca="1" t="shared" si="85"/>
        <v>277295.220892355</v>
      </c>
      <c r="EA120" s="539">
        <f ca="1" t="shared" si="85"/>
        <v>272814.899506909</v>
      </c>
      <c r="EB120" s="539">
        <f ca="1" t="shared" si="85"/>
        <v>268318.523636499</v>
      </c>
      <c r="EC120" s="539">
        <f ca="1" t="shared" si="85"/>
        <v>263806.035752553</v>
      </c>
      <c r="ED120" s="539">
        <f ca="1" t="shared" si="85"/>
        <v>259277.378120356</v>
      </c>
      <c r="EE120" s="539">
        <f ca="1" t="shared" si="85"/>
        <v>254732.49279831</v>
      </c>
      <c r="EF120" s="539">
        <f ca="1" t="shared" ref="EF120:FK120" si="86">EE125</f>
        <v>250171.321637194</v>
      </c>
      <c r="EG120" s="539">
        <f ca="1" t="shared" si="86"/>
        <v>245593.806279417</v>
      </c>
      <c r="EH120" s="539">
        <f ca="1" t="shared" si="86"/>
        <v>240999.888158274</v>
      </c>
      <c r="EI120" s="539">
        <f ca="1" t="shared" si="86"/>
        <v>236389.508497198</v>
      </c>
      <c r="EJ120" s="539">
        <f ca="1" t="shared" si="86"/>
        <v>231762.608309002</v>
      </c>
      <c r="EK120" s="539">
        <f ca="1" t="shared" si="86"/>
        <v>227119.128395133</v>
      </c>
      <c r="EL120" s="539">
        <f ca="1" t="shared" si="86"/>
        <v>222459.009344905</v>
      </c>
      <c r="EM120" s="539">
        <f ca="1" t="shared" si="86"/>
        <v>217782.191534748</v>
      </c>
      <c r="EN120" s="539">
        <f ca="1" t="shared" si="86"/>
        <v>213088.615127437</v>
      </c>
      <c r="EO120" s="539">
        <f ca="1" t="shared" si="86"/>
        <v>208378.220071333</v>
      </c>
      <c r="EP120" s="539">
        <f ca="1" t="shared" si="86"/>
        <v>203650.946099612</v>
      </c>
      <c r="EQ120" s="539">
        <f ca="1" t="shared" si="86"/>
        <v>198906.732729492</v>
      </c>
      <c r="ER120" s="539">
        <f ca="1" t="shared" si="86"/>
        <v>194145.519261462</v>
      </c>
      <c r="ES120" s="539">
        <f ca="1" t="shared" si="86"/>
        <v>189367.244778506</v>
      </c>
      <c r="ET120" s="539">
        <f ca="1" t="shared" si="86"/>
        <v>184571.848145318</v>
      </c>
      <c r="EU120" s="539">
        <f ca="1" t="shared" si="86"/>
        <v>179759.268007529</v>
      </c>
      <c r="EV120" s="539">
        <f ca="1" t="shared" si="86"/>
        <v>174929.442790912</v>
      </c>
      <c r="EW120" s="539">
        <f ca="1" t="shared" si="86"/>
        <v>170082.310700603</v>
      </c>
      <c r="EX120" s="539">
        <f ca="1" t="shared" si="86"/>
        <v>165217.809720303</v>
      </c>
      <c r="EY120" s="539">
        <f ca="1" t="shared" si="86"/>
        <v>160335.877611491</v>
      </c>
      <c r="EZ120" s="539">
        <f ca="1" t="shared" si="86"/>
        <v>155436.451912622</v>
      </c>
      <c r="FA120" s="539">
        <f ca="1" t="shared" si="86"/>
        <v>150519.469938332</v>
      </c>
      <c r="FB120" s="539">
        <f ca="1" t="shared" si="86"/>
        <v>145584.868778634</v>
      </c>
      <c r="FC120" s="539">
        <f ca="1" t="shared" si="86"/>
        <v>140632.585298114</v>
      </c>
      <c r="FD120" s="539">
        <f ca="1" t="shared" si="86"/>
        <v>135662.556135122</v>
      </c>
      <c r="FE120" s="539">
        <f ca="1" t="shared" si="86"/>
        <v>130674.717700962</v>
      </c>
      <c r="FF120" s="539">
        <f ca="1" t="shared" si="86"/>
        <v>125669.006179081</v>
      </c>
      <c r="FG120" s="539">
        <f ca="1" t="shared" si="86"/>
        <v>120645.357524245</v>
      </c>
      <c r="FH120" s="539">
        <f ca="1" t="shared" si="86"/>
        <v>115603.70746173</v>
      </c>
      <c r="FI120" s="539">
        <f ca="1" t="shared" si="86"/>
        <v>110543.991486491</v>
      </c>
      <c r="FJ120" s="539">
        <f ca="1" t="shared" si="86"/>
        <v>105466.144862341</v>
      </c>
      <c r="FK120" s="539">
        <f ca="1" t="shared" si="86"/>
        <v>100370.102621121</v>
      </c>
      <c r="FL120" s="539">
        <f ca="1" t="shared" ref="FL120:GC120" si="87">FK125</f>
        <v>95255.7995618699</v>
      </c>
      <c r="FM120" s="539">
        <f ca="1" t="shared" si="87"/>
        <v>90123.1702499897</v>
      </c>
      <c r="FN120" s="539">
        <f ca="1" t="shared" si="87"/>
        <v>84972.1490164087</v>
      </c>
      <c r="FO120" s="539">
        <f ca="1" t="shared" si="87"/>
        <v>79802.6699567406</v>
      </c>
      <c r="FP120" s="539">
        <f ca="1" t="shared" si="87"/>
        <v>74614.6669304421</v>
      </c>
      <c r="FQ120" s="539">
        <f ca="1" t="shared" si="87"/>
        <v>69408.0735599661</v>
      </c>
      <c r="FR120" s="539">
        <f ca="1" t="shared" si="87"/>
        <v>64182.8232299125</v>
      </c>
      <c r="FS120" s="539">
        <f ca="1" t="shared" si="87"/>
        <v>58938.8490861762</v>
      </c>
      <c r="FT120" s="539">
        <f ca="1" t="shared" si="87"/>
        <v>53676.0840350915</v>
      </c>
      <c r="FU120" s="539">
        <f ca="1" t="shared" si="87"/>
        <v>48394.4607425738</v>
      </c>
      <c r="FV120" s="539">
        <f ca="1" t="shared" si="87"/>
        <v>43093.9116332579</v>
      </c>
      <c r="FW120" s="539">
        <f ca="1" t="shared" si="87"/>
        <v>37774.3688896336</v>
      </c>
      <c r="FX120" s="539">
        <f ca="1" t="shared" si="87"/>
        <v>32435.764451178</v>
      </c>
      <c r="FY120" s="539">
        <f ca="1" t="shared" si="87"/>
        <v>27078.0300134847</v>
      </c>
      <c r="FZ120" s="539">
        <f ca="1" t="shared" si="87"/>
        <v>21701.0970273896</v>
      </c>
      <c r="GA120" s="539">
        <f ca="1" t="shared" si="87"/>
        <v>16304.8966980944</v>
      </c>
      <c r="GB120" s="539">
        <f ca="1" t="shared" si="87"/>
        <v>10889.3599842859</v>
      </c>
      <c r="GC120" s="540">
        <f ca="1" t="shared" si="87"/>
        <v>5454.41759725292</v>
      </c>
    </row>
    <row r="121" spans="2:185">
      <c r="B121" s="556"/>
      <c r="C121" s="541"/>
      <c r="D121" s="144" t="s">
        <v>536</v>
      </c>
      <c r="E121" s="50"/>
      <c r="F121" s="542">
        <v>0</v>
      </c>
      <c r="G121" s="542">
        <v>0</v>
      </c>
      <c r="H121" s="542">
        <v>0</v>
      </c>
      <c r="I121" s="542">
        <v>0</v>
      </c>
      <c r="J121" s="542">
        <v>0</v>
      </c>
      <c r="K121" s="542">
        <v>0</v>
      </c>
      <c r="L121" s="542">
        <v>0</v>
      </c>
      <c r="M121" s="542">
        <v>0</v>
      </c>
      <c r="N121" s="542">
        <v>0</v>
      </c>
      <c r="O121" s="542">
        <v>0</v>
      </c>
      <c r="P121" s="542">
        <v>0</v>
      </c>
      <c r="Q121" s="542">
        <v>0</v>
      </c>
      <c r="R121" s="542">
        <v>0</v>
      </c>
      <c r="S121" s="542">
        <v>0</v>
      </c>
      <c r="T121" s="542">
        <v>0</v>
      </c>
      <c r="U121" s="542">
        <v>0</v>
      </c>
      <c r="V121" s="542">
        <v>0</v>
      </c>
      <c r="W121" s="542">
        <v>0</v>
      </c>
      <c r="X121" s="542">
        <v>0</v>
      </c>
      <c r="Y121" s="542">
        <v>0</v>
      </c>
      <c r="Z121" s="542">
        <v>0</v>
      </c>
      <c r="AA121" s="542">
        <v>0</v>
      </c>
      <c r="AB121" s="542">
        <v>0</v>
      </c>
      <c r="AC121" s="542">
        <v>0</v>
      </c>
      <c r="AD121" s="542">
        <v>0</v>
      </c>
      <c r="AE121" s="542">
        <v>0</v>
      </c>
      <c r="AF121" s="542">
        <v>0</v>
      </c>
      <c r="AG121" s="542">
        <v>0</v>
      </c>
      <c r="AH121" s="542">
        <v>0</v>
      </c>
      <c r="AI121" s="542">
        <v>0</v>
      </c>
      <c r="AJ121" s="542">
        <v>0</v>
      </c>
      <c r="AK121" s="542">
        <v>0</v>
      </c>
      <c r="AL121" s="542">
        <v>0</v>
      </c>
      <c r="AM121" s="542">
        <v>0</v>
      </c>
      <c r="AN121" s="542">
        <v>0</v>
      </c>
      <c r="AO121" s="542">
        <v>0</v>
      </c>
      <c r="AP121" s="542">
        <v>0</v>
      </c>
      <c r="AQ121" s="542">
        <v>0</v>
      </c>
      <c r="AR121" s="542">
        <v>0</v>
      </c>
      <c r="AS121" s="542">
        <v>0</v>
      </c>
      <c r="AT121" s="542">
        <v>0</v>
      </c>
      <c r="AU121" s="542">
        <v>0</v>
      </c>
      <c r="AV121" s="542">
        <v>0</v>
      </c>
      <c r="AW121" s="542">
        <v>0</v>
      </c>
      <c r="AX121" s="542">
        <v>0</v>
      </c>
      <c r="AY121" s="542">
        <v>0</v>
      </c>
      <c r="AZ121" s="542">
        <v>0</v>
      </c>
      <c r="BA121" s="542">
        <v>0</v>
      </c>
      <c r="BB121" s="542">
        <v>0</v>
      </c>
      <c r="BC121" s="542">
        <v>0</v>
      </c>
      <c r="BD121" s="542">
        <v>0</v>
      </c>
      <c r="BE121" s="542">
        <v>0</v>
      </c>
      <c r="BF121" s="542">
        <v>0</v>
      </c>
      <c r="BG121" s="542">
        <v>0</v>
      </c>
      <c r="BH121" s="542">
        <v>0</v>
      </c>
      <c r="BI121" s="542">
        <v>0</v>
      </c>
      <c r="BJ121" s="542">
        <v>0</v>
      </c>
      <c r="BK121" s="542">
        <v>0</v>
      </c>
      <c r="BL121" s="542">
        <v>0</v>
      </c>
      <c r="BM121" s="542">
        <v>0</v>
      </c>
      <c r="BN121" s="542">
        <v>0</v>
      </c>
      <c r="BO121" s="542">
        <v>0</v>
      </c>
      <c r="BP121" s="542">
        <v>0</v>
      </c>
      <c r="BQ121" s="542">
        <v>0</v>
      </c>
      <c r="BR121" s="542">
        <v>0</v>
      </c>
      <c r="BS121" s="542">
        <v>0</v>
      </c>
      <c r="BT121" s="542">
        <v>0</v>
      </c>
      <c r="BU121" s="542">
        <v>0</v>
      </c>
      <c r="BV121" s="542">
        <v>0</v>
      </c>
      <c r="BW121" s="542">
        <v>0</v>
      </c>
      <c r="BX121" s="542">
        <v>0</v>
      </c>
      <c r="BY121" s="542">
        <v>0</v>
      </c>
      <c r="BZ121" s="542">
        <v>0</v>
      </c>
      <c r="CA121" s="542">
        <v>0</v>
      </c>
      <c r="CB121" s="542">
        <v>0</v>
      </c>
      <c r="CC121" s="542">
        <v>0</v>
      </c>
      <c r="CD121" s="542">
        <v>0</v>
      </c>
      <c r="CE121" s="542">
        <v>0</v>
      </c>
      <c r="CF121" s="542">
        <v>0</v>
      </c>
      <c r="CG121" s="542">
        <v>0</v>
      </c>
      <c r="CH121" s="542">
        <v>0</v>
      </c>
      <c r="CI121" s="542">
        <v>0</v>
      </c>
      <c r="CJ121" s="542">
        <v>0</v>
      </c>
      <c r="CK121" s="542">
        <v>0</v>
      </c>
      <c r="CL121" s="542">
        <v>0</v>
      </c>
      <c r="CM121" s="542">
        <v>0</v>
      </c>
      <c r="CN121" s="542">
        <v>0</v>
      </c>
      <c r="CO121" s="542">
        <v>0</v>
      </c>
      <c r="CP121" s="542">
        <v>0</v>
      </c>
      <c r="CQ121" s="542">
        <v>0</v>
      </c>
      <c r="CR121" s="542">
        <v>0</v>
      </c>
      <c r="CS121" s="542">
        <v>0</v>
      </c>
      <c r="CT121" s="542">
        <v>0</v>
      </c>
      <c r="CU121" s="542">
        <v>0</v>
      </c>
      <c r="CV121" s="542">
        <v>0</v>
      </c>
      <c r="CW121" s="542">
        <v>0</v>
      </c>
      <c r="CX121" s="542">
        <v>0</v>
      </c>
      <c r="CY121" s="542">
        <v>0</v>
      </c>
      <c r="CZ121" s="542">
        <v>0</v>
      </c>
      <c r="DA121" s="542">
        <v>0</v>
      </c>
      <c r="DB121" s="542">
        <v>0</v>
      </c>
      <c r="DC121" s="542">
        <v>0</v>
      </c>
      <c r="DD121" s="542">
        <v>0</v>
      </c>
      <c r="DE121" s="542">
        <v>0</v>
      </c>
      <c r="DF121" s="542">
        <v>0</v>
      </c>
      <c r="DG121" s="542">
        <v>0</v>
      </c>
      <c r="DH121" s="542">
        <v>0</v>
      </c>
      <c r="DI121" s="542">
        <v>0</v>
      </c>
      <c r="DJ121" s="542">
        <v>0</v>
      </c>
      <c r="DK121" s="542">
        <v>0</v>
      </c>
      <c r="DL121" s="542">
        <v>0</v>
      </c>
      <c r="DM121" s="542">
        <v>0</v>
      </c>
      <c r="DN121" s="542">
        <v>0</v>
      </c>
      <c r="DO121" s="542">
        <v>0</v>
      </c>
      <c r="DP121" s="542">
        <v>0</v>
      </c>
      <c r="DQ121" s="542">
        <v>0</v>
      </c>
      <c r="DR121" s="542">
        <v>0</v>
      </c>
      <c r="DS121" s="542">
        <v>0</v>
      </c>
      <c r="DT121" s="542">
        <v>0</v>
      </c>
      <c r="DU121" s="542">
        <v>0</v>
      </c>
      <c r="DV121" s="542">
        <v>0</v>
      </c>
      <c r="DW121" s="542">
        <v>0</v>
      </c>
      <c r="DX121" s="542">
        <v>0</v>
      </c>
      <c r="DY121" s="542">
        <v>0</v>
      </c>
      <c r="DZ121" s="542">
        <v>0</v>
      </c>
      <c r="EA121" s="542">
        <v>0</v>
      </c>
      <c r="EB121" s="542">
        <v>0</v>
      </c>
      <c r="EC121" s="542">
        <v>0</v>
      </c>
      <c r="ED121" s="542">
        <v>0</v>
      </c>
      <c r="EE121" s="542">
        <v>0</v>
      </c>
      <c r="EF121" s="542">
        <v>0</v>
      </c>
      <c r="EG121" s="542">
        <v>0</v>
      </c>
      <c r="EH121" s="542">
        <v>0</v>
      </c>
      <c r="EI121" s="542">
        <v>0</v>
      </c>
      <c r="EJ121" s="542">
        <v>0</v>
      </c>
      <c r="EK121" s="542">
        <v>0</v>
      </c>
      <c r="EL121" s="542">
        <v>0</v>
      </c>
      <c r="EM121" s="542">
        <v>0</v>
      </c>
      <c r="EN121" s="542">
        <v>0</v>
      </c>
      <c r="EO121" s="542">
        <v>0</v>
      </c>
      <c r="EP121" s="542">
        <v>0</v>
      </c>
      <c r="EQ121" s="542">
        <v>0</v>
      </c>
      <c r="ER121" s="542">
        <v>0</v>
      </c>
      <c r="ES121" s="542">
        <v>0</v>
      </c>
      <c r="ET121" s="542">
        <v>0</v>
      </c>
      <c r="EU121" s="542">
        <v>0</v>
      </c>
      <c r="EV121" s="542">
        <v>0</v>
      </c>
      <c r="EW121" s="542">
        <v>0</v>
      </c>
      <c r="EX121" s="542">
        <v>0</v>
      </c>
      <c r="EY121" s="542">
        <v>0</v>
      </c>
      <c r="EZ121" s="542">
        <v>0</v>
      </c>
      <c r="FA121" s="542">
        <v>0</v>
      </c>
      <c r="FB121" s="542">
        <v>0</v>
      </c>
      <c r="FC121" s="542">
        <v>0</v>
      </c>
      <c r="FD121" s="542">
        <v>0</v>
      </c>
      <c r="FE121" s="542">
        <v>0</v>
      </c>
      <c r="FF121" s="542">
        <v>0</v>
      </c>
      <c r="FG121" s="542">
        <v>0</v>
      </c>
      <c r="FH121" s="542">
        <v>0</v>
      </c>
      <c r="FI121" s="542">
        <v>0</v>
      </c>
      <c r="FJ121" s="542">
        <v>0</v>
      </c>
      <c r="FK121" s="542">
        <v>0</v>
      </c>
      <c r="FL121" s="542">
        <v>0</v>
      </c>
      <c r="FM121" s="542">
        <v>0</v>
      </c>
      <c r="FN121" s="542">
        <v>0</v>
      </c>
      <c r="FO121" s="542">
        <v>0</v>
      </c>
      <c r="FP121" s="542">
        <v>0</v>
      </c>
      <c r="FQ121" s="542">
        <v>0</v>
      </c>
      <c r="FR121" s="542">
        <v>0</v>
      </c>
      <c r="FS121" s="542">
        <v>0</v>
      </c>
      <c r="FT121" s="542">
        <v>0</v>
      </c>
      <c r="FU121" s="542">
        <v>0</v>
      </c>
      <c r="FV121" s="542">
        <v>0</v>
      </c>
      <c r="FW121" s="542">
        <v>0</v>
      </c>
      <c r="FX121" s="542">
        <v>0</v>
      </c>
      <c r="FY121" s="542">
        <v>0</v>
      </c>
      <c r="FZ121" s="542">
        <v>0</v>
      </c>
      <c r="GA121" s="542">
        <v>0</v>
      </c>
      <c r="GB121" s="542">
        <v>0</v>
      </c>
      <c r="GC121" s="543">
        <v>0</v>
      </c>
    </row>
    <row r="122" spans="2:185">
      <c r="B122" s="556"/>
      <c r="C122" s="541"/>
      <c r="D122" s="144" t="s">
        <v>537</v>
      </c>
      <c r="E122" s="544">
        <f ca="1">SUM(F122:GC122)</f>
        <v>985313.26685585</v>
      </c>
      <c r="F122" s="542">
        <f ca="1">-PMT($D$114,$D$111+1-F115,F120)</f>
        <v>5473.96259364369</v>
      </c>
      <c r="G122" s="542">
        <f ca="1" t="shared" ref="G122:AL122" si="88">-PMT($D$114,$D$111+1-G115,G120)</f>
        <v>5473.96259364369</v>
      </c>
      <c r="H122" s="542">
        <f ca="1" t="shared" si="88"/>
        <v>5473.96259364369</v>
      </c>
      <c r="I122" s="542">
        <f ca="1" t="shared" si="88"/>
        <v>5473.96259364369</v>
      </c>
      <c r="J122" s="542">
        <f ca="1" t="shared" si="88"/>
        <v>5473.96259364369</v>
      </c>
      <c r="K122" s="542">
        <f ca="1" t="shared" si="88"/>
        <v>5473.96259364369</v>
      </c>
      <c r="L122" s="542">
        <f ca="1" t="shared" si="88"/>
        <v>5473.96259364369</v>
      </c>
      <c r="M122" s="542">
        <f ca="1" t="shared" si="88"/>
        <v>5473.96259364369</v>
      </c>
      <c r="N122" s="542">
        <f ca="1" t="shared" si="88"/>
        <v>5473.96259364369</v>
      </c>
      <c r="O122" s="542">
        <f ca="1" t="shared" si="88"/>
        <v>5473.96259364369</v>
      </c>
      <c r="P122" s="542">
        <f ca="1" t="shared" si="88"/>
        <v>5473.96259364369</v>
      </c>
      <c r="Q122" s="542">
        <f ca="1" t="shared" si="88"/>
        <v>5473.96259364369</v>
      </c>
      <c r="R122" s="542">
        <f ca="1" t="shared" si="88"/>
        <v>5473.96259364369</v>
      </c>
      <c r="S122" s="542">
        <f ca="1" t="shared" si="88"/>
        <v>5473.96259364369</v>
      </c>
      <c r="T122" s="542">
        <f ca="1" t="shared" si="88"/>
        <v>5473.96259364369</v>
      </c>
      <c r="U122" s="542">
        <f ca="1" t="shared" si="88"/>
        <v>5473.96259364369</v>
      </c>
      <c r="V122" s="542">
        <f ca="1" t="shared" si="88"/>
        <v>5473.96259364369</v>
      </c>
      <c r="W122" s="542">
        <f ca="1" t="shared" si="88"/>
        <v>5473.96259364369</v>
      </c>
      <c r="X122" s="542">
        <f ca="1" t="shared" si="88"/>
        <v>5473.96259364369</v>
      </c>
      <c r="Y122" s="542">
        <f ca="1" t="shared" si="88"/>
        <v>5473.96259364369</v>
      </c>
      <c r="Z122" s="542">
        <f ca="1" t="shared" si="88"/>
        <v>5473.96259364369</v>
      </c>
      <c r="AA122" s="542">
        <f ca="1" t="shared" si="88"/>
        <v>5473.96259364369</v>
      </c>
      <c r="AB122" s="542">
        <f ca="1" t="shared" si="88"/>
        <v>5473.96259364368</v>
      </c>
      <c r="AC122" s="542">
        <f ca="1" t="shared" si="88"/>
        <v>5473.96259364369</v>
      </c>
      <c r="AD122" s="542">
        <f ca="1" t="shared" si="88"/>
        <v>5473.96259364368</v>
      </c>
      <c r="AE122" s="542">
        <f ca="1" t="shared" si="88"/>
        <v>5473.96259364368</v>
      </c>
      <c r="AF122" s="542">
        <f ca="1" t="shared" si="88"/>
        <v>5473.96259364368</v>
      </c>
      <c r="AG122" s="542">
        <f ca="1" t="shared" si="88"/>
        <v>5473.96259364368</v>
      </c>
      <c r="AH122" s="542">
        <f ca="1" t="shared" si="88"/>
        <v>5473.96259364368</v>
      </c>
      <c r="AI122" s="542">
        <f ca="1" t="shared" si="88"/>
        <v>5473.96259364368</v>
      </c>
      <c r="AJ122" s="542">
        <f ca="1" t="shared" si="88"/>
        <v>5473.96259364368</v>
      </c>
      <c r="AK122" s="542">
        <f ca="1" t="shared" si="88"/>
        <v>5473.96259364368</v>
      </c>
      <c r="AL122" s="542">
        <f ca="1" t="shared" si="88"/>
        <v>5473.96259364368</v>
      </c>
      <c r="AM122" s="542">
        <f ca="1" t="shared" ref="AM122:BR122" si="89">-PMT($D$114,$D$111+1-AM115,AM120)</f>
        <v>5473.96259364368</v>
      </c>
      <c r="AN122" s="542">
        <f ca="1" t="shared" si="89"/>
        <v>5473.96259364368</v>
      </c>
      <c r="AO122" s="542">
        <f ca="1" t="shared" si="89"/>
        <v>5473.96259364368</v>
      </c>
      <c r="AP122" s="542">
        <f ca="1" t="shared" si="89"/>
        <v>5473.96259364368</v>
      </c>
      <c r="AQ122" s="542">
        <f ca="1" t="shared" si="89"/>
        <v>5473.96259364368</v>
      </c>
      <c r="AR122" s="542">
        <f ca="1" t="shared" si="89"/>
        <v>5473.96259364368</v>
      </c>
      <c r="AS122" s="542">
        <f ca="1" t="shared" si="89"/>
        <v>5473.96259364368</v>
      </c>
      <c r="AT122" s="542">
        <f ca="1" t="shared" si="89"/>
        <v>5473.96259364368</v>
      </c>
      <c r="AU122" s="542">
        <f ca="1" t="shared" si="89"/>
        <v>5473.96259364368</v>
      </c>
      <c r="AV122" s="542">
        <f ca="1" t="shared" si="89"/>
        <v>5473.96259364368</v>
      </c>
      <c r="AW122" s="542">
        <f ca="1" t="shared" si="89"/>
        <v>5473.96259364367</v>
      </c>
      <c r="AX122" s="542">
        <f ca="1" t="shared" si="89"/>
        <v>5473.96259364367</v>
      </c>
      <c r="AY122" s="542">
        <f ca="1" t="shared" si="89"/>
        <v>5473.96259364367</v>
      </c>
      <c r="AZ122" s="542">
        <f ca="1" t="shared" si="89"/>
        <v>5473.96259364367</v>
      </c>
      <c r="BA122" s="542">
        <f ca="1" t="shared" si="89"/>
        <v>5473.96259364367</v>
      </c>
      <c r="BB122" s="542">
        <f ca="1" t="shared" si="89"/>
        <v>5473.96259364367</v>
      </c>
      <c r="BC122" s="542">
        <f ca="1" t="shared" si="89"/>
        <v>5473.96259364367</v>
      </c>
      <c r="BD122" s="542">
        <f ca="1" t="shared" si="89"/>
        <v>5473.96259364367</v>
      </c>
      <c r="BE122" s="542">
        <f ca="1" t="shared" si="89"/>
        <v>5473.96259364367</v>
      </c>
      <c r="BF122" s="542">
        <f ca="1" t="shared" si="89"/>
        <v>5473.96259364367</v>
      </c>
      <c r="BG122" s="542">
        <f ca="1" t="shared" si="89"/>
        <v>5473.96259364367</v>
      </c>
      <c r="BH122" s="542">
        <f ca="1" t="shared" si="89"/>
        <v>5473.96259364367</v>
      </c>
      <c r="BI122" s="542">
        <f ca="1" t="shared" si="89"/>
        <v>5473.96259364367</v>
      </c>
      <c r="BJ122" s="542">
        <f ca="1" t="shared" si="89"/>
        <v>5473.96259364367</v>
      </c>
      <c r="BK122" s="542">
        <f ca="1" t="shared" si="89"/>
        <v>5473.96259364367</v>
      </c>
      <c r="BL122" s="542">
        <f ca="1" t="shared" si="89"/>
        <v>5473.96259364367</v>
      </c>
      <c r="BM122" s="542">
        <f ca="1" t="shared" si="89"/>
        <v>5473.96259364367</v>
      </c>
      <c r="BN122" s="542">
        <f ca="1" t="shared" si="89"/>
        <v>5473.96259364367</v>
      </c>
      <c r="BO122" s="542">
        <f ca="1" t="shared" si="89"/>
        <v>5473.96259364367</v>
      </c>
      <c r="BP122" s="542">
        <f ca="1" t="shared" si="89"/>
        <v>5473.96259364367</v>
      </c>
      <c r="BQ122" s="542">
        <f ca="1" t="shared" si="89"/>
        <v>5473.96259364366</v>
      </c>
      <c r="BR122" s="542">
        <f ca="1" t="shared" si="89"/>
        <v>5473.96259364366</v>
      </c>
      <c r="BS122" s="542">
        <f ca="1" t="shared" ref="BS122:CX122" si="90">-PMT($D$114,$D$111+1-BS115,BS120)</f>
        <v>5473.96259364366</v>
      </c>
      <c r="BT122" s="542">
        <f ca="1" t="shared" si="90"/>
        <v>5473.96259364366</v>
      </c>
      <c r="BU122" s="542">
        <f ca="1" t="shared" si="90"/>
        <v>5473.96259364366</v>
      </c>
      <c r="BV122" s="542">
        <f ca="1" t="shared" si="90"/>
        <v>5473.96259364366</v>
      </c>
      <c r="BW122" s="542">
        <f ca="1" t="shared" si="90"/>
        <v>5473.96259364366</v>
      </c>
      <c r="BX122" s="542">
        <f ca="1" t="shared" si="90"/>
        <v>5473.96259364366</v>
      </c>
      <c r="BY122" s="542">
        <f ca="1" t="shared" si="90"/>
        <v>5473.96259364366</v>
      </c>
      <c r="BZ122" s="542">
        <f ca="1" t="shared" si="90"/>
        <v>5473.96259364366</v>
      </c>
      <c r="CA122" s="542">
        <f ca="1" t="shared" si="90"/>
        <v>5473.96259364366</v>
      </c>
      <c r="CB122" s="542">
        <f ca="1" t="shared" si="90"/>
        <v>5473.96259364366</v>
      </c>
      <c r="CC122" s="542">
        <f ca="1" t="shared" si="90"/>
        <v>5473.96259364366</v>
      </c>
      <c r="CD122" s="542">
        <f ca="1" t="shared" si="90"/>
        <v>5473.96259364366</v>
      </c>
      <c r="CE122" s="542">
        <f ca="1" t="shared" si="90"/>
        <v>5473.96259364365</v>
      </c>
      <c r="CF122" s="542">
        <f ca="1" t="shared" si="90"/>
        <v>5473.96259364365</v>
      </c>
      <c r="CG122" s="542">
        <f ca="1" t="shared" si="90"/>
        <v>5473.96259364365</v>
      </c>
      <c r="CH122" s="542">
        <f ca="1" t="shared" si="90"/>
        <v>5473.96259364365</v>
      </c>
      <c r="CI122" s="542">
        <f ca="1" t="shared" si="90"/>
        <v>5473.96259364365</v>
      </c>
      <c r="CJ122" s="542">
        <f ca="1" t="shared" si="90"/>
        <v>5473.96259364365</v>
      </c>
      <c r="CK122" s="542">
        <f ca="1" t="shared" si="90"/>
        <v>5473.96259364365</v>
      </c>
      <c r="CL122" s="542">
        <f ca="1" t="shared" si="90"/>
        <v>5473.96259364365</v>
      </c>
      <c r="CM122" s="542">
        <f ca="1" t="shared" si="90"/>
        <v>5473.96259364365</v>
      </c>
      <c r="CN122" s="542">
        <f ca="1" t="shared" si="90"/>
        <v>5473.96259364365</v>
      </c>
      <c r="CO122" s="542">
        <f ca="1" t="shared" si="90"/>
        <v>5473.96259364365</v>
      </c>
      <c r="CP122" s="542">
        <f ca="1" t="shared" si="90"/>
        <v>5473.96259364365</v>
      </c>
      <c r="CQ122" s="542">
        <f ca="1" t="shared" si="90"/>
        <v>5473.96259364365</v>
      </c>
      <c r="CR122" s="542">
        <f ca="1" t="shared" si="90"/>
        <v>5473.96259364364</v>
      </c>
      <c r="CS122" s="542">
        <f ca="1" t="shared" si="90"/>
        <v>5473.96259364364</v>
      </c>
      <c r="CT122" s="542">
        <f ca="1" t="shared" si="90"/>
        <v>5473.96259364364</v>
      </c>
      <c r="CU122" s="542">
        <f ca="1" t="shared" si="90"/>
        <v>5473.96259364364</v>
      </c>
      <c r="CV122" s="542">
        <f ca="1" t="shared" si="90"/>
        <v>5473.96259364364</v>
      </c>
      <c r="CW122" s="542">
        <f ca="1" t="shared" si="90"/>
        <v>5473.96259364364</v>
      </c>
      <c r="CX122" s="542">
        <f ca="1" t="shared" si="90"/>
        <v>5473.96259364364</v>
      </c>
      <c r="CY122" s="542">
        <f ca="1" t="shared" ref="CY122:ED122" si="91">-PMT($D$114,$D$111+1-CY115,CY120)</f>
        <v>5473.96259364364</v>
      </c>
      <c r="CZ122" s="542">
        <f ca="1" t="shared" si="91"/>
        <v>5473.96259364364</v>
      </c>
      <c r="DA122" s="542">
        <f ca="1" t="shared" si="91"/>
        <v>5473.96259364364</v>
      </c>
      <c r="DB122" s="542">
        <f ca="1" t="shared" si="91"/>
        <v>5473.96259364363</v>
      </c>
      <c r="DC122" s="542">
        <f ca="1" t="shared" si="91"/>
        <v>5473.96259364363</v>
      </c>
      <c r="DD122" s="542">
        <f ca="1" t="shared" si="91"/>
        <v>5473.96259364363</v>
      </c>
      <c r="DE122" s="542">
        <f ca="1" t="shared" si="91"/>
        <v>5473.96259364363</v>
      </c>
      <c r="DF122" s="542">
        <f ca="1" t="shared" si="91"/>
        <v>5473.96259364363</v>
      </c>
      <c r="DG122" s="542">
        <f ca="1" t="shared" si="91"/>
        <v>5473.96259364363</v>
      </c>
      <c r="DH122" s="542">
        <f ca="1" t="shared" si="91"/>
        <v>5473.96259364363</v>
      </c>
      <c r="DI122" s="542">
        <f ca="1" t="shared" si="91"/>
        <v>5473.96259364363</v>
      </c>
      <c r="DJ122" s="542">
        <f ca="1" t="shared" si="91"/>
        <v>5473.96259364363</v>
      </c>
      <c r="DK122" s="542">
        <f ca="1" t="shared" si="91"/>
        <v>5473.96259364362</v>
      </c>
      <c r="DL122" s="542">
        <f ca="1" t="shared" si="91"/>
        <v>5473.96259364362</v>
      </c>
      <c r="DM122" s="542">
        <f ca="1" t="shared" si="91"/>
        <v>5473.96259364362</v>
      </c>
      <c r="DN122" s="542">
        <f ca="1" t="shared" si="91"/>
        <v>5473.96259364362</v>
      </c>
      <c r="DO122" s="542">
        <f ca="1" t="shared" si="91"/>
        <v>5473.96259364362</v>
      </c>
      <c r="DP122" s="542">
        <f ca="1" t="shared" si="91"/>
        <v>5473.96259364362</v>
      </c>
      <c r="DQ122" s="542">
        <f ca="1" t="shared" si="91"/>
        <v>5473.96259364362</v>
      </c>
      <c r="DR122" s="542">
        <f ca="1" t="shared" si="91"/>
        <v>5473.96259364362</v>
      </c>
      <c r="DS122" s="542">
        <f ca="1" t="shared" si="91"/>
        <v>5473.96259364361</v>
      </c>
      <c r="DT122" s="542">
        <f ca="1" t="shared" si="91"/>
        <v>5473.96259364362</v>
      </c>
      <c r="DU122" s="542">
        <f ca="1" t="shared" si="91"/>
        <v>5473.96259364361</v>
      </c>
      <c r="DV122" s="542">
        <f ca="1" t="shared" si="91"/>
        <v>5473.96259364361</v>
      </c>
      <c r="DW122" s="542">
        <f ca="1" t="shared" si="91"/>
        <v>5473.96259364361</v>
      </c>
      <c r="DX122" s="542">
        <f ca="1" t="shared" si="91"/>
        <v>5473.96259364361</v>
      </c>
      <c r="DY122" s="542">
        <f ca="1" t="shared" si="91"/>
        <v>5473.96259364361</v>
      </c>
      <c r="DZ122" s="542">
        <f ca="1" t="shared" si="91"/>
        <v>5473.96259364361</v>
      </c>
      <c r="EA122" s="542">
        <f ca="1" t="shared" si="91"/>
        <v>5473.9625936436</v>
      </c>
      <c r="EB122" s="542">
        <f ca="1" t="shared" si="91"/>
        <v>5473.9625936436</v>
      </c>
      <c r="EC122" s="542">
        <f ca="1" t="shared" si="91"/>
        <v>5473.9625936436</v>
      </c>
      <c r="ED122" s="542">
        <f ca="1" t="shared" si="91"/>
        <v>5473.9625936436</v>
      </c>
      <c r="EE122" s="542">
        <f ca="1" t="shared" ref="EE122:FJ122" si="92">-PMT($D$114,$D$111+1-EE115,EE120)</f>
        <v>5473.9625936436</v>
      </c>
      <c r="EF122" s="542">
        <f ca="1" t="shared" si="92"/>
        <v>5473.96259364359</v>
      </c>
      <c r="EG122" s="542">
        <f ca="1" t="shared" si="92"/>
        <v>5473.96259364359</v>
      </c>
      <c r="EH122" s="542">
        <f ca="1" t="shared" si="92"/>
        <v>5473.96259364359</v>
      </c>
      <c r="EI122" s="542">
        <f ca="1" t="shared" si="92"/>
        <v>5473.96259364359</v>
      </c>
      <c r="EJ122" s="542">
        <f ca="1" t="shared" si="92"/>
        <v>5473.96259364359</v>
      </c>
      <c r="EK122" s="542">
        <f ca="1" t="shared" si="92"/>
        <v>5473.96259364359</v>
      </c>
      <c r="EL122" s="542">
        <f ca="1" t="shared" si="92"/>
        <v>5473.96259364359</v>
      </c>
      <c r="EM122" s="542">
        <f ca="1" t="shared" si="92"/>
        <v>5473.96259364359</v>
      </c>
      <c r="EN122" s="542">
        <f ca="1" t="shared" si="92"/>
        <v>5473.96259364358</v>
      </c>
      <c r="EO122" s="542">
        <f ca="1" t="shared" si="92"/>
        <v>5473.96259364358</v>
      </c>
      <c r="EP122" s="542">
        <f ca="1" t="shared" si="92"/>
        <v>5473.96259364358</v>
      </c>
      <c r="EQ122" s="542">
        <f ca="1" t="shared" si="92"/>
        <v>5473.96259364357</v>
      </c>
      <c r="ER122" s="542">
        <f ca="1" t="shared" si="92"/>
        <v>5473.96259364357</v>
      </c>
      <c r="ES122" s="542">
        <f ca="1" t="shared" si="92"/>
        <v>5473.96259364357</v>
      </c>
      <c r="ET122" s="542">
        <f ca="1" t="shared" si="92"/>
        <v>5473.96259364357</v>
      </c>
      <c r="EU122" s="542">
        <f ca="1" t="shared" si="92"/>
        <v>5473.96259364356</v>
      </c>
      <c r="EV122" s="542">
        <f ca="1" t="shared" si="92"/>
        <v>5473.96259364356</v>
      </c>
      <c r="EW122" s="542">
        <f ca="1" t="shared" si="92"/>
        <v>5473.96259364356</v>
      </c>
      <c r="EX122" s="542">
        <f ca="1" t="shared" si="92"/>
        <v>5473.96259364356</v>
      </c>
      <c r="EY122" s="542">
        <f ca="1" t="shared" si="92"/>
        <v>5473.96259364356</v>
      </c>
      <c r="EZ122" s="542">
        <f ca="1" t="shared" si="92"/>
        <v>5473.96259364356</v>
      </c>
      <c r="FA122" s="542">
        <f ca="1" t="shared" si="92"/>
        <v>5473.96259364355</v>
      </c>
      <c r="FB122" s="542">
        <f ca="1" t="shared" si="92"/>
        <v>5473.96259364355</v>
      </c>
      <c r="FC122" s="542">
        <f ca="1" t="shared" si="92"/>
        <v>5473.96259364355</v>
      </c>
      <c r="FD122" s="542">
        <f ca="1" t="shared" si="92"/>
        <v>5473.96259364355</v>
      </c>
      <c r="FE122" s="542">
        <f ca="1" t="shared" si="92"/>
        <v>5473.96259364354</v>
      </c>
      <c r="FF122" s="542">
        <f ca="1" t="shared" si="92"/>
        <v>5473.96259364353</v>
      </c>
      <c r="FG122" s="542">
        <f ca="1" t="shared" si="92"/>
        <v>5473.96259364354</v>
      </c>
      <c r="FH122" s="542">
        <f ca="1" t="shared" si="92"/>
        <v>5473.96259364353</v>
      </c>
      <c r="FI122" s="542">
        <f ca="1" t="shared" si="92"/>
        <v>5473.96259364353</v>
      </c>
      <c r="FJ122" s="542">
        <f ca="1" t="shared" si="92"/>
        <v>5473.96259364352</v>
      </c>
      <c r="FK122" s="542">
        <f ca="1" t="shared" ref="FK122:GC122" si="93">-PMT($D$114,$D$111+1-FK115,FK120)</f>
        <v>5473.96259364352</v>
      </c>
      <c r="FL122" s="542">
        <f ca="1" t="shared" si="93"/>
        <v>5473.96259364352</v>
      </c>
      <c r="FM122" s="542">
        <f ca="1" t="shared" si="93"/>
        <v>5473.96259364351</v>
      </c>
      <c r="FN122" s="542">
        <f ca="1" t="shared" si="93"/>
        <v>5473.9625936435</v>
      </c>
      <c r="FO122" s="542">
        <f ca="1" t="shared" si="93"/>
        <v>5473.9625936435</v>
      </c>
      <c r="FP122" s="542">
        <f ca="1" t="shared" si="93"/>
        <v>5473.96259364349</v>
      </c>
      <c r="FQ122" s="542">
        <f ca="1" t="shared" si="93"/>
        <v>5473.96259364348</v>
      </c>
      <c r="FR122" s="542">
        <f ca="1" t="shared" si="93"/>
        <v>5473.96259364348</v>
      </c>
      <c r="FS122" s="542">
        <f ca="1" t="shared" si="93"/>
        <v>5473.96259364346</v>
      </c>
      <c r="FT122" s="542">
        <f ca="1" t="shared" si="93"/>
        <v>5473.96259364345</v>
      </c>
      <c r="FU122" s="542">
        <f ca="1" t="shared" si="93"/>
        <v>5473.96259364346</v>
      </c>
      <c r="FV122" s="542">
        <f ca="1" t="shared" si="93"/>
        <v>5473.96259364344</v>
      </c>
      <c r="FW122" s="542">
        <f ca="1" t="shared" si="93"/>
        <v>5473.96259364342</v>
      </c>
      <c r="FX122" s="542">
        <f ca="1" t="shared" si="93"/>
        <v>5473.96259364338</v>
      </c>
      <c r="FY122" s="542">
        <f ca="1" t="shared" si="93"/>
        <v>5473.96259364339</v>
      </c>
      <c r="FZ122" s="542">
        <f ca="1" t="shared" si="93"/>
        <v>5473.96259364339</v>
      </c>
      <c r="GA122" s="542">
        <f ca="1" t="shared" si="93"/>
        <v>5473.9625936433</v>
      </c>
      <c r="GB122" s="542">
        <f ca="1" t="shared" si="93"/>
        <v>5473.96259364337</v>
      </c>
      <c r="GC122" s="542">
        <f ca="1" t="shared" si="93"/>
        <v>5473.96259364317</v>
      </c>
    </row>
    <row r="123" spans="2:185">
      <c r="B123" s="556"/>
      <c r="C123" s="541"/>
      <c r="D123" s="145" t="s">
        <v>538</v>
      </c>
      <c r="E123" s="542">
        <f ca="1" t="shared" ref="E123:E130" si="94">SUM(F123:GC123)</f>
        <v>725209.263168492</v>
      </c>
      <c r="F123" s="542">
        <f ca="1">F122-F124</f>
        <v>2875.29606728993</v>
      </c>
      <c r="G123" s="542">
        <f ca="1">G122-G124</f>
        <v>2885.59921153105</v>
      </c>
      <c r="H123" s="542">
        <f ca="1" t="shared" ref="H123:AM123" si="95">H122-H124</f>
        <v>2895.93927537237</v>
      </c>
      <c r="I123" s="542">
        <f ca="1" t="shared" si="95"/>
        <v>2906.31639110912</v>
      </c>
      <c r="J123" s="542">
        <f ca="1" t="shared" si="95"/>
        <v>2916.7306915106</v>
      </c>
      <c r="K123" s="542">
        <f ca="1" t="shared" si="95"/>
        <v>2927.18230982184</v>
      </c>
      <c r="L123" s="542">
        <f ca="1" t="shared" si="95"/>
        <v>2937.67137976537</v>
      </c>
      <c r="M123" s="542">
        <f ca="1" t="shared" si="95"/>
        <v>2948.19803554286</v>
      </c>
      <c r="N123" s="542">
        <f ca="1" t="shared" si="95"/>
        <v>2958.76241183689</v>
      </c>
      <c r="O123" s="542">
        <f ca="1" t="shared" si="95"/>
        <v>2969.36464381264</v>
      </c>
      <c r="P123" s="542">
        <f ca="1" t="shared" si="95"/>
        <v>2980.00486711963</v>
      </c>
      <c r="Q123" s="542">
        <f ca="1" t="shared" si="95"/>
        <v>2990.68321789348</v>
      </c>
      <c r="R123" s="542">
        <f ca="1" t="shared" si="95"/>
        <v>3001.3998327576</v>
      </c>
      <c r="S123" s="542">
        <f ca="1" t="shared" si="95"/>
        <v>3012.15484882498</v>
      </c>
      <c r="T123" s="542">
        <f ca="1" t="shared" si="95"/>
        <v>3022.94840369994</v>
      </c>
      <c r="U123" s="542">
        <f ca="1" t="shared" si="95"/>
        <v>3033.78063547986</v>
      </c>
      <c r="V123" s="542">
        <f ca="1" t="shared" si="95"/>
        <v>3044.65168275699</v>
      </c>
      <c r="W123" s="542">
        <f ca="1" t="shared" si="95"/>
        <v>3055.56168462021</v>
      </c>
      <c r="X123" s="542">
        <f ca="1" t="shared" si="95"/>
        <v>3066.51078065676</v>
      </c>
      <c r="Y123" s="542">
        <f ca="1" t="shared" si="95"/>
        <v>3077.49911095412</v>
      </c>
      <c r="Z123" s="542">
        <f ca="1" t="shared" si="95"/>
        <v>3088.5268161017</v>
      </c>
      <c r="AA123" s="542">
        <f ca="1" t="shared" si="95"/>
        <v>3099.59403719273</v>
      </c>
      <c r="AB123" s="542">
        <f ca="1" t="shared" si="95"/>
        <v>3110.700915826</v>
      </c>
      <c r="AC123" s="542">
        <f ca="1" t="shared" si="95"/>
        <v>3121.84759410771</v>
      </c>
      <c r="AD123" s="542">
        <f ca="1" t="shared" si="95"/>
        <v>3133.03421465327</v>
      </c>
      <c r="AE123" s="542">
        <f ca="1" t="shared" si="95"/>
        <v>3144.26092058911</v>
      </c>
      <c r="AF123" s="542">
        <f ca="1" t="shared" si="95"/>
        <v>3155.52785555455</v>
      </c>
      <c r="AG123" s="542">
        <f ca="1" t="shared" si="95"/>
        <v>3166.83516370362</v>
      </c>
      <c r="AH123" s="542">
        <f ca="1" t="shared" si="95"/>
        <v>3178.18298970689</v>
      </c>
      <c r="AI123" s="542">
        <f ca="1" t="shared" si="95"/>
        <v>3189.57147875334</v>
      </c>
      <c r="AJ123" s="542">
        <f ca="1" t="shared" si="95"/>
        <v>3201.00077655221</v>
      </c>
      <c r="AK123" s="542">
        <f ca="1" t="shared" si="95"/>
        <v>3212.47102933485</v>
      </c>
      <c r="AL123" s="542">
        <f ca="1" t="shared" si="95"/>
        <v>3223.98238385663</v>
      </c>
      <c r="AM123" s="542">
        <f ca="1" t="shared" si="95"/>
        <v>3235.53498739879</v>
      </c>
      <c r="AN123" s="542">
        <f ca="1" t="shared" ref="AN123:BS123" si="96">AN122-AN124</f>
        <v>3247.1289877703</v>
      </c>
      <c r="AO123" s="542">
        <f ca="1" t="shared" si="96"/>
        <v>3258.76453330981</v>
      </c>
      <c r="AP123" s="542">
        <f ca="1" t="shared" si="96"/>
        <v>3270.4417728875</v>
      </c>
      <c r="AQ123" s="542">
        <f ca="1" t="shared" si="96"/>
        <v>3282.16085590701</v>
      </c>
      <c r="AR123" s="542">
        <f ca="1" t="shared" si="96"/>
        <v>3293.92193230735</v>
      </c>
      <c r="AS123" s="542">
        <f ca="1" t="shared" si="96"/>
        <v>3305.72515256478</v>
      </c>
      <c r="AT123" s="542">
        <f ca="1" t="shared" si="96"/>
        <v>3317.5706676948</v>
      </c>
      <c r="AU123" s="542">
        <f ca="1" t="shared" si="96"/>
        <v>3329.45862925404</v>
      </c>
      <c r="AV123" s="542">
        <f ca="1" t="shared" si="96"/>
        <v>3341.3891893422</v>
      </c>
      <c r="AW123" s="542">
        <f ca="1" t="shared" si="96"/>
        <v>3353.36250060401</v>
      </c>
      <c r="AX123" s="542">
        <f ca="1" t="shared" si="96"/>
        <v>3365.37871623117</v>
      </c>
      <c r="AY123" s="542">
        <f ca="1" t="shared" si="96"/>
        <v>3377.43798996434</v>
      </c>
      <c r="AZ123" s="542">
        <f ca="1" t="shared" si="96"/>
        <v>3389.54047609504</v>
      </c>
      <c r="BA123" s="542">
        <f ca="1" t="shared" si="96"/>
        <v>3401.68632946772</v>
      </c>
      <c r="BB123" s="542">
        <f ca="1" t="shared" si="96"/>
        <v>3413.87570548164</v>
      </c>
      <c r="BC123" s="542">
        <f ca="1" t="shared" si="96"/>
        <v>3426.10876009295</v>
      </c>
      <c r="BD123" s="542">
        <f ca="1" t="shared" si="96"/>
        <v>3438.38564981662</v>
      </c>
      <c r="BE123" s="542">
        <f ca="1" t="shared" si="96"/>
        <v>3450.70653172846</v>
      </c>
      <c r="BF123" s="542">
        <f ca="1" t="shared" si="96"/>
        <v>3463.07156346715</v>
      </c>
      <c r="BG123" s="542">
        <f ca="1" t="shared" si="96"/>
        <v>3475.48090323624</v>
      </c>
      <c r="BH123" s="542">
        <f ca="1" t="shared" si="96"/>
        <v>3487.93470980617</v>
      </c>
      <c r="BI123" s="542">
        <f ca="1" t="shared" si="96"/>
        <v>3500.43314251631</v>
      </c>
      <c r="BJ123" s="542">
        <f ca="1" t="shared" si="96"/>
        <v>3512.97636127699</v>
      </c>
      <c r="BK123" s="542">
        <f ca="1" t="shared" si="96"/>
        <v>3525.56452657157</v>
      </c>
      <c r="BL123" s="542">
        <f ca="1" t="shared" si="96"/>
        <v>3538.19779945845</v>
      </c>
      <c r="BM123" s="542">
        <f ca="1" t="shared" si="96"/>
        <v>3550.87634157317</v>
      </c>
      <c r="BN123" s="542">
        <f ca="1" t="shared" si="96"/>
        <v>3563.60031513048</v>
      </c>
      <c r="BO123" s="542">
        <f ca="1" t="shared" si="96"/>
        <v>3576.36988292636</v>
      </c>
      <c r="BP123" s="542">
        <f ca="1" t="shared" si="96"/>
        <v>3589.18520834018</v>
      </c>
      <c r="BQ123" s="542">
        <f ca="1" t="shared" si="96"/>
        <v>3602.04645533673</v>
      </c>
      <c r="BR123" s="542">
        <f ca="1" t="shared" si="96"/>
        <v>3614.95378846835</v>
      </c>
      <c r="BS123" s="542">
        <f ca="1" t="shared" si="96"/>
        <v>3627.90737287703</v>
      </c>
      <c r="BT123" s="542">
        <f ca="1" t="shared" ref="BT123:CY123" si="97">BT122-BT124</f>
        <v>3640.90737429651</v>
      </c>
      <c r="BU123" s="542">
        <f ca="1" t="shared" si="97"/>
        <v>3653.9539590544</v>
      </c>
      <c r="BV123" s="542">
        <f ca="1" t="shared" si="97"/>
        <v>3667.04729407435</v>
      </c>
      <c r="BW123" s="542">
        <f ca="1" t="shared" si="97"/>
        <v>3680.18754687811</v>
      </c>
      <c r="BX123" s="542">
        <f ca="1" t="shared" si="97"/>
        <v>3693.37488558776</v>
      </c>
      <c r="BY123" s="542">
        <f ca="1" t="shared" si="97"/>
        <v>3706.60947892778</v>
      </c>
      <c r="BZ123" s="542">
        <f ca="1" t="shared" si="97"/>
        <v>3719.89149622727</v>
      </c>
      <c r="CA123" s="542">
        <f ca="1" t="shared" si="97"/>
        <v>3733.22110742208</v>
      </c>
      <c r="CB123" s="542">
        <f ca="1" t="shared" si="97"/>
        <v>3746.59848305701</v>
      </c>
      <c r="CC123" s="542">
        <f ca="1" t="shared" si="97"/>
        <v>3760.02379428797</v>
      </c>
      <c r="CD123" s="542">
        <f ca="1" t="shared" si="97"/>
        <v>3773.49721288416</v>
      </c>
      <c r="CE123" s="542">
        <f ca="1" t="shared" si="97"/>
        <v>3787.01891123033</v>
      </c>
      <c r="CF123" s="542">
        <f ca="1" t="shared" si="97"/>
        <v>3800.58906232891</v>
      </c>
      <c r="CG123" s="542">
        <f ca="1" t="shared" si="97"/>
        <v>3814.20783980225</v>
      </c>
      <c r="CH123" s="542">
        <f ca="1" t="shared" si="97"/>
        <v>3827.87541789487</v>
      </c>
      <c r="CI123" s="542">
        <f ca="1" t="shared" si="97"/>
        <v>3841.59197147566</v>
      </c>
      <c r="CJ123" s="542">
        <f ca="1" t="shared" si="97"/>
        <v>3855.35767604012</v>
      </c>
      <c r="CK123" s="542">
        <f ca="1" t="shared" si="97"/>
        <v>3869.17270771259</v>
      </c>
      <c r="CL123" s="542">
        <f ca="1" t="shared" si="97"/>
        <v>3883.03724324856</v>
      </c>
      <c r="CM123" s="542">
        <f ca="1" t="shared" si="97"/>
        <v>3896.95146003687</v>
      </c>
      <c r="CN123" s="542">
        <f ca="1" t="shared" si="97"/>
        <v>3910.915536102</v>
      </c>
      <c r="CO123" s="542">
        <f ca="1" t="shared" si="97"/>
        <v>3924.92965010636</v>
      </c>
      <c r="CP123" s="542">
        <f ca="1" t="shared" si="97"/>
        <v>3938.99398135258</v>
      </c>
      <c r="CQ123" s="542">
        <f ca="1" t="shared" si="97"/>
        <v>3953.10870978576</v>
      </c>
      <c r="CR123" s="542">
        <f ca="1" t="shared" si="97"/>
        <v>3967.27401599582</v>
      </c>
      <c r="CS123" s="542">
        <f ca="1" t="shared" si="97"/>
        <v>3981.4900812198</v>
      </c>
      <c r="CT123" s="542">
        <f ca="1" t="shared" si="97"/>
        <v>3995.75708734418</v>
      </c>
      <c r="CU123" s="542">
        <f ca="1" t="shared" si="97"/>
        <v>4010.07521690716</v>
      </c>
      <c r="CV123" s="542">
        <f ca="1" t="shared" si="97"/>
        <v>4024.44465310107</v>
      </c>
      <c r="CW123" s="542">
        <f ca="1" t="shared" si="97"/>
        <v>4038.86557977468</v>
      </c>
      <c r="CX123" s="542">
        <f ca="1" t="shared" si="97"/>
        <v>4053.33818143555</v>
      </c>
      <c r="CY123" s="542">
        <f ca="1" t="shared" si="97"/>
        <v>4067.86264325236</v>
      </c>
      <c r="CZ123" s="542">
        <f ca="1" t="shared" ref="CZ123:EE123" si="98">CZ122-CZ124</f>
        <v>4082.43915105734</v>
      </c>
      <c r="DA123" s="542">
        <f ca="1" t="shared" si="98"/>
        <v>4097.06789134863</v>
      </c>
      <c r="DB123" s="542">
        <f ca="1" t="shared" si="98"/>
        <v>4111.74905129263</v>
      </c>
      <c r="DC123" s="542">
        <f ca="1" t="shared" si="98"/>
        <v>4126.48281872642</v>
      </c>
      <c r="DD123" s="542">
        <f ca="1" t="shared" si="98"/>
        <v>4141.26938216019</v>
      </c>
      <c r="DE123" s="542">
        <f ca="1" t="shared" si="98"/>
        <v>4156.1089307796</v>
      </c>
      <c r="DF123" s="542">
        <f ca="1" t="shared" si="98"/>
        <v>4171.00165444822</v>
      </c>
      <c r="DG123" s="542">
        <f ca="1" t="shared" si="98"/>
        <v>4185.94774371</v>
      </c>
      <c r="DH123" s="542">
        <f ca="1" t="shared" si="98"/>
        <v>4200.94738979162</v>
      </c>
      <c r="DI123" s="542">
        <f ca="1" t="shared" si="98"/>
        <v>4216.00078460504</v>
      </c>
      <c r="DJ123" s="542">
        <f ca="1" t="shared" si="98"/>
        <v>4231.10812074988</v>
      </c>
      <c r="DK123" s="542">
        <f ca="1" t="shared" si="98"/>
        <v>4246.26959151589</v>
      </c>
      <c r="DL123" s="542">
        <f ca="1" t="shared" si="98"/>
        <v>4261.48539088549</v>
      </c>
      <c r="DM123" s="542">
        <f ca="1" t="shared" si="98"/>
        <v>4276.75571353616</v>
      </c>
      <c r="DN123" s="542">
        <f ca="1" t="shared" si="98"/>
        <v>4292.080754843</v>
      </c>
      <c r="DO123" s="542">
        <f ca="1" t="shared" si="98"/>
        <v>4307.46071088119</v>
      </c>
      <c r="DP123" s="542">
        <f ca="1" t="shared" si="98"/>
        <v>4322.89577842852</v>
      </c>
      <c r="DQ123" s="542">
        <f ca="1" t="shared" si="98"/>
        <v>4338.38615496788</v>
      </c>
      <c r="DR123" s="542">
        <f ca="1" t="shared" si="98"/>
        <v>4353.93203868985</v>
      </c>
      <c r="DS123" s="542">
        <f ca="1" t="shared" si="98"/>
        <v>4369.53362849515</v>
      </c>
      <c r="DT123" s="542">
        <f ca="1" t="shared" si="98"/>
        <v>4385.19112399726</v>
      </c>
      <c r="DU123" s="542">
        <f ca="1" t="shared" si="98"/>
        <v>4400.90472552491</v>
      </c>
      <c r="DV123" s="542">
        <f ca="1" t="shared" si="98"/>
        <v>4416.67463412471</v>
      </c>
      <c r="DW123" s="542">
        <f ca="1" t="shared" si="98"/>
        <v>4432.50105156365</v>
      </c>
      <c r="DX123" s="542">
        <f ca="1" t="shared" si="98"/>
        <v>4448.38418033176</v>
      </c>
      <c r="DY123" s="542">
        <f ca="1" t="shared" si="98"/>
        <v>4464.32422364461</v>
      </c>
      <c r="DZ123" s="542">
        <f ca="1" t="shared" si="98"/>
        <v>4480.321385446</v>
      </c>
      <c r="EA123" s="542">
        <f ca="1" t="shared" si="98"/>
        <v>4496.37587041051</v>
      </c>
      <c r="EB123" s="542">
        <f ca="1" t="shared" si="98"/>
        <v>4512.48788394615</v>
      </c>
      <c r="EC123" s="542">
        <f ca="1" t="shared" si="98"/>
        <v>4528.65763219695</v>
      </c>
      <c r="ED123" s="542">
        <f ca="1" t="shared" si="98"/>
        <v>4544.88532204566</v>
      </c>
      <c r="EE123" s="542">
        <f ca="1" t="shared" si="98"/>
        <v>4561.17116111632</v>
      </c>
      <c r="EF123" s="542">
        <f ca="1" t="shared" ref="EF123:FK123" si="99">EF122-EF124</f>
        <v>4577.51535777698</v>
      </c>
      <c r="EG123" s="542">
        <f ca="1" t="shared" si="99"/>
        <v>4593.91812114235</v>
      </c>
      <c r="EH123" s="542">
        <f ca="1" t="shared" si="99"/>
        <v>4610.37966107644</v>
      </c>
      <c r="EI123" s="542">
        <f ca="1" t="shared" si="99"/>
        <v>4626.9001881953</v>
      </c>
      <c r="EJ123" s="542">
        <f ca="1" t="shared" si="99"/>
        <v>4643.47991386967</v>
      </c>
      <c r="EK123" s="542">
        <f ca="1" t="shared" si="99"/>
        <v>4660.11905022769</v>
      </c>
      <c r="EL123" s="542">
        <f ca="1" t="shared" si="99"/>
        <v>4676.81781015768</v>
      </c>
      <c r="EM123" s="542">
        <f ca="1" t="shared" si="99"/>
        <v>4693.57640731074</v>
      </c>
      <c r="EN123" s="542">
        <f ca="1" t="shared" si="99"/>
        <v>4710.3950561036</v>
      </c>
      <c r="EO123" s="542">
        <f ca="1" t="shared" si="99"/>
        <v>4727.2739717213</v>
      </c>
      <c r="EP123" s="542">
        <f ca="1" t="shared" si="99"/>
        <v>4744.21337011997</v>
      </c>
      <c r="EQ123" s="542">
        <f ca="1" t="shared" si="99"/>
        <v>4761.21346802956</v>
      </c>
      <c r="ER123" s="542">
        <f ca="1" t="shared" si="99"/>
        <v>4778.27448295666</v>
      </c>
      <c r="ES123" s="542">
        <f ca="1" t="shared" si="99"/>
        <v>4795.39663318726</v>
      </c>
      <c r="ET123" s="542">
        <f ca="1" t="shared" si="99"/>
        <v>4812.58013778951</v>
      </c>
      <c r="EU123" s="542">
        <f ca="1" t="shared" si="99"/>
        <v>4829.82521661659</v>
      </c>
      <c r="EV123" s="542">
        <f ca="1" t="shared" si="99"/>
        <v>4847.13209030946</v>
      </c>
      <c r="EW123" s="542">
        <f ca="1" t="shared" si="99"/>
        <v>4864.50098029973</v>
      </c>
      <c r="EX123" s="542">
        <f ca="1" t="shared" si="99"/>
        <v>4881.93210881247</v>
      </c>
      <c r="EY123" s="542">
        <f ca="1" t="shared" si="99"/>
        <v>4899.42569886905</v>
      </c>
      <c r="EZ123" s="542">
        <f ca="1" t="shared" si="99"/>
        <v>4916.98197429</v>
      </c>
      <c r="FA123" s="542">
        <f ca="1" t="shared" si="99"/>
        <v>4934.60115969787</v>
      </c>
      <c r="FB123" s="542">
        <f ca="1" t="shared" si="99"/>
        <v>4952.28348052011</v>
      </c>
      <c r="FC123" s="542">
        <f ca="1" t="shared" si="99"/>
        <v>4970.02916299197</v>
      </c>
      <c r="FD123" s="542">
        <f ca="1" t="shared" si="99"/>
        <v>4987.83843415936</v>
      </c>
      <c r="FE123" s="542">
        <f ca="1" t="shared" si="99"/>
        <v>5005.71152188176</v>
      </c>
      <c r="FF123" s="542">
        <f ca="1" t="shared" si="99"/>
        <v>5023.64865483516</v>
      </c>
      <c r="FG123" s="542">
        <f ca="1" t="shared" si="99"/>
        <v>5041.65006251499</v>
      </c>
      <c r="FH123" s="542">
        <f ca="1" t="shared" si="99"/>
        <v>5059.715975239</v>
      </c>
      <c r="FI123" s="542">
        <f ca="1" t="shared" si="99"/>
        <v>5077.84662415027</v>
      </c>
      <c r="FJ123" s="542">
        <f ca="1" t="shared" si="99"/>
        <v>5096.04224122014</v>
      </c>
      <c r="FK123" s="542">
        <f ca="1" t="shared" si="99"/>
        <v>5114.30305925117</v>
      </c>
      <c r="FL123" s="542">
        <f ca="1" t="shared" ref="FL123:GC123" si="100">FL122-FL124</f>
        <v>5132.62931188015</v>
      </c>
      <c r="FM123" s="542">
        <f ca="1" t="shared" si="100"/>
        <v>5151.02123358104</v>
      </c>
      <c r="FN123" s="542">
        <f ca="1" t="shared" si="100"/>
        <v>5169.47905966803</v>
      </c>
      <c r="FO123" s="542">
        <f ca="1" t="shared" si="100"/>
        <v>5188.00302629852</v>
      </c>
      <c r="FP123" s="542">
        <f ca="1" t="shared" si="100"/>
        <v>5206.59337047607</v>
      </c>
      <c r="FQ123" s="542">
        <f ca="1" t="shared" si="100"/>
        <v>5225.2503300536</v>
      </c>
      <c r="FR123" s="542">
        <f ca="1" t="shared" si="100"/>
        <v>5243.97414373629</v>
      </c>
      <c r="FS123" s="542">
        <f ca="1" t="shared" si="100"/>
        <v>5262.76505108467</v>
      </c>
      <c r="FT123" s="542">
        <f ca="1" t="shared" si="100"/>
        <v>5281.62329251771</v>
      </c>
      <c r="FU123" s="542">
        <f ca="1" t="shared" si="100"/>
        <v>5300.5491093159</v>
      </c>
      <c r="FV123" s="542">
        <f ca="1" t="shared" si="100"/>
        <v>5319.54274362427</v>
      </c>
      <c r="FW123" s="542">
        <f ca="1" t="shared" si="100"/>
        <v>5338.60443845556</v>
      </c>
      <c r="FX123" s="542">
        <f ca="1" t="shared" si="100"/>
        <v>5357.73443769332</v>
      </c>
      <c r="FY123" s="542">
        <f ca="1" t="shared" si="100"/>
        <v>5376.93298609507</v>
      </c>
      <c r="FZ123" s="542">
        <f ca="1" t="shared" si="100"/>
        <v>5396.20032929524</v>
      </c>
      <c r="GA123" s="542">
        <f ca="1" t="shared" si="100"/>
        <v>5415.53671380846</v>
      </c>
      <c r="GB123" s="542">
        <f ca="1" t="shared" si="100"/>
        <v>5434.94238703301</v>
      </c>
      <c r="GC123" s="543">
        <f ca="1" t="shared" si="100"/>
        <v>5454.41759725301</v>
      </c>
    </row>
    <row r="124" spans="2:185">
      <c r="B124" s="556"/>
      <c r="C124" s="541"/>
      <c r="D124" s="33" t="s">
        <v>539</v>
      </c>
      <c r="E124" s="542">
        <f ca="1" t="shared" si="94"/>
        <v>260104.003687359</v>
      </c>
      <c r="F124" s="542">
        <f ca="1">(F120+F121/2)*$D$114</f>
        <v>2598.66652635376</v>
      </c>
      <c r="G124" s="542">
        <f ca="1">(G120+G121/2)*$D$114</f>
        <v>2588.36338211264</v>
      </c>
      <c r="H124" s="542">
        <f ca="1" t="shared" ref="H124:AM124" si="101">(H120+H121/2)*$D$114</f>
        <v>2578.02331827132</v>
      </c>
      <c r="I124" s="542">
        <f ca="1" t="shared" si="101"/>
        <v>2567.64620253457</v>
      </c>
      <c r="J124" s="542">
        <f ca="1" t="shared" si="101"/>
        <v>2557.23190213309</v>
      </c>
      <c r="K124" s="542">
        <f ca="1" t="shared" si="101"/>
        <v>2546.78028382185</v>
      </c>
      <c r="L124" s="542">
        <f ca="1" t="shared" si="101"/>
        <v>2536.29121387832</v>
      </c>
      <c r="M124" s="542">
        <f ca="1" t="shared" si="101"/>
        <v>2525.76455810083</v>
      </c>
      <c r="N124" s="542">
        <f ca="1" t="shared" si="101"/>
        <v>2515.2001818068</v>
      </c>
      <c r="O124" s="542">
        <f ca="1" t="shared" si="101"/>
        <v>2504.59794983105</v>
      </c>
      <c r="P124" s="542">
        <f ca="1" t="shared" si="101"/>
        <v>2493.95772652405</v>
      </c>
      <c r="Q124" s="542">
        <f ca="1" t="shared" si="101"/>
        <v>2483.27937575021</v>
      </c>
      <c r="R124" s="542">
        <f ca="1" t="shared" si="101"/>
        <v>2472.56276088609</v>
      </c>
      <c r="S124" s="542">
        <f ca="1" t="shared" si="101"/>
        <v>2461.80774481871</v>
      </c>
      <c r="T124" s="542">
        <f ca="1" t="shared" si="101"/>
        <v>2451.01418994375</v>
      </c>
      <c r="U124" s="542">
        <f ca="1" t="shared" si="101"/>
        <v>2440.18195816383</v>
      </c>
      <c r="V124" s="542">
        <f ca="1" t="shared" si="101"/>
        <v>2429.31091088669</v>
      </c>
      <c r="W124" s="542">
        <f ca="1" t="shared" si="101"/>
        <v>2418.40090902348</v>
      </c>
      <c r="X124" s="542">
        <f ca="1" t="shared" si="101"/>
        <v>2407.45181298692</v>
      </c>
      <c r="Y124" s="542">
        <f ca="1" t="shared" si="101"/>
        <v>2396.46348268957</v>
      </c>
      <c r="Z124" s="542">
        <f ca="1" t="shared" si="101"/>
        <v>2385.43577754199</v>
      </c>
      <c r="AA124" s="542">
        <f ca="1" t="shared" si="101"/>
        <v>2374.36855645095</v>
      </c>
      <c r="AB124" s="542">
        <f ca="1" t="shared" si="101"/>
        <v>2363.26167781768</v>
      </c>
      <c r="AC124" s="542">
        <f ca="1" t="shared" si="101"/>
        <v>2352.11499953597</v>
      </c>
      <c r="AD124" s="542">
        <f ca="1" t="shared" si="101"/>
        <v>2340.92837899042</v>
      </c>
      <c r="AE124" s="542">
        <f ca="1" t="shared" si="101"/>
        <v>2329.70167305458</v>
      </c>
      <c r="AF124" s="542">
        <f ca="1" t="shared" si="101"/>
        <v>2318.43473808913</v>
      </c>
      <c r="AG124" s="542">
        <f ca="1" t="shared" si="101"/>
        <v>2307.12742994006</v>
      </c>
      <c r="AH124" s="542">
        <f ca="1" t="shared" si="101"/>
        <v>2295.77960393679</v>
      </c>
      <c r="AI124" s="542">
        <f ca="1" t="shared" si="101"/>
        <v>2284.39111489034</v>
      </c>
      <c r="AJ124" s="542">
        <f ca="1" t="shared" si="101"/>
        <v>2272.96181709148</v>
      </c>
      <c r="AK124" s="542">
        <f ca="1" t="shared" si="101"/>
        <v>2261.49156430883</v>
      </c>
      <c r="AL124" s="542">
        <f ca="1" t="shared" si="101"/>
        <v>2249.98020978705</v>
      </c>
      <c r="AM124" s="542">
        <f ca="1" t="shared" si="101"/>
        <v>2238.42760624489</v>
      </c>
      <c r="AN124" s="542">
        <f ca="1" t="shared" ref="AN124:BS124" si="102">(AN120+AN121/2)*$D$114</f>
        <v>2226.83360587338</v>
      </c>
      <c r="AO124" s="542">
        <f ca="1" t="shared" si="102"/>
        <v>2215.19806033387</v>
      </c>
      <c r="AP124" s="542">
        <f ca="1" t="shared" si="102"/>
        <v>2203.52082075618</v>
      </c>
      <c r="AQ124" s="542">
        <f ca="1" t="shared" si="102"/>
        <v>2191.80173773666</v>
      </c>
      <c r="AR124" s="542">
        <f ca="1" t="shared" si="102"/>
        <v>2180.04066133633</v>
      </c>
      <c r="AS124" s="542">
        <f ca="1" t="shared" si="102"/>
        <v>2168.2374410789</v>
      </c>
      <c r="AT124" s="542">
        <f ca="1" t="shared" si="102"/>
        <v>2156.39192594887</v>
      </c>
      <c r="AU124" s="542">
        <f ca="1" t="shared" si="102"/>
        <v>2144.50396438963</v>
      </c>
      <c r="AV124" s="542">
        <f ca="1" t="shared" si="102"/>
        <v>2132.57340430147</v>
      </c>
      <c r="AW124" s="542">
        <f ca="1" t="shared" si="102"/>
        <v>2120.60009303966</v>
      </c>
      <c r="AX124" s="542">
        <f ca="1" t="shared" si="102"/>
        <v>2108.5838774125</v>
      </c>
      <c r="AY124" s="542">
        <f ca="1" t="shared" si="102"/>
        <v>2096.52460367934</v>
      </c>
      <c r="AZ124" s="542">
        <f ca="1" t="shared" si="102"/>
        <v>2084.42211754863</v>
      </c>
      <c r="BA124" s="542">
        <f ca="1" t="shared" si="102"/>
        <v>2072.27626417596</v>
      </c>
      <c r="BB124" s="542">
        <f ca="1" t="shared" si="102"/>
        <v>2060.08688816203</v>
      </c>
      <c r="BC124" s="542">
        <f ca="1" t="shared" si="102"/>
        <v>2047.85383355072</v>
      </c>
      <c r="BD124" s="542">
        <f ca="1" t="shared" si="102"/>
        <v>2035.57694382706</v>
      </c>
      <c r="BE124" s="542">
        <f ca="1" t="shared" si="102"/>
        <v>2023.25606191521</v>
      </c>
      <c r="BF124" s="542">
        <f ca="1" t="shared" si="102"/>
        <v>2010.89103017652</v>
      </c>
      <c r="BG124" s="542">
        <f ca="1" t="shared" si="102"/>
        <v>1998.48169040743</v>
      </c>
      <c r="BH124" s="542">
        <f ca="1" t="shared" si="102"/>
        <v>1986.0278838375</v>
      </c>
      <c r="BI124" s="542">
        <f ca="1" t="shared" si="102"/>
        <v>1973.52945112736</v>
      </c>
      <c r="BJ124" s="542">
        <f ca="1" t="shared" si="102"/>
        <v>1960.98623236668</v>
      </c>
      <c r="BK124" s="542">
        <f ca="1" t="shared" si="102"/>
        <v>1948.3980670721</v>
      </c>
      <c r="BL124" s="542">
        <f ca="1" t="shared" si="102"/>
        <v>1935.76479418522</v>
      </c>
      <c r="BM124" s="542">
        <f ca="1" t="shared" si="102"/>
        <v>1923.08625207049</v>
      </c>
      <c r="BN124" s="542">
        <f ca="1" t="shared" si="102"/>
        <v>1910.36227851319</v>
      </c>
      <c r="BO124" s="542">
        <f ca="1" t="shared" si="102"/>
        <v>1897.59271071731</v>
      </c>
      <c r="BP124" s="542">
        <f ca="1" t="shared" si="102"/>
        <v>1884.77738530349</v>
      </c>
      <c r="BQ124" s="542">
        <f ca="1" t="shared" si="102"/>
        <v>1871.91613830693</v>
      </c>
      <c r="BR124" s="542">
        <f ca="1" t="shared" si="102"/>
        <v>1859.00880517531</v>
      </c>
      <c r="BS124" s="542">
        <f ca="1" t="shared" si="102"/>
        <v>1846.05522076663</v>
      </c>
      <c r="BT124" s="542">
        <f ca="1" t="shared" ref="BT124:CY124" si="103">(BT120+BT121/2)*$D$114</f>
        <v>1833.05521934716</v>
      </c>
      <c r="BU124" s="542">
        <f ca="1" t="shared" si="103"/>
        <v>1820.00863458926</v>
      </c>
      <c r="BV124" s="542">
        <f ca="1" t="shared" si="103"/>
        <v>1806.91529956932</v>
      </c>
      <c r="BW124" s="542">
        <f ca="1" t="shared" si="103"/>
        <v>1793.77504676555</v>
      </c>
      <c r="BX124" s="542">
        <f ca="1" t="shared" si="103"/>
        <v>1780.5877080559</v>
      </c>
      <c r="BY124" s="542">
        <f ca="1" t="shared" si="103"/>
        <v>1767.35311471588</v>
      </c>
      <c r="BZ124" s="542">
        <f ca="1" t="shared" si="103"/>
        <v>1754.07109741639</v>
      </c>
      <c r="CA124" s="542">
        <f ca="1" t="shared" si="103"/>
        <v>1740.74148622157</v>
      </c>
      <c r="CB124" s="542">
        <f ca="1" t="shared" si="103"/>
        <v>1727.36411058664</v>
      </c>
      <c r="CC124" s="542">
        <f ca="1" t="shared" si="103"/>
        <v>1713.93879935569</v>
      </c>
      <c r="CD124" s="542">
        <f ca="1" t="shared" si="103"/>
        <v>1700.46538075949</v>
      </c>
      <c r="CE124" s="542">
        <f ca="1" t="shared" si="103"/>
        <v>1686.94368241332</v>
      </c>
      <c r="CF124" s="542">
        <f ca="1" t="shared" si="103"/>
        <v>1673.37353131475</v>
      </c>
      <c r="CG124" s="542">
        <f ca="1" t="shared" si="103"/>
        <v>1659.7547538414</v>
      </c>
      <c r="CH124" s="542">
        <f ca="1" t="shared" si="103"/>
        <v>1646.08717574878</v>
      </c>
      <c r="CI124" s="542">
        <f ca="1" t="shared" si="103"/>
        <v>1632.37062216799</v>
      </c>
      <c r="CJ124" s="542">
        <f ca="1" t="shared" si="103"/>
        <v>1618.60491760353</v>
      </c>
      <c r="CK124" s="542">
        <f ca="1" t="shared" si="103"/>
        <v>1604.78988593106</v>
      </c>
      <c r="CL124" s="542">
        <f ca="1" t="shared" si="103"/>
        <v>1590.92535039509</v>
      </c>
      <c r="CM124" s="542">
        <f ca="1" t="shared" si="103"/>
        <v>1577.01113360678</v>
      </c>
      <c r="CN124" s="542">
        <f ca="1" t="shared" si="103"/>
        <v>1563.04705754165</v>
      </c>
      <c r="CO124" s="542">
        <f ca="1" t="shared" si="103"/>
        <v>1549.03294353728</v>
      </c>
      <c r="CP124" s="542">
        <f ca="1" t="shared" si="103"/>
        <v>1534.96861229107</v>
      </c>
      <c r="CQ124" s="542">
        <f ca="1" t="shared" si="103"/>
        <v>1520.85388385789</v>
      </c>
      <c r="CR124" s="542">
        <f ca="1" t="shared" si="103"/>
        <v>1506.68857764782</v>
      </c>
      <c r="CS124" s="542">
        <f ca="1" t="shared" si="103"/>
        <v>1492.47251242384</v>
      </c>
      <c r="CT124" s="542">
        <f ca="1" t="shared" si="103"/>
        <v>1478.20550629947</v>
      </c>
      <c r="CU124" s="542">
        <f ca="1" t="shared" si="103"/>
        <v>1463.88737673648</v>
      </c>
      <c r="CV124" s="542">
        <f ca="1" t="shared" si="103"/>
        <v>1449.51794054256</v>
      </c>
      <c r="CW124" s="542">
        <f ca="1" t="shared" si="103"/>
        <v>1435.09701386895</v>
      </c>
      <c r="CX124" s="542">
        <f ca="1" t="shared" si="103"/>
        <v>1420.62441220809</v>
      </c>
      <c r="CY124" s="542">
        <f ca="1" t="shared" si="103"/>
        <v>1406.09995039128</v>
      </c>
      <c r="CZ124" s="542">
        <f ca="1" t="shared" ref="CZ124:EE124" si="104">(CZ120+CZ121/2)*$D$114</f>
        <v>1391.5234425863</v>
      </c>
      <c r="DA124" s="542">
        <f ca="1" t="shared" si="104"/>
        <v>1376.89470229501</v>
      </c>
      <c r="DB124" s="542">
        <f ca="1" t="shared" si="104"/>
        <v>1362.21354235101</v>
      </c>
      <c r="DC124" s="542">
        <f ca="1" t="shared" si="104"/>
        <v>1347.47977491721</v>
      </c>
      <c r="DD124" s="542">
        <f ca="1" t="shared" si="104"/>
        <v>1332.69321148344</v>
      </c>
      <c r="DE124" s="542">
        <f ca="1" t="shared" si="104"/>
        <v>1317.85366286403</v>
      </c>
      <c r="DF124" s="542">
        <f ca="1" t="shared" si="104"/>
        <v>1302.9609391954</v>
      </c>
      <c r="DG124" s="542">
        <f ca="1" t="shared" si="104"/>
        <v>1288.01484993363</v>
      </c>
      <c r="DH124" s="542">
        <f ca="1" t="shared" si="104"/>
        <v>1273.015203852</v>
      </c>
      <c r="DI124" s="542">
        <f ca="1" t="shared" si="104"/>
        <v>1257.96180903858</v>
      </c>
      <c r="DJ124" s="542">
        <f ca="1" t="shared" si="104"/>
        <v>1242.85447289375</v>
      </c>
      <c r="DK124" s="542">
        <f ca="1" t="shared" si="104"/>
        <v>1227.69300212773</v>
      </c>
      <c r="DL124" s="542">
        <f ca="1" t="shared" si="104"/>
        <v>1212.47720275813</v>
      </c>
      <c r="DM124" s="542">
        <f ca="1" t="shared" si="104"/>
        <v>1197.20688010746</v>
      </c>
      <c r="DN124" s="542">
        <f ca="1" t="shared" si="104"/>
        <v>1181.88183880062</v>
      </c>
      <c r="DO124" s="542">
        <f ca="1" t="shared" si="104"/>
        <v>1166.50188276243</v>
      </c>
      <c r="DP124" s="542">
        <f ca="1" t="shared" si="104"/>
        <v>1151.06681521511</v>
      </c>
      <c r="DQ124" s="542">
        <f ca="1" t="shared" si="104"/>
        <v>1135.57643867574</v>
      </c>
      <c r="DR124" s="542">
        <f ca="1" t="shared" si="104"/>
        <v>1120.03055495377</v>
      </c>
      <c r="DS124" s="542">
        <f ca="1" t="shared" si="104"/>
        <v>1104.42896514847</v>
      </c>
      <c r="DT124" s="542">
        <f ca="1" t="shared" si="104"/>
        <v>1088.77146964636</v>
      </c>
      <c r="DU124" s="542">
        <f ca="1" t="shared" si="104"/>
        <v>1073.0578681187</v>
      </c>
      <c r="DV124" s="542">
        <f ca="1" t="shared" si="104"/>
        <v>1057.2879595189</v>
      </c>
      <c r="DW124" s="542">
        <f ca="1" t="shared" si="104"/>
        <v>1041.46154207996</v>
      </c>
      <c r="DX124" s="542">
        <f ca="1" t="shared" si="104"/>
        <v>1025.57841331185</v>
      </c>
      <c r="DY124" s="542">
        <f ca="1" t="shared" si="104"/>
        <v>1009.638369999</v>
      </c>
      <c r="DZ124" s="542">
        <f ca="1" t="shared" si="104"/>
        <v>993.641208197605</v>
      </c>
      <c r="EA124" s="542">
        <f ca="1" t="shared" si="104"/>
        <v>977.58672323309</v>
      </c>
      <c r="EB124" s="542">
        <f ca="1" t="shared" si="104"/>
        <v>961.474709697453</v>
      </c>
      <c r="EC124" s="542">
        <f ca="1" t="shared" si="104"/>
        <v>945.304961446646</v>
      </c>
      <c r="ED124" s="542">
        <f ca="1" t="shared" si="104"/>
        <v>929.07727159794</v>
      </c>
      <c r="EE124" s="542">
        <f ca="1" t="shared" si="104"/>
        <v>912.791432527277</v>
      </c>
      <c r="EF124" s="542">
        <f ca="1" t="shared" ref="EF124:FK124" si="105">(EF120+EF121/2)*$D$114</f>
        <v>896.447235866609</v>
      </c>
      <c r="EG124" s="542">
        <f ca="1" t="shared" si="105"/>
        <v>880.044472501242</v>
      </c>
      <c r="EH124" s="542">
        <f ca="1" t="shared" si="105"/>
        <v>863.582932567149</v>
      </c>
      <c r="EI124" s="542">
        <f ca="1" t="shared" si="105"/>
        <v>847.062405448291</v>
      </c>
      <c r="EJ124" s="542">
        <f ca="1" t="shared" si="105"/>
        <v>830.482679773925</v>
      </c>
      <c r="EK124" s="542">
        <f ca="1" t="shared" si="105"/>
        <v>813.843543415892</v>
      </c>
      <c r="EL124" s="542">
        <f ca="1" t="shared" si="105"/>
        <v>797.144783485909</v>
      </c>
      <c r="EM124" s="542">
        <f ca="1" t="shared" si="105"/>
        <v>780.386186332845</v>
      </c>
      <c r="EN124" s="542">
        <f ca="1" t="shared" si="105"/>
        <v>763.567537539981</v>
      </c>
      <c r="EO124" s="542">
        <f ca="1" t="shared" si="105"/>
        <v>746.688621922276</v>
      </c>
      <c r="EP124" s="542">
        <f ca="1" t="shared" si="105"/>
        <v>729.749223523609</v>
      </c>
      <c r="EQ124" s="542">
        <f ca="1" t="shared" si="105"/>
        <v>712.749125614012</v>
      </c>
      <c r="ER124" s="542">
        <f ca="1" t="shared" si="105"/>
        <v>695.688110686906</v>
      </c>
      <c r="ES124" s="542">
        <f ca="1" t="shared" si="105"/>
        <v>678.565960456311</v>
      </c>
      <c r="ET124" s="542">
        <f ca="1" t="shared" si="105"/>
        <v>661.382455854057</v>
      </c>
      <c r="EU124" s="542">
        <f ca="1" t="shared" si="105"/>
        <v>644.137377026978</v>
      </c>
      <c r="EV124" s="542">
        <f ca="1" t="shared" si="105"/>
        <v>626.830503334102</v>
      </c>
      <c r="EW124" s="542">
        <f ca="1" t="shared" si="105"/>
        <v>609.461613343826</v>
      </c>
      <c r="EX124" s="542">
        <f ca="1" t="shared" si="105"/>
        <v>592.030484831086</v>
      </c>
      <c r="EY124" s="542">
        <f ca="1" t="shared" si="105"/>
        <v>574.536894774508</v>
      </c>
      <c r="EZ124" s="542">
        <f ca="1" t="shared" si="105"/>
        <v>556.98061935356</v>
      </c>
      <c r="FA124" s="542">
        <f ca="1" t="shared" si="105"/>
        <v>539.361433945688</v>
      </c>
      <c r="FB124" s="542">
        <f ca="1" t="shared" si="105"/>
        <v>521.679113123437</v>
      </c>
      <c r="FC124" s="542">
        <f ca="1" t="shared" si="105"/>
        <v>503.933430651573</v>
      </c>
      <c r="FD124" s="542">
        <f ca="1" t="shared" si="105"/>
        <v>486.124159484186</v>
      </c>
      <c r="FE124" s="542">
        <f ca="1" t="shared" si="105"/>
        <v>468.251071761781</v>
      </c>
      <c r="FF124" s="542">
        <f ca="1" t="shared" si="105"/>
        <v>450.313938808372</v>
      </c>
      <c r="FG124" s="542">
        <f ca="1" t="shared" si="105"/>
        <v>432.312531128546</v>
      </c>
      <c r="FH124" s="542">
        <f ca="1" t="shared" si="105"/>
        <v>414.246618404534</v>
      </c>
      <c r="FI124" s="542">
        <f ca="1" t="shared" si="105"/>
        <v>396.115969493261</v>
      </c>
      <c r="FJ124" s="542">
        <f ca="1" t="shared" si="105"/>
        <v>377.920352423389</v>
      </c>
      <c r="FK124" s="542">
        <f ca="1" t="shared" si="105"/>
        <v>359.65953439235</v>
      </c>
      <c r="FL124" s="542">
        <f ca="1" t="shared" ref="FL124:GC124" si="106">(FL120+FL121/2)*$D$114</f>
        <v>341.333281763367</v>
      </c>
      <c r="FM124" s="542">
        <f ca="1" t="shared" si="106"/>
        <v>322.941360062463</v>
      </c>
      <c r="FN124" s="542">
        <f ca="1" t="shared" si="106"/>
        <v>304.483533975464</v>
      </c>
      <c r="FO124" s="542">
        <f ca="1" t="shared" si="106"/>
        <v>285.959567344987</v>
      </c>
      <c r="FP124" s="542">
        <f ca="1" t="shared" si="106"/>
        <v>267.369223167417</v>
      </c>
      <c r="FQ124" s="542">
        <f ca="1" t="shared" si="106"/>
        <v>248.712263589878</v>
      </c>
      <c r="FR124" s="542">
        <f ca="1" t="shared" si="106"/>
        <v>229.988449907186</v>
      </c>
      <c r="FS124" s="542">
        <f ca="1" t="shared" si="106"/>
        <v>211.197542558798</v>
      </c>
      <c r="FT124" s="542">
        <f ca="1" t="shared" si="106"/>
        <v>192.339301125744</v>
      </c>
      <c r="FU124" s="542">
        <f ca="1" t="shared" si="106"/>
        <v>173.413484327556</v>
      </c>
      <c r="FV124" s="542">
        <f ca="1" t="shared" si="106"/>
        <v>154.419850019174</v>
      </c>
      <c r="FW124" s="542">
        <f ca="1" t="shared" si="106"/>
        <v>135.358155187854</v>
      </c>
      <c r="FX124" s="542">
        <f ca="1" t="shared" si="106"/>
        <v>116.228155950054</v>
      </c>
      <c r="FY124" s="542">
        <f ca="1" t="shared" si="106"/>
        <v>97.0296075483201</v>
      </c>
      <c r="FZ124" s="542">
        <f ca="1" t="shared" si="106"/>
        <v>77.7622643481461</v>
      </c>
      <c r="GA124" s="542">
        <f ca="1" t="shared" si="106"/>
        <v>58.4258798348382</v>
      </c>
      <c r="GB124" s="542">
        <f ca="1" t="shared" si="106"/>
        <v>39.0202066103579</v>
      </c>
      <c r="GC124" s="543">
        <f ca="1" t="shared" si="106"/>
        <v>19.5449963901563</v>
      </c>
    </row>
    <row r="125" ht="17.25" spans="2:185">
      <c r="B125" s="556"/>
      <c r="C125" s="545"/>
      <c r="D125" s="163" t="s">
        <v>540</v>
      </c>
      <c r="E125" s="546">
        <f ca="1">GC125</f>
        <v>-8.9130480773747e-11</v>
      </c>
      <c r="F125" s="546">
        <f ca="1">F120+F121-F123</f>
        <v>722333.967101202</v>
      </c>
      <c r="G125" s="546">
        <f ca="1">G120+G121-G123</f>
        <v>719448.367889671</v>
      </c>
      <c r="H125" s="546">
        <f ca="1" t="shared" ref="H125:AM125" si="107">H120+H121-H123</f>
        <v>716552.428614299</v>
      </c>
      <c r="I125" s="546">
        <f ca="1" t="shared" si="107"/>
        <v>713646.11222319</v>
      </c>
      <c r="J125" s="546">
        <f ca="1" t="shared" si="107"/>
        <v>710729.381531679</v>
      </c>
      <c r="K125" s="546">
        <f ca="1" t="shared" si="107"/>
        <v>707802.199221857</v>
      </c>
      <c r="L125" s="546">
        <f ca="1" t="shared" si="107"/>
        <v>704864.527842092</v>
      </c>
      <c r="M125" s="546">
        <f ca="1" t="shared" si="107"/>
        <v>701916.329806549</v>
      </c>
      <c r="N125" s="546">
        <f ca="1" t="shared" si="107"/>
        <v>698957.567394712</v>
      </c>
      <c r="O125" s="546">
        <f ca="1" t="shared" si="107"/>
        <v>695988.2027509</v>
      </c>
      <c r="P125" s="546">
        <f ca="1" t="shared" si="107"/>
        <v>693008.19788378</v>
      </c>
      <c r="Q125" s="546">
        <f ca="1" t="shared" si="107"/>
        <v>690017.514665887</v>
      </c>
      <c r="R125" s="546">
        <f ca="1" t="shared" si="107"/>
        <v>687016.114833129</v>
      </c>
      <c r="S125" s="546">
        <f ca="1" t="shared" si="107"/>
        <v>684003.959984304</v>
      </c>
      <c r="T125" s="546">
        <f ca="1" t="shared" si="107"/>
        <v>680981.011580604</v>
      </c>
      <c r="U125" s="546">
        <f ca="1" t="shared" si="107"/>
        <v>677947.230945124</v>
      </c>
      <c r="V125" s="546">
        <f ca="1" t="shared" si="107"/>
        <v>674902.579262367</v>
      </c>
      <c r="W125" s="546">
        <f ca="1" t="shared" si="107"/>
        <v>671847.017577747</v>
      </c>
      <c r="X125" s="546">
        <f ca="1" t="shared" si="107"/>
        <v>668780.50679709</v>
      </c>
      <c r="Y125" s="546">
        <f ca="1" t="shared" si="107"/>
        <v>665703.007686136</v>
      </c>
      <c r="Z125" s="546">
        <f ca="1" t="shared" si="107"/>
        <v>662614.480870035</v>
      </c>
      <c r="AA125" s="546">
        <f ca="1" t="shared" si="107"/>
        <v>659514.886832842</v>
      </c>
      <c r="AB125" s="546">
        <f ca="1" t="shared" si="107"/>
        <v>656404.185917016</v>
      </c>
      <c r="AC125" s="546">
        <f ca="1" t="shared" si="107"/>
        <v>653282.338322908</v>
      </c>
      <c r="AD125" s="546">
        <f ca="1" t="shared" si="107"/>
        <v>650149.304108255</v>
      </c>
      <c r="AE125" s="546">
        <f ca="1" t="shared" si="107"/>
        <v>647005.043187666</v>
      </c>
      <c r="AF125" s="546">
        <f ca="1" t="shared" si="107"/>
        <v>643849.515332111</v>
      </c>
      <c r="AG125" s="546">
        <f ca="1" t="shared" si="107"/>
        <v>640682.680168407</v>
      </c>
      <c r="AH125" s="546">
        <f ca="1" t="shared" si="107"/>
        <v>637504.497178701</v>
      </c>
      <c r="AI125" s="546">
        <f ca="1" t="shared" si="107"/>
        <v>634314.925699947</v>
      </c>
      <c r="AJ125" s="546">
        <f ca="1" t="shared" si="107"/>
        <v>631113.924923395</v>
      </c>
      <c r="AK125" s="546">
        <f ca="1" t="shared" si="107"/>
        <v>627901.45389406</v>
      </c>
      <c r="AL125" s="546">
        <f ca="1" t="shared" si="107"/>
        <v>624677.471510203</v>
      </c>
      <c r="AM125" s="546">
        <f ca="1" t="shared" si="107"/>
        <v>621441.936522805</v>
      </c>
      <c r="AN125" s="546">
        <f ca="1" t="shared" ref="AN125:BS125" si="108">AN120+AN121-AN123</f>
        <v>618194.807535034</v>
      </c>
      <c r="AO125" s="546">
        <f ca="1" t="shared" si="108"/>
        <v>614936.043001725</v>
      </c>
      <c r="AP125" s="546">
        <f ca="1" t="shared" si="108"/>
        <v>611665.601228837</v>
      </c>
      <c r="AQ125" s="546">
        <f ca="1" t="shared" si="108"/>
        <v>608383.44037293</v>
      </c>
      <c r="AR125" s="546">
        <f ca="1" t="shared" si="108"/>
        <v>605089.518440623</v>
      </c>
      <c r="AS125" s="546">
        <f ca="1" t="shared" si="108"/>
        <v>601783.793288058</v>
      </c>
      <c r="AT125" s="546">
        <f ca="1" t="shared" si="108"/>
        <v>598466.222620363</v>
      </c>
      <c r="AU125" s="546">
        <f ca="1" t="shared" si="108"/>
        <v>595136.763991109</v>
      </c>
      <c r="AV125" s="546">
        <f ca="1" t="shared" si="108"/>
        <v>591795.374801767</v>
      </c>
      <c r="AW125" s="546">
        <f ca="1" t="shared" si="108"/>
        <v>588442.012301163</v>
      </c>
      <c r="AX125" s="546">
        <f ca="1" t="shared" si="108"/>
        <v>585076.633584932</v>
      </c>
      <c r="AY125" s="546">
        <f ca="1" t="shared" si="108"/>
        <v>581699.195594967</v>
      </c>
      <c r="AZ125" s="546">
        <f ca="1" t="shared" si="108"/>
        <v>578309.655118872</v>
      </c>
      <c r="BA125" s="546">
        <f ca="1" t="shared" si="108"/>
        <v>574907.968789405</v>
      </c>
      <c r="BB125" s="546">
        <f ca="1" t="shared" si="108"/>
        <v>571494.093083923</v>
      </c>
      <c r="BC125" s="546">
        <f ca="1" t="shared" si="108"/>
        <v>568067.98432383</v>
      </c>
      <c r="BD125" s="546">
        <f ca="1" t="shared" si="108"/>
        <v>564629.598674013</v>
      </c>
      <c r="BE125" s="546">
        <f ca="1" t="shared" si="108"/>
        <v>561178.892142285</v>
      </c>
      <c r="BF125" s="546">
        <f ca="1" t="shared" si="108"/>
        <v>557715.820578818</v>
      </c>
      <c r="BG125" s="546">
        <f ca="1" t="shared" si="108"/>
        <v>554240.339675582</v>
      </c>
      <c r="BH125" s="546">
        <f ca="1" t="shared" si="108"/>
        <v>550752.404965775</v>
      </c>
      <c r="BI125" s="546">
        <f ca="1" t="shared" si="108"/>
        <v>547251.971823259</v>
      </c>
      <c r="BJ125" s="546">
        <f ca="1" t="shared" si="108"/>
        <v>543738.995461982</v>
      </c>
      <c r="BK125" s="546">
        <f ca="1" t="shared" si="108"/>
        <v>540213.430935411</v>
      </c>
      <c r="BL125" s="546">
        <f ca="1" t="shared" si="108"/>
        <v>536675.233135952</v>
      </c>
      <c r="BM125" s="546">
        <f ca="1" t="shared" si="108"/>
        <v>533124.356794379</v>
      </c>
      <c r="BN125" s="546">
        <f ca="1" t="shared" si="108"/>
        <v>529560.756479249</v>
      </c>
      <c r="BO125" s="546">
        <f ca="1" t="shared" si="108"/>
        <v>525984.386596322</v>
      </c>
      <c r="BP125" s="546">
        <f ca="1" t="shared" si="108"/>
        <v>522395.201387982</v>
      </c>
      <c r="BQ125" s="546">
        <f ca="1" t="shared" si="108"/>
        <v>518793.154932645</v>
      </c>
      <c r="BR125" s="546">
        <f ca="1" t="shared" si="108"/>
        <v>515178.201144177</v>
      </c>
      <c r="BS125" s="546">
        <f ca="1" t="shared" si="108"/>
        <v>511550.2937713</v>
      </c>
      <c r="BT125" s="546">
        <f ca="1" t="shared" ref="BT125:CY125" si="109">BT120+BT121-BT123</f>
        <v>507909.386397003</v>
      </c>
      <c r="BU125" s="546">
        <f ca="1" t="shared" si="109"/>
        <v>504255.432437949</v>
      </c>
      <c r="BV125" s="546">
        <f ca="1" t="shared" si="109"/>
        <v>500588.385143875</v>
      </c>
      <c r="BW125" s="546">
        <f ca="1" t="shared" si="109"/>
        <v>496908.197596996</v>
      </c>
      <c r="BX125" s="546">
        <f ca="1" t="shared" si="109"/>
        <v>493214.822711409</v>
      </c>
      <c r="BY125" s="546">
        <f ca="1" t="shared" si="109"/>
        <v>489508.213232481</v>
      </c>
      <c r="BZ125" s="546">
        <f ca="1" t="shared" si="109"/>
        <v>485788.321736254</v>
      </c>
      <c r="CA125" s="546">
        <f ca="1" t="shared" si="109"/>
        <v>482055.100628832</v>
      </c>
      <c r="CB125" s="546">
        <f ca="1" t="shared" si="109"/>
        <v>478308.502145775</v>
      </c>
      <c r="CC125" s="546">
        <f ca="1" t="shared" si="109"/>
        <v>474548.478351487</v>
      </c>
      <c r="CD125" s="546">
        <f ca="1" t="shared" si="109"/>
        <v>470774.981138602</v>
      </c>
      <c r="CE125" s="546">
        <f ca="1" t="shared" si="109"/>
        <v>466987.962227372</v>
      </c>
      <c r="CF125" s="546">
        <f ca="1" t="shared" si="109"/>
        <v>463187.373165043</v>
      </c>
      <c r="CG125" s="546">
        <f ca="1" t="shared" si="109"/>
        <v>459373.165325241</v>
      </c>
      <c r="CH125" s="546">
        <f ca="1" t="shared" si="109"/>
        <v>455545.289907346</v>
      </c>
      <c r="CI125" s="546">
        <f ca="1" t="shared" si="109"/>
        <v>451703.69793587</v>
      </c>
      <c r="CJ125" s="546">
        <f ca="1" t="shared" si="109"/>
        <v>447848.34025983</v>
      </c>
      <c r="CK125" s="546">
        <f ca="1" t="shared" si="109"/>
        <v>443979.167552118</v>
      </c>
      <c r="CL125" s="546">
        <f ca="1" t="shared" si="109"/>
        <v>440096.130308869</v>
      </c>
      <c r="CM125" s="546">
        <f ca="1" t="shared" si="109"/>
        <v>436199.178848832</v>
      </c>
      <c r="CN125" s="546">
        <f ca="1" t="shared" si="109"/>
        <v>432288.26331273</v>
      </c>
      <c r="CO125" s="546">
        <f ca="1" t="shared" si="109"/>
        <v>428363.333662624</v>
      </c>
      <c r="CP125" s="546">
        <f ca="1" t="shared" si="109"/>
        <v>424424.339681271</v>
      </c>
      <c r="CQ125" s="546">
        <f ca="1" t="shared" si="109"/>
        <v>420471.230971486</v>
      </c>
      <c r="CR125" s="546">
        <f ca="1" t="shared" si="109"/>
        <v>416503.95695549</v>
      </c>
      <c r="CS125" s="546">
        <f ca="1" t="shared" si="109"/>
        <v>412522.46687427</v>
      </c>
      <c r="CT125" s="546">
        <f ca="1" t="shared" si="109"/>
        <v>408526.709786926</v>
      </c>
      <c r="CU125" s="546">
        <f ca="1" t="shared" si="109"/>
        <v>404516.634570019</v>
      </c>
      <c r="CV125" s="546">
        <f ca="1" t="shared" si="109"/>
        <v>400492.189916917</v>
      </c>
      <c r="CW125" s="546">
        <f ca="1" t="shared" si="109"/>
        <v>396453.324337143</v>
      </c>
      <c r="CX125" s="546">
        <f ca="1" t="shared" si="109"/>
        <v>392399.986155707</v>
      </c>
      <c r="CY125" s="546">
        <f ca="1" t="shared" si="109"/>
        <v>388332.123512455</v>
      </c>
      <c r="CZ125" s="546">
        <f ca="1" t="shared" ref="CZ125:EE125" si="110">CZ120+CZ121-CZ123</f>
        <v>384249.684361397</v>
      </c>
      <c r="DA125" s="546">
        <f ca="1" t="shared" si="110"/>
        <v>380152.616470049</v>
      </c>
      <c r="DB125" s="546">
        <f ca="1" t="shared" si="110"/>
        <v>376040.867418756</v>
      </c>
      <c r="DC125" s="546">
        <f ca="1" t="shared" si="110"/>
        <v>371914.38460003</v>
      </c>
      <c r="DD125" s="546">
        <f ca="1" t="shared" si="110"/>
        <v>367773.11521787</v>
      </c>
      <c r="DE125" s="546">
        <f ca="1" t="shared" si="110"/>
        <v>363617.00628709</v>
      </c>
      <c r="DF125" s="546">
        <f ca="1" t="shared" si="110"/>
        <v>359446.004632642</v>
      </c>
      <c r="DG125" s="546">
        <f ca="1" t="shared" si="110"/>
        <v>355260.056888932</v>
      </c>
      <c r="DH125" s="546">
        <f ca="1" t="shared" si="110"/>
        <v>351059.10949914</v>
      </c>
      <c r="DI125" s="546">
        <f ca="1" t="shared" si="110"/>
        <v>346843.108714535</v>
      </c>
      <c r="DJ125" s="546">
        <f ca="1" t="shared" si="110"/>
        <v>342612.000593785</v>
      </c>
      <c r="DK125" s="546">
        <f ca="1" t="shared" si="110"/>
        <v>338365.731002269</v>
      </c>
      <c r="DL125" s="546">
        <f ca="1" t="shared" si="110"/>
        <v>334104.245611384</v>
      </c>
      <c r="DM125" s="546">
        <f ca="1" t="shared" si="110"/>
        <v>329827.489897848</v>
      </c>
      <c r="DN125" s="546">
        <f ca="1" t="shared" si="110"/>
        <v>325535.409143005</v>
      </c>
      <c r="DO125" s="546">
        <f ca="1" t="shared" si="110"/>
        <v>321227.948432124</v>
      </c>
      <c r="DP125" s="546">
        <f ca="1" t="shared" si="110"/>
        <v>316905.052653695</v>
      </c>
      <c r="DQ125" s="546">
        <f ca="1" t="shared" si="110"/>
        <v>312566.666498727</v>
      </c>
      <c r="DR125" s="546">
        <f ca="1" t="shared" si="110"/>
        <v>308212.734460037</v>
      </c>
      <c r="DS125" s="546">
        <f ca="1" t="shared" si="110"/>
        <v>303843.200831542</v>
      </c>
      <c r="DT125" s="546">
        <f ca="1" t="shared" si="110"/>
        <v>299458.009707545</v>
      </c>
      <c r="DU125" s="546">
        <f ca="1" t="shared" si="110"/>
        <v>295057.10498202</v>
      </c>
      <c r="DV125" s="546">
        <f ca="1" t="shared" si="110"/>
        <v>290640.430347895</v>
      </c>
      <c r="DW125" s="546">
        <f ca="1" t="shared" si="110"/>
        <v>286207.929296332</v>
      </c>
      <c r="DX125" s="546">
        <f ca="1" t="shared" si="110"/>
        <v>281759.545116</v>
      </c>
      <c r="DY125" s="546">
        <f ca="1" t="shared" si="110"/>
        <v>277295.220892355</v>
      </c>
      <c r="DZ125" s="546">
        <f ca="1" t="shared" si="110"/>
        <v>272814.899506909</v>
      </c>
      <c r="EA125" s="546">
        <f ca="1" t="shared" si="110"/>
        <v>268318.523636499</v>
      </c>
      <c r="EB125" s="546">
        <f ca="1" t="shared" si="110"/>
        <v>263806.035752553</v>
      </c>
      <c r="EC125" s="546">
        <f ca="1" t="shared" si="110"/>
        <v>259277.378120356</v>
      </c>
      <c r="ED125" s="546">
        <f ca="1" t="shared" si="110"/>
        <v>254732.49279831</v>
      </c>
      <c r="EE125" s="546">
        <f ca="1" t="shared" si="110"/>
        <v>250171.321637194</v>
      </c>
      <c r="EF125" s="546">
        <f ca="1" t="shared" ref="EF125:FK125" si="111">EF120+EF121-EF123</f>
        <v>245593.806279417</v>
      </c>
      <c r="EG125" s="546">
        <f ca="1" t="shared" si="111"/>
        <v>240999.888158274</v>
      </c>
      <c r="EH125" s="546">
        <f ca="1" t="shared" si="111"/>
        <v>236389.508497198</v>
      </c>
      <c r="EI125" s="546">
        <f ca="1" t="shared" si="111"/>
        <v>231762.608309002</v>
      </c>
      <c r="EJ125" s="546">
        <f ca="1" t="shared" si="111"/>
        <v>227119.128395133</v>
      </c>
      <c r="EK125" s="546">
        <f ca="1" t="shared" si="111"/>
        <v>222459.009344905</v>
      </c>
      <c r="EL125" s="546">
        <f ca="1" t="shared" si="111"/>
        <v>217782.191534748</v>
      </c>
      <c r="EM125" s="546">
        <f ca="1" t="shared" si="111"/>
        <v>213088.615127437</v>
      </c>
      <c r="EN125" s="546">
        <f ca="1" t="shared" si="111"/>
        <v>208378.220071333</v>
      </c>
      <c r="EO125" s="546">
        <f ca="1" t="shared" si="111"/>
        <v>203650.946099612</v>
      </c>
      <c r="EP125" s="546">
        <f ca="1" t="shared" si="111"/>
        <v>198906.732729492</v>
      </c>
      <c r="EQ125" s="546">
        <f ca="1" t="shared" si="111"/>
        <v>194145.519261462</v>
      </c>
      <c r="ER125" s="546">
        <f ca="1" t="shared" si="111"/>
        <v>189367.244778506</v>
      </c>
      <c r="ES125" s="546">
        <f ca="1" t="shared" si="111"/>
        <v>184571.848145318</v>
      </c>
      <c r="ET125" s="546">
        <f ca="1" t="shared" si="111"/>
        <v>179759.268007529</v>
      </c>
      <c r="EU125" s="546">
        <f ca="1" t="shared" si="111"/>
        <v>174929.442790912</v>
      </c>
      <c r="EV125" s="546">
        <f ca="1" t="shared" si="111"/>
        <v>170082.310700603</v>
      </c>
      <c r="EW125" s="546">
        <f ca="1" t="shared" si="111"/>
        <v>165217.809720303</v>
      </c>
      <c r="EX125" s="546">
        <f ca="1" t="shared" si="111"/>
        <v>160335.877611491</v>
      </c>
      <c r="EY125" s="546">
        <f ca="1" t="shared" si="111"/>
        <v>155436.451912622</v>
      </c>
      <c r="EZ125" s="546">
        <f ca="1" t="shared" si="111"/>
        <v>150519.469938332</v>
      </c>
      <c r="FA125" s="546">
        <f ca="1" t="shared" si="111"/>
        <v>145584.868778634</v>
      </c>
      <c r="FB125" s="546">
        <f ca="1" t="shared" si="111"/>
        <v>140632.585298114</v>
      </c>
      <c r="FC125" s="546">
        <f ca="1" t="shared" si="111"/>
        <v>135662.556135122</v>
      </c>
      <c r="FD125" s="546">
        <f ca="1" t="shared" si="111"/>
        <v>130674.717700962</v>
      </c>
      <c r="FE125" s="546">
        <f ca="1" t="shared" si="111"/>
        <v>125669.006179081</v>
      </c>
      <c r="FF125" s="546">
        <f ca="1" t="shared" si="111"/>
        <v>120645.357524245</v>
      </c>
      <c r="FG125" s="546">
        <f ca="1" t="shared" si="111"/>
        <v>115603.70746173</v>
      </c>
      <c r="FH125" s="546">
        <f ca="1" t="shared" si="111"/>
        <v>110543.991486491</v>
      </c>
      <c r="FI125" s="546">
        <f ca="1" t="shared" si="111"/>
        <v>105466.144862341</v>
      </c>
      <c r="FJ125" s="546">
        <f ca="1" t="shared" si="111"/>
        <v>100370.102621121</v>
      </c>
      <c r="FK125" s="546">
        <f ca="1" t="shared" si="111"/>
        <v>95255.7995618698</v>
      </c>
      <c r="FL125" s="546">
        <f ca="1" t="shared" ref="FL125:GC125" si="112">FL120+FL121-FL123</f>
        <v>90123.1702499897</v>
      </c>
      <c r="FM125" s="546">
        <f ca="1" t="shared" si="112"/>
        <v>84972.1490164086</v>
      </c>
      <c r="FN125" s="546">
        <f ca="1" t="shared" si="112"/>
        <v>79802.6699567406</v>
      </c>
      <c r="FO125" s="546">
        <f ca="1" t="shared" si="112"/>
        <v>74614.6669304421</v>
      </c>
      <c r="FP125" s="546">
        <f ca="1" t="shared" si="112"/>
        <v>69408.0735599661</v>
      </c>
      <c r="FQ125" s="546">
        <f ca="1" t="shared" si="112"/>
        <v>64182.8232299125</v>
      </c>
      <c r="FR125" s="546">
        <f ca="1" t="shared" si="112"/>
        <v>58938.8490861762</v>
      </c>
      <c r="FS125" s="546">
        <f ca="1" t="shared" si="112"/>
        <v>53676.0840350915</v>
      </c>
      <c r="FT125" s="546">
        <f ca="1" t="shared" si="112"/>
        <v>48394.4607425737</v>
      </c>
      <c r="FU125" s="546">
        <f ca="1" t="shared" si="112"/>
        <v>43093.9116332579</v>
      </c>
      <c r="FV125" s="546">
        <f ca="1" t="shared" si="112"/>
        <v>37774.3688896336</v>
      </c>
      <c r="FW125" s="546">
        <f ca="1" t="shared" si="112"/>
        <v>32435.764451178</v>
      </c>
      <c r="FX125" s="546">
        <f ca="1" t="shared" si="112"/>
        <v>27078.0300134847</v>
      </c>
      <c r="FY125" s="546">
        <f ca="1" t="shared" si="112"/>
        <v>21701.0970273896</v>
      </c>
      <c r="FZ125" s="546">
        <f ca="1" t="shared" si="112"/>
        <v>16304.8966980944</v>
      </c>
      <c r="GA125" s="546">
        <f ca="1" t="shared" si="112"/>
        <v>10889.3599842859</v>
      </c>
      <c r="GB125" s="546">
        <f ca="1" t="shared" si="112"/>
        <v>5454.41759725293</v>
      </c>
      <c r="GC125" s="547">
        <f ca="1" t="shared" si="112"/>
        <v>-8.9130480773747e-11</v>
      </c>
    </row>
    <row r="126" spans="2:185">
      <c r="B126" s="556"/>
      <c r="C126" s="548" t="s">
        <v>552</v>
      </c>
      <c r="D126" s="537" t="s">
        <v>535</v>
      </c>
      <c r="E126" s="539"/>
      <c r="F126" s="539">
        <f ca="1">D113</f>
        <v>725209.263168492</v>
      </c>
      <c r="G126" s="539">
        <f ca="1">F131</f>
        <v>721180.322817556</v>
      </c>
      <c r="H126" s="539">
        <f ca="1" t="shared" ref="H126:AM126" si="113">G131</f>
        <v>717151.38246662</v>
      </c>
      <c r="I126" s="539">
        <f ca="1" t="shared" si="113"/>
        <v>713122.442115684</v>
      </c>
      <c r="J126" s="539">
        <f ca="1" t="shared" si="113"/>
        <v>709093.501764748</v>
      </c>
      <c r="K126" s="539">
        <f ca="1" t="shared" si="113"/>
        <v>705064.561413812</v>
      </c>
      <c r="L126" s="539">
        <f ca="1" t="shared" si="113"/>
        <v>701035.621062876</v>
      </c>
      <c r="M126" s="539">
        <f ca="1" t="shared" si="113"/>
        <v>697006.68071194</v>
      </c>
      <c r="N126" s="539">
        <f ca="1" t="shared" si="113"/>
        <v>692977.740361004</v>
      </c>
      <c r="O126" s="539">
        <f ca="1" t="shared" si="113"/>
        <v>688948.800010068</v>
      </c>
      <c r="P126" s="539">
        <f ca="1" t="shared" si="113"/>
        <v>684919.859659132</v>
      </c>
      <c r="Q126" s="539">
        <f ca="1" t="shared" si="113"/>
        <v>680890.919308196</v>
      </c>
      <c r="R126" s="539">
        <f ca="1" t="shared" si="113"/>
        <v>676861.97895726</v>
      </c>
      <c r="S126" s="539">
        <f ca="1" t="shared" si="113"/>
        <v>672833.038606324</v>
      </c>
      <c r="T126" s="539">
        <f ca="1" t="shared" si="113"/>
        <v>668804.098255388</v>
      </c>
      <c r="U126" s="539">
        <f ca="1" t="shared" si="113"/>
        <v>664775.157904452</v>
      </c>
      <c r="V126" s="539">
        <f ca="1" t="shared" si="113"/>
        <v>660746.217553516</v>
      </c>
      <c r="W126" s="539">
        <f ca="1" t="shared" si="113"/>
        <v>656717.27720258</v>
      </c>
      <c r="X126" s="539">
        <f ca="1" t="shared" si="113"/>
        <v>652688.336851644</v>
      </c>
      <c r="Y126" s="539">
        <f ca="1" t="shared" si="113"/>
        <v>648659.396500708</v>
      </c>
      <c r="Z126" s="539">
        <f ca="1" t="shared" si="113"/>
        <v>644630.456149772</v>
      </c>
      <c r="AA126" s="539">
        <f ca="1" t="shared" si="113"/>
        <v>640601.515798836</v>
      </c>
      <c r="AB126" s="539">
        <f ca="1" t="shared" si="113"/>
        <v>636572.5754479</v>
      </c>
      <c r="AC126" s="539">
        <f ca="1" t="shared" si="113"/>
        <v>632543.635096964</v>
      </c>
      <c r="AD126" s="539">
        <f ca="1" t="shared" si="113"/>
        <v>628514.694746028</v>
      </c>
      <c r="AE126" s="539">
        <f ca="1" t="shared" si="113"/>
        <v>624485.754395092</v>
      </c>
      <c r="AF126" s="539">
        <f ca="1" t="shared" si="113"/>
        <v>620456.814044156</v>
      </c>
      <c r="AG126" s="539">
        <f ca="1" t="shared" si="113"/>
        <v>616427.87369322</v>
      </c>
      <c r="AH126" s="539">
        <f ca="1" t="shared" si="113"/>
        <v>612398.933342284</v>
      </c>
      <c r="AI126" s="539">
        <f ca="1" t="shared" si="113"/>
        <v>608369.992991348</v>
      </c>
      <c r="AJ126" s="539">
        <f ca="1" t="shared" si="113"/>
        <v>604341.052640412</v>
      </c>
      <c r="AK126" s="539">
        <f ca="1" t="shared" si="113"/>
        <v>600312.112289476</v>
      </c>
      <c r="AL126" s="539">
        <f ca="1" t="shared" si="113"/>
        <v>596283.171938539</v>
      </c>
      <c r="AM126" s="539">
        <f ca="1" t="shared" si="113"/>
        <v>592254.231587603</v>
      </c>
      <c r="AN126" s="539">
        <f ca="1" t="shared" ref="AN126:BS126" si="114">AM131</f>
        <v>588225.291236667</v>
      </c>
      <c r="AO126" s="539">
        <f ca="1" t="shared" si="114"/>
        <v>584196.350885731</v>
      </c>
      <c r="AP126" s="539">
        <f ca="1" t="shared" si="114"/>
        <v>580167.410534795</v>
      </c>
      <c r="AQ126" s="539">
        <f ca="1" t="shared" si="114"/>
        <v>576138.470183859</v>
      </c>
      <c r="AR126" s="539">
        <f ca="1" t="shared" si="114"/>
        <v>572109.529832923</v>
      </c>
      <c r="AS126" s="539">
        <f ca="1" t="shared" si="114"/>
        <v>568080.589481987</v>
      </c>
      <c r="AT126" s="539">
        <f ca="1" t="shared" si="114"/>
        <v>564051.649131051</v>
      </c>
      <c r="AU126" s="539">
        <f ca="1" t="shared" si="114"/>
        <v>560022.708780115</v>
      </c>
      <c r="AV126" s="539">
        <f ca="1" t="shared" si="114"/>
        <v>555993.768429179</v>
      </c>
      <c r="AW126" s="539">
        <f ca="1" t="shared" si="114"/>
        <v>551964.828078243</v>
      </c>
      <c r="AX126" s="539">
        <f ca="1" t="shared" si="114"/>
        <v>547935.887727307</v>
      </c>
      <c r="AY126" s="539">
        <f ca="1" t="shared" si="114"/>
        <v>543906.947376371</v>
      </c>
      <c r="AZ126" s="539">
        <f ca="1" t="shared" si="114"/>
        <v>539878.007025435</v>
      </c>
      <c r="BA126" s="539">
        <f ca="1" t="shared" si="114"/>
        <v>535849.066674499</v>
      </c>
      <c r="BB126" s="539">
        <f ca="1" t="shared" si="114"/>
        <v>531820.126323563</v>
      </c>
      <c r="BC126" s="539">
        <f ca="1" t="shared" si="114"/>
        <v>527791.185972627</v>
      </c>
      <c r="BD126" s="539">
        <f ca="1" t="shared" si="114"/>
        <v>523762.245621691</v>
      </c>
      <c r="BE126" s="539">
        <f ca="1" t="shared" si="114"/>
        <v>519733.305270755</v>
      </c>
      <c r="BF126" s="539">
        <f ca="1" t="shared" si="114"/>
        <v>515704.364919819</v>
      </c>
      <c r="BG126" s="539">
        <f ca="1" t="shared" si="114"/>
        <v>511675.424568883</v>
      </c>
      <c r="BH126" s="539">
        <f ca="1" t="shared" si="114"/>
        <v>507646.484217947</v>
      </c>
      <c r="BI126" s="539">
        <f ca="1" t="shared" si="114"/>
        <v>503617.543867011</v>
      </c>
      <c r="BJ126" s="539">
        <f ca="1" t="shared" si="114"/>
        <v>499588.603516074</v>
      </c>
      <c r="BK126" s="539">
        <f ca="1" t="shared" si="114"/>
        <v>495559.663165138</v>
      </c>
      <c r="BL126" s="539">
        <f ca="1" t="shared" si="114"/>
        <v>491530.722814202</v>
      </c>
      <c r="BM126" s="539">
        <f ca="1" t="shared" si="114"/>
        <v>487501.782463266</v>
      </c>
      <c r="BN126" s="539">
        <f ca="1" t="shared" si="114"/>
        <v>483472.84211233</v>
      </c>
      <c r="BO126" s="539">
        <f ca="1" t="shared" si="114"/>
        <v>479443.901761394</v>
      </c>
      <c r="BP126" s="539">
        <f ca="1" t="shared" si="114"/>
        <v>475414.961410458</v>
      </c>
      <c r="BQ126" s="539">
        <f ca="1" t="shared" si="114"/>
        <v>471386.021059522</v>
      </c>
      <c r="BR126" s="539">
        <f ca="1" t="shared" si="114"/>
        <v>467357.080708586</v>
      </c>
      <c r="BS126" s="539">
        <f ca="1" t="shared" si="114"/>
        <v>463328.14035765</v>
      </c>
      <c r="BT126" s="539">
        <f ca="1" t="shared" ref="BT126:CY126" si="115">BS131</f>
        <v>459299.200006714</v>
      </c>
      <c r="BU126" s="539">
        <f ca="1" t="shared" si="115"/>
        <v>455270.259655777</v>
      </c>
      <c r="BV126" s="539">
        <f ca="1" t="shared" si="115"/>
        <v>451241.319304841</v>
      </c>
      <c r="BW126" s="539">
        <f ca="1" t="shared" si="115"/>
        <v>447212.378953905</v>
      </c>
      <c r="BX126" s="539">
        <f ca="1" t="shared" si="115"/>
        <v>443183.438602969</v>
      </c>
      <c r="BY126" s="539">
        <f ca="1" t="shared" si="115"/>
        <v>439154.498252033</v>
      </c>
      <c r="BZ126" s="539">
        <f ca="1" t="shared" si="115"/>
        <v>435125.557901097</v>
      </c>
      <c r="CA126" s="539">
        <f ca="1" t="shared" si="115"/>
        <v>431096.617550161</v>
      </c>
      <c r="CB126" s="539">
        <f ca="1" t="shared" si="115"/>
        <v>427067.677199225</v>
      </c>
      <c r="CC126" s="539">
        <f ca="1" t="shared" si="115"/>
        <v>423038.736848289</v>
      </c>
      <c r="CD126" s="539">
        <f ca="1" t="shared" si="115"/>
        <v>419009.796497353</v>
      </c>
      <c r="CE126" s="539">
        <f ca="1" t="shared" si="115"/>
        <v>414980.856146417</v>
      </c>
      <c r="CF126" s="539">
        <f ca="1" t="shared" si="115"/>
        <v>410951.915795481</v>
      </c>
      <c r="CG126" s="539">
        <f ca="1" t="shared" si="115"/>
        <v>406922.975444544</v>
      </c>
      <c r="CH126" s="539">
        <f ca="1" t="shared" si="115"/>
        <v>402894.035093608</v>
      </c>
      <c r="CI126" s="539">
        <f ca="1" t="shared" si="115"/>
        <v>398865.094742672</v>
      </c>
      <c r="CJ126" s="539">
        <f ca="1" t="shared" si="115"/>
        <v>394836.154391736</v>
      </c>
      <c r="CK126" s="539">
        <f ca="1" t="shared" si="115"/>
        <v>390807.2140408</v>
      </c>
      <c r="CL126" s="539">
        <f ca="1" t="shared" si="115"/>
        <v>386778.273689864</v>
      </c>
      <c r="CM126" s="539">
        <f ca="1" t="shared" si="115"/>
        <v>382749.333338928</v>
      </c>
      <c r="CN126" s="539">
        <f ca="1" t="shared" si="115"/>
        <v>378720.392987992</v>
      </c>
      <c r="CO126" s="539">
        <f ca="1" t="shared" si="115"/>
        <v>374691.452637056</v>
      </c>
      <c r="CP126" s="539">
        <f ca="1" t="shared" si="115"/>
        <v>370662.51228612</v>
      </c>
      <c r="CQ126" s="539">
        <f ca="1" t="shared" si="115"/>
        <v>366633.571935184</v>
      </c>
      <c r="CR126" s="539">
        <f ca="1" t="shared" si="115"/>
        <v>362604.631584248</v>
      </c>
      <c r="CS126" s="539">
        <f ca="1" t="shared" si="115"/>
        <v>358575.691233312</v>
      </c>
      <c r="CT126" s="539">
        <f ca="1" t="shared" si="115"/>
        <v>354546.750882375</v>
      </c>
      <c r="CU126" s="539">
        <f ca="1" t="shared" si="115"/>
        <v>350517.810531439</v>
      </c>
      <c r="CV126" s="539">
        <f ca="1" t="shared" si="115"/>
        <v>346488.870180503</v>
      </c>
      <c r="CW126" s="539">
        <f ca="1" t="shared" si="115"/>
        <v>342459.929829567</v>
      </c>
      <c r="CX126" s="539">
        <f ca="1" t="shared" si="115"/>
        <v>338430.989478631</v>
      </c>
      <c r="CY126" s="539">
        <f ca="1" t="shared" si="115"/>
        <v>334402.049127695</v>
      </c>
      <c r="CZ126" s="539">
        <f ca="1" t="shared" ref="CZ126:EE126" si="116">CY131</f>
        <v>330373.108776759</v>
      </c>
      <c r="DA126" s="539">
        <f ca="1" t="shared" si="116"/>
        <v>326344.168425823</v>
      </c>
      <c r="DB126" s="539">
        <f ca="1" t="shared" si="116"/>
        <v>322315.228074887</v>
      </c>
      <c r="DC126" s="539">
        <f ca="1" t="shared" si="116"/>
        <v>318286.28772395</v>
      </c>
      <c r="DD126" s="539">
        <f ca="1" t="shared" si="116"/>
        <v>314257.347373014</v>
      </c>
      <c r="DE126" s="539">
        <f ca="1" t="shared" si="116"/>
        <v>310228.407022078</v>
      </c>
      <c r="DF126" s="539">
        <f ca="1" t="shared" si="116"/>
        <v>306199.466671142</v>
      </c>
      <c r="DG126" s="539">
        <f ca="1" t="shared" si="116"/>
        <v>302170.526320206</v>
      </c>
      <c r="DH126" s="539">
        <f ca="1" t="shared" si="116"/>
        <v>298141.58596927</v>
      </c>
      <c r="DI126" s="539">
        <f ca="1" t="shared" si="116"/>
        <v>294112.645618334</v>
      </c>
      <c r="DJ126" s="539">
        <f ca="1" t="shared" si="116"/>
        <v>290083.705267398</v>
      </c>
      <c r="DK126" s="539">
        <f ca="1" t="shared" si="116"/>
        <v>286054.764916462</v>
      </c>
      <c r="DL126" s="539">
        <f ca="1" t="shared" si="116"/>
        <v>282025.824565526</v>
      </c>
      <c r="DM126" s="539">
        <f ca="1" t="shared" si="116"/>
        <v>277996.88421459</v>
      </c>
      <c r="DN126" s="539">
        <f ca="1" t="shared" si="116"/>
        <v>273967.943863654</v>
      </c>
      <c r="DO126" s="539">
        <f ca="1" t="shared" si="116"/>
        <v>269939.003512718</v>
      </c>
      <c r="DP126" s="539">
        <f ca="1" t="shared" si="116"/>
        <v>265910.063161782</v>
      </c>
      <c r="DQ126" s="539">
        <f ca="1" t="shared" si="116"/>
        <v>261881.122810846</v>
      </c>
      <c r="DR126" s="539">
        <f ca="1" t="shared" si="116"/>
        <v>257852.18245991</v>
      </c>
      <c r="DS126" s="539">
        <f ca="1" t="shared" si="116"/>
        <v>253823.242108974</v>
      </c>
      <c r="DT126" s="539">
        <f ca="1" t="shared" si="116"/>
        <v>249794.301758038</v>
      </c>
      <c r="DU126" s="539">
        <f ca="1" t="shared" si="116"/>
        <v>245765.361407102</v>
      </c>
      <c r="DV126" s="539">
        <f ca="1" t="shared" si="116"/>
        <v>241736.421056165</v>
      </c>
      <c r="DW126" s="539">
        <f ca="1" t="shared" si="116"/>
        <v>237707.48070523</v>
      </c>
      <c r="DX126" s="539">
        <f ca="1" t="shared" si="116"/>
        <v>233678.540354293</v>
      </c>
      <c r="DY126" s="539">
        <f ca="1" t="shared" si="116"/>
        <v>229649.600003357</v>
      </c>
      <c r="DZ126" s="539">
        <f ca="1" t="shared" si="116"/>
        <v>225620.659652421</v>
      </c>
      <c r="EA126" s="539">
        <f ca="1" t="shared" si="116"/>
        <v>221591.719301484</v>
      </c>
      <c r="EB126" s="539">
        <f ca="1" t="shared" si="116"/>
        <v>217562.778950548</v>
      </c>
      <c r="EC126" s="539">
        <f ca="1" t="shared" si="116"/>
        <v>213533.838599612</v>
      </c>
      <c r="ED126" s="539">
        <f ca="1" t="shared" si="116"/>
        <v>209504.898248676</v>
      </c>
      <c r="EE126" s="539">
        <f ca="1" t="shared" si="116"/>
        <v>205475.95789774</v>
      </c>
      <c r="EF126" s="539">
        <f ca="1" t="shared" ref="EF126:FK126" si="117">EE131</f>
        <v>201447.017546804</v>
      </c>
      <c r="EG126" s="539">
        <f ca="1" t="shared" si="117"/>
        <v>197418.077195868</v>
      </c>
      <c r="EH126" s="539">
        <f ca="1" t="shared" si="117"/>
        <v>193389.136844932</v>
      </c>
      <c r="EI126" s="539">
        <f ca="1" t="shared" si="117"/>
        <v>189360.196493996</v>
      </c>
      <c r="EJ126" s="539">
        <f ca="1" t="shared" si="117"/>
        <v>185331.25614306</v>
      </c>
      <c r="EK126" s="539">
        <f ca="1" t="shared" si="117"/>
        <v>181302.315792124</v>
      </c>
      <c r="EL126" s="539">
        <f ca="1" t="shared" si="117"/>
        <v>177273.375441188</v>
      </c>
      <c r="EM126" s="539">
        <f ca="1" t="shared" si="117"/>
        <v>173244.435090252</v>
      </c>
      <c r="EN126" s="539">
        <f ca="1" t="shared" si="117"/>
        <v>169215.494739316</v>
      </c>
      <c r="EO126" s="539">
        <f ca="1" t="shared" si="117"/>
        <v>165186.55438838</v>
      </c>
      <c r="EP126" s="539">
        <f ca="1" t="shared" si="117"/>
        <v>161157.614037444</v>
      </c>
      <c r="EQ126" s="539">
        <f ca="1" t="shared" si="117"/>
        <v>157128.673686508</v>
      </c>
      <c r="ER126" s="539">
        <f ca="1" t="shared" si="117"/>
        <v>153099.733335572</v>
      </c>
      <c r="ES126" s="539">
        <f ca="1" t="shared" si="117"/>
        <v>149070.792984636</v>
      </c>
      <c r="ET126" s="539">
        <f ca="1" t="shared" si="117"/>
        <v>145041.8526337</v>
      </c>
      <c r="EU126" s="539">
        <f ca="1" t="shared" si="117"/>
        <v>141012.912282764</v>
      </c>
      <c r="EV126" s="539">
        <f ca="1" t="shared" si="117"/>
        <v>136983.971931828</v>
      </c>
      <c r="EW126" s="539">
        <f ca="1" t="shared" si="117"/>
        <v>132955.031580892</v>
      </c>
      <c r="EX126" s="539">
        <f ca="1" t="shared" si="117"/>
        <v>128926.091229956</v>
      </c>
      <c r="EY126" s="539">
        <f ca="1" t="shared" si="117"/>
        <v>124897.150879019</v>
      </c>
      <c r="EZ126" s="539">
        <f ca="1" t="shared" si="117"/>
        <v>120868.210528083</v>
      </c>
      <c r="FA126" s="539">
        <f ca="1" t="shared" si="117"/>
        <v>116839.270177147</v>
      </c>
      <c r="FB126" s="539">
        <f ca="1" t="shared" si="117"/>
        <v>112810.329826211</v>
      </c>
      <c r="FC126" s="539">
        <f ca="1" t="shared" si="117"/>
        <v>108781.389475275</v>
      </c>
      <c r="FD126" s="539">
        <f ca="1" t="shared" si="117"/>
        <v>104752.449124339</v>
      </c>
      <c r="FE126" s="539">
        <f ca="1" t="shared" si="117"/>
        <v>100723.508773403</v>
      </c>
      <c r="FF126" s="539">
        <f ca="1" t="shared" si="117"/>
        <v>96694.5684224671</v>
      </c>
      <c r="FG126" s="539">
        <f ca="1" t="shared" si="117"/>
        <v>92665.6280715312</v>
      </c>
      <c r="FH126" s="539">
        <f ca="1" t="shared" si="117"/>
        <v>88636.6877205952</v>
      </c>
      <c r="FI126" s="539">
        <f ca="1" t="shared" si="117"/>
        <v>84607.7473696592</v>
      </c>
      <c r="FJ126" s="539">
        <f ca="1" t="shared" si="117"/>
        <v>80578.8070187222</v>
      </c>
      <c r="FK126" s="539">
        <f ca="1" t="shared" si="117"/>
        <v>76549.8666677862</v>
      </c>
      <c r="FL126" s="539">
        <f ca="1" t="shared" ref="FL126:GC126" si="118">FK131</f>
        <v>72520.9263168503</v>
      </c>
      <c r="FM126" s="539">
        <f ca="1" t="shared" si="118"/>
        <v>68491.9859659142</v>
      </c>
      <c r="FN126" s="539">
        <f ca="1" t="shared" si="118"/>
        <v>64463.0456149783</v>
      </c>
      <c r="FO126" s="539">
        <f ca="1" t="shared" si="118"/>
        <v>60434.1052640423</v>
      </c>
      <c r="FP126" s="539">
        <f ca="1" t="shared" si="118"/>
        <v>56405.1649131063</v>
      </c>
      <c r="FQ126" s="539">
        <f ca="1" t="shared" si="118"/>
        <v>52376.2245621703</v>
      </c>
      <c r="FR126" s="539">
        <f ca="1" t="shared" si="118"/>
        <v>48347.2842112343</v>
      </c>
      <c r="FS126" s="539">
        <f ca="1" t="shared" si="118"/>
        <v>44318.3438602983</v>
      </c>
      <c r="FT126" s="539">
        <f ca="1" t="shared" si="118"/>
        <v>40289.4035093623</v>
      </c>
      <c r="FU126" s="539">
        <f ca="1" t="shared" si="118"/>
        <v>36260.4631584264</v>
      </c>
      <c r="FV126" s="539">
        <f ca="1" t="shared" si="118"/>
        <v>32231.5228074894</v>
      </c>
      <c r="FW126" s="539">
        <f ca="1" t="shared" si="118"/>
        <v>28202.5824565534</v>
      </c>
      <c r="FX126" s="539">
        <f ca="1" t="shared" si="118"/>
        <v>24173.6421056174</v>
      </c>
      <c r="FY126" s="539">
        <f ca="1" t="shared" si="118"/>
        <v>20144.7017546815</v>
      </c>
      <c r="FZ126" s="539">
        <f ca="1" t="shared" si="118"/>
        <v>16115.7614037454</v>
      </c>
      <c r="GA126" s="539">
        <f ca="1" t="shared" si="118"/>
        <v>12086.8210528095</v>
      </c>
      <c r="GB126" s="539">
        <f ca="1" t="shared" si="118"/>
        <v>8057.88070187349</v>
      </c>
      <c r="GC126" s="540">
        <f ca="1" t="shared" si="118"/>
        <v>4028.94035093748</v>
      </c>
    </row>
    <row r="127" spans="2:185">
      <c r="B127" s="556"/>
      <c r="C127" s="549"/>
      <c r="D127" s="144" t="s">
        <v>536</v>
      </c>
      <c r="E127" s="542"/>
      <c r="F127" s="542">
        <v>0</v>
      </c>
      <c r="G127" s="542">
        <v>0</v>
      </c>
      <c r="H127" s="542">
        <v>0</v>
      </c>
      <c r="I127" s="542">
        <v>0</v>
      </c>
      <c r="J127" s="542">
        <v>0</v>
      </c>
      <c r="K127" s="542">
        <v>0</v>
      </c>
      <c r="L127" s="542">
        <v>0</v>
      </c>
      <c r="M127" s="542">
        <v>0</v>
      </c>
      <c r="N127" s="542">
        <v>0</v>
      </c>
      <c r="O127" s="542">
        <v>0</v>
      </c>
      <c r="P127" s="542">
        <v>0</v>
      </c>
      <c r="Q127" s="542">
        <v>0</v>
      </c>
      <c r="R127" s="542">
        <v>0</v>
      </c>
      <c r="S127" s="542">
        <v>0</v>
      </c>
      <c r="T127" s="542">
        <v>0</v>
      </c>
      <c r="U127" s="542">
        <v>0</v>
      </c>
      <c r="V127" s="542">
        <v>0</v>
      </c>
      <c r="W127" s="542">
        <v>0</v>
      </c>
      <c r="X127" s="542">
        <v>0</v>
      </c>
      <c r="Y127" s="542">
        <v>0</v>
      </c>
      <c r="Z127" s="542">
        <v>0</v>
      </c>
      <c r="AA127" s="542">
        <v>0</v>
      </c>
      <c r="AB127" s="542">
        <v>0</v>
      </c>
      <c r="AC127" s="542">
        <v>0</v>
      </c>
      <c r="AD127" s="542">
        <v>0</v>
      </c>
      <c r="AE127" s="542">
        <v>0</v>
      </c>
      <c r="AF127" s="542">
        <v>0</v>
      </c>
      <c r="AG127" s="542">
        <v>0</v>
      </c>
      <c r="AH127" s="542">
        <v>0</v>
      </c>
      <c r="AI127" s="542">
        <v>0</v>
      </c>
      <c r="AJ127" s="542">
        <v>0</v>
      </c>
      <c r="AK127" s="542">
        <v>0</v>
      </c>
      <c r="AL127" s="542">
        <v>0</v>
      </c>
      <c r="AM127" s="542">
        <v>0</v>
      </c>
      <c r="AN127" s="542">
        <v>0</v>
      </c>
      <c r="AO127" s="542">
        <v>0</v>
      </c>
      <c r="AP127" s="542">
        <v>0</v>
      </c>
      <c r="AQ127" s="542">
        <v>0</v>
      </c>
      <c r="AR127" s="542">
        <v>0</v>
      </c>
      <c r="AS127" s="542">
        <v>0</v>
      </c>
      <c r="AT127" s="542">
        <v>0</v>
      </c>
      <c r="AU127" s="542">
        <v>0</v>
      </c>
      <c r="AV127" s="542">
        <v>0</v>
      </c>
      <c r="AW127" s="542">
        <v>0</v>
      </c>
      <c r="AX127" s="542">
        <v>0</v>
      </c>
      <c r="AY127" s="542">
        <v>0</v>
      </c>
      <c r="AZ127" s="542">
        <v>0</v>
      </c>
      <c r="BA127" s="542">
        <v>0</v>
      </c>
      <c r="BB127" s="542">
        <v>0</v>
      </c>
      <c r="BC127" s="542">
        <v>0</v>
      </c>
      <c r="BD127" s="542">
        <v>0</v>
      </c>
      <c r="BE127" s="542">
        <v>0</v>
      </c>
      <c r="BF127" s="542">
        <v>0</v>
      </c>
      <c r="BG127" s="542">
        <v>0</v>
      </c>
      <c r="BH127" s="542">
        <v>0</v>
      </c>
      <c r="BI127" s="542">
        <v>0</v>
      </c>
      <c r="BJ127" s="542">
        <v>0</v>
      </c>
      <c r="BK127" s="542">
        <v>0</v>
      </c>
      <c r="BL127" s="542">
        <v>0</v>
      </c>
      <c r="BM127" s="542">
        <v>0</v>
      </c>
      <c r="BN127" s="542">
        <v>0</v>
      </c>
      <c r="BO127" s="542">
        <v>0</v>
      </c>
      <c r="BP127" s="542">
        <v>0</v>
      </c>
      <c r="BQ127" s="542">
        <v>0</v>
      </c>
      <c r="BR127" s="542">
        <v>0</v>
      </c>
      <c r="BS127" s="542">
        <v>0</v>
      </c>
      <c r="BT127" s="542">
        <v>0</v>
      </c>
      <c r="BU127" s="542">
        <v>0</v>
      </c>
      <c r="BV127" s="542">
        <v>0</v>
      </c>
      <c r="BW127" s="542">
        <v>0</v>
      </c>
      <c r="BX127" s="542">
        <v>0</v>
      </c>
      <c r="BY127" s="542">
        <v>0</v>
      </c>
      <c r="BZ127" s="542">
        <v>0</v>
      </c>
      <c r="CA127" s="542">
        <v>0</v>
      </c>
      <c r="CB127" s="542">
        <v>0</v>
      </c>
      <c r="CC127" s="542">
        <v>0</v>
      </c>
      <c r="CD127" s="542">
        <v>0</v>
      </c>
      <c r="CE127" s="542">
        <v>0</v>
      </c>
      <c r="CF127" s="542">
        <v>0</v>
      </c>
      <c r="CG127" s="542">
        <v>0</v>
      </c>
      <c r="CH127" s="542">
        <v>0</v>
      </c>
      <c r="CI127" s="542">
        <v>0</v>
      </c>
      <c r="CJ127" s="542">
        <v>0</v>
      </c>
      <c r="CK127" s="542">
        <v>0</v>
      </c>
      <c r="CL127" s="542">
        <v>0</v>
      </c>
      <c r="CM127" s="542">
        <v>0</v>
      </c>
      <c r="CN127" s="542">
        <v>0</v>
      </c>
      <c r="CO127" s="542">
        <v>0</v>
      </c>
      <c r="CP127" s="542">
        <v>0</v>
      </c>
      <c r="CQ127" s="542">
        <v>0</v>
      </c>
      <c r="CR127" s="542">
        <v>0</v>
      </c>
      <c r="CS127" s="542">
        <v>0</v>
      </c>
      <c r="CT127" s="542">
        <v>0</v>
      </c>
      <c r="CU127" s="542">
        <v>0</v>
      </c>
      <c r="CV127" s="542">
        <v>0</v>
      </c>
      <c r="CW127" s="542">
        <v>0</v>
      </c>
      <c r="CX127" s="542">
        <v>0</v>
      </c>
      <c r="CY127" s="542">
        <v>0</v>
      </c>
      <c r="CZ127" s="542">
        <v>0</v>
      </c>
      <c r="DA127" s="542">
        <v>0</v>
      </c>
      <c r="DB127" s="542">
        <v>0</v>
      </c>
      <c r="DC127" s="542">
        <v>0</v>
      </c>
      <c r="DD127" s="542">
        <v>0</v>
      </c>
      <c r="DE127" s="542">
        <v>0</v>
      </c>
      <c r="DF127" s="542">
        <v>0</v>
      </c>
      <c r="DG127" s="542">
        <v>0</v>
      </c>
      <c r="DH127" s="542">
        <v>0</v>
      </c>
      <c r="DI127" s="542">
        <v>0</v>
      </c>
      <c r="DJ127" s="542">
        <v>0</v>
      </c>
      <c r="DK127" s="542">
        <v>0</v>
      </c>
      <c r="DL127" s="542">
        <v>0</v>
      </c>
      <c r="DM127" s="542">
        <v>0</v>
      </c>
      <c r="DN127" s="542">
        <v>0</v>
      </c>
      <c r="DO127" s="542">
        <v>0</v>
      </c>
      <c r="DP127" s="542">
        <v>0</v>
      </c>
      <c r="DQ127" s="542">
        <v>0</v>
      </c>
      <c r="DR127" s="542">
        <v>0</v>
      </c>
      <c r="DS127" s="542">
        <v>0</v>
      </c>
      <c r="DT127" s="542">
        <v>0</v>
      </c>
      <c r="DU127" s="542">
        <v>0</v>
      </c>
      <c r="DV127" s="542">
        <v>0</v>
      </c>
      <c r="DW127" s="542">
        <v>0</v>
      </c>
      <c r="DX127" s="542">
        <v>0</v>
      </c>
      <c r="DY127" s="542">
        <v>0</v>
      </c>
      <c r="DZ127" s="542">
        <v>0</v>
      </c>
      <c r="EA127" s="542">
        <v>0</v>
      </c>
      <c r="EB127" s="542">
        <v>0</v>
      </c>
      <c r="EC127" s="542">
        <v>0</v>
      </c>
      <c r="ED127" s="542">
        <v>0</v>
      </c>
      <c r="EE127" s="542">
        <v>0</v>
      </c>
      <c r="EF127" s="542">
        <v>0</v>
      </c>
      <c r="EG127" s="542">
        <v>0</v>
      </c>
      <c r="EH127" s="542">
        <v>0</v>
      </c>
      <c r="EI127" s="542">
        <v>0</v>
      </c>
      <c r="EJ127" s="542">
        <v>0</v>
      </c>
      <c r="EK127" s="542">
        <v>0</v>
      </c>
      <c r="EL127" s="542">
        <v>0</v>
      </c>
      <c r="EM127" s="542">
        <v>0</v>
      </c>
      <c r="EN127" s="542">
        <v>0</v>
      </c>
      <c r="EO127" s="542">
        <v>0</v>
      </c>
      <c r="EP127" s="542">
        <v>0</v>
      </c>
      <c r="EQ127" s="542">
        <v>0</v>
      </c>
      <c r="ER127" s="542">
        <v>0</v>
      </c>
      <c r="ES127" s="542">
        <v>0</v>
      </c>
      <c r="ET127" s="542">
        <v>0</v>
      </c>
      <c r="EU127" s="542">
        <v>0</v>
      </c>
      <c r="EV127" s="542">
        <v>0</v>
      </c>
      <c r="EW127" s="542">
        <v>0</v>
      </c>
      <c r="EX127" s="542">
        <v>0</v>
      </c>
      <c r="EY127" s="542">
        <v>0</v>
      </c>
      <c r="EZ127" s="542">
        <v>0</v>
      </c>
      <c r="FA127" s="542">
        <v>0</v>
      </c>
      <c r="FB127" s="542">
        <v>0</v>
      </c>
      <c r="FC127" s="542">
        <v>0</v>
      </c>
      <c r="FD127" s="542">
        <v>0</v>
      </c>
      <c r="FE127" s="542">
        <v>0</v>
      </c>
      <c r="FF127" s="542">
        <v>0</v>
      </c>
      <c r="FG127" s="542">
        <v>0</v>
      </c>
      <c r="FH127" s="542">
        <v>0</v>
      </c>
      <c r="FI127" s="542">
        <v>0</v>
      </c>
      <c r="FJ127" s="542">
        <v>0</v>
      </c>
      <c r="FK127" s="542">
        <v>0</v>
      </c>
      <c r="FL127" s="542">
        <v>0</v>
      </c>
      <c r="FM127" s="542">
        <v>0</v>
      </c>
      <c r="FN127" s="542">
        <v>0</v>
      </c>
      <c r="FO127" s="542">
        <v>0</v>
      </c>
      <c r="FP127" s="542">
        <v>0</v>
      </c>
      <c r="FQ127" s="542">
        <v>0</v>
      </c>
      <c r="FR127" s="542">
        <v>0</v>
      </c>
      <c r="FS127" s="542">
        <v>0</v>
      </c>
      <c r="FT127" s="542">
        <v>0</v>
      </c>
      <c r="FU127" s="542">
        <v>0</v>
      </c>
      <c r="FV127" s="542">
        <v>0</v>
      </c>
      <c r="FW127" s="542">
        <v>0</v>
      </c>
      <c r="FX127" s="542">
        <v>0</v>
      </c>
      <c r="FY127" s="542">
        <v>0</v>
      </c>
      <c r="FZ127" s="542">
        <v>0</v>
      </c>
      <c r="GA127" s="542">
        <v>0</v>
      </c>
      <c r="GB127" s="542">
        <v>0</v>
      </c>
      <c r="GC127" s="543">
        <v>0</v>
      </c>
    </row>
    <row r="128" spans="2:185">
      <c r="B128" s="556"/>
      <c r="C128" s="549"/>
      <c r="D128" s="144" t="s">
        <v>537</v>
      </c>
      <c r="E128" s="544">
        <f ca="1" t="shared" si="94"/>
        <v>960388.583803509</v>
      </c>
      <c r="F128" s="542">
        <f ca="1">SUM(F129:F130)</f>
        <v>6627.60687728983</v>
      </c>
      <c r="G128" s="542">
        <f ca="1" t="shared" ref="G128:AL128" si="119">SUM(G129:G130)</f>
        <v>6613.16984103231</v>
      </c>
      <c r="H128" s="542">
        <f ca="1" t="shared" si="119"/>
        <v>6598.73280477479</v>
      </c>
      <c r="I128" s="542">
        <f ca="1" t="shared" si="119"/>
        <v>6584.29576851727</v>
      </c>
      <c r="J128" s="542">
        <f ca="1" t="shared" si="119"/>
        <v>6569.85873225975</v>
      </c>
      <c r="K128" s="542">
        <f ca="1" t="shared" si="119"/>
        <v>6555.42169600223</v>
      </c>
      <c r="L128" s="542">
        <f ca="1" t="shared" si="119"/>
        <v>6540.98465974471</v>
      </c>
      <c r="M128" s="542">
        <f ca="1" t="shared" si="119"/>
        <v>6526.54762348719</v>
      </c>
      <c r="N128" s="542">
        <f ca="1" t="shared" si="119"/>
        <v>6512.11058722966</v>
      </c>
      <c r="O128" s="542">
        <f ca="1" t="shared" si="119"/>
        <v>6497.67355097214</v>
      </c>
      <c r="P128" s="542">
        <f ca="1" t="shared" si="119"/>
        <v>6483.23651471462</v>
      </c>
      <c r="Q128" s="542">
        <f ca="1" t="shared" si="119"/>
        <v>6468.7994784571</v>
      </c>
      <c r="R128" s="542">
        <f ca="1" t="shared" si="119"/>
        <v>6454.36244219958</v>
      </c>
      <c r="S128" s="542">
        <f ca="1" t="shared" si="119"/>
        <v>6439.92540594206</v>
      </c>
      <c r="T128" s="542">
        <f ca="1" t="shared" si="119"/>
        <v>6425.48836968454</v>
      </c>
      <c r="U128" s="542">
        <f ca="1" t="shared" si="119"/>
        <v>6411.05133342702</v>
      </c>
      <c r="V128" s="542">
        <f ca="1" t="shared" si="119"/>
        <v>6396.6142971695</v>
      </c>
      <c r="W128" s="542">
        <f ca="1" t="shared" si="119"/>
        <v>6382.17726091198</v>
      </c>
      <c r="X128" s="542">
        <f ca="1" t="shared" si="119"/>
        <v>6367.74022465446</v>
      </c>
      <c r="Y128" s="542">
        <f ca="1" t="shared" si="119"/>
        <v>6353.30318839694</v>
      </c>
      <c r="Z128" s="542">
        <f ca="1" t="shared" si="119"/>
        <v>6338.86615213942</v>
      </c>
      <c r="AA128" s="542">
        <f ca="1" t="shared" si="119"/>
        <v>6324.42911588189</v>
      </c>
      <c r="AB128" s="542">
        <f ca="1" t="shared" si="119"/>
        <v>6309.99207962437</v>
      </c>
      <c r="AC128" s="542">
        <f ca="1" t="shared" si="119"/>
        <v>6295.55504336685</v>
      </c>
      <c r="AD128" s="542">
        <f ca="1" t="shared" si="119"/>
        <v>6281.11800710933</v>
      </c>
      <c r="AE128" s="542">
        <f ca="1" t="shared" si="119"/>
        <v>6266.68097085181</v>
      </c>
      <c r="AF128" s="542">
        <f ca="1" t="shared" si="119"/>
        <v>6252.24393459429</v>
      </c>
      <c r="AG128" s="542">
        <f ca="1" t="shared" si="119"/>
        <v>6237.80689833677</v>
      </c>
      <c r="AH128" s="542">
        <f ca="1" t="shared" si="119"/>
        <v>6223.36986207925</v>
      </c>
      <c r="AI128" s="542">
        <f ca="1" t="shared" si="119"/>
        <v>6208.93282582173</v>
      </c>
      <c r="AJ128" s="542">
        <f ca="1" t="shared" si="119"/>
        <v>6194.49578956421</v>
      </c>
      <c r="AK128" s="542">
        <f ca="1" t="shared" si="119"/>
        <v>6180.05875330669</v>
      </c>
      <c r="AL128" s="542">
        <f ca="1" t="shared" si="119"/>
        <v>6165.62171704917</v>
      </c>
      <c r="AM128" s="542">
        <f ca="1" t="shared" ref="AM128:BR128" si="120">SUM(AM129:AM130)</f>
        <v>6151.18468079165</v>
      </c>
      <c r="AN128" s="542">
        <f ca="1" t="shared" si="120"/>
        <v>6136.74764453413</v>
      </c>
      <c r="AO128" s="542">
        <f ca="1" t="shared" si="120"/>
        <v>6122.3106082766</v>
      </c>
      <c r="AP128" s="542">
        <f ca="1" t="shared" si="120"/>
        <v>6107.87357201908</v>
      </c>
      <c r="AQ128" s="542">
        <f ca="1" t="shared" si="120"/>
        <v>6093.43653576156</v>
      </c>
      <c r="AR128" s="542">
        <f ca="1" t="shared" si="120"/>
        <v>6078.99949950404</v>
      </c>
      <c r="AS128" s="542">
        <f ca="1" t="shared" si="120"/>
        <v>6064.56246324652</v>
      </c>
      <c r="AT128" s="542">
        <f ca="1" t="shared" si="120"/>
        <v>6050.125426989</v>
      </c>
      <c r="AU128" s="542">
        <f ca="1" t="shared" si="120"/>
        <v>6035.68839073148</v>
      </c>
      <c r="AV128" s="542">
        <f ca="1" t="shared" si="120"/>
        <v>6021.25135447396</v>
      </c>
      <c r="AW128" s="542">
        <f ca="1" t="shared" si="120"/>
        <v>6006.81431821644</v>
      </c>
      <c r="AX128" s="542">
        <f ca="1" t="shared" si="120"/>
        <v>5992.37728195892</v>
      </c>
      <c r="AY128" s="542">
        <f ca="1" t="shared" si="120"/>
        <v>5977.9402457014</v>
      </c>
      <c r="AZ128" s="542">
        <f ca="1" t="shared" si="120"/>
        <v>5963.50320944388</v>
      </c>
      <c r="BA128" s="542">
        <f ca="1" t="shared" si="120"/>
        <v>5949.06617318635</v>
      </c>
      <c r="BB128" s="542">
        <f ca="1" t="shared" si="120"/>
        <v>5934.62913692883</v>
      </c>
      <c r="BC128" s="542">
        <f ca="1" t="shared" si="120"/>
        <v>5920.19210067131</v>
      </c>
      <c r="BD128" s="542">
        <f ca="1" t="shared" si="120"/>
        <v>5905.75506441379</v>
      </c>
      <c r="BE128" s="542">
        <f ca="1" t="shared" si="120"/>
        <v>5891.31802815627</v>
      </c>
      <c r="BF128" s="542">
        <f ca="1" t="shared" si="120"/>
        <v>5876.88099189875</v>
      </c>
      <c r="BG128" s="542">
        <f ca="1" t="shared" si="120"/>
        <v>5862.44395564123</v>
      </c>
      <c r="BH128" s="542">
        <f ca="1" t="shared" si="120"/>
        <v>5848.00691938371</v>
      </c>
      <c r="BI128" s="542">
        <f ca="1" t="shared" si="120"/>
        <v>5833.56988312619</v>
      </c>
      <c r="BJ128" s="542">
        <f ca="1" t="shared" si="120"/>
        <v>5819.13284686867</v>
      </c>
      <c r="BK128" s="542">
        <f ca="1" t="shared" si="120"/>
        <v>5804.69581061115</v>
      </c>
      <c r="BL128" s="542">
        <f ca="1" t="shared" si="120"/>
        <v>5790.25877435363</v>
      </c>
      <c r="BM128" s="542">
        <f ca="1" t="shared" si="120"/>
        <v>5775.8217380961</v>
      </c>
      <c r="BN128" s="542">
        <f ca="1" t="shared" si="120"/>
        <v>5761.38470183858</v>
      </c>
      <c r="BO128" s="542">
        <f ca="1" t="shared" si="120"/>
        <v>5746.94766558106</v>
      </c>
      <c r="BP128" s="542">
        <f ca="1" t="shared" si="120"/>
        <v>5732.51062932354</v>
      </c>
      <c r="BQ128" s="542">
        <f ca="1" t="shared" si="120"/>
        <v>5718.07359306602</v>
      </c>
      <c r="BR128" s="542">
        <f ca="1" t="shared" si="120"/>
        <v>5703.6365568085</v>
      </c>
      <c r="BS128" s="542">
        <f ca="1" t="shared" ref="BS128:CX128" si="121">SUM(BS129:BS130)</f>
        <v>5689.19952055098</v>
      </c>
      <c r="BT128" s="542">
        <f ca="1" t="shared" si="121"/>
        <v>5674.76248429346</v>
      </c>
      <c r="BU128" s="542">
        <f ca="1" t="shared" si="121"/>
        <v>5660.32544803594</v>
      </c>
      <c r="BV128" s="542">
        <f ca="1" t="shared" si="121"/>
        <v>5645.88841177842</v>
      </c>
      <c r="BW128" s="542">
        <f ca="1" t="shared" si="121"/>
        <v>5631.45137552089</v>
      </c>
      <c r="BX128" s="542">
        <f ca="1" t="shared" si="121"/>
        <v>5617.01433926337</v>
      </c>
      <c r="BY128" s="542">
        <f ca="1" t="shared" si="121"/>
        <v>5602.57730300585</v>
      </c>
      <c r="BZ128" s="542">
        <f ca="1" t="shared" si="121"/>
        <v>5588.14026674833</v>
      </c>
      <c r="CA128" s="542">
        <f ca="1" t="shared" si="121"/>
        <v>5573.70323049081</v>
      </c>
      <c r="CB128" s="542">
        <f ca="1" t="shared" si="121"/>
        <v>5559.26619423329</v>
      </c>
      <c r="CC128" s="542">
        <f ca="1" t="shared" si="121"/>
        <v>5544.82915797577</v>
      </c>
      <c r="CD128" s="542">
        <f ca="1" t="shared" si="121"/>
        <v>5530.39212171825</v>
      </c>
      <c r="CE128" s="542">
        <f ca="1" t="shared" si="121"/>
        <v>5515.95508546073</v>
      </c>
      <c r="CF128" s="542">
        <f ca="1" t="shared" si="121"/>
        <v>5501.51804920321</v>
      </c>
      <c r="CG128" s="542">
        <f ca="1" t="shared" si="121"/>
        <v>5487.08101294568</v>
      </c>
      <c r="CH128" s="542">
        <f ca="1" t="shared" si="121"/>
        <v>5472.64397668816</v>
      </c>
      <c r="CI128" s="542">
        <f ca="1" t="shared" si="121"/>
        <v>5458.20694043064</v>
      </c>
      <c r="CJ128" s="542">
        <f ca="1" t="shared" si="121"/>
        <v>5443.76990417312</v>
      </c>
      <c r="CK128" s="542">
        <f ca="1" t="shared" si="121"/>
        <v>5429.3328679156</v>
      </c>
      <c r="CL128" s="542">
        <f ca="1" t="shared" si="121"/>
        <v>5414.89583165808</v>
      </c>
      <c r="CM128" s="542">
        <f ca="1" t="shared" si="121"/>
        <v>5400.45879540056</v>
      </c>
      <c r="CN128" s="542">
        <f ca="1" t="shared" si="121"/>
        <v>5386.02175914304</v>
      </c>
      <c r="CO128" s="542">
        <f ca="1" t="shared" si="121"/>
        <v>5371.58472288552</v>
      </c>
      <c r="CP128" s="542">
        <f ca="1" t="shared" si="121"/>
        <v>5357.147686628</v>
      </c>
      <c r="CQ128" s="542">
        <f ca="1" t="shared" si="121"/>
        <v>5342.71065037048</v>
      </c>
      <c r="CR128" s="542">
        <f ca="1" t="shared" si="121"/>
        <v>5328.27361411295</v>
      </c>
      <c r="CS128" s="542">
        <f ca="1" t="shared" si="121"/>
        <v>5313.83657785543</v>
      </c>
      <c r="CT128" s="542">
        <f ca="1" t="shared" si="121"/>
        <v>5299.39954159791</v>
      </c>
      <c r="CU128" s="542">
        <f ca="1" t="shared" si="121"/>
        <v>5284.96250534039</v>
      </c>
      <c r="CV128" s="542">
        <f ca="1" t="shared" si="121"/>
        <v>5270.52546908287</v>
      </c>
      <c r="CW128" s="542">
        <f ca="1" t="shared" si="121"/>
        <v>5256.08843282535</v>
      </c>
      <c r="CX128" s="542">
        <f ca="1" t="shared" si="121"/>
        <v>5241.65139656783</v>
      </c>
      <c r="CY128" s="542">
        <f ca="1" t="shared" ref="CY128:ED128" si="122">SUM(CY129:CY130)</f>
        <v>5227.21436031031</v>
      </c>
      <c r="CZ128" s="542">
        <f ca="1" t="shared" si="122"/>
        <v>5212.77732405279</v>
      </c>
      <c r="DA128" s="542">
        <f ca="1" t="shared" si="122"/>
        <v>5198.34028779526</v>
      </c>
      <c r="DB128" s="542">
        <f ca="1" t="shared" si="122"/>
        <v>5183.90325153774</v>
      </c>
      <c r="DC128" s="542">
        <f ca="1" t="shared" si="122"/>
        <v>5169.46621528022</v>
      </c>
      <c r="DD128" s="542">
        <f ca="1" t="shared" si="122"/>
        <v>5155.0291790227</v>
      </c>
      <c r="DE128" s="542">
        <f ca="1" t="shared" si="122"/>
        <v>5140.59214276518</v>
      </c>
      <c r="DF128" s="542">
        <f ca="1" t="shared" si="122"/>
        <v>5126.15510650766</v>
      </c>
      <c r="DG128" s="542">
        <f ca="1" t="shared" si="122"/>
        <v>5111.71807025014</v>
      </c>
      <c r="DH128" s="542">
        <f ca="1" t="shared" si="122"/>
        <v>5097.28103399262</v>
      </c>
      <c r="DI128" s="542">
        <f ca="1" t="shared" si="122"/>
        <v>5082.8439977351</v>
      </c>
      <c r="DJ128" s="542">
        <f ca="1" t="shared" si="122"/>
        <v>5068.40696147758</v>
      </c>
      <c r="DK128" s="542">
        <f ca="1" t="shared" si="122"/>
        <v>5053.96992522006</v>
      </c>
      <c r="DL128" s="542">
        <f ca="1" t="shared" si="122"/>
        <v>5039.53288896254</v>
      </c>
      <c r="DM128" s="542">
        <f ca="1" t="shared" si="122"/>
        <v>5025.09585270501</v>
      </c>
      <c r="DN128" s="542">
        <f ca="1" t="shared" si="122"/>
        <v>5010.65881644749</v>
      </c>
      <c r="DO128" s="542">
        <f ca="1" t="shared" si="122"/>
        <v>4996.22178018997</v>
      </c>
      <c r="DP128" s="542">
        <f ca="1" t="shared" si="122"/>
        <v>4981.78474393245</v>
      </c>
      <c r="DQ128" s="542">
        <f ca="1" t="shared" si="122"/>
        <v>4967.34770767493</v>
      </c>
      <c r="DR128" s="542">
        <f ca="1" t="shared" si="122"/>
        <v>4952.91067141741</v>
      </c>
      <c r="DS128" s="542">
        <f ca="1" t="shared" si="122"/>
        <v>4938.47363515989</v>
      </c>
      <c r="DT128" s="542">
        <f ca="1" t="shared" si="122"/>
        <v>4924.03659890237</v>
      </c>
      <c r="DU128" s="542">
        <f ca="1" t="shared" si="122"/>
        <v>4909.59956264485</v>
      </c>
      <c r="DV128" s="542">
        <f ca="1" t="shared" si="122"/>
        <v>4895.16252638733</v>
      </c>
      <c r="DW128" s="542">
        <f ca="1" t="shared" si="122"/>
        <v>4880.72549012981</v>
      </c>
      <c r="DX128" s="542">
        <f ca="1" t="shared" si="122"/>
        <v>4866.28845387229</v>
      </c>
      <c r="DY128" s="542">
        <f ca="1" t="shared" si="122"/>
        <v>4851.85141761477</v>
      </c>
      <c r="DZ128" s="542">
        <f ca="1" t="shared" si="122"/>
        <v>4837.41438135724</v>
      </c>
      <c r="EA128" s="542">
        <f ca="1" t="shared" si="122"/>
        <v>4822.97734509972</v>
      </c>
      <c r="EB128" s="542">
        <f ca="1" t="shared" si="122"/>
        <v>4808.5403088422</v>
      </c>
      <c r="EC128" s="542">
        <f ca="1" t="shared" si="122"/>
        <v>4794.10327258468</v>
      </c>
      <c r="ED128" s="542">
        <f ca="1" t="shared" si="122"/>
        <v>4779.66623632716</v>
      </c>
      <c r="EE128" s="542">
        <f ca="1" t="shared" ref="EE128:FJ128" si="123">SUM(EE129:EE130)</f>
        <v>4765.22920006964</v>
      </c>
      <c r="EF128" s="542">
        <f ca="1" t="shared" si="123"/>
        <v>4750.79216381212</v>
      </c>
      <c r="EG128" s="542">
        <f ca="1" t="shared" si="123"/>
        <v>4736.3551275546</v>
      </c>
      <c r="EH128" s="542">
        <f ca="1" t="shared" si="123"/>
        <v>4721.91809129708</v>
      </c>
      <c r="EI128" s="542">
        <f ca="1" t="shared" si="123"/>
        <v>4707.48105503955</v>
      </c>
      <c r="EJ128" s="542">
        <f ca="1" t="shared" si="123"/>
        <v>4693.04401878203</v>
      </c>
      <c r="EK128" s="542">
        <f ca="1" t="shared" si="123"/>
        <v>4678.60698252451</v>
      </c>
      <c r="EL128" s="542">
        <f ca="1" t="shared" si="123"/>
        <v>4664.16994626699</v>
      </c>
      <c r="EM128" s="542">
        <f ca="1" t="shared" si="123"/>
        <v>4649.73291000947</v>
      </c>
      <c r="EN128" s="542">
        <f ca="1" t="shared" si="123"/>
        <v>4635.29587375195</v>
      </c>
      <c r="EO128" s="542">
        <f ca="1" t="shared" si="123"/>
        <v>4620.85883749443</v>
      </c>
      <c r="EP128" s="542">
        <f ca="1" t="shared" si="123"/>
        <v>4606.42180123691</v>
      </c>
      <c r="EQ128" s="542">
        <f ca="1" t="shared" si="123"/>
        <v>4591.98476497939</v>
      </c>
      <c r="ER128" s="542">
        <f ca="1" t="shared" si="123"/>
        <v>4577.54772872187</v>
      </c>
      <c r="ES128" s="542">
        <f ca="1" t="shared" si="123"/>
        <v>4563.11069246435</v>
      </c>
      <c r="ET128" s="542">
        <f ca="1" t="shared" si="123"/>
        <v>4548.67365620683</v>
      </c>
      <c r="EU128" s="542">
        <f ca="1" t="shared" si="123"/>
        <v>4534.23661994931</v>
      </c>
      <c r="EV128" s="542">
        <f ca="1" t="shared" si="123"/>
        <v>4519.79958369179</v>
      </c>
      <c r="EW128" s="542">
        <f ca="1" t="shared" si="123"/>
        <v>4505.36254743426</v>
      </c>
      <c r="EX128" s="542">
        <f ca="1" t="shared" si="123"/>
        <v>4490.92551117674</v>
      </c>
      <c r="EY128" s="542">
        <f ca="1" t="shared" si="123"/>
        <v>4476.48847491922</v>
      </c>
      <c r="EZ128" s="542">
        <f ca="1" t="shared" si="123"/>
        <v>4462.0514386617</v>
      </c>
      <c r="FA128" s="542">
        <f ca="1" t="shared" si="123"/>
        <v>4447.61440240418</v>
      </c>
      <c r="FB128" s="542">
        <f ca="1" t="shared" si="123"/>
        <v>4433.17736614666</v>
      </c>
      <c r="FC128" s="542">
        <f ca="1" t="shared" si="123"/>
        <v>4418.74032988914</v>
      </c>
      <c r="FD128" s="542">
        <f ca="1" t="shared" si="123"/>
        <v>4404.30329363162</v>
      </c>
      <c r="FE128" s="542">
        <f ca="1" t="shared" si="123"/>
        <v>4389.8662573741</v>
      </c>
      <c r="FF128" s="542">
        <f ca="1" t="shared" si="123"/>
        <v>4375.42922111658</v>
      </c>
      <c r="FG128" s="542">
        <f ca="1" t="shared" si="123"/>
        <v>4360.99218485906</v>
      </c>
      <c r="FH128" s="542">
        <f ca="1" t="shared" si="123"/>
        <v>4346.55514860153</v>
      </c>
      <c r="FI128" s="542">
        <f ca="1" t="shared" si="123"/>
        <v>4332.11811234401</v>
      </c>
      <c r="FJ128" s="542">
        <f ca="1" t="shared" si="123"/>
        <v>4317.68107608649</v>
      </c>
      <c r="FK128" s="542">
        <f ca="1" t="shared" ref="FK128:GC128" si="124">SUM(FK129:FK130)</f>
        <v>4303.24403982897</v>
      </c>
      <c r="FL128" s="542">
        <f ca="1" t="shared" si="124"/>
        <v>4288.80700357145</v>
      </c>
      <c r="FM128" s="542">
        <f ca="1" t="shared" si="124"/>
        <v>4274.36996731393</v>
      </c>
      <c r="FN128" s="542">
        <f ca="1" t="shared" si="124"/>
        <v>4259.93293105641</v>
      </c>
      <c r="FO128" s="542">
        <f ca="1" t="shared" si="124"/>
        <v>4245.49589479889</v>
      </c>
      <c r="FP128" s="542">
        <f ca="1" t="shared" si="124"/>
        <v>4231.05885854137</v>
      </c>
      <c r="FQ128" s="542">
        <f ca="1" t="shared" si="124"/>
        <v>4216.62182228385</v>
      </c>
      <c r="FR128" s="542">
        <f ca="1" t="shared" si="124"/>
        <v>4202.18478602633</v>
      </c>
      <c r="FS128" s="542">
        <f ca="1" t="shared" si="124"/>
        <v>4187.7477497688</v>
      </c>
      <c r="FT128" s="542">
        <f ca="1" t="shared" si="124"/>
        <v>4173.31071351128</v>
      </c>
      <c r="FU128" s="542">
        <f ca="1" t="shared" si="124"/>
        <v>4158.87367725376</v>
      </c>
      <c r="FV128" s="542">
        <f ca="1" t="shared" si="124"/>
        <v>4144.43664099624</v>
      </c>
      <c r="FW128" s="542">
        <f ca="1" t="shared" si="124"/>
        <v>4129.99960473872</v>
      </c>
      <c r="FX128" s="542">
        <f ca="1" t="shared" si="124"/>
        <v>4115.5625684812</v>
      </c>
      <c r="FY128" s="542">
        <f ca="1" t="shared" si="124"/>
        <v>4101.12553222368</v>
      </c>
      <c r="FZ128" s="542">
        <f ca="1" t="shared" si="124"/>
        <v>4086.68849596616</v>
      </c>
      <c r="GA128" s="542">
        <f ca="1" t="shared" si="124"/>
        <v>4072.25145970864</v>
      </c>
      <c r="GB128" s="542">
        <f ca="1" t="shared" si="124"/>
        <v>4057.81442345112</v>
      </c>
      <c r="GC128" s="543">
        <f ca="1" t="shared" si="124"/>
        <v>4043.3773871936</v>
      </c>
    </row>
    <row r="129" spans="2:185">
      <c r="B129" s="556"/>
      <c r="C129" s="549"/>
      <c r="D129" s="145" t="s">
        <v>538</v>
      </c>
      <c r="E129" s="542">
        <f ca="1" t="shared" si="94"/>
        <v>725209.263168491</v>
      </c>
      <c r="F129" s="542">
        <f ca="1">$D$113/$D$111</f>
        <v>4028.94035093607</v>
      </c>
      <c r="G129" s="542">
        <f ca="1" t="shared" ref="G129:P129" si="125">$D$113/$D$111</f>
        <v>4028.94035093607</v>
      </c>
      <c r="H129" s="542">
        <f ca="1" t="shared" si="125"/>
        <v>4028.94035093607</v>
      </c>
      <c r="I129" s="542">
        <f ca="1" t="shared" si="125"/>
        <v>4028.94035093607</v>
      </c>
      <c r="J129" s="542">
        <f ca="1" t="shared" si="125"/>
        <v>4028.94035093607</v>
      </c>
      <c r="K129" s="542">
        <f ca="1" t="shared" si="125"/>
        <v>4028.94035093607</v>
      </c>
      <c r="L129" s="542">
        <f ca="1" t="shared" si="125"/>
        <v>4028.94035093607</v>
      </c>
      <c r="M129" s="542">
        <f ca="1" t="shared" si="125"/>
        <v>4028.94035093607</v>
      </c>
      <c r="N129" s="542">
        <f ca="1" t="shared" si="125"/>
        <v>4028.94035093607</v>
      </c>
      <c r="O129" s="542">
        <f ca="1" t="shared" si="125"/>
        <v>4028.94035093607</v>
      </c>
      <c r="P129" s="542">
        <f ca="1" t="shared" si="125"/>
        <v>4028.94035093607</v>
      </c>
      <c r="Q129" s="542">
        <f ca="1" t="shared" ref="Q129:Z129" si="126">$D$113/$D$111</f>
        <v>4028.94035093607</v>
      </c>
      <c r="R129" s="542">
        <f ca="1" t="shared" si="126"/>
        <v>4028.94035093607</v>
      </c>
      <c r="S129" s="542">
        <f ca="1" t="shared" si="126"/>
        <v>4028.94035093607</v>
      </c>
      <c r="T129" s="542">
        <f ca="1" t="shared" si="126"/>
        <v>4028.94035093607</v>
      </c>
      <c r="U129" s="542">
        <f ca="1" t="shared" si="126"/>
        <v>4028.94035093607</v>
      </c>
      <c r="V129" s="542">
        <f ca="1" t="shared" si="126"/>
        <v>4028.94035093607</v>
      </c>
      <c r="W129" s="542">
        <f ca="1" t="shared" si="126"/>
        <v>4028.94035093607</v>
      </c>
      <c r="X129" s="542">
        <f ca="1" t="shared" si="126"/>
        <v>4028.94035093607</v>
      </c>
      <c r="Y129" s="542">
        <f ca="1" t="shared" si="126"/>
        <v>4028.94035093607</v>
      </c>
      <c r="Z129" s="542">
        <f ca="1" t="shared" si="126"/>
        <v>4028.94035093607</v>
      </c>
      <c r="AA129" s="542">
        <f ca="1" t="shared" ref="AA129:AJ129" si="127">$D$113/$D$111</f>
        <v>4028.94035093607</v>
      </c>
      <c r="AB129" s="542">
        <f ca="1" t="shared" si="127"/>
        <v>4028.94035093607</v>
      </c>
      <c r="AC129" s="542">
        <f ca="1" t="shared" si="127"/>
        <v>4028.94035093607</v>
      </c>
      <c r="AD129" s="542">
        <f ca="1" t="shared" si="127"/>
        <v>4028.94035093607</v>
      </c>
      <c r="AE129" s="542">
        <f ca="1" t="shared" si="127"/>
        <v>4028.94035093607</v>
      </c>
      <c r="AF129" s="542">
        <f ca="1" t="shared" si="127"/>
        <v>4028.94035093607</v>
      </c>
      <c r="AG129" s="542">
        <f ca="1" t="shared" si="127"/>
        <v>4028.94035093607</v>
      </c>
      <c r="AH129" s="542">
        <f ca="1" t="shared" si="127"/>
        <v>4028.94035093607</v>
      </c>
      <c r="AI129" s="542">
        <f ca="1" t="shared" si="127"/>
        <v>4028.94035093607</v>
      </c>
      <c r="AJ129" s="542">
        <f ca="1" t="shared" si="127"/>
        <v>4028.94035093607</v>
      </c>
      <c r="AK129" s="542">
        <f ca="1" t="shared" ref="AK129:AT129" si="128">$D$113/$D$111</f>
        <v>4028.94035093607</v>
      </c>
      <c r="AL129" s="542">
        <f ca="1" t="shared" si="128"/>
        <v>4028.94035093607</v>
      </c>
      <c r="AM129" s="542">
        <f ca="1" t="shared" si="128"/>
        <v>4028.94035093607</v>
      </c>
      <c r="AN129" s="542">
        <f ca="1" t="shared" si="128"/>
        <v>4028.94035093607</v>
      </c>
      <c r="AO129" s="542">
        <f ca="1" t="shared" si="128"/>
        <v>4028.94035093607</v>
      </c>
      <c r="AP129" s="542">
        <f ca="1" t="shared" si="128"/>
        <v>4028.94035093607</v>
      </c>
      <c r="AQ129" s="542">
        <f ca="1" t="shared" si="128"/>
        <v>4028.94035093607</v>
      </c>
      <c r="AR129" s="542">
        <f ca="1" t="shared" si="128"/>
        <v>4028.94035093607</v>
      </c>
      <c r="AS129" s="542">
        <f ca="1" t="shared" si="128"/>
        <v>4028.94035093607</v>
      </c>
      <c r="AT129" s="542">
        <f ca="1" t="shared" si="128"/>
        <v>4028.94035093607</v>
      </c>
      <c r="AU129" s="542">
        <f ca="1" t="shared" ref="AU129:BD129" si="129">$D$113/$D$111</f>
        <v>4028.94035093607</v>
      </c>
      <c r="AV129" s="542">
        <f ca="1" t="shared" si="129"/>
        <v>4028.94035093607</v>
      </c>
      <c r="AW129" s="542">
        <f ca="1" t="shared" si="129"/>
        <v>4028.94035093607</v>
      </c>
      <c r="AX129" s="542">
        <f ca="1" t="shared" si="129"/>
        <v>4028.94035093607</v>
      </c>
      <c r="AY129" s="542">
        <f ca="1" t="shared" si="129"/>
        <v>4028.94035093607</v>
      </c>
      <c r="AZ129" s="542">
        <f ca="1" t="shared" si="129"/>
        <v>4028.94035093607</v>
      </c>
      <c r="BA129" s="542">
        <f ca="1" t="shared" si="129"/>
        <v>4028.94035093607</v>
      </c>
      <c r="BB129" s="542">
        <f ca="1" t="shared" si="129"/>
        <v>4028.94035093607</v>
      </c>
      <c r="BC129" s="542">
        <f ca="1" t="shared" si="129"/>
        <v>4028.94035093607</v>
      </c>
      <c r="BD129" s="542">
        <f ca="1" t="shared" si="129"/>
        <v>4028.94035093607</v>
      </c>
      <c r="BE129" s="542">
        <f ca="1" t="shared" ref="BE129:BN129" si="130">$D$113/$D$111</f>
        <v>4028.94035093607</v>
      </c>
      <c r="BF129" s="542">
        <f ca="1" t="shared" si="130"/>
        <v>4028.94035093607</v>
      </c>
      <c r="BG129" s="542">
        <f ca="1" t="shared" si="130"/>
        <v>4028.94035093607</v>
      </c>
      <c r="BH129" s="542">
        <f ca="1" t="shared" si="130"/>
        <v>4028.94035093607</v>
      </c>
      <c r="BI129" s="542">
        <f ca="1" t="shared" si="130"/>
        <v>4028.94035093607</v>
      </c>
      <c r="BJ129" s="542">
        <f ca="1" t="shared" si="130"/>
        <v>4028.94035093607</v>
      </c>
      <c r="BK129" s="542">
        <f ca="1" t="shared" si="130"/>
        <v>4028.94035093607</v>
      </c>
      <c r="BL129" s="542">
        <f ca="1" t="shared" si="130"/>
        <v>4028.94035093607</v>
      </c>
      <c r="BM129" s="542">
        <f ca="1" t="shared" si="130"/>
        <v>4028.94035093607</v>
      </c>
      <c r="BN129" s="542">
        <f ca="1" t="shared" si="130"/>
        <v>4028.94035093607</v>
      </c>
      <c r="BO129" s="542">
        <f ca="1" t="shared" ref="BO129:BX129" si="131">$D$113/$D$111</f>
        <v>4028.94035093607</v>
      </c>
      <c r="BP129" s="542">
        <f ca="1" t="shared" si="131"/>
        <v>4028.94035093607</v>
      </c>
      <c r="BQ129" s="542">
        <f ca="1" t="shared" si="131"/>
        <v>4028.94035093607</v>
      </c>
      <c r="BR129" s="542">
        <f ca="1" t="shared" si="131"/>
        <v>4028.94035093607</v>
      </c>
      <c r="BS129" s="542">
        <f ca="1" t="shared" si="131"/>
        <v>4028.94035093607</v>
      </c>
      <c r="BT129" s="542">
        <f ca="1" t="shared" si="131"/>
        <v>4028.94035093607</v>
      </c>
      <c r="BU129" s="542">
        <f ca="1" t="shared" si="131"/>
        <v>4028.94035093607</v>
      </c>
      <c r="BV129" s="542">
        <f ca="1" t="shared" si="131"/>
        <v>4028.94035093607</v>
      </c>
      <c r="BW129" s="542">
        <f ca="1" t="shared" si="131"/>
        <v>4028.94035093607</v>
      </c>
      <c r="BX129" s="542">
        <f ca="1" t="shared" si="131"/>
        <v>4028.94035093607</v>
      </c>
      <c r="BY129" s="542">
        <f ca="1" t="shared" ref="BY129:CH129" si="132">$D$113/$D$111</f>
        <v>4028.94035093607</v>
      </c>
      <c r="BZ129" s="542">
        <f ca="1" t="shared" si="132"/>
        <v>4028.94035093607</v>
      </c>
      <c r="CA129" s="542">
        <f ca="1" t="shared" si="132"/>
        <v>4028.94035093607</v>
      </c>
      <c r="CB129" s="542">
        <f ca="1" t="shared" si="132"/>
        <v>4028.94035093607</v>
      </c>
      <c r="CC129" s="542">
        <f ca="1" t="shared" si="132"/>
        <v>4028.94035093607</v>
      </c>
      <c r="CD129" s="542">
        <f ca="1" t="shared" si="132"/>
        <v>4028.94035093607</v>
      </c>
      <c r="CE129" s="542">
        <f ca="1" t="shared" si="132"/>
        <v>4028.94035093607</v>
      </c>
      <c r="CF129" s="542">
        <f ca="1" t="shared" si="132"/>
        <v>4028.94035093607</v>
      </c>
      <c r="CG129" s="542">
        <f ca="1" t="shared" si="132"/>
        <v>4028.94035093607</v>
      </c>
      <c r="CH129" s="542">
        <f ca="1" t="shared" si="132"/>
        <v>4028.94035093607</v>
      </c>
      <c r="CI129" s="542">
        <f ca="1" t="shared" ref="CI129:CR129" si="133">$D$113/$D$111</f>
        <v>4028.94035093607</v>
      </c>
      <c r="CJ129" s="542">
        <f ca="1" t="shared" si="133"/>
        <v>4028.94035093607</v>
      </c>
      <c r="CK129" s="542">
        <f ca="1" t="shared" si="133"/>
        <v>4028.94035093607</v>
      </c>
      <c r="CL129" s="542">
        <f ca="1" t="shared" si="133"/>
        <v>4028.94035093607</v>
      </c>
      <c r="CM129" s="542">
        <f ca="1" t="shared" si="133"/>
        <v>4028.94035093607</v>
      </c>
      <c r="CN129" s="542">
        <f ca="1" t="shared" si="133"/>
        <v>4028.94035093607</v>
      </c>
      <c r="CO129" s="542">
        <f ca="1" t="shared" si="133"/>
        <v>4028.94035093607</v>
      </c>
      <c r="CP129" s="542">
        <f ca="1" t="shared" si="133"/>
        <v>4028.94035093607</v>
      </c>
      <c r="CQ129" s="542">
        <f ca="1" t="shared" si="133"/>
        <v>4028.94035093607</v>
      </c>
      <c r="CR129" s="542">
        <f ca="1" t="shared" si="133"/>
        <v>4028.94035093607</v>
      </c>
      <c r="CS129" s="542">
        <f ca="1" t="shared" ref="CS129:DB129" si="134">$D$113/$D$111</f>
        <v>4028.94035093607</v>
      </c>
      <c r="CT129" s="542">
        <f ca="1" t="shared" si="134"/>
        <v>4028.94035093607</v>
      </c>
      <c r="CU129" s="542">
        <f ca="1" t="shared" si="134"/>
        <v>4028.94035093607</v>
      </c>
      <c r="CV129" s="542">
        <f ca="1" t="shared" si="134"/>
        <v>4028.94035093607</v>
      </c>
      <c r="CW129" s="542">
        <f ca="1" t="shared" si="134"/>
        <v>4028.94035093607</v>
      </c>
      <c r="CX129" s="542">
        <f ca="1" t="shared" si="134"/>
        <v>4028.94035093607</v>
      </c>
      <c r="CY129" s="542">
        <f ca="1" t="shared" si="134"/>
        <v>4028.94035093607</v>
      </c>
      <c r="CZ129" s="542">
        <f ca="1" t="shared" si="134"/>
        <v>4028.94035093607</v>
      </c>
      <c r="DA129" s="542">
        <f ca="1" t="shared" si="134"/>
        <v>4028.94035093607</v>
      </c>
      <c r="DB129" s="542">
        <f ca="1" t="shared" si="134"/>
        <v>4028.94035093607</v>
      </c>
      <c r="DC129" s="542">
        <f ca="1" t="shared" ref="DC129:DL129" si="135">$D$113/$D$111</f>
        <v>4028.94035093607</v>
      </c>
      <c r="DD129" s="542">
        <f ca="1" t="shared" si="135"/>
        <v>4028.94035093607</v>
      </c>
      <c r="DE129" s="542">
        <f ca="1" t="shared" si="135"/>
        <v>4028.94035093607</v>
      </c>
      <c r="DF129" s="542">
        <f ca="1" t="shared" si="135"/>
        <v>4028.94035093607</v>
      </c>
      <c r="DG129" s="542">
        <f ca="1" t="shared" si="135"/>
        <v>4028.94035093607</v>
      </c>
      <c r="DH129" s="542">
        <f ca="1" t="shared" si="135"/>
        <v>4028.94035093607</v>
      </c>
      <c r="DI129" s="542">
        <f ca="1" t="shared" si="135"/>
        <v>4028.94035093607</v>
      </c>
      <c r="DJ129" s="542">
        <f ca="1" t="shared" si="135"/>
        <v>4028.94035093607</v>
      </c>
      <c r="DK129" s="542">
        <f ca="1" t="shared" si="135"/>
        <v>4028.94035093607</v>
      </c>
      <c r="DL129" s="542">
        <f ca="1" t="shared" si="135"/>
        <v>4028.94035093607</v>
      </c>
      <c r="DM129" s="542">
        <f ca="1" t="shared" ref="DM129:DV129" si="136">$D$113/$D$111</f>
        <v>4028.94035093607</v>
      </c>
      <c r="DN129" s="542">
        <f ca="1" t="shared" si="136"/>
        <v>4028.94035093607</v>
      </c>
      <c r="DO129" s="542">
        <f ca="1" t="shared" si="136"/>
        <v>4028.94035093607</v>
      </c>
      <c r="DP129" s="542">
        <f ca="1" t="shared" si="136"/>
        <v>4028.94035093607</v>
      </c>
      <c r="DQ129" s="542">
        <f ca="1" t="shared" si="136"/>
        <v>4028.94035093607</v>
      </c>
      <c r="DR129" s="542">
        <f ca="1" t="shared" si="136"/>
        <v>4028.94035093607</v>
      </c>
      <c r="DS129" s="542">
        <f ca="1" t="shared" si="136"/>
        <v>4028.94035093607</v>
      </c>
      <c r="DT129" s="542">
        <f ca="1" t="shared" si="136"/>
        <v>4028.94035093607</v>
      </c>
      <c r="DU129" s="542">
        <f ca="1" t="shared" si="136"/>
        <v>4028.94035093607</v>
      </c>
      <c r="DV129" s="542">
        <f ca="1" t="shared" si="136"/>
        <v>4028.94035093607</v>
      </c>
      <c r="DW129" s="542">
        <f ca="1" t="shared" ref="DW129:EF129" si="137">$D$113/$D$111</f>
        <v>4028.94035093607</v>
      </c>
      <c r="DX129" s="542">
        <f ca="1" t="shared" si="137"/>
        <v>4028.94035093607</v>
      </c>
      <c r="DY129" s="542">
        <f ca="1" t="shared" si="137"/>
        <v>4028.94035093607</v>
      </c>
      <c r="DZ129" s="542">
        <f ca="1" t="shared" si="137"/>
        <v>4028.94035093607</v>
      </c>
      <c r="EA129" s="542">
        <f ca="1" t="shared" si="137"/>
        <v>4028.94035093607</v>
      </c>
      <c r="EB129" s="542">
        <f ca="1" t="shared" si="137"/>
        <v>4028.94035093607</v>
      </c>
      <c r="EC129" s="542">
        <f ca="1" t="shared" si="137"/>
        <v>4028.94035093607</v>
      </c>
      <c r="ED129" s="542">
        <f ca="1" t="shared" si="137"/>
        <v>4028.94035093607</v>
      </c>
      <c r="EE129" s="542">
        <f ca="1" t="shared" si="137"/>
        <v>4028.94035093607</v>
      </c>
      <c r="EF129" s="542">
        <f ca="1" t="shared" si="137"/>
        <v>4028.94035093607</v>
      </c>
      <c r="EG129" s="542">
        <f ca="1" t="shared" ref="EG129:EP129" si="138">$D$113/$D$111</f>
        <v>4028.94035093607</v>
      </c>
      <c r="EH129" s="542">
        <f ca="1" t="shared" si="138"/>
        <v>4028.94035093607</v>
      </c>
      <c r="EI129" s="542">
        <f ca="1" t="shared" si="138"/>
        <v>4028.94035093607</v>
      </c>
      <c r="EJ129" s="542">
        <f ca="1" t="shared" si="138"/>
        <v>4028.94035093607</v>
      </c>
      <c r="EK129" s="542">
        <f ca="1" t="shared" si="138"/>
        <v>4028.94035093607</v>
      </c>
      <c r="EL129" s="542">
        <f ca="1" t="shared" si="138"/>
        <v>4028.94035093607</v>
      </c>
      <c r="EM129" s="542">
        <f ca="1" t="shared" si="138"/>
        <v>4028.94035093607</v>
      </c>
      <c r="EN129" s="542">
        <f ca="1" t="shared" si="138"/>
        <v>4028.94035093607</v>
      </c>
      <c r="EO129" s="542">
        <f ca="1" t="shared" si="138"/>
        <v>4028.94035093607</v>
      </c>
      <c r="EP129" s="542">
        <f ca="1" t="shared" si="138"/>
        <v>4028.94035093607</v>
      </c>
      <c r="EQ129" s="542">
        <f ca="1" t="shared" ref="EQ129:EZ129" si="139">$D$113/$D$111</f>
        <v>4028.94035093607</v>
      </c>
      <c r="ER129" s="542">
        <f ca="1" t="shared" si="139"/>
        <v>4028.94035093607</v>
      </c>
      <c r="ES129" s="542">
        <f ca="1" t="shared" si="139"/>
        <v>4028.94035093607</v>
      </c>
      <c r="ET129" s="542">
        <f ca="1" t="shared" si="139"/>
        <v>4028.94035093607</v>
      </c>
      <c r="EU129" s="542">
        <f ca="1" t="shared" si="139"/>
        <v>4028.94035093607</v>
      </c>
      <c r="EV129" s="542">
        <f ca="1" t="shared" si="139"/>
        <v>4028.94035093607</v>
      </c>
      <c r="EW129" s="542">
        <f ca="1" t="shared" si="139"/>
        <v>4028.94035093607</v>
      </c>
      <c r="EX129" s="542">
        <f ca="1" t="shared" si="139"/>
        <v>4028.94035093607</v>
      </c>
      <c r="EY129" s="542">
        <f ca="1" t="shared" si="139"/>
        <v>4028.94035093607</v>
      </c>
      <c r="EZ129" s="542">
        <f ca="1" t="shared" si="139"/>
        <v>4028.94035093607</v>
      </c>
      <c r="FA129" s="542">
        <f ca="1" t="shared" ref="FA129:FJ129" si="140">$D$113/$D$111</f>
        <v>4028.94035093607</v>
      </c>
      <c r="FB129" s="542">
        <f ca="1" t="shared" si="140"/>
        <v>4028.94035093607</v>
      </c>
      <c r="FC129" s="542">
        <f ca="1" t="shared" si="140"/>
        <v>4028.94035093607</v>
      </c>
      <c r="FD129" s="542">
        <f ca="1" t="shared" si="140"/>
        <v>4028.94035093607</v>
      </c>
      <c r="FE129" s="542">
        <f ca="1" t="shared" si="140"/>
        <v>4028.94035093607</v>
      </c>
      <c r="FF129" s="542">
        <f ca="1" t="shared" si="140"/>
        <v>4028.94035093607</v>
      </c>
      <c r="FG129" s="542">
        <f ca="1" t="shared" si="140"/>
        <v>4028.94035093607</v>
      </c>
      <c r="FH129" s="542">
        <f ca="1" t="shared" si="140"/>
        <v>4028.94035093607</v>
      </c>
      <c r="FI129" s="542">
        <f ca="1" t="shared" si="140"/>
        <v>4028.94035093607</v>
      </c>
      <c r="FJ129" s="542">
        <f ca="1" t="shared" si="140"/>
        <v>4028.94035093607</v>
      </c>
      <c r="FK129" s="542">
        <f ca="1" t="shared" ref="FK129:FT129" si="141">$D$113/$D$111</f>
        <v>4028.94035093607</v>
      </c>
      <c r="FL129" s="542">
        <f ca="1" t="shared" si="141"/>
        <v>4028.94035093607</v>
      </c>
      <c r="FM129" s="542">
        <f ca="1" t="shared" si="141"/>
        <v>4028.94035093607</v>
      </c>
      <c r="FN129" s="542">
        <f ca="1" t="shared" si="141"/>
        <v>4028.94035093607</v>
      </c>
      <c r="FO129" s="542">
        <f ca="1" t="shared" si="141"/>
        <v>4028.94035093607</v>
      </c>
      <c r="FP129" s="542">
        <f ca="1" t="shared" si="141"/>
        <v>4028.94035093607</v>
      </c>
      <c r="FQ129" s="542">
        <f ca="1" t="shared" si="141"/>
        <v>4028.94035093607</v>
      </c>
      <c r="FR129" s="542">
        <f ca="1" t="shared" si="141"/>
        <v>4028.94035093607</v>
      </c>
      <c r="FS129" s="542">
        <f ca="1" t="shared" si="141"/>
        <v>4028.94035093607</v>
      </c>
      <c r="FT129" s="542">
        <f ca="1" t="shared" si="141"/>
        <v>4028.94035093607</v>
      </c>
      <c r="FU129" s="542">
        <f ca="1" t="shared" ref="FU129:GC129" si="142">$D$113/$D$111</f>
        <v>4028.94035093607</v>
      </c>
      <c r="FV129" s="542">
        <f ca="1" t="shared" si="142"/>
        <v>4028.94035093607</v>
      </c>
      <c r="FW129" s="542">
        <f ca="1" t="shared" si="142"/>
        <v>4028.94035093607</v>
      </c>
      <c r="FX129" s="542">
        <f ca="1" t="shared" si="142"/>
        <v>4028.94035093607</v>
      </c>
      <c r="FY129" s="542">
        <f ca="1" t="shared" si="142"/>
        <v>4028.94035093607</v>
      </c>
      <c r="FZ129" s="542">
        <f ca="1" t="shared" si="142"/>
        <v>4028.94035093607</v>
      </c>
      <c r="GA129" s="542">
        <f ca="1" t="shared" si="142"/>
        <v>4028.94035093607</v>
      </c>
      <c r="GB129" s="542">
        <f ca="1" t="shared" si="142"/>
        <v>4028.94035093607</v>
      </c>
      <c r="GC129" s="543">
        <f ca="1" t="shared" si="142"/>
        <v>4028.94035093607</v>
      </c>
    </row>
    <row r="130" spans="2:185">
      <c r="B130" s="556"/>
      <c r="C130" s="549"/>
      <c r="D130" s="33" t="s">
        <v>539</v>
      </c>
      <c r="E130" s="542">
        <f ca="1" t="shared" si="94"/>
        <v>235179.320635016</v>
      </c>
      <c r="F130" s="542">
        <f ca="1">(F126+F127/2)*$D$114</f>
        <v>2598.66652635376</v>
      </c>
      <c r="G130" s="542">
        <f ca="1" t="shared" ref="G130:AL130" si="143">(G126+G127/2)*$D$114</f>
        <v>2584.22949009624</v>
      </c>
      <c r="H130" s="542">
        <f ca="1" t="shared" si="143"/>
        <v>2569.79245383872</v>
      </c>
      <c r="I130" s="542">
        <f ca="1" t="shared" si="143"/>
        <v>2555.3554175812</v>
      </c>
      <c r="J130" s="542">
        <f ca="1" t="shared" si="143"/>
        <v>2540.91838132368</v>
      </c>
      <c r="K130" s="542">
        <f ca="1" t="shared" si="143"/>
        <v>2526.48134506616</v>
      </c>
      <c r="L130" s="542">
        <f ca="1" t="shared" si="143"/>
        <v>2512.04430880864</v>
      </c>
      <c r="M130" s="542">
        <f ca="1" t="shared" si="143"/>
        <v>2497.60727255112</v>
      </c>
      <c r="N130" s="542">
        <f ca="1" t="shared" si="143"/>
        <v>2483.1702362936</v>
      </c>
      <c r="O130" s="542">
        <f ca="1" t="shared" si="143"/>
        <v>2468.73320003607</v>
      </c>
      <c r="P130" s="542">
        <f ca="1" t="shared" si="143"/>
        <v>2454.29616377855</v>
      </c>
      <c r="Q130" s="542">
        <f ca="1" t="shared" si="143"/>
        <v>2439.85912752103</v>
      </c>
      <c r="R130" s="542">
        <f ca="1" t="shared" si="143"/>
        <v>2425.42209126351</v>
      </c>
      <c r="S130" s="542">
        <f ca="1" t="shared" si="143"/>
        <v>2410.98505500599</v>
      </c>
      <c r="T130" s="542">
        <f ca="1" t="shared" si="143"/>
        <v>2396.54801874847</v>
      </c>
      <c r="U130" s="542">
        <f ca="1" t="shared" si="143"/>
        <v>2382.11098249095</v>
      </c>
      <c r="V130" s="542">
        <f ca="1" t="shared" si="143"/>
        <v>2367.67394623343</v>
      </c>
      <c r="W130" s="542">
        <f ca="1" t="shared" si="143"/>
        <v>2353.23690997591</v>
      </c>
      <c r="X130" s="542">
        <f ca="1" t="shared" si="143"/>
        <v>2338.79987371839</v>
      </c>
      <c r="Y130" s="542">
        <f ca="1" t="shared" si="143"/>
        <v>2324.36283746087</v>
      </c>
      <c r="Z130" s="542">
        <f ca="1" t="shared" si="143"/>
        <v>2309.92580120335</v>
      </c>
      <c r="AA130" s="542">
        <f ca="1" t="shared" si="143"/>
        <v>2295.48876494583</v>
      </c>
      <c r="AB130" s="542">
        <f ca="1" t="shared" si="143"/>
        <v>2281.05172868831</v>
      </c>
      <c r="AC130" s="542">
        <f ca="1" t="shared" si="143"/>
        <v>2266.61469243078</v>
      </c>
      <c r="AD130" s="542">
        <f ca="1" t="shared" si="143"/>
        <v>2252.17765617326</v>
      </c>
      <c r="AE130" s="542">
        <f ca="1" t="shared" si="143"/>
        <v>2237.74061991574</v>
      </c>
      <c r="AF130" s="542">
        <f ca="1" t="shared" si="143"/>
        <v>2223.30358365822</v>
      </c>
      <c r="AG130" s="542">
        <f ca="1" t="shared" si="143"/>
        <v>2208.8665474007</v>
      </c>
      <c r="AH130" s="542">
        <f ca="1" t="shared" si="143"/>
        <v>2194.42951114318</v>
      </c>
      <c r="AI130" s="542">
        <f ca="1" t="shared" si="143"/>
        <v>2179.99247488566</v>
      </c>
      <c r="AJ130" s="542">
        <f ca="1" t="shared" si="143"/>
        <v>2165.55543862814</v>
      </c>
      <c r="AK130" s="542">
        <f ca="1" t="shared" si="143"/>
        <v>2151.11840237062</v>
      </c>
      <c r="AL130" s="542">
        <f ca="1" t="shared" si="143"/>
        <v>2136.6813661131</v>
      </c>
      <c r="AM130" s="542">
        <f ca="1" t="shared" ref="AM130:BR130" si="144">(AM126+AM127/2)*$D$114</f>
        <v>2122.24432985558</v>
      </c>
      <c r="AN130" s="542">
        <f ca="1" t="shared" si="144"/>
        <v>2107.80729359806</v>
      </c>
      <c r="AO130" s="542">
        <f ca="1" t="shared" si="144"/>
        <v>2093.37025734054</v>
      </c>
      <c r="AP130" s="542">
        <f ca="1" t="shared" si="144"/>
        <v>2078.93322108301</v>
      </c>
      <c r="AQ130" s="542">
        <f ca="1" t="shared" si="144"/>
        <v>2064.49618482549</v>
      </c>
      <c r="AR130" s="542">
        <f ca="1" t="shared" si="144"/>
        <v>2050.05914856797</v>
      </c>
      <c r="AS130" s="542">
        <f ca="1" t="shared" si="144"/>
        <v>2035.62211231045</v>
      </c>
      <c r="AT130" s="542">
        <f ca="1" t="shared" si="144"/>
        <v>2021.18507605293</v>
      </c>
      <c r="AU130" s="542">
        <f ca="1" t="shared" si="144"/>
        <v>2006.74803979541</v>
      </c>
      <c r="AV130" s="542">
        <f ca="1" t="shared" si="144"/>
        <v>1992.31100353789</v>
      </c>
      <c r="AW130" s="542">
        <f ca="1" t="shared" si="144"/>
        <v>1977.87396728037</v>
      </c>
      <c r="AX130" s="542">
        <f ca="1" t="shared" si="144"/>
        <v>1963.43693102285</v>
      </c>
      <c r="AY130" s="542">
        <f ca="1" t="shared" si="144"/>
        <v>1948.99989476533</v>
      </c>
      <c r="AZ130" s="542">
        <f ca="1" t="shared" si="144"/>
        <v>1934.56285850781</v>
      </c>
      <c r="BA130" s="542">
        <f ca="1" t="shared" si="144"/>
        <v>1920.12582225029</v>
      </c>
      <c r="BB130" s="542">
        <f ca="1" t="shared" si="144"/>
        <v>1905.68878599277</v>
      </c>
      <c r="BC130" s="542">
        <f ca="1" t="shared" si="144"/>
        <v>1891.25174973525</v>
      </c>
      <c r="BD130" s="542">
        <f ca="1" t="shared" si="144"/>
        <v>1876.81471347772</v>
      </c>
      <c r="BE130" s="542">
        <f ca="1" t="shared" si="144"/>
        <v>1862.3776772202</v>
      </c>
      <c r="BF130" s="542">
        <f ca="1" t="shared" si="144"/>
        <v>1847.94064096268</v>
      </c>
      <c r="BG130" s="542">
        <f ca="1" t="shared" si="144"/>
        <v>1833.50360470516</v>
      </c>
      <c r="BH130" s="542">
        <f ca="1" t="shared" si="144"/>
        <v>1819.06656844764</v>
      </c>
      <c r="BI130" s="542">
        <f ca="1" t="shared" si="144"/>
        <v>1804.62953219012</v>
      </c>
      <c r="BJ130" s="542">
        <f ca="1" t="shared" si="144"/>
        <v>1790.1924959326</v>
      </c>
      <c r="BK130" s="542">
        <f ca="1" t="shared" si="144"/>
        <v>1775.75545967508</v>
      </c>
      <c r="BL130" s="542">
        <f ca="1" t="shared" si="144"/>
        <v>1761.31842341756</v>
      </c>
      <c r="BM130" s="542">
        <f ca="1" t="shared" si="144"/>
        <v>1746.88138716004</v>
      </c>
      <c r="BN130" s="542">
        <f ca="1" t="shared" si="144"/>
        <v>1732.44435090251</v>
      </c>
      <c r="BO130" s="542">
        <f ca="1" t="shared" si="144"/>
        <v>1718.00731464499</v>
      </c>
      <c r="BP130" s="542">
        <f ca="1" t="shared" si="144"/>
        <v>1703.57027838747</v>
      </c>
      <c r="BQ130" s="542">
        <f ca="1" t="shared" si="144"/>
        <v>1689.13324212995</v>
      </c>
      <c r="BR130" s="542">
        <f ca="1" t="shared" si="144"/>
        <v>1674.69620587243</v>
      </c>
      <c r="BS130" s="542">
        <f ca="1" t="shared" ref="BS130:CX130" si="145">(BS126+BS127/2)*$D$114</f>
        <v>1660.25916961491</v>
      </c>
      <c r="BT130" s="542">
        <f ca="1" t="shared" si="145"/>
        <v>1645.82213335739</v>
      </c>
      <c r="BU130" s="542">
        <f ca="1" t="shared" si="145"/>
        <v>1631.38509709987</v>
      </c>
      <c r="BV130" s="542">
        <f ca="1" t="shared" si="145"/>
        <v>1616.94806084235</v>
      </c>
      <c r="BW130" s="542">
        <f ca="1" t="shared" si="145"/>
        <v>1602.51102458483</v>
      </c>
      <c r="BX130" s="542">
        <f ca="1" t="shared" si="145"/>
        <v>1588.0739883273</v>
      </c>
      <c r="BY130" s="542">
        <f ca="1" t="shared" si="145"/>
        <v>1573.63695206978</v>
      </c>
      <c r="BZ130" s="542">
        <f ca="1" t="shared" si="145"/>
        <v>1559.19991581226</v>
      </c>
      <c r="CA130" s="542">
        <f ca="1" t="shared" si="145"/>
        <v>1544.76287955474</v>
      </c>
      <c r="CB130" s="542">
        <f ca="1" t="shared" si="145"/>
        <v>1530.32584329722</v>
      </c>
      <c r="CC130" s="542">
        <f ca="1" t="shared" si="145"/>
        <v>1515.8888070397</v>
      </c>
      <c r="CD130" s="542">
        <f ca="1" t="shared" si="145"/>
        <v>1501.45177078218</v>
      </c>
      <c r="CE130" s="542">
        <f ca="1" t="shared" si="145"/>
        <v>1487.01473452466</v>
      </c>
      <c r="CF130" s="542">
        <f ca="1" t="shared" si="145"/>
        <v>1472.57769826714</v>
      </c>
      <c r="CG130" s="542">
        <f ca="1" t="shared" si="145"/>
        <v>1458.14066200962</v>
      </c>
      <c r="CH130" s="542">
        <f ca="1" t="shared" si="145"/>
        <v>1443.7036257521</v>
      </c>
      <c r="CI130" s="542">
        <f ca="1" t="shared" si="145"/>
        <v>1429.26658949457</v>
      </c>
      <c r="CJ130" s="542">
        <f ca="1" t="shared" si="145"/>
        <v>1414.82955323705</v>
      </c>
      <c r="CK130" s="542">
        <f ca="1" t="shared" si="145"/>
        <v>1400.39251697953</v>
      </c>
      <c r="CL130" s="542">
        <f ca="1" t="shared" si="145"/>
        <v>1385.95548072201</v>
      </c>
      <c r="CM130" s="542">
        <f ca="1" t="shared" si="145"/>
        <v>1371.51844446449</v>
      </c>
      <c r="CN130" s="542">
        <f ca="1" t="shared" si="145"/>
        <v>1357.08140820697</v>
      </c>
      <c r="CO130" s="542">
        <f ca="1" t="shared" si="145"/>
        <v>1342.64437194945</v>
      </c>
      <c r="CP130" s="542">
        <f ca="1" t="shared" si="145"/>
        <v>1328.20733569193</v>
      </c>
      <c r="CQ130" s="542">
        <f ca="1" t="shared" si="145"/>
        <v>1313.77029943441</v>
      </c>
      <c r="CR130" s="542">
        <f ca="1" t="shared" si="145"/>
        <v>1299.33326317689</v>
      </c>
      <c r="CS130" s="542">
        <f ca="1" t="shared" si="145"/>
        <v>1284.89622691937</v>
      </c>
      <c r="CT130" s="542">
        <f ca="1" t="shared" si="145"/>
        <v>1270.45919066184</v>
      </c>
      <c r="CU130" s="542">
        <f ca="1" t="shared" si="145"/>
        <v>1256.02215440432</v>
      </c>
      <c r="CV130" s="542">
        <f ca="1" t="shared" si="145"/>
        <v>1241.5851181468</v>
      </c>
      <c r="CW130" s="542">
        <f ca="1" t="shared" si="145"/>
        <v>1227.14808188928</v>
      </c>
      <c r="CX130" s="542">
        <f ca="1" t="shared" si="145"/>
        <v>1212.71104563176</v>
      </c>
      <c r="CY130" s="542">
        <f ca="1" t="shared" ref="CY130:ED130" si="146">(CY126+CY127/2)*$D$114</f>
        <v>1198.27400937424</v>
      </c>
      <c r="CZ130" s="542">
        <f ca="1" t="shared" si="146"/>
        <v>1183.83697311672</v>
      </c>
      <c r="DA130" s="542">
        <f ca="1" t="shared" si="146"/>
        <v>1169.3999368592</v>
      </c>
      <c r="DB130" s="542">
        <f ca="1" t="shared" si="146"/>
        <v>1154.96290060168</v>
      </c>
      <c r="DC130" s="542">
        <f ca="1" t="shared" si="146"/>
        <v>1140.52586434415</v>
      </c>
      <c r="DD130" s="542">
        <f ca="1" t="shared" si="146"/>
        <v>1126.08882808663</v>
      </c>
      <c r="DE130" s="542">
        <f ca="1" t="shared" si="146"/>
        <v>1111.65179182911</v>
      </c>
      <c r="DF130" s="542">
        <f ca="1" t="shared" si="146"/>
        <v>1097.21475557159</v>
      </c>
      <c r="DG130" s="542">
        <f ca="1" t="shared" si="146"/>
        <v>1082.77771931407</v>
      </c>
      <c r="DH130" s="542">
        <f ca="1" t="shared" si="146"/>
        <v>1068.34068305655</v>
      </c>
      <c r="DI130" s="542">
        <f ca="1" t="shared" si="146"/>
        <v>1053.90364679903</v>
      </c>
      <c r="DJ130" s="542">
        <f ca="1" t="shared" si="146"/>
        <v>1039.46661054151</v>
      </c>
      <c r="DK130" s="542">
        <f ca="1" t="shared" si="146"/>
        <v>1025.02957428399</v>
      </c>
      <c r="DL130" s="542">
        <f ca="1" t="shared" si="146"/>
        <v>1010.59253802647</v>
      </c>
      <c r="DM130" s="542">
        <f ca="1" t="shared" si="146"/>
        <v>996.155501768946</v>
      </c>
      <c r="DN130" s="542">
        <f ca="1" t="shared" si="146"/>
        <v>981.718465511425</v>
      </c>
      <c r="DO130" s="542">
        <f ca="1" t="shared" si="146"/>
        <v>967.281429253904</v>
      </c>
      <c r="DP130" s="542">
        <f ca="1" t="shared" si="146"/>
        <v>952.844392996383</v>
      </c>
      <c r="DQ130" s="542">
        <f ca="1" t="shared" si="146"/>
        <v>938.407356738863</v>
      </c>
      <c r="DR130" s="542">
        <f ca="1" t="shared" si="146"/>
        <v>923.970320481342</v>
      </c>
      <c r="DS130" s="542">
        <f ca="1" t="shared" si="146"/>
        <v>909.533284223821</v>
      </c>
      <c r="DT130" s="542">
        <f ca="1" t="shared" si="146"/>
        <v>895.0962479663</v>
      </c>
      <c r="DU130" s="542">
        <f ca="1" t="shared" si="146"/>
        <v>880.65921170878</v>
      </c>
      <c r="DV130" s="542">
        <f ca="1" t="shared" si="146"/>
        <v>866.222175451259</v>
      </c>
      <c r="DW130" s="542">
        <f ca="1" t="shared" si="146"/>
        <v>851.785139193738</v>
      </c>
      <c r="DX130" s="542">
        <f ca="1" t="shared" si="146"/>
        <v>837.348102936218</v>
      </c>
      <c r="DY130" s="542">
        <f ca="1" t="shared" si="146"/>
        <v>822.911066678697</v>
      </c>
      <c r="DZ130" s="542">
        <f ca="1" t="shared" si="146"/>
        <v>808.474030421176</v>
      </c>
      <c r="EA130" s="542">
        <f ca="1" t="shared" si="146"/>
        <v>794.036994163652</v>
      </c>
      <c r="EB130" s="542">
        <f ca="1" t="shared" si="146"/>
        <v>779.599957906131</v>
      </c>
      <c r="EC130" s="542">
        <f ca="1" t="shared" si="146"/>
        <v>765.16292164861</v>
      </c>
      <c r="ED130" s="542">
        <f ca="1" t="shared" si="146"/>
        <v>750.725885391089</v>
      </c>
      <c r="EE130" s="542">
        <f ca="1" t="shared" ref="EE130:FJ130" si="147">(EE126+EE127/2)*$D$114</f>
        <v>736.288849133569</v>
      </c>
      <c r="EF130" s="542">
        <f ca="1" t="shared" si="147"/>
        <v>721.851812876048</v>
      </c>
      <c r="EG130" s="542">
        <f ca="1" t="shared" si="147"/>
        <v>707.414776618527</v>
      </c>
      <c r="EH130" s="542">
        <f ca="1" t="shared" si="147"/>
        <v>692.977740361006</v>
      </c>
      <c r="EI130" s="542">
        <f ca="1" t="shared" si="147"/>
        <v>678.540704103486</v>
      </c>
      <c r="EJ130" s="542">
        <f ca="1" t="shared" si="147"/>
        <v>664.103667845965</v>
      </c>
      <c r="EK130" s="542">
        <f ca="1" t="shared" si="147"/>
        <v>649.666631588444</v>
      </c>
      <c r="EL130" s="542">
        <f ca="1" t="shared" si="147"/>
        <v>635.229595330923</v>
      </c>
      <c r="EM130" s="542">
        <f ca="1" t="shared" si="147"/>
        <v>620.792559073403</v>
      </c>
      <c r="EN130" s="542">
        <f ca="1" t="shared" si="147"/>
        <v>606.355522815882</v>
      </c>
      <c r="EO130" s="542">
        <f ca="1" t="shared" si="147"/>
        <v>591.918486558361</v>
      </c>
      <c r="EP130" s="542">
        <f ca="1" t="shared" si="147"/>
        <v>577.48145030084</v>
      </c>
      <c r="EQ130" s="542">
        <f ca="1" t="shared" si="147"/>
        <v>563.04441404332</v>
      </c>
      <c r="ER130" s="542">
        <f ca="1" t="shared" si="147"/>
        <v>548.607377785799</v>
      </c>
      <c r="ES130" s="542">
        <f ca="1" t="shared" si="147"/>
        <v>534.170341528278</v>
      </c>
      <c r="ET130" s="542">
        <f ca="1" t="shared" si="147"/>
        <v>519.733305270758</v>
      </c>
      <c r="EU130" s="542">
        <f ca="1" t="shared" si="147"/>
        <v>505.296269013237</v>
      </c>
      <c r="EV130" s="542">
        <f ca="1" t="shared" si="147"/>
        <v>490.859232755717</v>
      </c>
      <c r="EW130" s="542">
        <f ca="1" t="shared" si="147"/>
        <v>476.422196498196</v>
      </c>
      <c r="EX130" s="542">
        <f ca="1" t="shared" si="147"/>
        <v>461.985160240675</v>
      </c>
      <c r="EY130" s="542">
        <f ca="1" t="shared" si="147"/>
        <v>447.548123983151</v>
      </c>
      <c r="EZ130" s="542">
        <f ca="1" t="shared" si="147"/>
        <v>433.111087725631</v>
      </c>
      <c r="FA130" s="542">
        <f ca="1" t="shared" si="147"/>
        <v>418.67405146811</v>
      </c>
      <c r="FB130" s="542">
        <f ca="1" t="shared" si="147"/>
        <v>404.237015210589</v>
      </c>
      <c r="FC130" s="542">
        <f ca="1" t="shared" si="147"/>
        <v>389.799978953069</v>
      </c>
      <c r="FD130" s="542">
        <f ca="1" t="shared" si="147"/>
        <v>375.362942695548</v>
      </c>
      <c r="FE130" s="542">
        <f ca="1" t="shared" si="147"/>
        <v>360.925906438028</v>
      </c>
      <c r="FF130" s="542">
        <f ca="1" t="shared" si="147"/>
        <v>346.488870180507</v>
      </c>
      <c r="FG130" s="542">
        <f ca="1" t="shared" si="147"/>
        <v>332.051833922986</v>
      </c>
      <c r="FH130" s="542">
        <f ca="1" t="shared" si="147"/>
        <v>317.614797665466</v>
      </c>
      <c r="FI130" s="542">
        <f ca="1" t="shared" si="147"/>
        <v>303.177761407945</v>
      </c>
      <c r="FJ130" s="542">
        <f ca="1" t="shared" si="147"/>
        <v>288.740725150421</v>
      </c>
      <c r="FK130" s="542">
        <f ca="1" t="shared" ref="FK130:GC130" si="148">(FK126+FK127/2)*$D$114</f>
        <v>274.3036888929</v>
      </c>
      <c r="FL130" s="542">
        <f ca="1" t="shared" si="148"/>
        <v>259.86665263538</v>
      </c>
      <c r="FM130" s="542">
        <f ca="1" t="shared" si="148"/>
        <v>245.429616377859</v>
      </c>
      <c r="FN130" s="542">
        <f ca="1" t="shared" si="148"/>
        <v>230.992580120339</v>
      </c>
      <c r="FO130" s="542">
        <f ca="1" t="shared" si="148"/>
        <v>216.555543862818</v>
      </c>
      <c r="FP130" s="542">
        <f ca="1" t="shared" si="148"/>
        <v>202.118507605297</v>
      </c>
      <c r="FQ130" s="542">
        <f ca="1" t="shared" si="148"/>
        <v>187.681471347777</v>
      </c>
      <c r="FR130" s="542">
        <f ca="1" t="shared" si="148"/>
        <v>173.244435090256</v>
      </c>
      <c r="FS130" s="542">
        <f ca="1" t="shared" si="148"/>
        <v>158.807398832736</v>
      </c>
      <c r="FT130" s="542">
        <f ca="1" t="shared" si="148"/>
        <v>144.370362575215</v>
      </c>
      <c r="FU130" s="542">
        <f ca="1" t="shared" si="148"/>
        <v>129.933326317694</v>
      </c>
      <c r="FV130" s="542">
        <f ca="1" t="shared" si="148"/>
        <v>115.49629006017</v>
      </c>
      <c r="FW130" s="542">
        <f ca="1" t="shared" si="148"/>
        <v>101.05925380265</v>
      </c>
      <c r="FX130" s="542">
        <f ca="1" t="shared" si="148"/>
        <v>86.622217545129</v>
      </c>
      <c r="FY130" s="542">
        <f ca="1" t="shared" si="148"/>
        <v>72.1851812876085</v>
      </c>
      <c r="FZ130" s="542">
        <f ca="1" t="shared" si="148"/>
        <v>57.7481450300878</v>
      </c>
      <c r="GA130" s="542">
        <f ca="1" t="shared" si="148"/>
        <v>43.3111087725673</v>
      </c>
      <c r="GB130" s="542">
        <f ca="1" t="shared" si="148"/>
        <v>28.8740725150466</v>
      </c>
      <c r="GC130" s="543">
        <f ca="1" t="shared" si="148"/>
        <v>14.4370362575259</v>
      </c>
    </row>
    <row r="131" ht="17.25" spans="2:185">
      <c r="B131" s="560"/>
      <c r="C131" s="551"/>
      <c r="D131" s="163" t="s">
        <v>540</v>
      </c>
      <c r="E131" s="546">
        <f ca="1">GC131</f>
        <v>1.52340362546965e-9</v>
      </c>
      <c r="F131" s="546">
        <f ca="1">F126+F127-F129</f>
        <v>721180.322817556</v>
      </c>
      <c r="G131" s="546">
        <f ca="1" t="shared" ref="G131:AL131" si="149">G126+G127-G129</f>
        <v>717151.38246662</v>
      </c>
      <c r="H131" s="546">
        <f ca="1" t="shared" si="149"/>
        <v>713122.442115684</v>
      </c>
      <c r="I131" s="546">
        <f ca="1" t="shared" si="149"/>
        <v>709093.501764748</v>
      </c>
      <c r="J131" s="546">
        <f ca="1" t="shared" si="149"/>
        <v>705064.561413812</v>
      </c>
      <c r="K131" s="546">
        <f ca="1" t="shared" si="149"/>
        <v>701035.621062876</v>
      </c>
      <c r="L131" s="546">
        <f ca="1" t="shared" si="149"/>
        <v>697006.68071194</v>
      </c>
      <c r="M131" s="546">
        <f ca="1" t="shared" si="149"/>
        <v>692977.740361004</v>
      </c>
      <c r="N131" s="546">
        <f ca="1" t="shared" si="149"/>
        <v>688948.800010068</v>
      </c>
      <c r="O131" s="546">
        <f ca="1" t="shared" si="149"/>
        <v>684919.859659132</v>
      </c>
      <c r="P131" s="546">
        <f ca="1" t="shared" si="149"/>
        <v>680890.919308196</v>
      </c>
      <c r="Q131" s="546">
        <f ca="1" t="shared" si="149"/>
        <v>676861.97895726</v>
      </c>
      <c r="R131" s="546">
        <f ca="1" t="shared" si="149"/>
        <v>672833.038606324</v>
      </c>
      <c r="S131" s="546">
        <f ca="1" t="shared" si="149"/>
        <v>668804.098255388</v>
      </c>
      <c r="T131" s="546">
        <f ca="1" t="shared" si="149"/>
        <v>664775.157904452</v>
      </c>
      <c r="U131" s="546">
        <f ca="1" t="shared" si="149"/>
        <v>660746.217553516</v>
      </c>
      <c r="V131" s="546">
        <f ca="1" t="shared" si="149"/>
        <v>656717.27720258</v>
      </c>
      <c r="W131" s="546">
        <f ca="1" t="shared" si="149"/>
        <v>652688.336851644</v>
      </c>
      <c r="X131" s="546">
        <f ca="1" t="shared" si="149"/>
        <v>648659.396500708</v>
      </c>
      <c r="Y131" s="546">
        <f ca="1" t="shared" si="149"/>
        <v>644630.456149772</v>
      </c>
      <c r="Z131" s="546">
        <f ca="1" t="shared" si="149"/>
        <v>640601.515798836</v>
      </c>
      <c r="AA131" s="546">
        <f ca="1" t="shared" si="149"/>
        <v>636572.5754479</v>
      </c>
      <c r="AB131" s="546">
        <f ca="1" t="shared" si="149"/>
        <v>632543.635096964</v>
      </c>
      <c r="AC131" s="546">
        <f ca="1" t="shared" si="149"/>
        <v>628514.694746028</v>
      </c>
      <c r="AD131" s="546">
        <f ca="1" t="shared" si="149"/>
        <v>624485.754395092</v>
      </c>
      <c r="AE131" s="546">
        <f ca="1" t="shared" si="149"/>
        <v>620456.814044156</v>
      </c>
      <c r="AF131" s="546">
        <f ca="1" t="shared" si="149"/>
        <v>616427.87369322</v>
      </c>
      <c r="AG131" s="546">
        <f ca="1" t="shared" si="149"/>
        <v>612398.933342284</v>
      </c>
      <c r="AH131" s="546">
        <f ca="1" t="shared" si="149"/>
        <v>608369.992991348</v>
      </c>
      <c r="AI131" s="546">
        <f ca="1" t="shared" si="149"/>
        <v>604341.052640412</v>
      </c>
      <c r="AJ131" s="546">
        <f ca="1" t="shared" si="149"/>
        <v>600312.112289476</v>
      </c>
      <c r="AK131" s="546">
        <f ca="1" t="shared" si="149"/>
        <v>596283.171938539</v>
      </c>
      <c r="AL131" s="546">
        <f ca="1" t="shared" si="149"/>
        <v>592254.231587603</v>
      </c>
      <c r="AM131" s="546">
        <f ca="1" t="shared" ref="AM131:BR131" si="150">AM126+AM127-AM129</f>
        <v>588225.291236667</v>
      </c>
      <c r="AN131" s="546">
        <f ca="1" t="shared" si="150"/>
        <v>584196.350885731</v>
      </c>
      <c r="AO131" s="546">
        <f ca="1" t="shared" si="150"/>
        <v>580167.410534795</v>
      </c>
      <c r="AP131" s="546">
        <f ca="1" t="shared" si="150"/>
        <v>576138.470183859</v>
      </c>
      <c r="AQ131" s="546">
        <f ca="1" t="shared" si="150"/>
        <v>572109.529832923</v>
      </c>
      <c r="AR131" s="546">
        <f ca="1" t="shared" si="150"/>
        <v>568080.589481987</v>
      </c>
      <c r="AS131" s="546">
        <f ca="1" t="shared" si="150"/>
        <v>564051.649131051</v>
      </c>
      <c r="AT131" s="546">
        <f ca="1" t="shared" si="150"/>
        <v>560022.708780115</v>
      </c>
      <c r="AU131" s="546">
        <f ca="1" t="shared" si="150"/>
        <v>555993.768429179</v>
      </c>
      <c r="AV131" s="546">
        <f ca="1" t="shared" si="150"/>
        <v>551964.828078243</v>
      </c>
      <c r="AW131" s="546">
        <f ca="1" t="shared" si="150"/>
        <v>547935.887727307</v>
      </c>
      <c r="AX131" s="546">
        <f ca="1" t="shared" si="150"/>
        <v>543906.947376371</v>
      </c>
      <c r="AY131" s="546">
        <f ca="1" t="shared" si="150"/>
        <v>539878.007025435</v>
      </c>
      <c r="AZ131" s="546">
        <f ca="1" t="shared" si="150"/>
        <v>535849.066674499</v>
      </c>
      <c r="BA131" s="546">
        <f ca="1" t="shared" si="150"/>
        <v>531820.126323563</v>
      </c>
      <c r="BB131" s="546">
        <f ca="1" t="shared" si="150"/>
        <v>527791.185972627</v>
      </c>
      <c r="BC131" s="546">
        <f ca="1" t="shared" si="150"/>
        <v>523762.245621691</v>
      </c>
      <c r="BD131" s="546">
        <f ca="1" t="shared" si="150"/>
        <v>519733.305270755</v>
      </c>
      <c r="BE131" s="546">
        <f ca="1" t="shared" si="150"/>
        <v>515704.364919819</v>
      </c>
      <c r="BF131" s="546">
        <f ca="1" t="shared" si="150"/>
        <v>511675.424568883</v>
      </c>
      <c r="BG131" s="546">
        <f ca="1" t="shared" si="150"/>
        <v>507646.484217947</v>
      </c>
      <c r="BH131" s="546">
        <f ca="1" t="shared" si="150"/>
        <v>503617.543867011</v>
      </c>
      <c r="BI131" s="546">
        <f ca="1" t="shared" si="150"/>
        <v>499588.603516074</v>
      </c>
      <c r="BJ131" s="546">
        <f ca="1" t="shared" si="150"/>
        <v>495559.663165138</v>
      </c>
      <c r="BK131" s="546">
        <f ca="1" t="shared" si="150"/>
        <v>491530.722814202</v>
      </c>
      <c r="BL131" s="546">
        <f ca="1" t="shared" si="150"/>
        <v>487501.782463266</v>
      </c>
      <c r="BM131" s="546">
        <f ca="1" t="shared" si="150"/>
        <v>483472.84211233</v>
      </c>
      <c r="BN131" s="546">
        <f ca="1" t="shared" si="150"/>
        <v>479443.901761394</v>
      </c>
      <c r="BO131" s="546">
        <f ca="1" t="shared" si="150"/>
        <v>475414.961410458</v>
      </c>
      <c r="BP131" s="546">
        <f ca="1" t="shared" si="150"/>
        <v>471386.021059522</v>
      </c>
      <c r="BQ131" s="546">
        <f ca="1" t="shared" si="150"/>
        <v>467357.080708586</v>
      </c>
      <c r="BR131" s="546">
        <f ca="1" t="shared" si="150"/>
        <v>463328.14035765</v>
      </c>
      <c r="BS131" s="546">
        <f ca="1" t="shared" ref="BS131:CX131" si="151">BS126+BS127-BS129</f>
        <v>459299.200006714</v>
      </c>
      <c r="BT131" s="546">
        <f ca="1" t="shared" si="151"/>
        <v>455270.259655777</v>
      </c>
      <c r="BU131" s="546">
        <f ca="1" t="shared" si="151"/>
        <v>451241.319304841</v>
      </c>
      <c r="BV131" s="546">
        <f ca="1" t="shared" si="151"/>
        <v>447212.378953905</v>
      </c>
      <c r="BW131" s="546">
        <f ca="1" t="shared" si="151"/>
        <v>443183.438602969</v>
      </c>
      <c r="BX131" s="546">
        <f ca="1" t="shared" si="151"/>
        <v>439154.498252033</v>
      </c>
      <c r="BY131" s="546">
        <f ca="1" t="shared" si="151"/>
        <v>435125.557901097</v>
      </c>
      <c r="BZ131" s="546">
        <f ca="1" t="shared" si="151"/>
        <v>431096.617550161</v>
      </c>
      <c r="CA131" s="546">
        <f ca="1" t="shared" si="151"/>
        <v>427067.677199225</v>
      </c>
      <c r="CB131" s="546">
        <f ca="1" t="shared" si="151"/>
        <v>423038.736848289</v>
      </c>
      <c r="CC131" s="546">
        <f ca="1" t="shared" si="151"/>
        <v>419009.796497353</v>
      </c>
      <c r="CD131" s="546">
        <f ca="1" t="shared" si="151"/>
        <v>414980.856146417</v>
      </c>
      <c r="CE131" s="546">
        <f ca="1" t="shared" si="151"/>
        <v>410951.915795481</v>
      </c>
      <c r="CF131" s="546">
        <f ca="1" t="shared" si="151"/>
        <v>406922.975444544</v>
      </c>
      <c r="CG131" s="546">
        <f ca="1" t="shared" si="151"/>
        <v>402894.035093608</v>
      </c>
      <c r="CH131" s="546">
        <f ca="1" t="shared" si="151"/>
        <v>398865.094742672</v>
      </c>
      <c r="CI131" s="546">
        <f ca="1" t="shared" si="151"/>
        <v>394836.154391736</v>
      </c>
      <c r="CJ131" s="546">
        <f ca="1" t="shared" si="151"/>
        <v>390807.2140408</v>
      </c>
      <c r="CK131" s="546">
        <f ca="1" t="shared" si="151"/>
        <v>386778.273689864</v>
      </c>
      <c r="CL131" s="546">
        <f ca="1" t="shared" si="151"/>
        <v>382749.333338928</v>
      </c>
      <c r="CM131" s="546">
        <f ca="1" t="shared" si="151"/>
        <v>378720.392987992</v>
      </c>
      <c r="CN131" s="546">
        <f ca="1" t="shared" si="151"/>
        <v>374691.452637056</v>
      </c>
      <c r="CO131" s="546">
        <f ca="1" t="shared" si="151"/>
        <v>370662.51228612</v>
      </c>
      <c r="CP131" s="546">
        <f ca="1" t="shared" si="151"/>
        <v>366633.571935184</v>
      </c>
      <c r="CQ131" s="546">
        <f ca="1" t="shared" si="151"/>
        <v>362604.631584248</v>
      </c>
      <c r="CR131" s="546">
        <f ca="1" t="shared" si="151"/>
        <v>358575.691233311</v>
      </c>
      <c r="CS131" s="546">
        <f ca="1" t="shared" si="151"/>
        <v>354546.750882375</v>
      </c>
      <c r="CT131" s="546">
        <f ca="1" t="shared" si="151"/>
        <v>350517.810531439</v>
      </c>
      <c r="CU131" s="546">
        <f ca="1" t="shared" si="151"/>
        <v>346488.870180503</v>
      </c>
      <c r="CV131" s="546">
        <f ca="1" t="shared" si="151"/>
        <v>342459.929829567</v>
      </c>
      <c r="CW131" s="546">
        <f ca="1" t="shared" si="151"/>
        <v>338430.989478631</v>
      </c>
      <c r="CX131" s="546">
        <f ca="1" t="shared" si="151"/>
        <v>334402.049127695</v>
      </c>
      <c r="CY131" s="546">
        <f ca="1" t="shared" ref="CY131:ED131" si="152">CY126+CY127-CY129</f>
        <v>330373.108776759</v>
      </c>
      <c r="CZ131" s="546">
        <f ca="1" t="shared" si="152"/>
        <v>326344.168425823</v>
      </c>
      <c r="DA131" s="546">
        <f ca="1" t="shared" si="152"/>
        <v>322315.228074886</v>
      </c>
      <c r="DB131" s="546">
        <f ca="1" t="shared" si="152"/>
        <v>318286.28772395</v>
      </c>
      <c r="DC131" s="546">
        <f ca="1" t="shared" si="152"/>
        <v>314257.347373014</v>
      </c>
      <c r="DD131" s="546">
        <f ca="1" t="shared" si="152"/>
        <v>310228.407022078</v>
      </c>
      <c r="DE131" s="546">
        <f ca="1" t="shared" si="152"/>
        <v>306199.466671142</v>
      </c>
      <c r="DF131" s="546">
        <f ca="1" t="shared" si="152"/>
        <v>302170.526320206</v>
      </c>
      <c r="DG131" s="546">
        <f ca="1" t="shared" si="152"/>
        <v>298141.58596927</v>
      </c>
      <c r="DH131" s="546">
        <f ca="1" t="shared" si="152"/>
        <v>294112.645618334</v>
      </c>
      <c r="DI131" s="546">
        <f ca="1" t="shared" si="152"/>
        <v>290083.705267398</v>
      </c>
      <c r="DJ131" s="546">
        <f ca="1" t="shared" si="152"/>
        <v>286054.764916462</v>
      </c>
      <c r="DK131" s="546">
        <f ca="1" t="shared" si="152"/>
        <v>282025.824565526</v>
      </c>
      <c r="DL131" s="546">
        <f ca="1" t="shared" si="152"/>
        <v>277996.88421459</v>
      </c>
      <c r="DM131" s="546">
        <f ca="1" t="shared" si="152"/>
        <v>273967.943863654</v>
      </c>
      <c r="DN131" s="546">
        <f ca="1" t="shared" si="152"/>
        <v>269939.003512718</v>
      </c>
      <c r="DO131" s="546">
        <f ca="1" t="shared" si="152"/>
        <v>265910.063161782</v>
      </c>
      <c r="DP131" s="546">
        <f ca="1" t="shared" si="152"/>
        <v>261881.122810846</v>
      </c>
      <c r="DQ131" s="546">
        <f ca="1" t="shared" si="152"/>
        <v>257852.18245991</v>
      </c>
      <c r="DR131" s="546">
        <f ca="1" t="shared" si="152"/>
        <v>253823.242108974</v>
      </c>
      <c r="DS131" s="546">
        <f ca="1" t="shared" si="152"/>
        <v>249794.301758038</v>
      </c>
      <c r="DT131" s="546">
        <f ca="1" t="shared" si="152"/>
        <v>245765.361407102</v>
      </c>
      <c r="DU131" s="546">
        <f ca="1" t="shared" si="152"/>
        <v>241736.421056165</v>
      </c>
      <c r="DV131" s="546">
        <f ca="1" t="shared" si="152"/>
        <v>237707.480705229</v>
      </c>
      <c r="DW131" s="546">
        <f ca="1" t="shared" si="152"/>
        <v>233678.540354293</v>
      </c>
      <c r="DX131" s="546">
        <f ca="1" t="shared" si="152"/>
        <v>229649.600003357</v>
      </c>
      <c r="DY131" s="546">
        <f ca="1" t="shared" si="152"/>
        <v>225620.659652421</v>
      </c>
      <c r="DZ131" s="546">
        <f ca="1" t="shared" si="152"/>
        <v>221591.719301485</v>
      </c>
      <c r="EA131" s="546">
        <f ca="1" t="shared" si="152"/>
        <v>217562.778950548</v>
      </c>
      <c r="EB131" s="546">
        <f ca="1" t="shared" si="152"/>
        <v>213533.838599612</v>
      </c>
      <c r="EC131" s="546">
        <f ca="1" t="shared" si="152"/>
        <v>209504.898248676</v>
      </c>
      <c r="ED131" s="546">
        <f ca="1" t="shared" si="152"/>
        <v>205475.95789774</v>
      </c>
      <c r="EE131" s="546">
        <f ca="1" t="shared" ref="EE131:FJ131" si="153">EE126+EE127-EE129</f>
        <v>201447.017546804</v>
      </c>
      <c r="EF131" s="546">
        <f ca="1" t="shared" si="153"/>
        <v>197418.077195868</v>
      </c>
      <c r="EG131" s="546">
        <f ca="1" t="shared" si="153"/>
        <v>193389.136844932</v>
      </c>
      <c r="EH131" s="546">
        <f ca="1" t="shared" si="153"/>
        <v>189360.196493996</v>
      </c>
      <c r="EI131" s="546">
        <f ca="1" t="shared" si="153"/>
        <v>185331.25614306</v>
      </c>
      <c r="EJ131" s="546">
        <f ca="1" t="shared" si="153"/>
        <v>181302.315792124</v>
      </c>
      <c r="EK131" s="546">
        <f ca="1" t="shared" si="153"/>
        <v>177273.375441188</v>
      </c>
      <c r="EL131" s="546">
        <f ca="1" t="shared" si="153"/>
        <v>173244.435090252</v>
      </c>
      <c r="EM131" s="546">
        <f ca="1" t="shared" si="153"/>
        <v>169215.494739316</v>
      </c>
      <c r="EN131" s="546">
        <f ca="1" t="shared" si="153"/>
        <v>165186.55438838</v>
      </c>
      <c r="EO131" s="546">
        <f ca="1" t="shared" si="153"/>
        <v>161157.614037444</v>
      </c>
      <c r="EP131" s="546">
        <f ca="1" t="shared" si="153"/>
        <v>157128.673686508</v>
      </c>
      <c r="EQ131" s="546">
        <f ca="1" t="shared" si="153"/>
        <v>153099.733335572</v>
      </c>
      <c r="ER131" s="546">
        <f ca="1" t="shared" si="153"/>
        <v>149070.792984636</v>
      </c>
      <c r="ES131" s="546">
        <f ca="1" t="shared" si="153"/>
        <v>145041.8526337</v>
      </c>
      <c r="ET131" s="546">
        <f ca="1" t="shared" si="153"/>
        <v>141012.912282764</v>
      </c>
      <c r="EU131" s="546">
        <f ca="1" t="shared" si="153"/>
        <v>136983.971931828</v>
      </c>
      <c r="EV131" s="546">
        <f ca="1" t="shared" si="153"/>
        <v>132955.031580892</v>
      </c>
      <c r="EW131" s="546">
        <f ca="1" t="shared" si="153"/>
        <v>128926.091229956</v>
      </c>
      <c r="EX131" s="546">
        <f ca="1" t="shared" si="153"/>
        <v>124897.15087902</v>
      </c>
      <c r="EY131" s="546">
        <f ca="1" t="shared" si="153"/>
        <v>120868.210528083</v>
      </c>
      <c r="EZ131" s="546">
        <f ca="1" t="shared" si="153"/>
        <v>116839.270177147</v>
      </c>
      <c r="FA131" s="546">
        <f ca="1" t="shared" si="153"/>
        <v>112810.329826211</v>
      </c>
      <c r="FB131" s="546">
        <f ca="1" t="shared" si="153"/>
        <v>108781.389475275</v>
      </c>
      <c r="FC131" s="546">
        <f ca="1" t="shared" si="153"/>
        <v>104752.449124339</v>
      </c>
      <c r="FD131" s="546">
        <f ca="1" t="shared" si="153"/>
        <v>100723.508773403</v>
      </c>
      <c r="FE131" s="546">
        <f ca="1" t="shared" si="153"/>
        <v>96694.5684224671</v>
      </c>
      <c r="FF131" s="546">
        <f ca="1" t="shared" si="153"/>
        <v>92665.6280715311</v>
      </c>
      <c r="FG131" s="546">
        <f ca="1" t="shared" si="153"/>
        <v>88636.6877205951</v>
      </c>
      <c r="FH131" s="546">
        <f ca="1" t="shared" si="153"/>
        <v>84607.7473696591</v>
      </c>
      <c r="FI131" s="546">
        <f ca="1" t="shared" si="153"/>
        <v>80578.8070187231</v>
      </c>
      <c r="FJ131" s="546">
        <f ca="1" t="shared" si="153"/>
        <v>76549.8666677861</v>
      </c>
      <c r="FK131" s="546">
        <f ca="1" t="shared" ref="FK131:GC131" si="154">FK126+FK127-FK129</f>
        <v>72520.9263168501</v>
      </c>
      <c r="FL131" s="546">
        <f ca="1" t="shared" si="154"/>
        <v>68491.9859659142</v>
      </c>
      <c r="FM131" s="546">
        <f ca="1" t="shared" si="154"/>
        <v>64463.0456149782</v>
      </c>
      <c r="FN131" s="546">
        <f ca="1" t="shared" si="154"/>
        <v>60434.1052640422</v>
      </c>
      <c r="FO131" s="546">
        <f ca="1" t="shared" si="154"/>
        <v>56405.1649131062</v>
      </c>
      <c r="FP131" s="546">
        <f ca="1" t="shared" si="154"/>
        <v>52376.2245621702</v>
      </c>
      <c r="FQ131" s="546">
        <f ca="1" t="shared" si="154"/>
        <v>48347.2842112342</v>
      </c>
      <c r="FR131" s="546">
        <f ca="1" t="shared" si="154"/>
        <v>44318.3438602982</v>
      </c>
      <c r="FS131" s="546">
        <f ca="1" t="shared" si="154"/>
        <v>40289.4035093623</v>
      </c>
      <c r="FT131" s="546">
        <f ca="1" t="shared" si="154"/>
        <v>36260.4631584263</v>
      </c>
      <c r="FU131" s="546">
        <f ca="1" t="shared" si="154"/>
        <v>32231.5228074903</v>
      </c>
      <c r="FV131" s="546">
        <f ca="1" t="shared" si="154"/>
        <v>28202.5824565533</v>
      </c>
      <c r="FW131" s="546">
        <f ca="1" t="shared" si="154"/>
        <v>24173.6421056174</v>
      </c>
      <c r="FX131" s="546">
        <f ca="1" t="shared" si="154"/>
        <v>20144.7017546813</v>
      </c>
      <c r="FY131" s="546">
        <f ca="1" t="shared" si="154"/>
        <v>16115.7614037454</v>
      </c>
      <c r="FZ131" s="546">
        <f ca="1" t="shared" si="154"/>
        <v>12086.8210528094</v>
      </c>
      <c r="GA131" s="546">
        <f ca="1" t="shared" si="154"/>
        <v>8057.88070187343</v>
      </c>
      <c r="GB131" s="546">
        <f ca="1" t="shared" si="154"/>
        <v>4028.94035093742</v>
      </c>
      <c r="GC131" s="547">
        <f ca="1" t="shared" si="154"/>
        <v>1.40698830364272e-9</v>
      </c>
    </row>
    <row r="132" ht="17.25" spans="2:185">
      <c r="B132" s="92"/>
      <c r="C132" s="552"/>
      <c r="D132" s="561"/>
      <c r="E132" s="92"/>
      <c r="F132" s="500"/>
      <c r="G132" s="501"/>
      <c r="H132" s="501"/>
      <c r="I132" s="501"/>
      <c r="J132" s="501"/>
      <c r="K132" s="501"/>
      <c r="L132" s="501"/>
      <c r="M132" s="501"/>
      <c r="N132" s="501"/>
      <c r="O132" s="501"/>
      <c r="P132" s="501"/>
      <c r="Q132" s="501"/>
      <c r="R132" s="501"/>
      <c r="S132" s="502"/>
      <c r="T132" s="502"/>
      <c r="U132" s="502"/>
      <c r="V132" s="502"/>
      <c r="W132" s="502"/>
    </row>
    <row r="133" spans="2:185">
      <c r="B133" s="555" t="s">
        <v>553</v>
      </c>
      <c r="C133" s="497" t="s">
        <v>13</v>
      </c>
      <c r="D133" s="498">
        <f>参数输入表!I5</f>
        <v>44958</v>
      </c>
      <c r="E133" s="499"/>
      <c r="F133" s="500"/>
      <c r="G133" s="501"/>
      <c r="H133" s="501"/>
      <c r="I133" s="501"/>
      <c r="J133" s="501"/>
      <c r="K133" s="501"/>
      <c r="L133" s="501"/>
      <c r="M133" s="501"/>
      <c r="N133" s="501"/>
      <c r="O133" s="501"/>
      <c r="P133" s="501"/>
      <c r="Q133" s="501"/>
      <c r="R133" s="501"/>
      <c r="S133" s="502"/>
      <c r="T133" s="502"/>
      <c r="U133" s="502"/>
      <c r="V133" s="502"/>
      <c r="W133" s="502"/>
    </row>
    <row r="134" spans="2:185">
      <c r="B134" s="556"/>
      <c r="C134" s="504" t="s">
        <v>196</v>
      </c>
      <c r="D134" s="505">
        <f>D47</f>
        <v>91</v>
      </c>
      <c r="E134" s="506" t="s">
        <v>25</v>
      </c>
      <c r="F134" s="500"/>
      <c r="G134" s="501"/>
      <c r="H134" s="501"/>
      <c r="I134" s="501"/>
      <c r="J134" s="501"/>
      <c r="K134" s="501"/>
      <c r="L134" s="501"/>
      <c r="M134" s="501"/>
      <c r="N134" s="501"/>
      <c r="O134" s="501"/>
      <c r="P134" s="501"/>
      <c r="Q134" s="501"/>
      <c r="R134" s="501"/>
      <c r="S134" s="502"/>
      <c r="T134" s="502"/>
      <c r="U134" s="502"/>
      <c r="V134" s="502"/>
      <c r="W134" s="502"/>
    </row>
    <row r="135" spans="2:185">
      <c r="B135" s="556"/>
      <c r="C135" s="508"/>
      <c r="D135" s="509">
        <f>EDATE(D133,D134)-1</f>
        <v>47726</v>
      </c>
      <c r="E135" s="506" t="s">
        <v>518</v>
      </c>
      <c r="F135" s="500"/>
      <c r="G135" s="501"/>
      <c r="H135" s="501"/>
      <c r="I135" s="501"/>
      <c r="J135" s="501"/>
      <c r="K135" s="501"/>
      <c r="L135" s="501"/>
      <c r="M135" s="501"/>
      <c r="N135" s="501"/>
      <c r="O135" s="501"/>
      <c r="P135" s="501"/>
      <c r="Q135" s="501"/>
      <c r="R135" s="501"/>
      <c r="S135" s="502"/>
      <c r="T135" s="502"/>
      <c r="U135" s="502"/>
      <c r="V135" s="502"/>
      <c r="W135" s="502"/>
    </row>
    <row r="136" spans="2:185">
      <c r="B136" s="556"/>
      <c r="C136" s="511" t="s">
        <v>519</v>
      </c>
      <c r="D136" s="512">
        <f>EDATE(D133,D134+D138)</f>
        <v>48092</v>
      </c>
      <c r="E136" s="513"/>
      <c r="F136" s="500"/>
      <c r="G136" s="501"/>
      <c r="H136" s="501"/>
      <c r="I136" s="501"/>
      <c r="J136" s="501"/>
      <c r="K136" s="501"/>
      <c r="L136" s="501"/>
      <c r="M136" s="501"/>
      <c r="N136" s="501"/>
      <c r="O136" s="501"/>
      <c r="P136" s="501"/>
      <c r="Q136" s="501"/>
      <c r="R136" s="501"/>
      <c r="S136" s="502"/>
      <c r="T136" s="502"/>
      <c r="U136" s="502"/>
      <c r="V136" s="502"/>
      <c r="W136" s="502"/>
    </row>
    <row r="137" spans="2:185">
      <c r="B137" s="556"/>
      <c r="C137" s="511" t="s">
        <v>520</v>
      </c>
      <c r="D137" s="505">
        <f>参数输入表!I256</f>
        <v>15</v>
      </c>
      <c r="E137" s="506" t="s">
        <v>15</v>
      </c>
      <c r="F137" s="500"/>
      <c r="G137" s="501"/>
      <c r="H137" s="501"/>
      <c r="I137" s="501"/>
      <c r="J137" s="501"/>
      <c r="K137" s="501"/>
      <c r="L137" s="501"/>
      <c r="M137" s="501"/>
      <c r="N137" s="501"/>
      <c r="O137" s="501"/>
      <c r="P137" s="501"/>
      <c r="Q137" s="501"/>
      <c r="R137" s="501"/>
      <c r="S137" s="502"/>
      <c r="T137" s="502"/>
      <c r="U137" s="502"/>
      <c r="V137" s="502"/>
      <c r="W137" s="502"/>
    </row>
    <row r="138" spans="2:185">
      <c r="B138" s="556"/>
      <c r="C138" s="511" t="s">
        <v>521</v>
      </c>
      <c r="D138" s="505">
        <v>12</v>
      </c>
      <c r="E138" s="506" t="s">
        <v>25</v>
      </c>
      <c r="F138" s="500"/>
      <c r="G138" s="501"/>
      <c r="H138" s="501"/>
      <c r="I138" s="501"/>
      <c r="J138" s="501"/>
      <c r="K138" s="501"/>
      <c r="L138" s="501"/>
      <c r="M138" s="501"/>
      <c r="N138" s="501"/>
      <c r="O138" s="501"/>
      <c r="P138" s="501"/>
      <c r="Q138" s="501"/>
      <c r="R138" s="501"/>
      <c r="S138" s="502"/>
      <c r="T138" s="502"/>
      <c r="U138" s="502"/>
      <c r="V138" s="502"/>
      <c r="W138" s="502"/>
    </row>
    <row r="139" spans="2:185">
      <c r="B139" s="556"/>
      <c r="C139" s="511" t="s">
        <v>522</v>
      </c>
      <c r="D139" s="505">
        <f>12/D138</f>
        <v>1</v>
      </c>
      <c r="E139" s="506" t="s">
        <v>523</v>
      </c>
      <c r="F139" s="500"/>
      <c r="G139" s="501"/>
      <c r="H139" s="501"/>
      <c r="I139" s="501"/>
      <c r="J139" s="501"/>
      <c r="K139" s="501"/>
      <c r="L139" s="501"/>
      <c r="M139" s="501"/>
      <c r="N139" s="501"/>
      <c r="O139" s="501"/>
      <c r="P139" s="501"/>
      <c r="Q139" s="501"/>
      <c r="R139" s="501"/>
      <c r="S139" s="502"/>
      <c r="T139" s="502"/>
      <c r="U139" s="502"/>
      <c r="V139" s="502"/>
      <c r="W139" s="502"/>
    </row>
    <row r="140" spans="2:185">
      <c r="B140" s="556"/>
      <c r="C140" s="511" t="s">
        <v>524</v>
      </c>
      <c r="D140" s="505">
        <f>D137*D139</f>
        <v>15</v>
      </c>
      <c r="E140" s="506" t="s">
        <v>525</v>
      </c>
      <c r="F140" s="500"/>
      <c r="G140" s="501"/>
      <c r="H140" s="501"/>
      <c r="I140" s="501"/>
      <c r="J140" s="501"/>
      <c r="K140" s="501"/>
      <c r="L140" s="501"/>
      <c r="M140" s="501"/>
      <c r="N140" s="501"/>
      <c r="O140" s="501"/>
      <c r="P140" s="501"/>
      <c r="Q140" s="501"/>
      <c r="R140" s="501"/>
      <c r="S140" s="502"/>
      <c r="T140" s="502"/>
      <c r="U140" s="502"/>
      <c r="V140" s="502"/>
      <c r="W140" s="502"/>
    </row>
    <row r="141" spans="2:185">
      <c r="B141" s="556"/>
      <c r="C141" s="511" t="s">
        <v>526</v>
      </c>
      <c r="D141" s="509">
        <f>EDATE(D136,D137*12-D138)</f>
        <v>53206</v>
      </c>
      <c r="E141" s="514">
        <f>T145</f>
        <v>53206</v>
      </c>
      <c r="F141" s="500"/>
      <c r="G141" s="501"/>
      <c r="H141" s="501"/>
      <c r="I141" s="501"/>
      <c r="J141" s="501"/>
      <c r="K141" s="501"/>
      <c r="L141" s="501"/>
      <c r="M141" s="501"/>
      <c r="N141" s="501"/>
      <c r="O141" s="501"/>
      <c r="P141" s="501"/>
      <c r="Q141" s="501"/>
      <c r="R141" s="501"/>
      <c r="S141" s="502"/>
      <c r="T141" s="502"/>
      <c r="U141" s="502"/>
      <c r="V141" s="502"/>
      <c r="W141" s="502"/>
    </row>
    <row r="142" spans="2:185">
      <c r="B142" s="556"/>
      <c r="C142" s="511" t="s">
        <v>527</v>
      </c>
      <c r="D142" s="515">
        <f ca="1">SUM(D42:D43)</f>
        <v>725209.263168492</v>
      </c>
      <c r="E142" s="516" t="s">
        <v>130</v>
      </c>
      <c r="F142" s="500"/>
      <c r="G142" s="501"/>
      <c r="H142" s="501"/>
      <c r="I142" s="501"/>
      <c r="J142" s="501"/>
      <c r="K142" s="501"/>
      <c r="L142" s="501"/>
      <c r="M142" s="501"/>
      <c r="N142" s="501"/>
      <c r="O142" s="501"/>
      <c r="P142" s="501"/>
      <c r="Q142" s="501"/>
      <c r="R142" s="501"/>
      <c r="S142" s="502"/>
      <c r="T142" s="502"/>
      <c r="U142" s="502"/>
      <c r="V142" s="502"/>
      <c r="W142" s="502"/>
    </row>
    <row r="143" ht="17.25" spans="2:185">
      <c r="B143" s="556"/>
      <c r="C143" s="517" t="s">
        <v>554</v>
      </c>
      <c r="D143" s="518">
        <f>参数输入表!$I$252/D139</f>
        <v>0.043</v>
      </c>
      <c r="E143" s="519" t="s">
        <v>31</v>
      </c>
      <c r="F143" s="500"/>
      <c r="G143" s="501"/>
      <c r="H143" s="501"/>
      <c r="I143" s="501"/>
      <c r="J143" s="501"/>
      <c r="K143" s="501"/>
      <c r="L143" s="501"/>
      <c r="M143" s="501"/>
      <c r="N143" s="501"/>
      <c r="O143" s="501"/>
      <c r="P143" s="501"/>
      <c r="Q143" s="501"/>
      <c r="R143" s="501"/>
      <c r="S143" s="502"/>
      <c r="T143" s="502"/>
      <c r="U143" s="502"/>
      <c r="V143" s="502"/>
      <c r="W143" s="502"/>
    </row>
    <row r="144" spans="2:185">
      <c r="B144" s="556"/>
      <c r="C144" s="497" t="s">
        <v>555</v>
      </c>
      <c r="D144" s="520" t="s">
        <v>530</v>
      </c>
      <c r="E144" s="521"/>
      <c r="F144" s="522">
        <v>1</v>
      </c>
      <c r="G144" s="522">
        <v>2</v>
      </c>
      <c r="H144" s="522">
        <v>3</v>
      </c>
      <c r="I144" s="522">
        <v>4</v>
      </c>
      <c r="J144" s="522">
        <v>5</v>
      </c>
      <c r="K144" s="522">
        <v>6</v>
      </c>
      <c r="L144" s="522">
        <v>7</v>
      </c>
      <c r="M144" s="522">
        <v>8</v>
      </c>
      <c r="N144" s="522">
        <v>9</v>
      </c>
      <c r="O144" s="522">
        <v>10</v>
      </c>
      <c r="P144" s="522">
        <v>11</v>
      </c>
      <c r="Q144" s="522">
        <v>12</v>
      </c>
      <c r="R144" s="522">
        <v>13</v>
      </c>
      <c r="S144" s="522">
        <v>14</v>
      </c>
      <c r="T144" s="522">
        <v>15</v>
      </c>
      <c r="U144" s="502"/>
      <c r="V144" s="502"/>
      <c r="W144" s="502"/>
    </row>
    <row r="145" spans="2:53">
      <c r="B145" s="556"/>
      <c r="C145" s="511"/>
      <c r="D145" s="524" t="s">
        <v>545</v>
      </c>
      <c r="E145" s="525"/>
      <c r="F145" s="509">
        <f>D136</f>
        <v>48092</v>
      </c>
      <c r="G145" s="509">
        <f>EDATE(F145,$D$138)</f>
        <v>48458</v>
      </c>
      <c r="H145" s="509">
        <f t="shared" ref="H145:T145" si="155">EDATE(G145,$D$138)</f>
        <v>48823</v>
      </c>
      <c r="I145" s="509">
        <f t="shared" si="155"/>
        <v>49188</v>
      </c>
      <c r="J145" s="509">
        <f t="shared" si="155"/>
        <v>49553</v>
      </c>
      <c r="K145" s="509">
        <f t="shared" si="155"/>
        <v>49919</v>
      </c>
      <c r="L145" s="509">
        <f t="shared" si="155"/>
        <v>50284</v>
      </c>
      <c r="M145" s="509">
        <f t="shared" si="155"/>
        <v>50649</v>
      </c>
      <c r="N145" s="509">
        <f t="shared" si="155"/>
        <v>51014</v>
      </c>
      <c r="O145" s="509">
        <f t="shared" si="155"/>
        <v>51380</v>
      </c>
      <c r="P145" s="509">
        <f t="shared" si="155"/>
        <v>51745</v>
      </c>
      <c r="Q145" s="509">
        <f t="shared" si="155"/>
        <v>52110</v>
      </c>
      <c r="R145" s="509">
        <f t="shared" si="155"/>
        <v>52475</v>
      </c>
      <c r="S145" s="509">
        <f t="shared" si="155"/>
        <v>52841</v>
      </c>
      <c r="T145" s="516">
        <f t="shared" si="155"/>
        <v>53206</v>
      </c>
      <c r="U145" s="502"/>
      <c r="V145" s="502"/>
      <c r="W145" s="502"/>
    </row>
    <row r="146" ht="17.25" spans="2:53">
      <c r="B146" s="556"/>
      <c r="C146" s="511"/>
      <c r="D146" s="524" t="s">
        <v>532</v>
      </c>
      <c r="E146" s="525"/>
      <c r="F146" s="526">
        <f t="shared" ref="F146:H146" si="156">YEAR(F145)</f>
        <v>2031</v>
      </c>
      <c r="G146" s="526">
        <f t="shared" si="156"/>
        <v>2032</v>
      </c>
      <c r="H146" s="526">
        <f t="shared" si="156"/>
        <v>2033</v>
      </c>
      <c r="I146" s="526">
        <f t="shared" ref="I146:T146" si="157">YEAR(I145)</f>
        <v>2034</v>
      </c>
      <c r="J146" s="526">
        <f t="shared" si="157"/>
        <v>2035</v>
      </c>
      <c r="K146" s="526">
        <f t="shared" si="157"/>
        <v>2036</v>
      </c>
      <c r="L146" s="526">
        <f t="shared" si="157"/>
        <v>2037</v>
      </c>
      <c r="M146" s="526">
        <f t="shared" si="157"/>
        <v>2038</v>
      </c>
      <c r="N146" s="526">
        <f t="shared" si="157"/>
        <v>2039</v>
      </c>
      <c r="O146" s="526">
        <f t="shared" si="157"/>
        <v>2040</v>
      </c>
      <c r="P146" s="526">
        <f t="shared" si="157"/>
        <v>2041</v>
      </c>
      <c r="Q146" s="526">
        <f t="shared" si="157"/>
        <v>2042</v>
      </c>
      <c r="R146" s="526">
        <f t="shared" si="157"/>
        <v>2043</v>
      </c>
      <c r="S146" s="526">
        <f t="shared" si="157"/>
        <v>2044</v>
      </c>
      <c r="T146" s="527">
        <f t="shared" si="157"/>
        <v>2045</v>
      </c>
      <c r="U146" s="502"/>
      <c r="V146" s="502"/>
      <c r="W146" s="502"/>
    </row>
    <row r="147" hidden="1" spans="2:53">
      <c r="B147" s="556"/>
      <c r="C147" s="511"/>
      <c r="D147" s="528" t="s">
        <v>533</v>
      </c>
      <c r="E147" s="50" t="str">
        <f>IF(E148=D140,"OK","F")</f>
        <v>OK</v>
      </c>
      <c r="F147" s="505">
        <v>2023</v>
      </c>
      <c r="G147" s="505">
        <v>2024</v>
      </c>
      <c r="H147" s="505">
        <v>2025</v>
      </c>
      <c r="I147" s="505">
        <v>2026</v>
      </c>
      <c r="J147" s="505">
        <v>2027</v>
      </c>
      <c r="K147" s="505">
        <v>2028</v>
      </c>
      <c r="L147" s="505">
        <v>2029</v>
      </c>
      <c r="M147" s="505">
        <v>2030</v>
      </c>
      <c r="N147" s="505">
        <v>2031</v>
      </c>
      <c r="O147" s="505">
        <v>2032</v>
      </c>
      <c r="P147" s="505">
        <v>2033</v>
      </c>
      <c r="Q147" s="505">
        <v>2034</v>
      </c>
      <c r="R147" s="505">
        <v>2035</v>
      </c>
      <c r="S147" s="505">
        <v>2036</v>
      </c>
      <c r="T147" s="557">
        <v>2037</v>
      </c>
      <c r="U147" s="558">
        <v>2038</v>
      </c>
      <c r="V147" s="505">
        <v>2039</v>
      </c>
      <c r="W147" s="505">
        <v>2040</v>
      </c>
      <c r="X147" s="505">
        <v>2041</v>
      </c>
      <c r="Y147" s="505">
        <v>2042</v>
      </c>
      <c r="Z147" s="505">
        <v>2043</v>
      </c>
      <c r="AA147" s="505">
        <v>2044</v>
      </c>
      <c r="AB147" s="505">
        <v>2045</v>
      </c>
      <c r="AC147" s="505">
        <v>2046</v>
      </c>
      <c r="AD147" s="505">
        <v>2047</v>
      </c>
      <c r="AE147" s="505">
        <v>2048</v>
      </c>
      <c r="AF147" s="505">
        <v>2049</v>
      </c>
      <c r="AG147" s="505">
        <v>2050</v>
      </c>
      <c r="AH147" s="505">
        <v>2051</v>
      </c>
      <c r="AI147" s="505">
        <v>2052</v>
      </c>
      <c r="AJ147" s="505">
        <v>2053</v>
      </c>
      <c r="AK147" s="505">
        <v>2054</v>
      </c>
      <c r="AL147" s="505">
        <v>2055</v>
      </c>
      <c r="AM147" s="505">
        <v>2056</v>
      </c>
      <c r="AN147" s="505">
        <v>2057</v>
      </c>
      <c r="AO147" s="505">
        <v>2058</v>
      </c>
      <c r="AP147" s="505">
        <v>2059</v>
      </c>
      <c r="AQ147" s="505">
        <v>2060</v>
      </c>
      <c r="AR147" s="505">
        <v>2061</v>
      </c>
      <c r="AS147" s="505">
        <v>2062</v>
      </c>
      <c r="AT147" s="505">
        <v>2063</v>
      </c>
      <c r="AU147" s="505">
        <v>2064</v>
      </c>
      <c r="AV147" s="505">
        <v>2065</v>
      </c>
      <c r="AW147" s="505">
        <v>2066</v>
      </c>
      <c r="AX147" s="505">
        <v>2067</v>
      </c>
      <c r="AY147" s="505">
        <v>2068</v>
      </c>
      <c r="AZ147" s="505">
        <v>2069</v>
      </c>
      <c r="BA147" s="505">
        <v>2070</v>
      </c>
    </row>
    <row r="148" ht="17.25" hidden="1" spans="2:53">
      <c r="B148" s="556"/>
      <c r="C148" s="517"/>
      <c r="D148" s="531"/>
      <c r="E148" s="90">
        <f>SUM(F148:BA148)</f>
        <v>15</v>
      </c>
      <c r="F148" s="533">
        <f>COUNTIF($F$146:$T$146,F147)</f>
        <v>0</v>
      </c>
      <c r="G148" s="533">
        <f t="shared" ref="G148:BA148" si="158">COUNTIF($F$146:$T$146,G147)</f>
        <v>0</v>
      </c>
      <c r="H148" s="533">
        <f t="shared" si="158"/>
        <v>0</v>
      </c>
      <c r="I148" s="533">
        <f t="shared" si="158"/>
        <v>0</v>
      </c>
      <c r="J148" s="533">
        <f t="shared" si="158"/>
        <v>0</v>
      </c>
      <c r="K148" s="533">
        <f t="shared" si="158"/>
        <v>0</v>
      </c>
      <c r="L148" s="533">
        <f t="shared" si="158"/>
        <v>0</v>
      </c>
      <c r="M148" s="533">
        <f t="shared" si="158"/>
        <v>0</v>
      </c>
      <c r="N148" s="533">
        <f t="shared" si="158"/>
        <v>1</v>
      </c>
      <c r="O148" s="533">
        <f t="shared" si="158"/>
        <v>1</v>
      </c>
      <c r="P148" s="533">
        <f t="shared" si="158"/>
        <v>1</v>
      </c>
      <c r="Q148" s="533">
        <f t="shared" si="158"/>
        <v>1</v>
      </c>
      <c r="R148" s="533">
        <f t="shared" si="158"/>
        <v>1</v>
      </c>
      <c r="S148" s="533">
        <f t="shared" si="158"/>
        <v>1</v>
      </c>
      <c r="T148" s="559">
        <f t="shared" si="158"/>
        <v>1</v>
      </c>
      <c r="U148" s="558">
        <f t="shared" si="158"/>
        <v>1</v>
      </c>
      <c r="V148" s="505">
        <f t="shared" si="158"/>
        <v>1</v>
      </c>
      <c r="W148" s="505">
        <f t="shared" si="158"/>
        <v>1</v>
      </c>
      <c r="X148" s="505">
        <f t="shared" si="158"/>
        <v>1</v>
      </c>
      <c r="Y148" s="505">
        <f t="shared" si="158"/>
        <v>1</v>
      </c>
      <c r="Z148" s="505">
        <f t="shared" si="158"/>
        <v>1</v>
      </c>
      <c r="AA148" s="505">
        <f t="shared" si="158"/>
        <v>1</v>
      </c>
      <c r="AB148" s="505">
        <f t="shared" si="158"/>
        <v>1</v>
      </c>
      <c r="AC148" s="505">
        <f t="shared" si="158"/>
        <v>0</v>
      </c>
      <c r="AD148" s="505">
        <f t="shared" si="158"/>
        <v>0</v>
      </c>
      <c r="AE148" s="505">
        <f t="shared" si="158"/>
        <v>0</v>
      </c>
      <c r="AF148" s="505">
        <f t="shared" si="158"/>
        <v>0</v>
      </c>
      <c r="AG148" s="505">
        <f t="shared" si="158"/>
        <v>0</v>
      </c>
      <c r="AH148" s="505">
        <f t="shared" si="158"/>
        <v>0</v>
      </c>
      <c r="AI148" s="505">
        <f t="shared" si="158"/>
        <v>0</v>
      </c>
      <c r="AJ148" s="505">
        <f t="shared" si="158"/>
        <v>0</v>
      </c>
      <c r="AK148" s="505">
        <f t="shared" si="158"/>
        <v>0</v>
      </c>
      <c r="AL148" s="505">
        <f t="shared" si="158"/>
        <v>0</v>
      </c>
      <c r="AM148" s="505">
        <f t="shared" si="158"/>
        <v>0</v>
      </c>
      <c r="AN148" s="505">
        <f t="shared" si="158"/>
        <v>0</v>
      </c>
      <c r="AO148" s="505">
        <f t="shared" si="158"/>
        <v>0</v>
      </c>
      <c r="AP148" s="505">
        <f t="shared" si="158"/>
        <v>0</v>
      </c>
      <c r="AQ148" s="505">
        <f t="shared" si="158"/>
        <v>0</v>
      </c>
      <c r="AR148" s="505">
        <f t="shared" si="158"/>
        <v>0</v>
      </c>
      <c r="AS148" s="505">
        <f t="shared" si="158"/>
        <v>0</v>
      </c>
      <c r="AT148" s="505">
        <f t="shared" si="158"/>
        <v>0</v>
      </c>
      <c r="AU148" s="505">
        <f t="shared" si="158"/>
        <v>0</v>
      </c>
      <c r="AV148" s="505">
        <f t="shared" si="158"/>
        <v>0</v>
      </c>
      <c r="AW148" s="505">
        <f t="shared" si="158"/>
        <v>0</v>
      </c>
      <c r="AX148" s="505">
        <f t="shared" si="158"/>
        <v>0</v>
      </c>
      <c r="AY148" s="505">
        <f t="shared" si="158"/>
        <v>0</v>
      </c>
      <c r="AZ148" s="505">
        <f t="shared" si="158"/>
        <v>0</v>
      </c>
      <c r="BA148" s="505">
        <f t="shared" si="158"/>
        <v>0</v>
      </c>
    </row>
    <row r="149" spans="2:53">
      <c r="B149" s="556"/>
      <c r="C149" s="536" t="s">
        <v>556</v>
      </c>
      <c r="D149" s="537" t="s">
        <v>535</v>
      </c>
      <c r="E149" s="538"/>
      <c r="F149" s="539">
        <f ca="1">D142</f>
        <v>725209.263168492</v>
      </c>
      <c r="G149" s="539">
        <f ca="1">F154</f>
        <v>689791.507040337</v>
      </c>
      <c r="H149" s="539">
        <f ca="1" t="shared" ref="H149:T149" si="159">G154</f>
        <v>652850.787398671</v>
      </c>
      <c r="I149" s="539">
        <f ca="1" t="shared" si="159"/>
        <v>614321.616812414</v>
      </c>
      <c r="J149" s="539">
        <f ca="1" t="shared" si="159"/>
        <v>574135.691890947</v>
      </c>
      <c r="K149" s="539">
        <f ca="1" t="shared" si="159"/>
        <v>532221.772197857</v>
      </c>
      <c r="L149" s="539">
        <f ca="1" t="shared" si="159"/>
        <v>488505.553957965</v>
      </c>
      <c r="M149" s="539">
        <f ca="1" t="shared" si="159"/>
        <v>442909.538333757</v>
      </c>
      <c r="N149" s="539">
        <f ca="1" t="shared" si="159"/>
        <v>395352.894037708</v>
      </c>
      <c r="O149" s="539">
        <f ca="1" t="shared" si="159"/>
        <v>345751.31403693</v>
      </c>
      <c r="P149" s="539">
        <f ca="1" t="shared" si="159"/>
        <v>294016.866096117</v>
      </c>
      <c r="Q149" s="539">
        <f ca="1" t="shared" si="159"/>
        <v>240057.83689385</v>
      </c>
      <c r="R149" s="539">
        <f ca="1" t="shared" si="159"/>
        <v>183778.569435885</v>
      </c>
      <c r="S149" s="539">
        <f ca="1" t="shared" si="159"/>
        <v>125079.293477228</v>
      </c>
      <c r="T149" s="540">
        <f ca="1" t="shared" si="159"/>
        <v>63855.9486523489</v>
      </c>
      <c r="U149" s="554"/>
      <c r="V149" s="554"/>
      <c r="W149" s="554"/>
      <c r="X149" s="554"/>
      <c r="Y149" s="554"/>
      <c r="Z149" s="554"/>
      <c r="AA149" s="554"/>
      <c r="AB149" s="554"/>
      <c r="AC149" s="554"/>
      <c r="AD149" s="554"/>
      <c r="AE149" s="554"/>
      <c r="AF149" s="554"/>
      <c r="AG149" s="554"/>
      <c r="AH149" s="554"/>
      <c r="AI149" s="554"/>
      <c r="AJ149" s="554"/>
      <c r="AK149" s="554"/>
      <c r="AL149" s="554"/>
      <c r="AM149" s="554"/>
      <c r="AN149" s="554"/>
      <c r="AO149" s="554"/>
      <c r="AP149" s="554"/>
      <c r="AQ149" s="554"/>
      <c r="AR149" s="554"/>
      <c r="AS149" s="554"/>
      <c r="AT149" s="554"/>
      <c r="AU149" s="554"/>
      <c r="AV149" s="554"/>
      <c r="AW149" s="554"/>
      <c r="AX149" s="554"/>
      <c r="AY149" s="554"/>
      <c r="AZ149" s="554"/>
      <c r="BA149" s="554"/>
    </row>
    <row r="150" spans="2:53">
      <c r="B150" s="556"/>
      <c r="C150" s="541"/>
      <c r="D150" s="144" t="s">
        <v>536</v>
      </c>
      <c r="E150" s="50"/>
      <c r="F150" s="542">
        <v>0</v>
      </c>
      <c r="G150" s="542">
        <v>0</v>
      </c>
      <c r="H150" s="542">
        <v>0</v>
      </c>
      <c r="I150" s="542">
        <v>0</v>
      </c>
      <c r="J150" s="542">
        <v>0</v>
      </c>
      <c r="K150" s="542">
        <v>0</v>
      </c>
      <c r="L150" s="542">
        <v>0</v>
      </c>
      <c r="M150" s="542">
        <v>0</v>
      </c>
      <c r="N150" s="542">
        <v>0</v>
      </c>
      <c r="O150" s="542">
        <v>0</v>
      </c>
      <c r="P150" s="542">
        <v>0</v>
      </c>
      <c r="Q150" s="542">
        <v>0</v>
      </c>
      <c r="R150" s="542">
        <v>0</v>
      </c>
      <c r="S150" s="542">
        <v>0</v>
      </c>
      <c r="T150" s="543">
        <v>0</v>
      </c>
      <c r="U150" s="554"/>
      <c r="V150" s="554"/>
      <c r="W150" s="554"/>
      <c r="X150" s="554"/>
      <c r="Y150" s="554"/>
      <c r="Z150" s="554"/>
      <c r="AA150" s="554"/>
      <c r="AB150" s="554"/>
      <c r="AC150" s="554"/>
      <c r="AD150" s="554"/>
      <c r="AE150" s="554"/>
      <c r="AF150" s="554"/>
      <c r="AG150" s="554"/>
      <c r="AH150" s="554"/>
      <c r="AI150" s="554"/>
      <c r="AJ150" s="554"/>
      <c r="AK150" s="554"/>
      <c r="AL150" s="554"/>
      <c r="AM150" s="554"/>
      <c r="AN150" s="554"/>
      <c r="AO150" s="554"/>
      <c r="AP150" s="554"/>
      <c r="AQ150" s="554"/>
      <c r="AR150" s="554"/>
      <c r="AS150" s="554"/>
      <c r="AT150" s="554"/>
      <c r="AU150" s="554"/>
      <c r="AV150" s="554"/>
      <c r="AW150" s="554"/>
      <c r="AX150" s="554"/>
      <c r="AY150" s="554"/>
      <c r="AZ150" s="554"/>
      <c r="BA150" s="554"/>
    </row>
    <row r="151" spans="2:53">
      <c r="B151" s="556"/>
      <c r="C151" s="541"/>
      <c r="D151" s="144" t="s">
        <v>537</v>
      </c>
      <c r="E151" s="544">
        <f ca="1">SUM(F151:T151)</f>
        <v>999026.316666004</v>
      </c>
      <c r="F151" s="542">
        <f ca="1">-PMT($D$143,$D$140+1-F144,F149)</f>
        <v>66601.7544444004</v>
      </c>
      <c r="G151" s="542">
        <f ca="1" t="shared" ref="G151:T151" si="160">-PMT($D$143,$D$140+1-G144,G149)</f>
        <v>66601.7544444004</v>
      </c>
      <c r="H151" s="542">
        <f ca="1" t="shared" si="160"/>
        <v>66601.7544444004</v>
      </c>
      <c r="I151" s="542">
        <f ca="1" t="shared" si="160"/>
        <v>66601.7544444004</v>
      </c>
      <c r="J151" s="542">
        <f ca="1" t="shared" si="160"/>
        <v>66601.7544444003</v>
      </c>
      <c r="K151" s="542">
        <f ca="1" t="shared" si="160"/>
        <v>66601.7544444003</v>
      </c>
      <c r="L151" s="542">
        <f ca="1" t="shared" si="160"/>
        <v>66601.7544444003</v>
      </c>
      <c r="M151" s="542">
        <f ca="1" t="shared" si="160"/>
        <v>66601.7544444003</v>
      </c>
      <c r="N151" s="542">
        <f ca="1" t="shared" si="160"/>
        <v>66601.7544444003</v>
      </c>
      <c r="O151" s="542">
        <f ca="1" t="shared" si="160"/>
        <v>66601.7544444003</v>
      </c>
      <c r="P151" s="542">
        <f ca="1" t="shared" si="160"/>
        <v>66601.7544444003</v>
      </c>
      <c r="Q151" s="542">
        <f ca="1" t="shared" si="160"/>
        <v>66601.7544444003</v>
      </c>
      <c r="R151" s="542">
        <f ca="1" t="shared" si="160"/>
        <v>66601.7544444002</v>
      </c>
      <c r="S151" s="542">
        <f ca="1" t="shared" si="160"/>
        <v>66601.7544444001</v>
      </c>
      <c r="T151" s="542">
        <f ca="1" t="shared" si="160"/>
        <v>66601.7544444</v>
      </c>
      <c r="U151" s="554"/>
      <c r="V151" s="554"/>
      <c r="W151" s="554"/>
      <c r="X151" s="554"/>
      <c r="Y151" s="554"/>
      <c r="Z151" s="554"/>
      <c r="AA151" s="554"/>
      <c r="AB151" s="554"/>
      <c r="AC151" s="554"/>
      <c r="AD151" s="554"/>
      <c r="AE151" s="554"/>
      <c r="AF151" s="554"/>
      <c r="AG151" s="554"/>
      <c r="AH151" s="554"/>
      <c r="AI151" s="554"/>
      <c r="AJ151" s="554"/>
      <c r="AK151" s="554"/>
      <c r="AL151" s="554"/>
      <c r="AM151" s="554"/>
      <c r="AN151" s="554"/>
      <c r="AO151" s="554"/>
      <c r="AP151" s="554"/>
      <c r="AQ151" s="554"/>
      <c r="AR151" s="554"/>
      <c r="AS151" s="554"/>
      <c r="AT151" s="554"/>
      <c r="AU151" s="554"/>
      <c r="AV151" s="554"/>
      <c r="AW151" s="554"/>
      <c r="AX151" s="554"/>
      <c r="AY151" s="554"/>
      <c r="AZ151" s="554"/>
      <c r="BA151" s="554"/>
    </row>
    <row r="152" spans="2:53">
      <c r="B152" s="556"/>
      <c r="C152" s="541"/>
      <c r="D152" s="145" t="s">
        <v>538</v>
      </c>
      <c r="E152" s="542">
        <f ca="1">SUM(F152:T152)</f>
        <v>725209.263168492</v>
      </c>
      <c r="F152" s="542">
        <f ca="1">F151-F153</f>
        <v>35417.7561281552</v>
      </c>
      <c r="G152" s="542">
        <f ca="1">G151-G153</f>
        <v>36940.7196416659</v>
      </c>
      <c r="H152" s="542">
        <f ca="1">H151-H153</f>
        <v>38529.1705862575</v>
      </c>
      <c r="I152" s="542">
        <f ca="1">I151-I153</f>
        <v>40185.9249214666</v>
      </c>
      <c r="J152" s="542">
        <f ca="1" t="shared" ref="H152:T152" si="161">J151-J153</f>
        <v>41913.9196930896</v>
      </c>
      <c r="K152" s="542">
        <f ca="1" t="shared" si="161"/>
        <v>43716.2182398925</v>
      </c>
      <c r="L152" s="542">
        <f ca="1" t="shared" si="161"/>
        <v>45596.0156242078</v>
      </c>
      <c r="M152" s="542">
        <f ca="1" t="shared" si="161"/>
        <v>47556.6442960487</v>
      </c>
      <c r="N152" s="542">
        <f ca="1" t="shared" si="161"/>
        <v>49601.5800007788</v>
      </c>
      <c r="O152" s="542">
        <f ca="1" t="shared" si="161"/>
        <v>51734.4479408123</v>
      </c>
      <c r="P152" s="542">
        <f ca="1" t="shared" si="161"/>
        <v>53959.0292022672</v>
      </c>
      <c r="Q152" s="542">
        <f ca="1" t="shared" si="161"/>
        <v>56279.2674579647</v>
      </c>
      <c r="R152" s="542">
        <f ca="1" t="shared" si="161"/>
        <v>58699.2759586572</v>
      </c>
      <c r="S152" s="542">
        <f ca="1" t="shared" si="161"/>
        <v>61223.3448248793</v>
      </c>
      <c r="T152" s="543">
        <f ca="1" t="shared" si="161"/>
        <v>63855.948652349</v>
      </c>
      <c r="U152" s="554"/>
      <c r="V152" s="554"/>
      <c r="W152" s="554"/>
      <c r="X152" s="554"/>
      <c r="Y152" s="554"/>
      <c r="Z152" s="554"/>
      <c r="AA152" s="554"/>
      <c r="AB152" s="554"/>
      <c r="AC152" s="554"/>
      <c r="AD152" s="554"/>
      <c r="AE152" s="554"/>
      <c r="AF152" s="554"/>
      <c r="AG152" s="554"/>
      <c r="AH152" s="554"/>
      <c r="AI152" s="554"/>
      <c r="AJ152" s="554"/>
      <c r="AK152" s="554"/>
      <c r="AL152" s="554"/>
      <c r="AM152" s="554"/>
      <c r="AN152" s="554"/>
      <c r="AO152" s="554"/>
      <c r="AP152" s="554"/>
      <c r="AQ152" s="554"/>
      <c r="AR152" s="554"/>
      <c r="AS152" s="554"/>
      <c r="AT152" s="554"/>
      <c r="AU152" s="554"/>
      <c r="AV152" s="554"/>
      <c r="AW152" s="554"/>
      <c r="AX152" s="554"/>
      <c r="AY152" s="554"/>
      <c r="AZ152" s="554"/>
      <c r="BA152" s="554"/>
    </row>
    <row r="153" spans="2:53">
      <c r="B153" s="556"/>
      <c r="C153" s="541"/>
      <c r="D153" s="33" t="s">
        <v>539</v>
      </c>
      <c r="E153" s="542">
        <f ca="1">SUM(F153:T153)</f>
        <v>273817.053497512</v>
      </c>
      <c r="F153" s="542">
        <f ca="1">(F149+F150/2)*$D$143</f>
        <v>31183.9983162452</v>
      </c>
      <c r="G153" s="542">
        <f ca="1">(G149+G150/2)*$D$143</f>
        <v>29661.0348027345</v>
      </c>
      <c r="H153" s="542">
        <f ca="1" t="shared" ref="H153:T153" si="162">(H149+H150/2)*$D$143</f>
        <v>28072.5838581429</v>
      </c>
      <c r="I153" s="542">
        <f ca="1" t="shared" si="162"/>
        <v>26415.8295229338</v>
      </c>
      <c r="J153" s="542">
        <f ca="1" t="shared" si="162"/>
        <v>24687.8347513107</v>
      </c>
      <c r="K153" s="542">
        <f ca="1" t="shared" si="162"/>
        <v>22885.5362045079</v>
      </c>
      <c r="L153" s="542">
        <f ca="1" t="shared" si="162"/>
        <v>21005.7388201925</v>
      </c>
      <c r="M153" s="542">
        <f ca="1" t="shared" si="162"/>
        <v>19045.1101483516</v>
      </c>
      <c r="N153" s="542">
        <f ca="1" t="shared" si="162"/>
        <v>17000.1744436215</v>
      </c>
      <c r="O153" s="542">
        <f ca="1" t="shared" si="162"/>
        <v>14867.306503588</v>
      </c>
      <c r="P153" s="542">
        <f ca="1" t="shared" si="162"/>
        <v>12642.725242133</v>
      </c>
      <c r="Q153" s="542">
        <f ca="1" t="shared" si="162"/>
        <v>10322.4869864356</v>
      </c>
      <c r="R153" s="542">
        <f ca="1" t="shared" si="162"/>
        <v>7902.47848574307</v>
      </c>
      <c r="S153" s="542">
        <f ca="1" t="shared" si="162"/>
        <v>5378.40961952081</v>
      </c>
      <c r="T153" s="543">
        <f ca="1" t="shared" si="162"/>
        <v>2745.805792051</v>
      </c>
      <c r="U153" s="554"/>
      <c r="V153" s="554"/>
      <c r="W153" s="554"/>
      <c r="X153" s="554"/>
      <c r="Y153" s="554"/>
      <c r="Z153" s="554"/>
      <c r="AA153" s="554"/>
      <c r="AB153" s="554"/>
      <c r="AC153" s="554"/>
      <c r="AD153" s="554"/>
      <c r="AE153" s="554"/>
      <c r="AF153" s="554"/>
      <c r="AG153" s="554"/>
      <c r="AH153" s="554"/>
      <c r="AI153" s="554"/>
      <c r="AJ153" s="554"/>
      <c r="AK153" s="554"/>
      <c r="AL153" s="554"/>
      <c r="AM153" s="554"/>
      <c r="AN153" s="554"/>
      <c r="AO153" s="554"/>
      <c r="AP153" s="554"/>
      <c r="AQ153" s="554"/>
      <c r="AR153" s="554"/>
      <c r="AS153" s="554"/>
      <c r="AT153" s="554"/>
      <c r="AU153" s="554"/>
      <c r="AV153" s="554"/>
      <c r="AW153" s="554"/>
      <c r="AX153" s="554"/>
      <c r="AY153" s="554"/>
      <c r="AZ153" s="554"/>
      <c r="BA153" s="554"/>
    </row>
    <row r="154" ht="17.25" spans="2:53">
      <c r="B154" s="556"/>
      <c r="C154" s="545"/>
      <c r="D154" s="163" t="s">
        <v>540</v>
      </c>
      <c r="E154" s="546">
        <f ca="1">T154</f>
        <v>-8.73114913702011e-11</v>
      </c>
      <c r="F154" s="546">
        <f ca="1">F149+F150-F152</f>
        <v>689791.507040337</v>
      </c>
      <c r="G154" s="546">
        <f ca="1">G149+G150-G152</f>
        <v>652850.787398671</v>
      </c>
      <c r="H154" s="546">
        <f ca="1" t="shared" ref="H154:T154" si="163">H149+H150-H152</f>
        <v>614321.616812414</v>
      </c>
      <c r="I154" s="546">
        <f ca="1" t="shared" si="163"/>
        <v>574135.691890947</v>
      </c>
      <c r="J154" s="546">
        <f ca="1" t="shared" si="163"/>
        <v>532221.772197857</v>
      </c>
      <c r="K154" s="546">
        <f ca="1" t="shared" si="163"/>
        <v>488505.553957965</v>
      </c>
      <c r="L154" s="546">
        <f ca="1" t="shared" si="163"/>
        <v>442909.538333757</v>
      </c>
      <c r="M154" s="546">
        <f ca="1" t="shared" si="163"/>
        <v>395352.894037708</v>
      </c>
      <c r="N154" s="546">
        <f ca="1" t="shared" si="163"/>
        <v>345751.31403693</v>
      </c>
      <c r="O154" s="546">
        <f ca="1" t="shared" si="163"/>
        <v>294016.866096117</v>
      </c>
      <c r="P154" s="546">
        <f ca="1" t="shared" si="163"/>
        <v>240057.83689385</v>
      </c>
      <c r="Q154" s="546">
        <f ca="1" t="shared" si="163"/>
        <v>183778.569435885</v>
      </c>
      <c r="R154" s="546">
        <f ca="1" t="shared" si="163"/>
        <v>125079.293477228</v>
      </c>
      <c r="S154" s="546">
        <f ca="1" t="shared" si="163"/>
        <v>63855.9486523489</v>
      </c>
      <c r="T154" s="547">
        <f ca="1" t="shared" si="163"/>
        <v>-8.73114913702011e-11</v>
      </c>
      <c r="U154" s="554"/>
      <c r="V154" s="554"/>
      <c r="W154" s="554"/>
      <c r="X154" s="554"/>
      <c r="Y154" s="554"/>
      <c r="Z154" s="554"/>
      <c r="AA154" s="554"/>
      <c r="AB154" s="554"/>
      <c r="AC154" s="554"/>
      <c r="AD154" s="554"/>
      <c r="AE154" s="554"/>
      <c r="AF154" s="554"/>
      <c r="AG154" s="554"/>
      <c r="AH154" s="554"/>
      <c r="AI154" s="554"/>
      <c r="AJ154" s="554"/>
      <c r="AK154" s="554"/>
      <c r="AL154" s="554"/>
      <c r="AM154" s="554"/>
      <c r="AN154" s="554"/>
      <c r="AO154" s="554"/>
      <c r="AP154" s="554"/>
      <c r="AQ154" s="554"/>
      <c r="AR154" s="554"/>
      <c r="AS154" s="554"/>
      <c r="AT154" s="554"/>
      <c r="AU154" s="554"/>
      <c r="AV154" s="554"/>
      <c r="AW154" s="554"/>
      <c r="AX154" s="554"/>
      <c r="AY154" s="554"/>
      <c r="AZ154" s="554"/>
      <c r="BA154" s="554"/>
    </row>
    <row r="155" spans="2:53">
      <c r="B155" s="556"/>
      <c r="C155" s="548" t="s">
        <v>557</v>
      </c>
      <c r="D155" s="537" t="s">
        <v>535</v>
      </c>
      <c r="E155" s="539"/>
      <c r="F155" s="539">
        <f ca="1">D142</f>
        <v>725209.263168492</v>
      </c>
      <c r="G155" s="539">
        <f ca="1">F160</f>
        <v>676861.97895726</v>
      </c>
      <c r="H155" s="539">
        <f ca="1" t="shared" ref="H155:T155" si="164">G160</f>
        <v>628514.694746027</v>
      </c>
      <c r="I155" s="539">
        <f ca="1" t="shared" si="164"/>
        <v>580167.410534794</v>
      </c>
      <c r="J155" s="539">
        <f ca="1" t="shared" si="164"/>
        <v>531820.126323561</v>
      </c>
      <c r="K155" s="539">
        <f ca="1" t="shared" si="164"/>
        <v>483472.842112328</v>
      </c>
      <c r="L155" s="539">
        <f ca="1" t="shared" si="164"/>
        <v>435125.557901096</v>
      </c>
      <c r="M155" s="539">
        <f ca="1" t="shared" si="164"/>
        <v>386778.273689863</v>
      </c>
      <c r="N155" s="539">
        <f ca="1" t="shared" si="164"/>
        <v>338430.98947863</v>
      </c>
      <c r="O155" s="539">
        <f ca="1" t="shared" si="164"/>
        <v>290083.705267397</v>
      </c>
      <c r="P155" s="539">
        <f ca="1" t="shared" si="164"/>
        <v>241736.421056164</v>
      </c>
      <c r="Q155" s="539">
        <f ca="1" t="shared" si="164"/>
        <v>193389.136844932</v>
      </c>
      <c r="R155" s="539">
        <f ca="1" t="shared" si="164"/>
        <v>145041.852633699</v>
      </c>
      <c r="S155" s="539">
        <f ca="1" t="shared" si="164"/>
        <v>96694.5684224659</v>
      </c>
      <c r="T155" s="540">
        <f ca="1" t="shared" si="164"/>
        <v>48347.2842112331</v>
      </c>
      <c r="U155" s="554"/>
      <c r="V155" s="554"/>
      <c r="W155" s="554"/>
      <c r="X155" s="554"/>
      <c r="Y155" s="554"/>
      <c r="Z155" s="554"/>
      <c r="AA155" s="554"/>
      <c r="AB155" s="554"/>
      <c r="AC155" s="554"/>
      <c r="AD155" s="554"/>
      <c r="AE155" s="554"/>
      <c r="AF155" s="554"/>
      <c r="AG155" s="554"/>
      <c r="AH155" s="554"/>
      <c r="AI155" s="554"/>
      <c r="AJ155" s="554"/>
      <c r="AK155" s="554"/>
      <c r="AL155" s="554"/>
      <c r="AM155" s="554"/>
      <c r="AN155" s="554"/>
      <c r="AO155" s="554"/>
      <c r="AP155" s="554"/>
      <c r="AQ155" s="554"/>
      <c r="AR155" s="554"/>
      <c r="AS155" s="554"/>
      <c r="AT155" s="554"/>
      <c r="AU155" s="554"/>
      <c r="AV155" s="554"/>
      <c r="AW155" s="554"/>
      <c r="AX155" s="554"/>
      <c r="AY155" s="554"/>
      <c r="AZ155" s="554"/>
      <c r="BA155" s="554"/>
    </row>
    <row r="156" spans="2:53">
      <c r="B156" s="556"/>
      <c r="C156" s="549"/>
      <c r="D156" s="144" t="s">
        <v>536</v>
      </c>
      <c r="E156" s="542"/>
      <c r="F156" s="542">
        <v>0</v>
      </c>
      <c r="G156" s="542">
        <v>0</v>
      </c>
      <c r="H156" s="542">
        <v>0</v>
      </c>
      <c r="I156" s="542">
        <v>0</v>
      </c>
      <c r="J156" s="542">
        <v>0</v>
      </c>
      <c r="K156" s="542">
        <v>0</v>
      </c>
      <c r="L156" s="542">
        <v>0</v>
      </c>
      <c r="M156" s="542">
        <v>0</v>
      </c>
      <c r="N156" s="542">
        <v>0</v>
      </c>
      <c r="O156" s="542">
        <v>0</v>
      </c>
      <c r="P156" s="542">
        <v>0</v>
      </c>
      <c r="Q156" s="542">
        <v>0</v>
      </c>
      <c r="R156" s="542">
        <v>0</v>
      </c>
      <c r="S156" s="542">
        <v>0</v>
      </c>
      <c r="T156" s="543">
        <v>0</v>
      </c>
      <c r="U156" s="554"/>
      <c r="V156" s="554"/>
      <c r="W156" s="554"/>
      <c r="X156" s="554"/>
      <c r="Y156" s="554"/>
      <c r="Z156" s="554"/>
      <c r="AA156" s="554"/>
      <c r="AB156" s="554"/>
      <c r="AC156" s="554"/>
      <c r="AD156" s="554"/>
      <c r="AE156" s="554"/>
      <c r="AF156" s="554"/>
      <c r="AG156" s="554"/>
      <c r="AH156" s="554"/>
      <c r="AI156" s="554"/>
      <c r="AJ156" s="554"/>
      <c r="AK156" s="554"/>
      <c r="AL156" s="554"/>
      <c r="AM156" s="554"/>
      <c r="AN156" s="554"/>
      <c r="AO156" s="554"/>
      <c r="AP156" s="554"/>
      <c r="AQ156" s="554"/>
      <c r="AR156" s="554"/>
      <c r="AS156" s="554"/>
      <c r="AT156" s="554"/>
      <c r="AU156" s="554"/>
      <c r="AV156" s="554"/>
      <c r="AW156" s="554"/>
      <c r="AX156" s="554"/>
      <c r="AY156" s="554"/>
      <c r="AZ156" s="554"/>
      <c r="BA156" s="554"/>
    </row>
    <row r="157" spans="2:53">
      <c r="B157" s="556"/>
      <c r="C157" s="549"/>
      <c r="D157" s="144" t="s">
        <v>537</v>
      </c>
      <c r="E157" s="544">
        <f ca="1">SUM(F157:T157)</f>
        <v>974681.249698454</v>
      </c>
      <c r="F157" s="542">
        <f ca="1">SUM(F158:F159)</f>
        <v>79531.282527478</v>
      </c>
      <c r="G157" s="542">
        <f ca="1" t="shared" ref="G157:T157" si="165">SUM(G158:G159)</f>
        <v>77452.349306395</v>
      </c>
      <c r="H157" s="542">
        <f ca="1" t="shared" si="165"/>
        <v>75373.416085312</v>
      </c>
      <c r="I157" s="542">
        <f ca="1" t="shared" si="165"/>
        <v>73294.482864229</v>
      </c>
      <c r="J157" s="542">
        <f ca="1" t="shared" si="165"/>
        <v>71215.5496431459</v>
      </c>
      <c r="K157" s="542">
        <f ca="1" t="shared" si="165"/>
        <v>69136.6164220629</v>
      </c>
      <c r="L157" s="542">
        <f ca="1" t="shared" si="165"/>
        <v>67057.6832009799</v>
      </c>
      <c r="M157" s="542">
        <f ca="1" t="shared" si="165"/>
        <v>64978.7499798969</v>
      </c>
      <c r="N157" s="542">
        <f ca="1" t="shared" si="165"/>
        <v>62899.8167588139</v>
      </c>
      <c r="O157" s="542">
        <f ca="1" t="shared" si="165"/>
        <v>60820.8835377309</v>
      </c>
      <c r="P157" s="542">
        <f ca="1" t="shared" si="165"/>
        <v>58741.9503166479</v>
      </c>
      <c r="Q157" s="542">
        <f ca="1" t="shared" si="165"/>
        <v>56663.0170955649</v>
      </c>
      <c r="R157" s="542">
        <f ca="1" t="shared" si="165"/>
        <v>54584.0838744819</v>
      </c>
      <c r="S157" s="542">
        <f ca="1" t="shared" si="165"/>
        <v>52505.1506533989</v>
      </c>
      <c r="T157" s="543">
        <f ca="1" t="shared" si="165"/>
        <v>50426.2174323158</v>
      </c>
      <c r="U157" s="554"/>
      <c r="V157" s="554"/>
      <c r="W157" s="554"/>
      <c r="X157" s="554"/>
      <c r="Y157" s="554"/>
      <c r="Z157" s="554"/>
      <c r="AA157" s="554"/>
      <c r="AB157" s="554"/>
      <c r="AC157" s="554"/>
      <c r="AD157" s="554"/>
      <c r="AE157" s="554"/>
      <c r="AF157" s="554"/>
      <c r="AG157" s="554"/>
      <c r="AH157" s="554"/>
      <c r="AI157" s="554"/>
      <c r="AJ157" s="554"/>
      <c r="AK157" s="554"/>
      <c r="AL157" s="554"/>
      <c r="AM157" s="554"/>
      <c r="AN157" s="554"/>
      <c r="AO157" s="554"/>
      <c r="AP157" s="554"/>
      <c r="AQ157" s="554"/>
      <c r="AR157" s="554"/>
      <c r="AS157" s="554"/>
      <c r="AT157" s="554"/>
      <c r="AU157" s="554"/>
      <c r="AV157" s="554"/>
      <c r="AW157" s="554"/>
      <c r="AX157" s="554"/>
      <c r="AY157" s="554"/>
      <c r="AZ157" s="554"/>
      <c r="BA157" s="554"/>
    </row>
    <row r="158" spans="2:53">
      <c r="B158" s="556"/>
      <c r="C158" s="549"/>
      <c r="D158" s="145" t="s">
        <v>538</v>
      </c>
      <c r="E158" s="542">
        <f ca="1">SUM(F158:T158)</f>
        <v>725209.263168492</v>
      </c>
      <c r="F158" s="542">
        <f ca="1">$D$142/$D$140</f>
        <v>48347.2842112328</v>
      </c>
      <c r="G158" s="542">
        <f ca="1" t="shared" ref="G158:T158" si="166">$D$142/$D$140</f>
        <v>48347.2842112328</v>
      </c>
      <c r="H158" s="542">
        <f ca="1" t="shared" si="166"/>
        <v>48347.2842112328</v>
      </c>
      <c r="I158" s="542">
        <f ca="1" t="shared" si="166"/>
        <v>48347.2842112328</v>
      </c>
      <c r="J158" s="542">
        <f ca="1" t="shared" si="166"/>
        <v>48347.2842112328</v>
      </c>
      <c r="K158" s="542">
        <f ca="1" t="shared" si="166"/>
        <v>48347.2842112328</v>
      </c>
      <c r="L158" s="542">
        <f ca="1" t="shared" si="166"/>
        <v>48347.2842112328</v>
      </c>
      <c r="M158" s="542">
        <f ca="1" t="shared" si="166"/>
        <v>48347.2842112328</v>
      </c>
      <c r="N158" s="542">
        <f ca="1" t="shared" si="166"/>
        <v>48347.2842112328</v>
      </c>
      <c r="O158" s="542">
        <f ca="1" t="shared" si="166"/>
        <v>48347.2842112328</v>
      </c>
      <c r="P158" s="542">
        <f ca="1" t="shared" si="166"/>
        <v>48347.2842112328</v>
      </c>
      <c r="Q158" s="542">
        <f ca="1" t="shared" si="166"/>
        <v>48347.2842112328</v>
      </c>
      <c r="R158" s="542">
        <f ca="1" t="shared" si="166"/>
        <v>48347.2842112328</v>
      </c>
      <c r="S158" s="542">
        <f ca="1" t="shared" si="166"/>
        <v>48347.2842112328</v>
      </c>
      <c r="T158" s="543">
        <f ca="1" t="shared" si="166"/>
        <v>48347.2842112328</v>
      </c>
      <c r="U158" s="554"/>
      <c r="V158" s="554"/>
      <c r="W158" s="554"/>
      <c r="X158" s="554"/>
      <c r="Y158" s="554"/>
      <c r="Z158" s="554"/>
      <c r="AA158" s="554"/>
      <c r="AB158" s="554"/>
      <c r="AC158" s="554"/>
      <c r="AD158" s="554"/>
      <c r="AE158" s="554"/>
      <c r="AF158" s="554"/>
      <c r="AG158" s="554"/>
      <c r="AH158" s="554"/>
      <c r="AI158" s="554"/>
      <c r="AJ158" s="554"/>
      <c r="AK158" s="554"/>
      <c r="AL158" s="554"/>
      <c r="AM158" s="554"/>
      <c r="AN158" s="554"/>
      <c r="AO158" s="554"/>
      <c r="AP158" s="554"/>
      <c r="AQ158" s="554"/>
      <c r="AR158" s="554"/>
      <c r="AS158" s="554"/>
      <c r="AT158" s="554"/>
      <c r="AU158" s="554"/>
      <c r="AV158" s="554"/>
      <c r="AW158" s="554"/>
      <c r="AX158" s="554"/>
      <c r="AY158" s="554"/>
      <c r="AZ158" s="554"/>
      <c r="BA158" s="554"/>
    </row>
    <row r="159" spans="2:53">
      <c r="B159" s="556"/>
      <c r="C159" s="549"/>
      <c r="D159" s="33" t="s">
        <v>539</v>
      </c>
      <c r="E159" s="542">
        <f ca="1">SUM(F159:T159)</f>
        <v>249471.986529961</v>
      </c>
      <c r="F159" s="542">
        <f ca="1">(F155+F156/2)*$D$143</f>
        <v>31183.9983162452</v>
      </c>
      <c r="G159" s="542">
        <f ca="1" t="shared" ref="G159:T159" si="167">(G155+G156/2)*$D$143</f>
        <v>29105.0650951622</v>
      </c>
      <c r="H159" s="542">
        <f ca="1" t="shared" si="167"/>
        <v>27026.1318740792</v>
      </c>
      <c r="I159" s="542">
        <f ca="1" t="shared" si="167"/>
        <v>24947.1986529961</v>
      </c>
      <c r="J159" s="542">
        <f ca="1" t="shared" si="167"/>
        <v>22868.2654319131</v>
      </c>
      <c r="K159" s="542">
        <f ca="1" t="shared" si="167"/>
        <v>20789.3322108301</v>
      </c>
      <c r="L159" s="542">
        <f ca="1" t="shared" si="167"/>
        <v>18710.3989897471</v>
      </c>
      <c r="M159" s="542">
        <f ca="1" t="shared" si="167"/>
        <v>16631.4657686641</v>
      </c>
      <c r="N159" s="542">
        <f ca="1" t="shared" si="167"/>
        <v>14552.5325475811</v>
      </c>
      <c r="O159" s="542">
        <f ca="1" t="shared" si="167"/>
        <v>12473.5993264981</v>
      </c>
      <c r="P159" s="542">
        <f ca="1" t="shared" si="167"/>
        <v>10394.6661054151</v>
      </c>
      <c r="Q159" s="542">
        <f ca="1" t="shared" si="167"/>
        <v>8315.73288433206</v>
      </c>
      <c r="R159" s="542">
        <f ca="1" t="shared" si="167"/>
        <v>6236.79966324905</v>
      </c>
      <c r="S159" s="542">
        <f ca="1" t="shared" si="167"/>
        <v>4157.86644216604</v>
      </c>
      <c r="T159" s="543">
        <f ca="1" t="shared" si="167"/>
        <v>2078.93322108302</v>
      </c>
      <c r="U159" s="554"/>
      <c r="V159" s="554"/>
      <c r="W159" s="554"/>
      <c r="X159" s="554"/>
      <c r="Y159" s="554"/>
      <c r="Z159" s="554"/>
      <c r="AA159" s="554"/>
      <c r="AB159" s="554"/>
      <c r="AC159" s="554"/>
      <c r="AD159" s="554"/>
      <c r="AE159" s="554"/>
      <c r="AF159" s="554"/>
      <c r="AG159" s="554"/>
      <c r="AH159" s="554"/>
      <c r="AI159" s="554"/>
      <c r="AJ159" s="554"/>
      <c r="AK159" s="554"/>
      <c r="AL159" s="554"/>
      <c r="AM159" s="554"/>
      <c r="AN159" s="554"/>
      <c r="AO159" s="554"/>
      <c r="AP159" s="554"/>
      <c r="AQ159" s="554"/>
      <c r="AR159" s="554"/>
      <c r="AS159" s="554"/>
      <c r="AT159" s="554"/>
      <c r="AU159" s="554"/>
      <c r="AV159" s="554"/>
      <c r="AW159" s="554"/>
      <c r="AX159" s="554"/>
      <c r="AY159" s="554"/>
      <c r="AZ159" s="554"/>
      <c r="BA159" s="554"/>
    </row>
    <row r="160" ht="17.25" spans="2:53">
      <c r="B160" s="560"/>
      <c r="C160" s="551"/>
      <c r="D160" s="163" t="s">
        <v>540</v>
      </c>
      <c r="E160" s="546">
        <f ca="1">T160</f>
        <v>2.91038304567337e-10</v>
      </c>
      <c r="F160" s="546">
        <f ca="1">F155+F156-F158</f>
        <v>676861.97895726</v>
      </c>
      <c r="G160" s="546">
        <f ca="1" t="shared" ref="G160:T160" si="168">G155+G156-G158</f>
        <v>628514.694746027</v>
      </c>
      <c r="H160" s="546">
        <f ca="1" t="shared" si="168"/>
        <v>580167.410534794</v>
      </c>
      <c r="I160" s="546">
        <f ca="1" t="shared" si="168"/>
        <v>531820.126323561</v>
      </c>
      <c r="J160" s="546">
        <f ca="1" t="shared" si="168"/>
        <v>483472.842112328</v>
      </c>
      <c r="K160" s="546">
        <f ca="1" t="shared" si="168"/>
        <v>435125.557901096</v>
      </c>
      <c r="L160" s="546">
        <f ca="1" t="shared" si="168"/>
        <v>386778.273689863</v>
      </c>
      <c r="M160" s="546">
        <f ca="1" t="shared" si="168"/>
        <v>338430.98947863</v>
      </c>
      <c r="N160" s="546">
        <f ca="1" t="shared" si="168"/>
        <v>290083.705267397</v>
      </c>
      <c r="O160" s="546">
        <f ca="1" t="shared" si="168"/>
        <v>241736.421056164</v>
      </c>
      <c r="P160" s="546">
        <f ca="1" t="shared" si="168"/>
        <v>193389.136844932</v>
      </c>
      <c r="Q160" s="546">
        <f ca="1" t="shared" si="168"/>
        <v>145041.852633699</v>
      </c>
      <c r="R160" s="546">
        <f ca="1" t="shared" si="168"/>
        <v>96694.5684224659</v>
      </c>
      <c r="S160" s="546">
        <f ca="1" t="shared" si="168"/>
        <v>48347.2842112331</v>
      </c>
      <c r="T160" s="547">
        <f ca="1" t="shared" si="168"/>
        <v>2.91038304567337e-10</v>
      </c>
      <c r="U160" s="502"/>
      <c r="V160" s="502"/>
      <c r="W160" s="502"/>
    </row>
    <row r="162" ht="19.95" customHeight="1" spans="2:57">
      <c r="B162" s="562" t="s">
        <v>558</v>
      </c>
      <c r="C162" s="563"/>
      <c r="D162" s="563"/>
      <c r="E162" s="563"/>
      <c r="F162" s="563"/>
      <c r="G162" s="563"/>
      <c r="H162" s="563"/>
      <c r="I162" s="563"/>
      <c r="J162" s="563"/>
      <c r="K162" s="563"/>
      <c r="L162" s="563"/>
      <c r="M162" s="563"/>
      <c r="N162" s="563"/>
      <c r="O162" s="563"/>
      <c r="P162" s="563"/>
      <c r="Q162" s="563"/>
      <c r="R162" s="564"/>
      <c r="S162" s="563"/>
      <c r="T162" s="563"/>
      <c r="U162" s="563"/>
      <c r="V162" s="563"/>
      <c r="W162" s="563"/>
      <c r="X162" s="563"/>
      <c r="Y162" s="563"/>
      <c r="Z162" s="563"/>
      <c r="AA162" s="563"/>
      <c r="AB162" s="563"/>
      <c r="AC162" s="563"/>
      <c r="AD162" s="563"/>
      <c r="AE162" s="563"/>
      <c r="AF162" s="563"/>
      <c r="AG162" s="563"/>
      <c r="AH162" s="563"/>
      <c r="AI162" s="563"/>
      <c r="AJ162" s="563"/>
      <c r="AK162" s="563"/>
      <c r="AL162" s="563"/>
      <c r="AM162" s="563"/>
      <c r="AN162" s="563"/>
      <c r="AO162" s="563"/>
      <c r="AP162" s="563"/>
      <c r="AQ162" s="563"/>
      <c r="AR162" s="563"/>
      <c r="AS162" s="563"/>
      <c r="AT162" s="563"/>
      <c r="AU162" s="563"/>
      <c r="AV162" s="563"/>
      <c r="AW162" s="563"/>
      <c r="AX162" s="563"/>
      <c r="AY162" s="563"/>
      <c r="AZ162" s="563"/>
      <c r="BA162" s="563"/>
      <c r="BB162" s="563"/>
      <c r="BC162" s="563"/>
      <c r="BD162" s="563"/>
      <c r="BE162" s="565"/>
    </row>
    <row r="163" spans="2:57">
      <c r="B163" s="566" t="s">
        <v>2</v>
      </c>
      <c r="C163" s="566" t="s">
        <v>430</v>
      </c>
      <c r="D163" s="566" t="s">
        <v>491</v>
      </c>
      <c r="E163" s="566" t="s">
        <v>9</v>
      </c>
      <c r="F163" s="444">
        <f>F3</f>
        <v>45016</v>
      </c>
      <c r="G163" s="567">
        <v>2023</v>
      </c>
      <c r="H163" s="567">
        <v>2024</v>
      </c>
      <c r="I163" s="567">
        <v>2025</v>
      </c>
      <c r="J163" s="567">
        <v>2026</v>
      </c>
      <c r="K163" s="567">
        <v>2027</v>
      </c>
      <c r="L163" s="567">
        <v>2028</v>
      </c>
      <c r="M163" s="446">
        <f>M3</f>
        <v>47361</v>
      </c>
      <c r="N163" s="568">
        <v>2029</v>
      </c>
      <c r="O163" s="446">
        <f>O3</f>
        <v>47695</v>
      </c>
      <c r="P163" s="569">
        <f>P3</f>
        <v>47726</v>
      </c>
      <c r="Q163" s="570">
        <v>2030</v>
      </c>
      <c r="R163" s="570">
        <v>2031</v>
      </c>
      <c r="S163" s="570">
        <v>2032</v>
      </c>
      <c r="T163" s="570">
        <v>2033</v>
      </c>
      <c r="U163" s="570">
        <v>2034</v>
      </c>
      <c r="V163" s="570">
        <v>2035</v>
      </c>
      <c r="W163" s="570">
        <v>2036</v>
      </c>
      <c r="X163" s="570">
        <v>2037</v>
      </c>
      <c r="Y163" s="570">
        <v>2038</v>
      </c>
      <c r="Z163" s="570">
        <v>2039</v>
      </c>
      <c r="AA163" s="570">
        <v>2040</v>
      </c>
      <c r="AB163" s="570">
        <v>2041</v>
      </c>
      <c r="AC163" s="570">
        <v>2042</v>
      </c>
      <c r="AD163" s="570">
        <v>2043</v>
      </c>
      <c r="AE163" s="570">
        <v>2044</v>
      </c>
      <c r="AF163" s="570">
        <v>2045</v>
      </c>
      <c r="AG163" s="570">
        <v>2046</v>
      </c>
      <c r="AH163" s="570">
        <v>2047</v>
      </c>
      <c r="AI163" s="570">
        <v>2048</v>
      </c>
      <c r="AJ163" s="570">
        <v>2049</v>
      </c>
      <c r="AK163" s="570">
        <v>2050</v>
      </c>
      <c r="AL163" s="570">
        <v>2051</v>
      </c>
      <c r="AM163" s="570">
        <v>2052</v>
      </c>
      <c r="AN163" s="570">
        <v>2053</v>
      </c>
      <c r="AO163" s="570">
        <v>2054</v>
      </c>
      <c r="AP163" s="570">
        <v>2055</v>
      </c>
      <c r="AQ163" s="570">
        <v>2056</v>
      </c>
      <c r="AR163" s="570">
        <v>2057</v>
      </c>
      <c r="AS163" s="570">
        <v>2058</v>
      </c>
      <c r="AT163" s="570">
        <v>2059</v>
      </c>
      <c r="AU163" s="570">
        <v>2060</v>
      </c>
      <c r="AV163" s="570">
        <v>2061</v>
      </c>
      <c r="AW163" s="570">
        <v>2062</v>
      </c>
      <c r="AX163" s="570">
        <v>2063</v>
      </c>
      <c r="AY163" s="570">
        <v>2064</v>
      </c>
      <c r="AZ163" s="570">
        <v>2065</v>
      </c>
      <c r="BA163" s="570">
        <v>2066</v>
      </c>
      <c r="BB163" s="570">
        <v>2067</v>
      </c>
      <c r="BC163" s="570">
        <v>2068</v>
      </c>
      <c r="BD163" s="570">
        <v>2069</v>
      </c>
      <c r="BE163" s="570">
        <v>2070</v>
      </c>
    </row>
    <row r="164" spans="2:57">
      <c r="B164" s="566"/>
      <c r="C164" s="566"/>
      <c r="D164" s="566"/>
      <c r="E164" s="566"/>
      <c r="F164" s="18"/>
      <c r="G164" s="18">
        <v>1</v>
      </c>
      <c r="H164" s="18">
        <v>2</v>
      </c>
      <c r="I164" s="18">
        <v>3</v>
      </c>
      <c r="J164" s="18">
        <v>4</v>
      </c>
      <c r="K164" s="18">
        <v>5</v>
      </c>
      <c r="L164" s="18">
        <v>6</v>
      </c>
      <c r="M164" s="19"/>
      <c r="N164" s="19">
        <v>7</v>
      </c>
      <c r="O164" s="19"/>
      <c r="P164" s="208"/>
      <c r="Q164" s="20">
        <v>8</v>
      </c>
      <c r="R164" s="20">
        <v>9</v>
      </c>
      <c r="S164" s="20">
        <v>10</v>
      </c>
      <c r="T164" s="20">
        <v>11</v>
      </c>
      <c r="U164" s="20">
        <v>12</v>
      </c>
      <c r="V164" s="20">
        <v>13</v>
      </c>
      <c r="W164" s="20">
        <v>14</v>
      </c>
      <c r="X164" s="20">
        <v>15</v>
      </c>
      <c r="Y164" s="20">
        <v>16</v>
      </c>
      <c r="Z164" s="20">
        <v>17</v>
      </c>
      <c r="AA164" s="20">
        <v>18</v>
      </c>
      <c r="AB164" s="20">
        <v>19</v>
      </c>
      <c r="AC164" s="20">
        <v>20</v>
      </c>
      <c r="AD164" s="20">
        <v>21</v>
      </c>
      <c r="AE164" s="20">
        <v>22</v>
      </c>
      <c r="AF164" s="20">
        <v>23</v>
      </c>
      <c r="AG164" s="20">
        <v>24</v>
      </c>
      <c r="AH164" s="20">
        <v>25</v>
      </c>
      <c r="AI164" s="20">
        <v>26</v>
      </c>
      <c r="AJ164" s="20">
        <v>27</v>
      </c>
      <c r="AK164" s="20">
        <v>28</v>
      </c>
      <c r="AL164" s="20">
        <v>29</v>
      </c>
      <c r="AM164" s="20">
        <v>30</v>
      </c>
      <c r="AN164" s="20">
        <v>31</v>
      </c>
      <c r="AO164" s="20">
        <v>32</v>
      </c>
      <c r="AP164" s="20">
        <v>33</v>
      </c>
      <c r="AQ164" s="20">
        <v>34</v>
      </c>
      <c r="AR164" s="20">
        <v>35</v>
      </c>
      <c r="AS164" s="20">
        <v>36</v>
      </c>
      <c r="AT164" s="20">
        <v>37</v>
      </c>
      <c r="AU164" s="20">
        <v>38</v>
      </c>
      <c r="AV164" s="20">
        <v>39</v>
      </c>
      <c r="AW164" s="20">
        <v>40</v>
      </c>
      <c r="AX164" s="20">
        <v>41</v>
      </c>
      <c r="AY164" s="20">
        <v>42</v>
      </c>
      <c r="AZ164" s="20">
        <v>43</v>
      </c>
      <c r="BA164" s="20">
        <v>44</v>
      </c>
      <c r="BB164" s="20">
        <v>45</v>
      </c>
      <c r="BC164" s="20">
        <v>46</v>
      </c>
      <c r="BD164" s="20">
        <v>47</v>
      </c>
      <c r="BE164" s="20">
        <v>48</v>
      </c>
    </row>
    <row r="165" spans="2:57">
      <c r="B165" s="29">
        <v>1</v>
      </c>
      <c r="C165" s="144" t="s">
        <v>535</v>
      </c>
      <c r="D165" s="466"/>
      <c r="E165" s="29" t="s">
        <v>130</v>
      </c>
      <c r="F165" s="466">
        <f t="shared" ref="F165:F170" si="169">F175+F253+F263</f>
        <v>0</v>
      </c>
      <c r="G165" s="466">
        <f ca="1" t="shared" ref="G165:P165" si="170">G175+G253+G263</f>
        <v>21197.0400822516</v>
      </c>
      <c r="H165" s="466">
        <f ca="1" t="shared" si="170"/>
        <v>71633.4875937017</v>
      </c>
      <c r="I165" s="466">
        <f ca="1" t="shared" si="170"/>
        <v>143560.689450587</v>
      </c>
      <c r="J165" s="466">
        <f ca="1" t="shared" si="170"/>
        <v>227206.218790986</v>
      </c>
      <c r="K165" s="466">
        <f ca="1" t="shared" si="170"/>
        <v>320943.151995775</v>
      </c>
      <c r="L165" s="466">
        <f ca="1" t="shared" si="170"/>
        <v>446801.809180491</v>
      </c>
      <c r="M165" s="466">
        <f ca="1" t="shared" si="170"/>
        <v>567118.553113378</v>
      </c>
      <c r="N165" s="466">
        <f ca="1" t="shared" si="170"/>
        <v>632532.195156247</v>
      </c>
      <c r="O165" s="466">
        <f ca="1" t="shared" si="170"/>
        <v>674623.632860075</v>
      </c>
      <c r="P165" s="571">
        <f ca="1" t="shared" si="170"/>
        <v>725209.263168492</v>
      </c>
      <c r="Q165" s="466">
        <f ca="1" t="shared" ref="Q165:AM165" si="171">Q175+Q253+Q263</f>
        <v>725209.263168492</v>
      </c>
      <c r="R165" s="466">
        <f ca="1" t="shared" si="171"/>
        <v>713122.442115684</v>
      </c>
      <c r="S165" s="466">
        <f ca="1" t="shared" si="171"/>
        <v>664775.157904451</v>
      </c>
      <c r="T165" s="466">
        <f ca="1" t="shared" si="171"/>
        <v>616427.873693219</v>
      </c>
      <c r="U165" s="466">
        <f ca="1" t="shared" si="171"/>
        <v>572768.089481986</v>
      </c>
      <c r="V165" s="466">
        <f ca="1" t="shared" si="171"/>
        <v>523795.805270753</v>
      </c>
      <c r="W165" s="466">
        <f ca="1" t="shared" si="171"/>
        <v>474823.52105952</v>
      </c>
      <c r="X165" s="466">
        <f ca="1" t="shared" si="171"/>
        <v>425851.236848288</v>
      </c>
      <c r="Y165" s="466">
        <f ca="1" t="shared" si="171"/>
        <v>376878.952637055</v>
      </c>
      <c r="Z165" s="466">
        <f ca="1" t="shared" si="171"/>
        <v>327906.668425822</v>
      </c>
      <c r="AA165" s="466">
        <f ca="1" t="shared" si="171"/>
        <v>278934.384214589</v>
      </c>
      <c r="AB165" s="466">
        <f ca="1" t="shared" si="171"/>
        <v>229962.100003356</v>
      </c>
      <c r="AC165" s="466">
        <f ca="1" t="shared" si="171"/>
        <v>181302.315792123</v>
      </c>
      <c r="AD165" s="466">
        <f ca="1" t="shared" si="171"/>
        <v>132955.031580891</v>
      </c>
      <c r="AE165" s="466">
        <f ca="1" t="shared" si="171"/>
        <v>84607.7473696579</v>
      </c>
      <c r="AF165" s="466">
        <f ca="1" t="shared" si="171"/>
        <v>36260.463158425</v>
      </c>
      <c r="AG165" s="466">
        <f ca="1" t="shared" si="171"/>
        <v>4.14729584008455e-10</v>
      </c>
      <c r="AH165" s="466">
        <f ca="1" t="shared" si="171"/>
        <v>4.14729584008455e-10</v>
      </c>
      <c r="AI165" s="466">
        <f ca="1" t="shared" si="171"/>
        <v>4.14729584008455e-10</v>
      </c>
      <c r="AJ165" s="466">
        <f ca="1" t="shared" si="171"/>
        <v>4.14729584008455e-10</v>
      </c>
      <c r="AK165" s="466">
        <f ca="1" t="shared" si="171"/>
        <v>4.14729584008455e-10</v>
      </c>
      <c r="AL165" s="466">
        <f ca="1" t="shared" si="171"/>
        <v>4.14729584008455e-10</v>
      </c>
      <c r="AM165" s="466">
        <f ca="1" t="shared" si="171"/>
        <v>4.14729584008455e-10</v>
      </c>
      <c r="AN165" s="466">
        <f ca="1" t="shared" ref="AN165:BE165" si="172">AN175+AN253+AN263</f>
        <v>4.14729584008455e-10</v>
      </c>
      <c r="AO165" s="466">
        <f ca="1" t="shared" si="172"/>
        <v>4.14729584008455e-10</v>
      </c>
      <c r="AP165" s="466">
        <f ca="1" t="shared" si="172"/>
        <v>4.14729584008455e-10</v>
      </c>
      <c r="AQ165" s="466">
        <f ca="1" t="shared" si="172"/>
        <v>4.14729584008455e-10</v>
      </c>
      <c r="AR165" s="466">
        <f ca="1" t="shared" si="172"/>
        <v>4.14729584008455e-10</v>
      </c>
      <c r="AS165" s="466">
        <f ca="1" t="shared" si="172"/>
        <v>4.14729584008455e-10</v>
      </c>
      <c r="AT165" s="466">
        <f ca="1" t="shared" si="172"/>
        <v>4.14729584008455e-10</v>
      </c>
      <c r="AU165" s="466">
        <f ca="1" t="shared" si="172"/>
        <v>4.14729584008455e-10</v>
      </c>
      <c r="AV165" s="466">
        <f ca="1" t="shared" si="172"/>
        <v>4.14729584008455e-10</v>
      </c>
      <c r="AW165" s="466">
        <f ca="1" t="shared" si="172"/>
        <v>4.14729584008455e-10</v>
      </c>
      <c r="AX165" s="466">
        <f ca="1" t="shared" si="172"/>
        <v>4.14729584008455e-10</v>
      </c>
      <c r="AY165" s="466">
        <f ca="1" t="shared" si="172"/>
        <v>4.14729584008455e-10</v>
      </c>
      <c r="AZ165" s="466">
        <f ca="1" t="shared" si="172"/>
        <v>4.14729584008455e-10</v>
      </c>
      <c r="BA165" s="466">
        <f ca="1" t="shared" si="172"/>
        <v>4.14729584008455e-10</v>
      </c>
      <c r="BB165" s="466">
        <f ca="1" t="shared" si="172"/>
        <v>4.14729584008455e-10</v>
      </c>
      <c r="BC165" s="466">
        <f ca="1" t="shared" si="172"/>
        <v>4.14729584008455e-10</v>
      </c>
      <c r="BD165" s="466">
        <f ca="1" t="shared" si="172"/>
        <v>4.14729584008455e-10</v>
      </c>
      <c r="BE165" s="466">
        <f ca="1" t="shared" si="172"/>
        <v>4.14729584008455e-10</v>
      </c>
    </row>
    <row r="166" spans="2:57">
      <c r="B166" s="29">
        <v>2</v>
      </c>
      <c r="C166" s="144" t="s">
        <v>536</v>
      </c>
      <c r="D166" s="466">
        <f ca="1">SUM(F166:BE166)</f>
        <v>730209.263168492</v>
      </c>
      <c r="E166" s="29" t="s">
        <v>130</v>
      </c>
      <c r="F166" s="466">
        <f ca="1" t="shared" si="169"/>
        <v>21197.0400822516</v>
      </c>
      <c r="G166" s="466">
        <f ca="1" t="shared" ref="G166:P166" si="173">G176+G254+G264</f>
        <v>50436.4475114501</v>
      </c>
      <c r="H166" s="466">
        <f ca="1" t="shared" si="173"/>
        <v>71927.2018568849</v>
      </c>
      <c r="I166" s="466">
        <f ca="1" t="shared" si="173"/>
        <v>83645.5293403997</v>
      </c>
      <c r="J166" s="466">
        <f ca="1" t="shared" si="173"/>
        <v>93736.9332047887</v>
      </c>
      <c r="K166" s="466">
        <f ca="1" t="shared" si="173"/>
        <v>125858.657184717</v>
      </c>
      <c r="L166" s="466">
        <f ca="1" t="shared" si="173"/>
        <v>120316.743932887</v>
      </c>
      <c r="M166" s="466">
        <f ca="1" t="shared" si="173"/>
        <v>65413.6420428689</v>
      </c>
      <c r="N166" s="466">
        <f ca="1" t="shared" si="173"/>
        <v>42091.4377038279</v>
      </c>
      <c r="O166" s="466">
        <f ca="1" t="shared" si="173"/>
        <v>50585.6303084173</v>
      </c>
      <c r="P166" s="571">
        <f ca="1" t="shared" si="173"/>
        <v>0</v>
      </c>
      <c r="Q166" s="466">
        <f ca="1" t="shared" ref="Q166:AM166" si="174">Q176+Q254+Q264</f>
        <v>0</v>
      </c>
      <c r="R166" s="466">
        <f ca="1" t="shared" si="174"/>
        <v>0</v>
      </c>
      <c r="S166" s="466">
        <f ca="1" t="shared" si="174"/>
        <v>0</v>
      </c>
      <c r="T166" s="466">
        <f ca="1" t="shared" si="174"/>
        <v>5000</v>
      </c>
      <c r="U166" s="466">
        <f ca="1" t="shared" si="174"/>
        <v>0</v>
      </c>
      <c r="V166" s="466">
        <f ca="1" t="shared" si="174"/>
        <v>0</v>
      </c>
      <c r="W166" s="466">
        <f ca="1" t="shared" si="174"/>
        <v>0</v>
      </c>
      <c r="X166" s="466">
        <f ca="1" t="shared" si="174"/>
        <v>0</v>
      </c>
      <c r="Y166" s="466">
        <f ca="1" t="shared" si="174"/>
        <v>0</v>
      </c>
      <c r="Z166" s="466">
        <f ca="1" t="shared" si="174"/>
        <v>0</v>
      </c>
      <c r="AA166" s="466">
        <f ca="1" t="shared" si="174"/>
        <v>0</v>
      </c>
      <c r="AB166" s="466">
        <f ca="1" t="shared" si="174"/>
        <v>0</v>
      </c>
      <c r="AC166" s="466">
        <f ca="1" t="shared" si="174"/>
        <v>0</v>
      </c>
      <c r="AD166" s="466">
        <f ca="1" t="shared" si="174"/>
        <v>0</v>
      </c>
      <c r="AE166" s="466">
        <f ca="1" t="shared" si="174"/>
        <v>0</v>
      </c>
      <c r="AF166" s="466">
        <f ca="1" t="shared" si="174"/>
        <v>0</v>
      </c>
      <c r="AG166" s="466">
        <f ca="1" t="shared" si="174"/>
        <v>0</v>
      </c>
      <c r="AH166" s="466">
        <f ca="1" t="shared" si="174"/>
        <v>0</v>
      </c>
      <c r="AI166" s="466">
        <f ca="1" t="shared" si="174"/>
        <v>0</v>
      </c>
      <c r="AJ166" s="466">
        <f ca="1" t="shared" si="174"/>
        <v>0</v>
      </c>
      <c r="AK166" s="466">
        <f ca="1" t="shared" si="174"/>
        <v>0</v>
      </c>
      <c r="AL166" s="466">
        <f ca="1" t="shared" si="174"/>
        <v>0</v>
      </c>
      <c r="AM166" s="466">
        <f ca="1" t="shared" si="174"/>
        <v>0</v>
      </c>
      <c r="AN166" s="466">
        <f ca="1" t="shared" ref="AN166:BE166" si="175">AN176+AN254+AN264</f>
        <v>0</v>
      </c>
      <c r="AO166" s="466">
        <f ca="1" t="shared" si="175"/>
        <v>0</v>
      </c>
      <c r="AP166" s="466">
        <f ca="1" t="shared" si="175"/>
        <v>0</v>
      </c>
      <c r="AQ166" s="466">
        <f ca="1" t="shared" si="175"/>
        <v>0</v>
      </c>
      <c r="AR166" s="466">
        <f ca="1" t="shared" si="175"/>
        <v>0</v>
      </c>
      <c r="AS166" s="466">
        <f ca="1" t="shared" si="175"/>
        <v>0</v>
      </c>
      <c r="AT166" s="466">
        <f ca="1" t="shared" si="175"/>
        <v>0</v>
      </c>
      <c r="AU166" s="466">
        <f ca="1" t="shared" si="175"/>
        <v>0</v>
      </c>
      <c r="AV166" s="466">
        <f ca="1" t="shared" si="175"/>
        <v>0</v>
      </c>
      <c r="AW166" s="466">
        <f ca="1" t="shared" si="175"/>
        <v>0</v>
      </c>
      <c r="AX166" s="466">
        <f ca="1" t="shared" si="175"/>
        <v>0</v>
      </c>
      <c r="AY166" s="466">
        <f ca="1" t="shared" si="175"/>
        <v>0</v>
      </c>
      <c r="AZ166" s="466">
        <f ca="1" t="shared" si="175"/>
        <v>0</v>
      </c>
      <c r="BA166" s="466">
        <f ca="1" t="shared" si="175"/>
        <v>0</v>
      </c>
      <c r="BB166" s="466">
        <f ca="1" t="shared" si="175"/>
        <v>0</v>
      </c>
      <c r="BC166" s="466">
        <f ca="1" t="shared" si="175"/>
        <v>0</v>
      </c>
      <c r="BD166" s="466">
        <f ca="1" t="shared" si="175"/>
        <v>0</v>
      </c>
      <c r="BE166" s="466">
        <f ca="1" t="shared" si="175"/>
        <v>0</v>
      </c>
    </row>
    <row r="167" spans="2:57">
      <c r="B167" s="29">
        <v>3</v>
      </c>
      <c r="C167" s="144" t="s">
        <v>537</v>
      </c>
      <c r="D167" s="466">
        <f ca="1">SUM(F167:BE167)</f>
        <v>971404.041856216</v>
      </c>
      <c r="E167" s="29" t="s">
        <v>130</v>
      </c>
      <c r="F167" s="466">
        <f ca="1" t="shared" si="169"/>
        <v>0</v>
      </c>
      <c r="G167" s="466">
        <f ca="1" t="shared" ref="G167:P167" si="176">G177+G255+G265</f>
        <v>0</v>
      </c>
      <c r="H167" s="466">
        <f ca="1" t="shared" si="176"/>
        <v>0</v>
      </c>
      <c r="I167" s="466">
        <f ca="1" t="shared" si="176"/>
        <v>0</v>
      </c>
      <c r="J167" s="466">
        <f ca="1" t="shared" si="176"/>
        <v>0</v>
      </c>
      <c r="K167" s="466">
        <f ca="1" t="shared" si="176"/>
        <v>0</v>
      </c>
      <c r="L167" s="466">
        <f ca="1" t="shared" si="176"/>
        <v>0</v>
      </c>
      <c r="M167" s="466">
        <f ca="1" t="shared" si="176"/>
        <v>0</v>
      </c>
      <c r="N167" s="466">
        <f ca="1" t="shared" si="176"/>
        <v>0</v>
      </c>
      <c r="O167" s="466">
        <f ca="1" t="shared" si="176"/>
        <v>0</v>
      </c>
      <c r="P167" s="571">
        <f ca="1" t="shared" si="176"/>
        <v>2598.66652635376</v>
      </c>
      <c r="Q167" s="466">
        <f ca="1" t="shared" ref="Q167:AM167" si="177">Q177+Q255+Q265</f>
        <v>19882.8206318695</v>
      </c>
      <c r="R167" s="466">
        <f ca="1" t="shared" si="177"/>
        <v>78231.9492643011</v>
      </c>
      <c r="S167" s="466">
        <f ca="1" t="shared" si="177"/>
        <v>76153.0160432181</v>
      </c>
      <c r="T167" s="466">
        <f ca="1" t="shared" si="177"/>
        <v>74482.8328221351</v>
      </c>
      <c r="U167" s="466">
        <f ca="1" t="shared" si="177"/>
        <v>72794.6027260521</v>
      </c>
      <c r="V167" s="466">
        <f ca="1" t="shared" si="177"/>
        <v>70691.6070049691</v>
      </c>
      <c r="W167" s="466">
        <f ca="1" t="shared" si="177"/>
        <v>68588.6112838861</v>
      </c>
      <c r="X167" s="466">
        <f ca="1" t="shared" si="177"/>
        <v>66485.6155628031</v>
      </c>
      <c r="Y167" s="466">
        <f ca="1" t="shared" si="177"/>
        <v>64382.61984172</v>
      </c>
      <c r="Z167" s="466">
        <f ca="1" t="shared" si="177"/>
        <v>62279.624120637</v>
      </c>
      <c r="AA167" s="466">
        <f ca="1" t="shared" si="177"/>
        <v>60176.628399554</v>
      </c>
      <c r="AB167" s="466">
        <f ca="1" t="shared" si="177"/>
        <v>57761.132678471</v>
      </c>
      <c r="AC167" s="466">
        <f ca="1" t="shared" si="177"/>
        <v>55363.683832388</v>
      </c>
      <c r="AD167" s="466">
        <f ca="1" t="shared" si="177"/>
        <v>53284.750611305</v>
      </c>
      <c r="AE167" s="466">
        <f ca="1" t="shared" si="177"/>
        <v>51205.817390222</v>
      </c>
      <c r="AF167" s="466">
        <f ca="1" t="shared" si="177"/>
        <v>37040.0631163308</v>
      </c>
      <c r="AG167" s="466">
        <f ca="1" t="shared" si="177"/>
        <v>0</v>
      </c>
      <c r="AH167" s="466">
        <f ca="1" t="shared" si="177"/>
        <v>0</v>
      </c>
      <c r="AI167" s="466">
        <f ca="1" t="shared" si="177"/>
        <v>0</v>
      </c>
      <c r="AJ167" s="466">
        <f ca="1" t="shared" si="177"/>
        <v>0</v>
      </c>
      <c r="AK167" s="466">
        <f ca="1" t="shared" si="177"/>
        <v>0</v>
      </c>
      <c r="AL167" s="466">
        <f ca="1" t="shared" si="177"/>
        <v>0</v>
      </c>
      <c r="AM167" s="466">
        <f ca="1" t="shared" si="177"/>
        <v>0</v>
      </c>
      <c r="AN167" s="466">
        <f ca="1" t="shared" ref="AN167:BE167" si="178">AN177+AN255+AN265</f>
        <v>0</v>
      </c>
      <c r="AO167" s="466">
        <f ca="1" t="shared" si="178"/>
        <v>0</v>
      </c>
      <c r="AP167" s="466">
        <f ca="1" t="shared" si="178"/>
        <v>0</v>
      </c>
      <c r="AQ167" s="466">
        <f ca="1" t="shared" si="178"/>
        <v>0</v>
      </c>
      <c r="AR167" s="466">
        <f ca="1" t="shared" si="178"/>
        <v>0</v>
      </c>
      <c r="AS167" s="466">
        <f ca="1" t="shared" si="178"/>
        <v>0</v>
      </c>
      <c r="AT167" s="466">
        <f ca="1" t="shared" si="178"/>
        <v>0</v>
      </c>
      <c r="AU167" s="466">
        <f ca="1" t="shared" si="178"/>
        <v>0</v>
      </c>
      <c r="AV167" s="466">
        <f ca="1" t="shared" si="178"/>
        <v>0</v>
      </c>
      <c r="AW167" s="466">
        <f ca="1" t="shared" si="178"/>
        <v>0</v>
      </c>
      <c r="AX167" s="466">
        <f ca="1" t="shared" si="178"/>
        <v>0</v>
      </c>
      <c r="AY167" s="466">
        <f ca="1" t="shared" si="178"/>
        <v>0</v>
      </c>
      <c r="AZ167" s="466">
        <f ca="1" t="shared" si="178"/>
        <v>0</v>
      </c>
      <c r="BA167" s="466">
        <f ca="1" t="shared" si="178"/>
        <v>0</v>
      </c>
      <c r="BB167" s="466">
        <f ca="1" t="shared" si="178"/>
        <v>0</v>
      </c>
      <c r="BC167" s="466">
        <f ca="1" t="shared" si="178"/>
        <v>0</v>
      </c>
      <c r="BD167" s="466">
        <f ca="1" t="shared" si="178"/>
        <v>0</v>
      </c>
      <c r="BE167" s="466">
        <f ca="1" t="shared" si="178"/>
        <v>0</v>
      </c>
    </row>
    <row r="168" spans="2:57">
      <c r="B168" s="29"/>
      <c r="C168" s="145" t="s">
        <v>559</v>
      </c>
      <c r="D168" s="466">
        <f ca="1">SUM(F168:BE168)</f>
        <v>730209.263168492</v>
      </c>
      <c r="E168" s="29" t="s">
        <v>130</v>
      </c>
      <c r="F168" s="466">
        <f ca="1" t="shared" si="169"/>
        <v>0</v>
      </c>
      <c r="G168" s="466">
        <f ca="1" t="shared" ref="G168:P168" si="179">G178+G256+G266</f>
        <v>0</v>
      </c>
      <c r="H168" s="466">
        <f ca="1" t="shared" si="179"/>
        <v>0</v>
      </c>
      <c r="I168" s="466">
        <f ca="1" t="shared" si="179"/>
        <v>0</v>
      </c>
      <c r="J168" s="466">
        <f ca="1" t="shared" si="179"/>
        <v>0</v>
      </c>
      <c r="K168" s="466">
        <f ca="1" t="shared" si="179"/>
        <v>0</v>
      </c>
      <c r="L168" s="466">
        <f ca="1" t="shared" si="179"/>
        <v>0</v>
      </c>
      <c r="M168" s="466">
        <f ca="1" t="shared" si="179"/>
        <v>0</v>
      </c>
      <c r="N168" s="466">
        <f ca="1" t="shared" si="179"/>
        <v>0</v>
      </c>
      <c r="O168" s="466">
        <f ca="1" t="shared" si="179"/>
        <v>0</v>
      </c>
      <c r="P168" s="571">
        <f ca="1" t="shared" si="179"/>
        <v>0</v>
      </c>
      <c r="Q168" s="466">
        <f ca="1" t="shared" ref="Q168:AM168" si="180">Q178+Q256+Q266</f>
        <v>12086.8210528082</v>
      </c>
      <c r="R168" s="466">
        <f ca="1" t="shared" si="180"/>
        <v>48347.2842112328</v>
      </c>
      <c r="S168" s="466">
        <f ca="1" t="shared" si="180"/>
        <v>48347.2842112328</v>
      </c>
      <c r="T168" s="466">
        <f ca="1" t="shared" si="180"/>
        <v>48659.7842112328</v>
      </c>
      <c r="U168" s="466">
        <f ca="1" t="shared" si="180"/>
        <v>48972.2842112328</v>
      </c>
      <c r="V168" s="466">
        <f ca="1" t="shared" si="180"/>
        <v>48972.2842112328</v>
      </c>
      <c r="W168" s="466">
        <f ca="1" t="shared" si="180"/>
        <v>48972.2842112328</v>
      </c>
      <c r="X168" s="466">
        <f ca="1" t="shared" si="180"/>
        <v>48972.2842112328</v>
      </c>
      <c r="Y168" s="466">
        <f ca="1" t="shared" si="180"/>
        <v>48972.2842112328</v>
      </c>
      <c r="Z168" s="466">
        <f ca="1" t="shared" si="180"/>
        <v>48972.2842112328</v>
      </c>
      <c r="AA168" s="466">
        <f ca="1" t="shared" si="180"/>
        <v>48972.2842112328</v>
      </c>
      <c r="AB168" s="466">
        <f ca="1" t="shared" si="180"/>
        <v>48659.7842112328</v>
      </c>
      <c r="AC168" s="466">
        <f ca="1" t="shared" si="180"/>
        <v>48347.2842112328</v>
      </c>
      <c r="AD168" s="466">
        <f ca="1" t="shared" si="180"/>
        <v>48347.2842112328</v>
      </c>
      <c r="AE168" s="466">
        <f ca="1" t="shared" si="180"/>
        <v>48347.2842112328</v>
      </c>
      <c r="AF168" s="466">
        <f ca="1" t="shared" si="180"/>
        <v>36260.4631584246</v>
      </c>
      <c r="AG168" s="466">
        <f ca="1" t="shared" si="180"/>
        <v>0</v>
      </c>
      <c r="AH168" s="466">
        <f ca="1" t="shared" si="180"/>
        <v>0</v>
      </c>
      <c r="AI168" s="466">
        <f ca="1" t="shared" si="180"/>
        <v>0</v>
      </c>
      <c r="AJ168" s="466">
        <f ca="1" t="shared" si="180"/>
        <v>0</v>
      </c>
      <c r="AK168" s="466">
        <f ca="1" t="shared" si="180"/>
        <v>0</v>
      </c>
      <c r="AL168" s="466">
        <f ca="1" t="shared" si="180"/>
        <v>0</v>
      </c>
      <c r="AM168" s="466">
        <f ca="1" t="shared" si="180"/>
        <v>0</v>
      </c>
      <c r="AN168" s="466">
        <f ca="1" t="shared" ref="AN168:BE168" si="181">AN178+AN256+AN266</f>
        <v>0</v>
      </c>
      <c r="AO168" s="466">
        <f ca="1" t="shared" si="181"/>
        <v>0</v>
      </c>
      <c r="AP168" s="466">
        <f ca="1" t="shared" si="181"/>
        <v>0</v>
      </c>
      <c r="AQ168" s="466">
        <f ca="1" t="shared" si="181"/>
        <v>0</v>
      </c>
      <c r="AR168" s="466">
        <f ca="1" t="shared" si="181"/>
        <v>0</v>
      </c>
      <c r="AS168" s="466">
        <f ca="1" t="shared" si="181"/>
        <v>0</v>
      </c>
      <c r="AT168" s="466">
        <f ca="1" t="shared" si="181"/>
        <v>0</v>
      </c>
      <c r="AU168" s="466">
        <f ca="1" t="shared" si="181"/>
        <v>0</v>
      </c>
      <c r="AV168" s="466">
        <f ca="1" t="shared" si="181"/>
        <v>0</v>
      </c>
      <c r="AW168" s="466">
        <f ca="1" t="shared" si="181"/>
        <v>0</v>
      </c>
      <c r="AX168" s="466">
        <f ca="1" t="shared" si="181"/>
        <v>0</v>
      </c>
      <c r="AY168" s="466">
        <f ca="1" t="shared" si="181"/>
        <v>0</v>
      </c>
      <c r="AZ168" s="466">
        <f ca="1" t="shared" si="181"/>
        <v>0</v>
      </c>
      <c r="BA168" s="466">
        <f ca="1" t="shared" si="181"/>
        <v>0</v>
      </c>
      <c r="BB168" s="466">
        <f ca="1" t="shared" si="181"/>
        <v>0</v>
      </c>
      <c r="BC168" s="466">
        <f ca="1" t="shared" si="181"/>
        <v>0</v>
      </c>
      <c r="BD168" s="466">
        <f ca="1" t="shared" si="181"/>
        <v>0</v>
      </c>
      <c r="BE168" s="466">
        <f ca="1" t="shared" si="181"/>
        <v>0</v>
      </c>
    </row>
    <row r="169" spans="2:57">
      <c r="B169" s="29"/>
      <c r="C169" s="146" t="s">
        <v>560</v>
      </c>
      <c r="D169" s="466">
        <f ca="1">SUM(F169:BE169)</f>
        <v>241194.778687723</v>
      </c>
      <c r="E169" s="29" t="s">
        <v>130</v>
      </c>
      <c r="F169" s="466">
        <f ca="1" t="shared" si="169"/>
        <v>0</v>
      </c>
      <c r="G169" s="466">
        <f ca="1" t="shared" ref="G169:P169" si="182">G179+G257+G267</f>
        <v>0</v>
      </c>
      <c r="H169" s="466">
        <f ca="1" t="shared" si="182"/>
        <v>0</v>
      </c>
      <c r="I169" s="466">
        <f ca="1" t="shared" si="182"/>
        <v>0</v>
      </c>
      <c r="J169" s="466">
        <f ca="1" t="shared" si="182"/>
        <v>0</v>
      </c>
      <c r="K169" s="466">
        <f ca="1" t="shared" si="182"/>
        <v>0</v>
      </c>
      <c r="L169" s="466">
        <f ca="1" t="shared" si="182"/>
        <v>0</v>
      </c>
      <c r="M169" s="466">
        <f ca="1" t="shared" si="182"/>
        <v>0</v>
      </c>
      <c r="N169" s="466">
        <f ca="1" t="shared" si="182"/>
        <v>0</v>
      </c>
      <c r="O169" s="466">
        <f ca="1" t="shared" si="182"/>
        <v>0</v>
      </c>
      <c r="P169" s="571">
        <f ca="1" t="shared" si="182"/>
        <v>2598.66652635376</v>
      </c>
      <c r="Q169" s="466">
        <f ca="1" t="shared" ref="Q169:AM169" si="183">Q179+Q257+Q267</f>
        <v>7795.99957906129</v>
      </c>
      <c r="R169" s="466">
        <f ca="1" t="shared" si="183"/>
        <v>29884.6650530683</v>
      </c>
      <c r="S169" s="466">
        <f ca="1" t="shared" si="183"/>
        <v>27805.7318319853</v>
      </c>
      <c r="T169" s="466">
        <f ca="1" t="shared" si="183"/>
        <v>25823.0486109023</v>
      </c>
      <c r="U169" s="466">
        <f ca="1" t="shared" si="183"/>
        <v>23822.3185148193</v>
      </c>
      <c r="V169" s="466">
        <f ca="1" t="shared" si="183"/>
        <v>21719.3227937362</v>
      </c>
      <c r="W169" s="466">
        <f ca="1" t="shared" si="183"/>
        <v>19616.3270726532</v>
      </c>
      <c r="X169" s="466">
        <f ca="1" t="shared" si="183"/>
        <v>17513.3313515702</v>
      </c>
      <c r="Y169" s="466">
        <f ca="1" t="shared" si="183"/>
        <v>15410.3356304872</v>
      </c>
      <c r="Z169" s="466">
        <f ca="1" t="shared" si="183"/>
        <v>13307.3399094042</v>
      </c>
      <c r="AA169" s="466">
        <f ca="1" t="shared" si="183"/>
        <v>11204.3441883212</v>
      </c>
      <c r="AB169" s="466">
        <f ca="1" t="shared" si="183"/>
        <v>9101.34846723819</v>
      </c>
      <c r="AC169" s="466">
        <f ca="1" t="shared" si="183"/>
        <v>7016.39962115518</v>
      </c>
      <c r="AD169" s="466">
        <f ca="1" t="shared" si="183"/>
        <v>4937.46640007217</v>
      </c>
      <c r="AE169" s="466">
        <f ca="1" t="shared" si="183"/>
        <v>2858.53317898916</v>
      </c>
      <c r="AF169" s="466">
        <f ca="1" t="shared" si="183"/>
        <v>779.599957906143</v>
      </c>
      <c r="AG169" s="466">
        <f ca="1" t="shared" si="183"/>
        <v>0</v>
      </c>
      <c r="AH169" s="466">
        <f ca="1" t="shared" si="183"/>
        <v>0</v>
      </c>
      <c r="AI169" s="466">
        <f ca="1" t="shared" si="183"/>
        <v>0</v>
      </c>
      <c r="AJ169" s="466">
        <f ca="1" t="shared" si="183"/>
        <v>0</v>
      </c>
      <c r="AK169" s="466">
        <f ca="1" t="shared" si="183"/>
        <v>0</v>
      </c>
      <c r="AL169" s="466">
        <f ca="1" t="shared" si="183"/>
        <v>0</v>
      </c>
      <c r="AM169" s="466">
        <f ca="1" t="shared" si="183"/>
        <v>0</v>
      </c>
      <c r="AN169" s="466">
        <f ca="1" t="shared" ref="AN169:BE169" si="184">AN179+AN257+AN267</f>
        <v>0</v>
      </c>
      <c r="AO169" s="466">
        <f ca="1" t="shared" si="184"/>
        <v>0</v>
      </c>
      <c r="AP169" s="466">
        <f ca="1" t="shared" si="184"/>
        <v>0</v>
      </c>
      <c r="AQ169" s="466">
        <f ca="1" t="shared" si="184"/>
        <v>0</v>
      </c>
      <c r="AR169" s="466">
        <f ca="1" t="shared" si="184"/>
        <v>0</v>
      </c>
      <c r="AS169" s="466">
        <f ca="1" t="shared" si="184"/>
        <v>0</v>
      </c>
      <c r="AT169" s="466">
        <f ca="1" t="shared" si="184"/>
        <v>0</v>
      </c>
      <c r="AU169" s="466">
        <f ca="1" t="shared" si="184"/>
        <v>0</v>
      </c>
      <c r="AV169" s="466">
        <f ca="1" t="shared" si="184"/>
        <v>0</v>
      </c>
      <c r="AW169" s="466">
        <f ca="1" t="shared" si="184"/>
        <v>0</v>
      </c>
      <c r="AX169" s="466">
        <f ca="1" t="shared" si="184"/>
        <v>0</v>
      </c>
      <c r="AY169" s="466">
        <f ca="1" t="shared" si="184"/>
        <v>0</v>
      </c>
      <c r="AZ169" s="466">
        <f ca="1" t="shared" si="184"/>
        <v>0</v>
      </c>
      <c r="BA169" s="466">
        <f ca="1" t="shared" si="184"/>
        <v>0</v>
      </c>
      <c r="BB169" s="466">
        <f ca="1" t="shared" si="184"/>
        <v>0</v>
      </c>
      <c r="BC169" s="466">
        <f ca="1" t="shared" si="184"/>
        <v>0</v>
      </c>
      <c r="BD169" s="466">
        <f ca="1" t="shared" si="184"/>
        <v>0</v>
      </c>
      <c r="BE169" s="466">
        <f ca="1" t="shared" si="184"/>
        <v>0</v>
      </c>
    </row>
    <row r="170" spans="2:57">
      <c r="B170" s="29">
        <v>4</v>
      </c>
      <c r="C170" s="144" t="s">
        <v>540</v>
      </c>
      <c r="D170" s="467">
        <f ca="1">BE170</f>
        <v>4.14729584008455e-10</v>
      </c>
      <c r="E170" s="29" t="s">
        <v>130</v>
      </c>
      <c r="F170" s="466">
        <f ca="1" t="shared" si="169"/>
        <v>21197.0400822516</v>
      </c>
      <c r="G170" s="466">
        <f ca="1" t="shared" ref="G170:P170" si="185">G180+G258+G268</f>
        <v>71633.4875937017</v>
      </c>
      <c r="H170" s="466">
        <f ca="1" t="shared" si="185"/>
        <v>143560.689450587</v>
      </c>
      <c r="I170" s="466">
        <f ca="1" t="shared" si="185"/>
        <v>227206.218790986</v>
      </c>
      <c r="J170" s="466">
        <f ca="1" t="shared" si="185"/>
        <v>320943.151995775</v>
      </c>
      <c r="K170" s="466">
        <f ca="1" t="shared" si="185"/>
        <v>446801.809180491</v>
      </c>
      <c r="L170" s="466">
        <f ca="1" t="shared" si="185"/>
        <v>567118.553113378</v>
      </c>
      <c r="M170" s="466">
        <f ca="1" t="shared" si="185"/>
        <v>632532.195156247</v>
      </c>
      <c r="N170" s="466">
        <f ca="1" t="shared" si="185"/>
        <v>674623.632860075</v>
      </c>
      <c r="O170" s="466">
        <f ca="1" t="shared" si="185"/>
        <v>725209.263168492</v>
      </c>
      <c r="P170" s="571">
        <f ca="1" t="shared" si="185"/>
        <v>725209.263168492</v>
      </c>
      <c r="Q170" s="466">
        <f ca="1" t="shared" ref="Q170:AM170" si="186">Q180+Q258+Q268</f>
        <v>713122.442115684</v>
      </c>
      <c r="R170" s="466">
        <f ca="1" t="shared" si="186"/>
        <v>664775.157904451</v>
      </c>
      <c r="S170" s="466">
        <f ca="1" t="shared" si="186"/>
        <v>616427.873693219</v>
      </c>
      <c r="T170" s="466">
        <f ca="1" t="shared" si="186"/>
        <v>572768.089481986</v>
      </c>
      <c r="U170" s="466">
        <f ca="1" t="shared" si="186"/>
        <v>523795.805270753</v>
      </c>
      <c r="V170" s="466">
        <f ca="1" t="shared" si="186"/>
        <v>474823.52105952</v>
      </c>
      <c r="W170" s="466">
        <f ca="1" t="shared" si="186"/>
        <v>425851.236848288</v>
      </c>
      <c r="X170" s="466">
        <f ca="1" t="shared" si="186"/>
        <v>376878.952637055</v>
      </c>
      <c r="Y170" s="466">
        <f ca="1" t="shared" si="186"/>
        <v>327906.668425822</v>
      </c>
      <c r="Z170" s="466">
        <f ca="1" t="shared" si="186"/>
        <v>278934.384214589</v>
      </c>
      <c r="AA170" s="466">
        <f ca="1" t="shared" si="186"/>
        <v>229962.100003356</v>
      </c>
      <c r="AB170" s="466">
        <f ca="1" t="shared" si="186"/>
        <v>181302.315792123</v>
      </c>
      <c r="AC170" s="466">
        <f ca="1" t="shared" si="186"/>
        <v>132955.031580891</v>
      </c>
      <c r="AD170" s="466">
        <f ca="1" t="shared" si="186"/>
        <v>84607.7473696579</v>
      </c>
      <c r="AE170" s="466">
        <f ca="1" t="shared" si="186"/>
        <v>36260.463158425</v>
      </c>
      <c r="AF170" s="466">
        <f ca="1" t="shared" si="186"/>
        <v>4.14729584008455e-10</v>
      </c>
      <c r="AG170" s="466">
        <f ca="1" t="shared" si="186"/>
        <v>4.14729584008455e-10</v>
      </c>
      <c r="AH170" s="466">
        <f ca="1" t="shared" si="186"/>
        <v>4.14729584008455e-10</v>
      </c>
      <c r="AI170" s="466">
        <f ca="1" t="shared" si="186"/>
        <v>4.14729584008455e-10</v>
      </c>
      <c r="AJ170" s="466">
        <f ca="1" t="shared" si="186"/>
        <v>4.14729584008455e-10</v>
      </c>
      <c r="AK170" s="466">
        <f ca="1" t="shared" si="186"/>
        <v>4.14729584008455e-10</v>
      </c>
      <c r="AL170" s="466">
        <f ca="1" t="shared" si="186"/>
        <v>4.14729584008455e-10</v>
      </c>
      <c r="AM170" s="466">
        <f ca="1" t="shared" si="186"/>
        <v>4.14729584008455e-10</v>
      </c>
      <c r="AN170" s="466">
        <f ca="1" t="shared" ref="AN170:BE170" si="187">AN180+AN258+AN268</f>
        <v>4.14729584008455e-10</v>
      </c>
      <c r="AO170" s="466">
        <f ca="1" t="shared" si="187"/>
        <v>4.14729584008455e-10</v>
      </c>
      <c r="AP170" s="466">
        <f ca="1" t="shared" si="187"/>
        <v>4.14729584008455e-10</v>
      </c>
      <c r="AQ170" s="466">
        <f ca="1" t="shared" si="187"/>
        <v>4.14729584008455e-10</v>
      </c>
      <c r="AR170" s="466">
        <f ca="1" t="shared" si="187"/>
        <v>4.14729584008455e-10</v>
      </c>
      <c r="AS170" s="466">
        <f ca="1" t="shared" si="187"/>
        <v>4.14729584008455e-10</v>
      </c>
      <c r="AT170" s="466">
        <f ca="1" t="shared" si="187"/>
        <v>4.14729584008455e-10</v>
      </c>
      <c r="AU170" s="466">
        <f ca="1" t="shared" si="187"/>
        <v>4.14729584008455e-10</v>
      </c>
      <c r="AV170" s="466">
        <f ca="1" t="shared" si="187"/>
        <v>4.14729584008455e-10</v>
      </c>
      <c r="AW170" s="466">
        <f ca="1" t="shared" si="187"/>
        <v>4.14729584008455e-10</v>
      </c>
      <c r="AX170" s="466">
        <f ca="1" t="shared" si="187"/>
        <v>4.14729584008455e-10</v>
      </c>
      <c r="AY170" s="466">
        <f ca="1" t="shared" si="187"/>
        <v>4.14729584008455e-10</v>
      </c>
      <c r="AZ170" s="466">
        <f ca="1" t="shared" si="187"/>
        <v>4.14729584008455e-10</v>
      </c>
      <c r="BA170" s="466">
        <f ca="1" t="shared" si="187"/>
        <v>4.14729584008455e-10</v>
      </c>
      <c r="BB170" s="466">
        <f ca="1" t="shared" si="187"/>
        <v>4.14729584008455e-10</v>
      </c>
      <c r="BC170" s="466">
        <f ca="1" t="shared" si="187"/>
        <v>4.14729584008455e-10</v>
      </c>
      <c r="BD170" s="466">
        <f ca="1" t="shared" si="187"/>
        <v>4.14729584008455e-10</v>
      </c>
      <c r="BE170" s="466">
        <f ca="1" t="shared" si="187"/>
        <v>4.14729584008455e-10</v>
      </c>
    </row>
    <row r="171" spans="2:57">
      <c r="B171" s="7"/>
      <c r="D171" s="572"/>
      <c r="E171" s="7"/>
      <c r="F171" s="501"/>
      <c r="G171" s="501"/>
      <c r="H171" s="501"/>
      <c r="I171" s="501"/>
      <c r="J171" s="501"/>
      <c r="K171" s="501"/>
      <c r="L171" s="501"/>
      <c r="M171" s="501"/>
      <c r="N171" s="501"/>
      <c r="O171" s="501"/>
      <c r="P171" s="501"/>
      <c r="Q171" s="501"/>
      <c r="R171" s="501"/>
      <c r="S171" s="501"/>
      <c r="T171" s="501"/>
      <c r="U171" s="501"/>
      <c r="V171" s="501"/>
      <c r="W171" s="501"/>
      <c r="X171" s="501"/>
      <c r="Y171" s="501"/>
      <c r="Z171" s="501"/>
      <c r="AA171" s="501"/>
      <c r="AB171" s="501"/>
      <c r="AC171" s="501"/>
      <c r="AD171" s="501"/>
      <c r="AE171" s="501"/>
      <c r="AF171" s="501"/>
      <c r="AG171" s="501"/>
      <c r="AH171" s="501"/>
      <c r="AI171" s="501"/>
      <c r="AJ171" s="501"/>
      <c r="AK171" s="501"/>
      <c r="AL171" s="501"/>
      <c r="AM171" s="501"/>
      <c r="AN171" s="501"/>
      <c r="AO171" s="501"/>
      <c r="AP171" s="501"/>
      <c r="AQ171" s="501"/>
      <c r="AR171" s="501"/>
      <c r="AS171" s="501"/>
      <c r="AT171" s="501"/>
      <c r="AU171" s="501"/>
      <c r="AV171" s="501"/>
      <c r="AW171" s="501"/>
      <c r="AX171" s="501"/>
      <c r="AY171" s="501"/>
      <c r="AZ171" s="501"/>
      <c r="BA171" s="501"/>
      <c r="BB171" s="501"/>
      <c r="BC171" s="501"/>
      <c r="BD171" s="501"/>
      <c r="BE171" s="501"/>
    </row>
    <row r="172" ht="19.95" customHeight="1" spans="2:57">
      <c r="B172" s="573" t="s">
        <v>561</v>
      </c>
      <c r="C172" s="574"/>
      <c r="D172" s="563"/>
      <c r="E172" s="563"/>
      <c r="F172" s="563"/>
      <c r="G172" s="563"/>
      <c r="H172" s="563"/>
      <c r="I172" s="563"/>
      <c r="J172" s="563"/>
      <c r="K172" s="563"/>
      <c r="L172" s="563"/>
      <c r="M172" s="563"/>
      <c r="N172" s="563"/>
      <c r="O172" s="563"/>
      <c r="P172" s="563"/>
      <c r="Q172" s="563"/>
      <c r="R172" s="564"/>
      <c r="S172" s="563"/>
      <c r="T172" s="563"/>
      <c r="U172" s="563"/>
      <c r="V172" s="563"/>
      <c r="W172" s="563"/>
      <c r="X172" s="563"/>
      <c r="Y172" s="563"/>
      <c r="Z172" s="563"/>
      <c r="AA172" s="563"/>
      <c r="AB172" s="563"/>
      <c r="AC172" s="563"/>
      <c r="AD172" s="563"/>
      <c r="AE172" s="563"/>
      <c r="AF172" s="563"/>
      <c r="AG172" s="563"/>
      <c r="AH172" s="563"/>
      <c r="AI172" s="563"/>
      <c r="AJ172" s="563"/>
      <c r="AK172" s="563"/>
      <c r="AL172" s="563"/>
      <c r="AM172" s="563"/>
      <c r="AN172" s="563"/>
      <c r="AO172" s="563"/>
      <c r="AP172" s="563"/>
      <c r="AQ172" s="563"/>
      <c r="AR172" s="563"/>
      <c r="AS172" s="563"/>
      <c r="AT172" s="563"/>
      <c r="AU172" s="563"/>
      <c r="AV172" s="563"/>
      <c r="AW172" s="563"/>
      <c r="AX172" s="563"/>
      <c r="AY172" s="563"/>
      <c r="AZ172" s="563"/>
      <c r="BA172" s="563"/>
      <c r="BB172" s="563"/>
      <c r="BC172" s="563"/>
      <c r="BD172" s="563"/>
      <c r="BE172" s="565"/>
    </row>
    <row r="173" spans="2:57">
      <c r="B173" s="566" t="s">
        <v>2</v>
      </c>
      <c r="C173" s="566" t="s">
        <v>430</v>
      </c>
      <c r="D173" s="566" t="s">
        <v>491</v>
      </c>
      <c r="E173" s="566" t="s">
        <v>9</v>
      </c>
      <c r="F173" s="444">
        <f>F3</f>
        <v>45016</v>
      </c>
      <c r="G173" s="575">
        <v>2023</v>
      </c>
      <c r="H173" s="575">
        <v>2024</v>
      </c>
      <c r="I173" s="575">
        <v>2025</v>
      </c>
      <c r="J173" s="575">
        <v>2026</v>
      </c>
      <c r="K173" s="575">
        <v>2027</v>
      </c>
      <c r="L173" s="575">
        <v>2028</v>
      </c>
      <c r="M173" s="446">
        <f>M3</f>
        <v>47361</v>
      </c>
      <c r="N173" s="568">
        <v>2029</v>
      </c>
      <c r="O173" s="446">
        <f>O3</f>
        <v>47695</v>
      </c>
      <c r="P173" s="569">
        <f>P3</f>
        <v>47726</v>
      </c>
      <c r="Q173" s="570">
        <v>2030</v>
      </c>
      <c r="R173" s="570">
        <v>2031</v>
      </c>
      <c r="S173" s="570">
        <v>2032</v>
      </c>
      <c r="T173" s="570">
        <v>2033</v>
      </c>
      <c r="U173" s="570">
        <v>2034</v>
      </c>
      <c r="V173" s="570">
        <v>2035</v>
      </c>
      <c r="W173" s="570">
        <v>2036</v>
      </c>
      <c r="X173" s="570">
        <v>2037</v>
      </c>
      <c r="Y173" s="570">
        <v>2038</v>
      </c>
      <c r="Z173" s="570">
        <v>2039</v>
      </c>
      <c r="AA173" s="570">
        <v>2040</v>
      </c>
      <c r="AB173" s="570">
        <v>2041</v>
      </c>
      <c r="AC173" s="570">
        <v>2042</v>
      </c>
      <c r="AD173" s="570">
        <v>2043</v>
      </c>
      <c r="AE173" s="570">
        <v>2044</v>
      </c>
      <c r="AF173" s="570">
        <v>2045</v>
      </c>
      <c r="AG173" s="570">
        <v>2046</v>
      </c>
      <c r="AH173" s="570">
        <v>2047</v>
      </c>
      <c r="AI173" s="570">
        <v>2048</v>
      </c>
      <c r="AJ173" s="570">
        <v>2049</v>
      </c>
      <c r="AK173" s="570">
        <v>2050</v>
      </c>
      <c r="AL173" s="570">
        <v>2051</v>
      </c>
      <c r="AM173" s="570">
        <v>2052</v>
      </c>
      <c r="AN173" s="570">
        <v>2053</v>
      </c>
      <c r="AO173" s="570">
        <v>2054</v>
      </c>
      <c r="AP173" s="570">
        <v>2055</v>
      </c>
      <c r="AQ173" s="570">
        <v>2056</v>
      </c>
      <c r="AR173" s="570">
        <v>2057</v>
      </c>
      <c r="AS173" s="570">
        <v>2058</v>
      </c>
      <c r="AT173" s="570">
        <v>2059</v>
      </c>
      <c r="AU173" s="570">
        <v>2060</v>
      </c>
      <c r="AV173" s="570">
        <v>2061</v>
      </c>
      <c r="AW173" s="570">
        <v>2062</v>
      </c>
      <c r="AX173" s="570">
        <v>2063</v>
      </c>
      <c r="AY173" s="570">
        <v>2064</v>
      </c>
      <c r="AZ173" s="570">
        <v>2065</v>
      </c>
      <c r="BA173" s="570">
        <v>2066</v>
      </c>
      <c r="BB173" s="570">
        <v>2067</v>
      </c>
      <c r="BC173" s="570">
        <v>2068</v>
      </c>
      <c r="BD173" s="570">
        <v>2069</v>
      </c>
      <c r="BE173" s="570">
        <v>2070</v>
      </c>
    </row>
    <row r="174" spans="2:57">
      <c r="B174" s="566"/>
      <c r="C174" s="566"/>
      <c r="D174" s="566"/>
      <c r="E174" s="566"/>
      <c r="F174" s="18"/>
      <c r="G174" s="18">
        <v>1</v>
      </c>
      <c r="H174" s="18">
        <v>2</v>
      </c>
      <c r="I174" s="18">
        <v>3</v>
      </c>
      <c r="J174" s="18">
        <v>4</v>
      </c>
      <c r="K174" s="18">
        <v>5</v>
      </c>
      <c r="L174" s="18">
        <v>6</v>
      </c>
      <c r="M174" s="19"/>
      <c r="N174" s="19">
        <v>7</v>
      </c>
      <c r="O174" s="19"/>
      <c r="P174" s="208"/>
      <c r="Q174" s="20">
        <v>8</v>
      </c>
      <c r="R174" s="20">
        <v>9</v>
      </c>
      <c r="S174" s="20">
        <v>10</v>
      </c>
      <c r="T174" s="20">
        <v>11</v>
      </c>
      <c r="U174" s="20">
        <v>12</v>
      </c>
      <c r="V174" s="20">
        <v>13</v>
      </c>
      <c r="W174" s="20">
        <v>14</v>
      </c>
      <c r="X174" s="20">
        <v>15</v>
      </c>
      <c r="Y174" s="20">
        <v>16</v>
      </c>
      <c r="Z174" s="20">
        <v>17</v>
      </c>
      <c r="AA174" s="20">
        <v>18</v>
      </c>
      <c r="AB174" s="20">
        <v>19</v>
      </c>
      <c r="AC174" s="20">
        <v>20</v>
      </c>
      <c r="AD174" s="20">
        <v>21</v>
      </c>
      <c r="AE174" s="20">
        <v>22</v>
      </c>
      <c r="AF174" s="20">
        <v>23</v>
      </c>
      <c r="AG174" s="20">
        <v>24</v>
      </c>
      <c r="AH174" s="20">
        <v>25</v>
      </c>
      <c r="AI174" s="20">
        <v>26</v>
      </c>
      <c r="AJ174" s="20">
        <v>27</v>
      </c>
      <c r="AK174" s="20">
        <v>28</v>
      </c>
      <c r="AL174" s="20">
        <v>29</v>
      </c>
      <c r="AM174" s="20">
        <v>30</v>
      </c>
      <c r="AN174" s="20">
        <v>31</v>
      </c>
      <c r="AO174" s="20">
        <v>32</v>
      </c>
      <c r="AP174" s="20">
        <v>33</v>
      </c>
      <c r="AQ174" s="20">
        <v>34</v>
      </c>
      <c r="AR174" s="20">
        <v>35</v>
      </c>
      <c r="AS174" s="20">
        <v>36</v>
      </c>
      <c r="AT174" s="20">
        <v>37</v>
      </c>
      <c r="AU174" s="20">
        <v>38</v>
      </c>
      <c r="AV174" s="20">
        <v>39</v>
      </c>
      <c r="AW174" s="20">
        <v>40</v>
      </c>
      <c r="AX174" s="20">
        <v>41</v>
      </c>
      <c r="AY174" s="20">
        <v>42</v>
      </c>
      <c r="AZ174" s="20">
        <v>43</v>
      </c>
      <c r="BA174" s="20">
        <v>44</v>
      </c>
      <c r="BB174" s="20">
        <v>45</v>
      </c>
      <c r="BC174" s="20">
        <v>46</v>
      </c>
      <c r="BD174" s="20">
        <v>47</v>
      </c>
      <c r="BE174" s="20">
        <v>48</v>
      </c>
    </row>
    <row r="175" spans="2:57">
      <c r="B175" s="29">
        <v>1</v>
      </c>
      <c r="C175" s="144" t="s">
        <v>535</v>
      </c>
      <c r="D175" s="466"/>
      <c r="E175" s="29" t="s">
        <v>130</v>
      </c>
      <c r="F175" s="466">
        <v>0</v>
      </c>
      <c r="G175" s="466">
        <f ca="1" t="shared" ref="G175:Q175" si="188">F180</f>
        <v>21197.0400822516</v>
      </c>
      <c r="H175" s="466">
        <f ca="1" t="shared" si="188"/>
        <v>71633.4875937017</v>
      </c>
      <c r="I175" s="466">
        <f ca="1" t="shared" si="188"/>
        <v>143560.689450587</v>
      </c>
      <c r="J175" s="466">
        <f ca="1" t="shared" si="188"/>
        <v>227206.218790986</v>
      </c>
      <c r="K175" s="466">
        <f ca="1" t="shared" si="188"/>
        <v>320943.151995775</v>
      </c>
      <c r="L175" s="466">
        <f ca="1" t="shared" si="188"/>
        <v>446801.809180491</v>
      </c>
      <c r="M175" s="466">
        <f ca="1" t="shared" si="188"/>
        <v>567118.553113378</v>
      </c>
      <c r="N175" s="466">
        <f ca="1" t="shared" si="188"/>
        <v>632532.195156247</v>
      </c>
      <c r="O175" s="466">
        <f ca="1" t="shared" si="188"/>
        <v>674623.632860075</v>
      </c>
      <c r="P175" s="571">
        <f ca="1" t="shared" si="188"/>
        <v>725209.263168492</v>
      </c>
      <c r="Q175" s="466">
        <f ca="1" t="shared" si="188"/>
        <v>725209.263168492</v>
      </c>
      <c r="R175" s="466">
        <f ca="1" t="shared" ref="Q175:BE175" si="189">Q180</f>
        <v>713122.442115684</v>
      </c>
      <c r="S175" s="466">
        <f ca="1" t="shared" si="189"/>
        <v>664775.157904451</v>
      </c>
      <c r="T175" s="466">
        <f ca="1" t="shared" si="189"/>
        <v>616427.873693219</v>
      </c>
      <c r="U175" s="466">
        <f ca="1" t="shared" si="189"/>
        <v>568080.589481986</v>
      </c>
      <c r="V175" s="466">
        <f ca="1" t="shared" si="189"/>
        <v>519733.305270753</v>
      </c>
      <c r="W175" s="466">
        <f ca="1" t="shared" si="189"/>
        <v>471386.02105952</v>
      </c>
      <c r="X175" s="466">
        <f ca="1" t="shared" si="189"/>
        <v>423038.736848288</v>
      </c>
      <c r="Y175" s="466">
        <f ca="1" t="shared" si="189"/>
        <v>374691.452637055</v>
      </c>
      <c r="Z175" s="466">
        <f ca="1" t="shared" si="189"/>
        <v>326344.168425822</v>
      </c>
      <c r="AA175" s="466">
        <f ca="1" t="shared" si="189"/>
        <v>277996.884214589</v>
      </c>
      <c r="AB175" s="466">
        <f ca="1" t="shared" si="189"/>
        <v>229649.600003356</v>
      </c>
      <c r="AC175" s="466">
        <f ca="1" t="shared" si="189"/>
        <v>181302.315792123</v>
      </c>
      <c r="AD175" s="466">
        <f ca="1" t="shared" si="189"/>
        <v>132955.031580891</v>
      </c>
      <c r="AE175" s="466">
        <f ca="1" t="shared" si="189"/>
        <v>84607.7473696579</v>
      </c>
      <c r="AF175" s="466">
        <f ca="1" t="shared" si="189"/>
        <v>36260.463158425</v>
      </c>
      <c r="AG175" s="466">
        <f ca="1" t="shared" si="189"/>
        <v>4.14729584008455e-10</v>
      </c>
      <c r="AH175" s="466">
        <f ca="1" t="shared" si="189"/>
        <v>4.14729584008455e-10</v>
      </c>
      <c r="AI175" s="466">
        <f ca="1" t="shared" si="189"/>
        <v>4.14729584008455e-10</v>
      </c>
      <c r="AJ175" s="466">
        <f ca="1" t="shared" si="189"/>
        <v>4.14729584008455e-10</v>
      </c>
      <c r="AK175" s="466">
        <f ca="1" t="shared" si="189"/>
        <v>4.14729584008455e-10</v>
      </c>
      <c r="AL175" s="466">
        <f ca="1" t="shared" si="189"/>
        <v>4.14729584008455e-10</v>
      </c>
      <c r="AM175" s="466">
        <f ca="1" t="shared" si="189"/>
        <v>4.14729584008455e-10</v>
      </c>
      <c r="AN175" s="466">
        <f ca="1" t="shared" si="189"/>
        <v>4.14729584008455e-10</v>
      </c>
      <c r="AO175" s="466">
        <f ca="1" t="shared" si="189"/>
        <v>4.14729584008455e-10</v>
      </c>
      <c r="AP175" s="466">
        <f ca="1" t="shared" si="189"/>
        <v>4.14729584008455e-10</v>
      </c>
      <c r="AQ175" s="466">
        <f ca="1" t="shared" si="189"/>
        <v>4.14729584008455e-10</v>
      </c>
      <c r="AR175" s="466">
        <f ca="1" t="shared" si="189"/>
        <v>4.14729584008455e-10</v>
      </c>
      <c r="AS175" s="466">
        <f ca="1" t="shared" si="189"/>
        <v>4.14729584008455e-10</v>
      </c>
      <c r="AT175" s="466">
        <f ca="1" t="shared" si="189"/>
        <v>4.14729584008455e-10</v>
      </c>
      <c r="AU175" s="466">
        <f ca="1" t="shared" si="189"/>
        <v>4.14729584008455e-10</v>
      </c>
      <c r="AV175" s="466">
        <f ca="1" t="shared" si="189"/>
        <v>4.14729584008455e-10</v>
      </c>
      <c r="AW175" s="466">
        <f ca="1" t="shared" si="189"/>
        <v>4.14729584008455e-10</v>
      </c>
      <c r="AX175" s="466">
        <f ca="1" t="shared" si="189"/>
        <v>4.14729584008455e-10</v>
      </c>
      <c r="AY175" s="466">
        <f ca="1" t="shared" si="189"/>
        <v>4.14729584008455e-10</v>
      </c>
      <c r="AZ175" s="466">
        <f ca="1" t="shared" si="189"/>
        <v>4.14729584008455e-10</v>
      </c>
      <c r="BA175" s="466">
        <f ca="1" t="shared" si="189"/>
        <v>4.14729584008455e-10</v>
      </c>
      <c r="BB175" s="466">
        <f ca="1" t="shared" si="189"/>
        <v>4.14729584008455e-10</v>
      </c>
      <c r="BC175" s="466">
        <f ca="1" t="shared" si="189"/>
        <v>4.14729584008455e-10</v>
      </c>
      <c r="BD175" s="466">
        <f ca="1" t="shared" si="189"/>
        <v>4.14729584008455e-10</v>
      </c>
      <c r="BE175" s="466">
        <f ca="1" t="shared" si="189"/>
        <v>4.14729584008455e-10</v>
      </c>
    </row>
    <row r="176" spans="2:57">
      <c r="B176" s="29">
        <v>2</v>
      </c>
      <c r="C176" s="144" t="s">
        <v>536</v>
      </c>
      <c r="D176" s="466">
        <f ca="1">SUM(F176:BE176)</f>
        <v>725209.263168492</v>
      </c>
      <c r="E176" s="29" t="s">
        <v>130</v>
      </c>
      <c r="F176" s="466">
        <f ca="1" t="shared" ref="F176:R176" si="190">F42+F43</f>
        <v>21197.0400822516</v>
      </c>
      <c r="G176" s="466">
        <f ca="1" t="shared" si="190"/>
        <v>50436.4475114501</v>
      </c>
      <c r="H176" s="466">
        <f ca="1" t="shared" si="190"/>
        <v>71927.2018568849</v>
      </c>
      <c r="I176" s="466">
        <f ca="1" t="shared" si="190"/>
        <v>83645.5293403997</v>
      </c>
      <c r="J176" s="466">
        <f ca="1" t="shared" si="190"/>
        <v>93736.9332047887</v>
      </c>
      <c r="K176" s="466">
        <f ca="1" t="shared" si="190"/>
        <v>125858.657184717</v>
      </c>
      <c r="L176" s="466">
        <f ca="1" t="shared" si="190"/>
        <v>120316.743932887</v>
      </c>
      <c r="M176" s="466">
        <f ca="1" t="shared" si="190"/>
        <v>65413.6420428689</v>
      </c>
      <c r="N176" s="466">
        <f ca="1" t="shared" si="190"/>
        <v>42091.4377038279</v>
      </c>
      <c r="O176" s="466">
        <f ca="1" t="shared" si="190"/>
        <v>50585.6303084173</v>
      </c>
      <c r="P176" s="571">
        <f ca="1" t="shared" si="190"/>
        <v>0</v>
      </c>
      <c r="Q176" s="466">
        <f ca="1" t="shared" si="190"/>
        <v>0</v>
      </c>
      <c r="R176" s="466">
        <f ca="1" t="shared" si="190"/>
        <v>0</v>
      </c>
      <c r="S176" s="466">
        <f ca="1" t="shared" ref="Q176:AM176" si="191">S42+S43</f>
        <v>0</v>
      </c>
      <c r="T176" s="466">
        <f ca="1" t="shared" si="191"/>
        <v>0</v>
      </c>
      <c r="U176" s="466">
        <f ca="1" t="shared" si="191"/>
        <v>0</v>
      </c>
      <c r="V176" s="466">
        <f ca="1" t="shared" si="191"/>
        <v>0</v>
      </c>
      <c r="W176" s="466">
        <f ca="1" t="shared" si="191"/>
        <v>0</v>
      </c>
      <c r="X176" s="466">
        <f ca="1" t="shared" si="191"/>
        <v>0</v>
      </c>
      <c r="Y176" s="466">
        <f ca="1" t="shared" si="191"/>
        <v>0</v>
      </c>
      <c r="Z176" s="466">
        <f ca="1" t="shared" si="191"/>
        <v>0</v>
      </c>
      <c r="AA176" s="466">
        <f ca="1" t="shared" si="191"/>
        <v>0</v>
      </c>
      <c r="AB176" s="466">
        <f ca="1" t="shared" si="191"/>
        <v>0</v>
      </c>
      <c r="AC176" s="466">
        <f ca="1" t="shared" si="191"/>
        <v>0</v>
      </c>
      <c r="AD176" s="466">
        <f ca="1" t="shared" si="191"/>
        <v>0</v>
      </c>
      <c r="AE176" s="466">
        <f ca="1" t="shared" si="191"/>
        <v>0</v>
      </c>
      <c r="AF176" s="466">
        <f ca="1" t="shared" si="191"/>
        <v>0</v>
      </c>
      <c r="AG176" s="466">
        <f ca="1" t="shared" si="191"/>
        <v>0</v>
      </c>
      <c r="AH176" s="466">
        <f ca="1" t="shared" si="191"/>
        <v>0</v>
      </c>
      <c r="AI176" s="466">
        <f ca="1" t="shared" si="191"/>
        <v>0</v>
      </c>
      <c r="AJ176" s="466">
        <f ca="1" t="shared" si="191"/>
        <v>0</v>
      </c>
      <c r="AK176" s="466">
        <f ca="1" t="shared" si="191"/>
        <v>0</v>
      </c>
      <c r="AL176" s="466">
        <f ca="1" t="shared" si="191"/>
        <v>0</v>
      </c>
      <c r="AM176" s="466">
        <f ca="1" t="shared" si="191"/>
        <v>0</v>
      </c>
      <c r="AN176" s="466">
        <f ca="1" t="shared" ref="AN176:BE176" si="192">AN42+AN43</f>
        <v>0</v>
      </c>
      <c r="AO176" s="466">
        <f ca="1" t="shared" si="192"/>
        <v>0</v>
      </c>
      <c r="AP176" s="466">
        <f ca="1" t="shared" si="192"/>
        <v>0</v>
      </c>
      <c r="AQ176" s="466">
        <f ca="1" t="shared" si="192"/>
        <v>0</v>
      </c>
      <c r="AR176" s="466">
        <f ca="1" t="shared" si="192"/>
        <v>0</v>
      </c>
      <c r="AS176" s="466">
        <f ca="1" t="shared" si="192"/>
        <v>0</v>
      </c>
      <c r="AT176" s="466">
        <f ca="1" t="shared" si="192"/>
        <v>0</v>
      </c>
      <c r="AU176" s="466">
        <f ca="1" t="shared" si="192"/>
        <v>0</v>
      </c>
      <c r="AV176" s="466">
        <f ca="1" t="shared" si="192"/>
        <v>0</v>
      </c>
      <c r="AW176" s="466">
        <f ca="1" t="shared" si="192"/>
        <v>0</v>
      </c>
      <c r="AX176" s="466">
        <f ca="1" t="shared" si="192"/>
        <v>0</v>
      </c>
      <c r="AY176" s="466">
        <f ca="1" t="shared" si="192"/>
        <v>0</v>
      </c>
      <c r="AZ176" s="466">
        <f ca="1" t="shared" si="192"/>
        <v>0</v>
      </c>
      <c r="BA176" s="466">
        <f ca="1" t="shared" si="192"/>
        <v>0</v>
      </c>
      <c r="BB176" s="466">
        <f ca="1" t="shared" si="192"/>
        <v>0</v>
      </c>
      <c r="BC176" s="466">
        <f ca="1" t="shared" si="192"/>
        <v>0</v>
      </c>
      <c r="BD176" s="466">
        <f ca="1" t="shared" si="192"/>
        <v>0</v>
      </c>
      <c r="BE176" s="466">
        <f ca="1" t="shared" si="192"/>
        <v>0</v>
      </c>
    </row>
    <row r="177" spans="2:103">
      <c r="B177" s="29">
        <v>3</v>
      </c>
      <c r="C177" s="152" t="s">
        <v>537</v>
      </c>
      <c r="D177" s="467">
        <f ca="1">SUM(F177:BE177)</f>
        <v>965585.916856216</v>
      </c>
      <c r="E177" s="50" t="s">
        <v>130</v>
      </c>
      <c r="F177" s="467">
        <f ca="1">SUM(F178:F179)</f>
        <v>0</v>
      </c>
      <c r="G177" s="467">
        <f ca="1" t="shared" ref="G177:AL177" si="193">SUM(G178:G179)</f>
        <v>0</v>
      </c>
      <c r="H177" s="467">
        <f ca="1" t="shared" si="193"/>
        <v>0</v>
      </c>
      <c r="I177" s="467">
        <f ca="1" t="shared" si="193"/>
        <v>0</v>
      </c>
      <c r="J177" s="467">
        <f ca="1" t="shared" si="193"/>
        <v>0</v>
      </c>
      <c r="K177" s="467">
        <f ca="1" t="shared" si="193"/>
        <v>0</v>
      </c>
      <c r="L177" s="467">
        <f ca="1" t="shared" si="193"/>
        <v>0</v>
      </c>
      <c r="M177" s="467">
        <f ca="1" t="shared" si="193"/>
        <v>0</v>
      </c>
      <c r="N177" s="467">
        <f ca="1" t="shared" si="193"/>
        <v>0</v>
      </c>
      <c r="O177" s="467">
        <f ca="1" t="shared" si="193"/>
        <v>0</v>
      </c>
      <c r="P177" s="571">
        <f ca="1" t="shared" si="193"/>
        <v>2598.66652635376</v>
      </c>
      <c r="Q177" s="467">
        <f ca="1" t="shared" si="193"/>
        <v>19882.8206318695</v>
      </c>
      <c r="R177" s="467">
        <f ca="1" t="shared" si="193"/>
        <v>78231.9492643011</v>
      </c>
      <c r="S177" s="467">
        <f ca="1" t="shared" si="193"/>
        <v>76153.0160432181</v>
      </c>
      <c r="T177" s="467">
        <f ca="1" t="shared" si="193"/>
        <v>74074.0828221351</v>
      </c>
      <c r="U177" s="467">
        <f ca="1" t="shared" si="193"/>
        <v>71995.1496010521</v>
      </c>
      <c r="V177" s="467">
        <f ca="1" t="shared" si="193"/>
        <v>69916.2163799691</v>
      </c>
      <c r="W177" s="467">
        <f ca="1" t="shared" si="193"/>
        <v>67837.2831588861</v>
      </c>
      <c r="X177" s="467">
        <f ca="1" t="shared" si="193"/>
        <v>65758.3499378031</v>
      </c>
      <c r="Y177" s="467">
        <f ca="1" t="shared" si="193"/>
        <v>63679.41671672</v>
      </c>
      <c r="Z177" s="467">
        <f ca="1" t="shared" si="193"/>
        <v>61600.483495637</v>
      </c>
      <c r="AA177" s="467">
        <f ca="1" t="shared" si="193"/>
        <v>59521.550274554</v>
      </c>
      <c r="AB177" s="467">
        <f ca="1" t="shared" si="193"/>
        <v>57442.617053471</v>
      </c>
      <c r="AC177" s="467">
        <f ca="1" t="shared" si="193"/>
        <v>55363.683832388</v>
      </c>
      <c r="AD177" s="467">
        <f ca="1" t="shared" si="193"/>
        <v>53284.750611305</v>
      </c>
      <c r="AE177" s="467">
        <f ca="1" t="shared" si="193"/>
        <v>51205.817390222</v>
      </c>
      <c r="AF177" s="467">
        <f ca="1" t="shared" si="193"/>
        <v>37040.0631163308</v>
      </c>
      <c r="AG177" s="467">
        <f ca="1" t="shared" si="193"/>
        <v>0</v>
      </c>
      <c r="AH177" s="467">
        <f ca="1" t="shared" si="193"/>
        <v>0</v>
      </c>
      <c r="AI177" s="467">
        <f ca="1" t="shared" si="193"/>
        <v>0</v>
      </c>
      <c r="AJ177" s="467">
        <f ca="1" t="shared" si="193"/>
        <v>0</v>
      </c>
      <c r="AK177" s="467">
        <f ca="1" t="shared" si="193"/>
        <v>0</v>
      </c>
      <c r="AL177" s="467">
        <f ca="1" t="shared" si="193"/>
        <v>0</v>
      </c>
      <c r="AM177" s="467">
        <f ca="1" t="shared" ref="AM177:BE177" si="194">SUM(AM178:AM179)</f>
        <v>0</v>
      </c>
      <c r="AN177" s="467">
        <f ca="1" t="shared" si="194"/>
        <v>0</v>
      </c>
      <c r="AO177" s="467">
        <f ca="1" t="shared" si="194"/>
        <v>0</v>
      </c>
      <c r="AP177" s="467">
        <f ca="1" t="shared" si="194"/>
        <v>0</v>
      </c>
      <c r="AQ177" s="467">
        <f ca="1" t="shared" si="194"/>
        <v>0</v>
      </c>
      <c r="AR177" s="467">
        <f ca="1" t="shared" si="194"/>
        <v>0</v>
      </c>
      <c r="AS177" s="467">
        <f ca="1" t="shared" si="194"/>
        <v>0</v>
      </c>
      <c r="AT177" s="467">
        <f ca="1" t="shared" si="194"/>
        <v>0</v>
      </c>
      <c r="AU177" s="467">
        <f ca="1" t="shared" si="194"/>
        <v>0</v>
      </c>
      <c r="AV177" s="467">
        <f ca="1" t="shared" si="194"/>
        <v>0</v>
      </c>
      <c r="AW177" s="467">
        <f ca="1" t="shared" si="194"/>
        <v>0</v>
      </c>
      <c r="AX177" s="467">
        <f ca="1" t="shared" si="194"/>
        <v>0</v>
      </c>
      <c r="AY177" s="467">
        <f ca="1" t="shared" si="194"/>
        <v>0</v>
      </c>
      <c r="AZ177" s="467">
        <f ca="1" t="shared" si="194"/>
        <v>0</v>
      </c>
      <c r="BA177" s="467">
        <f ca="1" t="shared" si="194"/>
        <v>0</v>
      </c>
      <c r="BB177" s="467">
        <f ca="1" t="shared" si="194"/>
        <v>0</v>
      </c>
      <c r="BC177" s="467">
        <f ca="1" t="shared" si="194"/>
        <v>0</v>
      </c>
      <c r="BD177" s="467">
        <f ca="1" t="shared" si="194"/>
        <v>0</v>
      </c>
      <c r="BE177" s="467">
        <f ca="1" t="shared" si="194"/>
        <v>0</v>
      </c>
    </row>
    <row r="178" spans="2:103">
      <c r="B178" s="29"/>
      <c r="C178" s="78" t="s">
        <v>559</v>
      </c>
      <c r="D178" s="467">
        <f ca="1">SUM(F178:BE178)</f>
        <v>725209.263168492</v>
      </c>
      <c r="E178" s="50" t="s">
        <v>130</v>
      </c>
      <c r="F178" s="467">
        <f ca="1">IF(参数输入表!$I$254="等额本金",IF(参数输入表!$I$255="月度",SUMIF($F$117:$GC$117,F173,$F$129:$GC$129),IF(参数输入表!$I$255="季度",SUMIF($F$59:$BM$59,F173,$F$71:$BM$71),IF(参数输入表!$I$255="半年度",SUMIF($F$88:$AI$88,F173,$F$100:$AI$100),IF(参数输入表!$I$255="年度",SUMIF($F$146:$T$146,F173,$F$158:$T$158),0)))),IF(参数输入表!$I$255="月度",SUMIF($F$117:$GC$117,F173,$F$123:$GC$123),IF(参数输入表!$I$255="季度",SUMIF($F$59:$BM$59,F173,$F$65:$BM$65),IF(参数输入表!$I$255="半年度",SUMIF($F$88:$AI$88,F173,$F$94:$AI$94),IF(参数输入表!$I$255="年度",SUMIF($F$146:$T$146,F173,$F$152:$T$152),0)))))</f>
        <v>0</v>
      </c>
      <c r="G178" s="467">
        <f ca="1">IF(参数输入表!$I$254="等额本金",IF(参数输入表!$I$255="月度",SUMIF($F$117:$GC$117,G173,$F$129:$GC$129),IF(参数输入表!$I$255="季度",SUMIF($F$59:$BM$59,G173,$F$71:$BM$71),IF(参数输入表!$I$255="半年度",SUMIF($F$88:$AI$88,G173,$F$100:$AI$100),IF(参数输入表!$I$255="年度",SUMIF($F$146:$T$146,G173,$F$158:$T$158),0)))),IF(参数输入表!$I$255="月度",SUMIF($F$117:$GC$117,G173,$F$123:$GC$123),IF(参数输入表!$I$255="季度",SUMIF($F$59:$BM$59,G173,$F$65:$BM$65),IF(参数输入表!$I$255="半年度",SUMIF($F$88:$AI$88,G173,$F$94:$AI$94),IF(参数输入表!$I$255="年度",SUMIF($F$146:$T$146,G173,$F$152:$T$152),0)))))</f>
        <v>0</v>
      </c>
      <c r="H178" s="467">
        <f ca="1">IF(参数输入表!$I$254="等额本金",IF(参数输入表!$I$255="月度",SUMIF($F$117:$GC$117,H173,$F$129:$GC$129),IF(参数输入表!$I$255="季度",SUMIF($F$59:$BM$59,H173,$F$71:$BM$71),IF(参数输入表!$I$255="半年度",SUMIF($F$88:$AI$88,H173,$F$100:$AI$100),IF(参数输入表!$I$255="年度",SUMIF($F$146:$T$146,H173,$F$158:$T$158),0)))),IF(参数输入表!$I$255="月度",SUMIF($F$117:$GC$117,H173,$F$123:$GC$123),IF(参数输入表!$I$255="季度",SUMIF($F$59:$BM$59,H173,$F$65:$BM$65),IF(参数输入表!$I$255="半年度",SUMIF($F$88:$AI$88,H173,$F$94:$AI$94),IF(参数输入表!$I$255="年度",SUMIF($F$146:$T$146,H173,$F$152:$T$152),0)))))</f>
        <v>0</v>
      </c>
      <c r="I178" s="467">
        <f ca="1">IF(参数输入表!$I$254="等额本金",IF(参数输入表!$I$255="月度",SUMIF($F$117:$GC$117,I173,$F$129:$GC$129),IF(参数输入表!$I$255="季度",SUMIF($F$59:$BM$59,I173,$F$71:$BM$71),IF(参数输入表!$I$255="半年度",SUMIF($F$88:$AI$88,I173,$F$100:$AI$100),IF(参数输入表!$I$255="年度",SUMIF($F$146:$T$146,I173,$F$158:$T$158),0)))),IF(参数输入表!$I$255="月度",SUMIF($F$117:$GC$117,I173,$F$123:$GC$123),IF(参数输入表!$I$255="季度",SUMIF($F$59:$BM$59,I173,$F$65:$BM$65),IF(参数输入表!$I$255="半年度",SUMIF($F$88:$AI$88,I173,$F$94:$AI$94),IF(参数输入表!$I$255="年度",SUMIF($F$146:$T$146,I173,$F$152:$T$152),0)))))</f>
        <v>0</v>
      </c>
      <c r="J178" s="467">
        <f ca="1">IF(参数输入表!$I$254="等额本金",IF(参数输入表!$I$255="月度",SUMIF($F$117:$GC$117,J173,$F$129:$GC$129),IF(参数输入表!$I$255="季度",SUMIF($F$59:$BM$59,J173,$F$71:$BM$71),IF(参数输入表!$I$255="半年度",SUMIF($F$88:$AI$88,J173,$F$100:$AI$100),IF(参数输入表!$I$255="年度",SUMIF($F$146:$T$146,J173,$F$158:$T$158),0)))),IF(参数输入表!$I$255="月度",SUMIF($F$117:$GC$117,J173,$F$123:$GC$123),IF(参数输入表!$I$255="季度",SUMIF($F$59:$BM$59,J173,$F$65:$BM$65),IF(参数输入表!$I$255="半年度",SUMIF($F$88:$AI$88,J173,$F$94:$AI$94),IF(参数输入表!$I$255="年度",SUMIF($F$146:$T$146,J173,$F$152:$T$152),0)))))</f>
        <v>0</v>
      </c>
      <c r="K178" s="467">
        <f ca="1">IF(参数输入表!$I$254="等额本金",IF(参数输入表!$I$255="月度",SUMIF($F$117:$GC$117,K173,$F$129:$GC$129),IF(参数输入表!$I$255="季度",SUMIF($F$59:$BM$59,K173,$F$71:$BM$71),IF(参数输入表!$I$255="半年度",SUMIF($F$88:$AI$88,K173,$F$100:$AI$100),IF(参数输入表!$I$255="年度",SUMIF($F$146:$T$146,K173,$F$158:$T$158),0)))),IF(参数输入表!$I$255="月度",SUMIF($F$117:$GC$117,K173,$F$123:$GC$123),IF(参数输入表!$I$255="季度",SUMIF($F$59:$BM$59,K173,$F$65:$BM$65),IF(参数输入表!$I$255="半年度",SUMIF($F$88:$AI$88,K173,$F$94:$AI$94),IF(参数输入表!$I$255="年度",SUMIF($F$146:$T$146,K173,$F$152:$T$152),0)))))</f>
        <v>0</v>
      </c>
      <c r="L178" s="467">
        <f ca="1">IF(参数输入表!$I$254="等额本金",IF(参数输入表!$I$255="月度",SUMIF($F$117:$GC$117,L173,$F$129:$GC$129),IF(参数输入表!$I$255="季度",SUMIF($F$59:$BM$59,L173,$F$71:$BM$71),IF(参数输入表!$I$255="半年度",SUMIF($F$88:$AI$88,L173,$F$100:$AI$100),IF(参数输入表!$I$255="年度",SUMIF($F$146:$T$146,L173,$F$158:$T$158),0)))),IF(参数输入表!$I$255="月度",SUMIF($F$117:$GC$117,L173,$F$123:$GC$123),IF(参数输入表!$I$255="季度",SUMIF($F$59:$BM$59,L173,$F$65:$BM$65),IF(参数输入表!$I$255="半年度",SUMIF($F$88:$AI$88,L173,$F$94:$AI$94),IF(参数输入表!$I$255="年度",SUMIF($F$146:$T$146,L173,$F$152:$T$152),0)))))</f>
        <v>0</v>
      </c>
      <c r="M178" s="467">
        <f ca="1">IF(参数输入表!$I$254="等额本金",IF(参数输入表!$I$255="月度",SUMIF($F$117:$GC$117,M173,$F$129:$GC$129),IF(参数输入表!$I$255="季度",SUMIF($F$59:$BM$59,M173,$F$71:$BM$71),IF(参数输入表!$I$255="半年度",SUMIF($F$88:$AI$88,M173,$F$100:$AI$100),IF(参数输入表!$I$255="年度",SUMIF($F$146:$T$146,M173,$F$158:$T$158),0)))),IF(参数输入表!$I$255="月度",SUMIF($F$117:$GC$117,M173,$F$123:$GC$123),IF(参数输入表!$I$255="季度",SUMIF($F$59:$BM$59,M173,$F$65:$BM$65),IF(参数输入表!$I$255="半年度",SUMIF($F$88:$AI$88,M173,$F$94:$AI$94),IF(参数输入表!$I$255="年度",SUMIF($F$146:$T$146,M173,$F$152:$T$152),0)))))</f>
        <v>0</v>
      </c>
      <c r="N178" s="467">
        <f ca="1">IF(参数输入表!$I$254="等额本金",IF(参数输入表!$I$255="月度",SUMIF($F$117:$GC$117,N173,$F$129:$GC$129),IF(参数输入表!$I$255="季度",SUMIF($F$59:$BM$59,N173,$F$71:$BM$71),IF(参数输入表!$I$255="半年度",SUMIF($F$88:$AI$88,N173,$F$100:$AI$100),IF(参数输入表!$I$255="年度",SUMIF($F$146:$T$146,N173,$F$158:$T$158),0)))),IF(参数输入表!$I$255="月度",SUMIF($F$117:$GC$117,N173,$F$123:$GC$123),IF(参数输入表!$I$255="季度",SUMIF($F$59:$BM$59,N173,$F$65:$BM$65),IF(参数输入表!$I$255="半年度",SUMIF($F$88:$AI$88,N173,$F$94:$AI$94),IF(参数输入表!$I$255="年度",SUMIF($F$146:$T$146,N173,$F$152:$T$152),0)))))</f>
        <v>0</v>
      </c>
      <c r="O178" s="467">
        <f ca="1">IF(参数输入表!$I$254="等额本金",IF(参数输入表!$I$255="月度",SUMIF($F$117:$GC$117,O173,$F$129:$GC$129),IF(参数输入表!$I$255="季度",SUMIF($F$59:$BM$59,O173,$F$71:$BM$71),IF(参数输入表!$I$255="半年度",SUMIF($F$88:$AI$88,O173,$F$100:$AI$100),IF(参数输入表!$I$255="年度",SUMIF($F$146:$T$146,O173,$F$158:$T$158),0)))),IF(参数输入表!$I$255="月度",SUMIF($F$117:$GC$117,O173,$F$123:$GC$123),IF(参数输入表!$I$255="季度",SUMIF($F$59:$BM$59,O173,$F$65:$BM$65),IF(参数输入表!$I$255="半年度",SUMIF($F$88:$AI$88,O173,$F$94:$AI$94),IF(参数输入表!$I$255="年度",SUMIF($F$146:$T$146,O173,$F$152:$T$152),0)))))</f>
        <v>0</v>
      </c>
      <c r="P178" s="571">
        <f ca="1">IF(参数输入表!$I$254="等额本金",IF(参数输入表!$I$255="月度",SUMIF($F$117:$GC$117,P173,$F$129:$GC$129),IF(参数输入表!$I$255="季度",SUMIF($F$59:$BM$59,P173,$F$71:$BM$71),IF(参数输入表!$I$255="半年度",SUMIF($F$88:$AI$88,P173,$F$100:$AI$100),IF(参数输入表!$I$255="年度",SUMIF($F$146:$T$146,P173,$F$158:$T$158),0)))),IF(参数输入表!$I$255="月度",SUMIF($F$117:$GC$117,P173,$F$123:$GC$123),IF(参数输入表!$I$255="季度",SUMIF($F$59:$BM$59,P173,$F$65:$BM$65),IF(参数输入表!$I$255="半年度",SUMIF($F$88:$AI$88,P173,$F$94:$AI$94),IF(参数输入表!$I$255="年度",SUMIF($F$146:$T$146,P173,$F$152:$T$152),0)))))</f>
        <v>0</v>
      </c>
      <c r="Q178" s="467">
        <f ca="1">IF(参数输入表!$I$254="等额本金",IF(参数输入表!$I$255="月度",SUMIF($F$117:$GC$117,Q173,$F$129:$GC$129),IF(参数输入表!$I$255="季度",SUMIF($F$59:$BM$59,Q173,$F$71:$BM$71),IF(参数输入表!$I$255="半年度",SUMIF($F$88:$AI$88,Q173,$F$100:$AI$100),IF(参数输入表!$I$255="年度",SUMIF($F$146:$T$146,Q173,$F$158:$T$158),0)))),IF(参数输入表!$I$255="月度",SUMIF($F$117:$GC$117,Q173,$F$123:$GC$123),IF(参数输入表!$I$255="季度",SUMIF($F$59:$BM$59,Q173,$F$65:$BM$65),IF(参数输入表!$I$255="半年度",SUMIF($F$88:$AI$88,Q173,$F$94:$AI$94),IF(参数输入表!$I$255="年度",SUMIF($F$146:$T$146,Q173,$F$152:$T$152),0)))))</f>
        <v>12086.8210528082</v>
      </c>
      <c r="R178" s="467">
        <f ca="1">IF(参数输入表!$I$254="等额本金",IF(参数输入表!$I$255="月度",SUMIF($F$117:$GC$117,R173,$F$129:$GC$129),IF(参数输入表!$I$255="季度",SUMIF($F$59:$BM$59,R173,$F$71:$BM$71),IF(参数输入表!$I$255="半年度",SUMIF($F$88:$AI$88,R173,$F$100:$AI$100),IF(参数输入表!$I$255="年度",SUMIF($F$146:$T$146,R173,$F$158:$T$158),0)))),IF(参数输入表!$I$255="月度",SUMIF($F$117:$GC$117,R173,$F$123:$GC$123),IF(参数输入表!$I$255="季度",SUMIF($F$59:$BM$59,R173,$F$65:$BM$65),IF(参数输入表!$I$255="半年度",SUMIF($F$88:$AI$88,R173,$F$94:$AI$94),IF(参数输入表!$I$255="年度",SUMIF($F$146:$T$146,R173,$F$152:$T$152),0)))))</f>
        <v>48347.2842112328</v>
      </c>
      <c r="S178" s="467">
        <f ca="1">IF(参数输入表!$I$254="等额本金",IF(参数输入表!$I$255="月度",SUMIF($F$117:$GC$117,S173,$F$129:$GC$129),IF(参数输入表!$I$255="季度",SUMIF($F$59:$BM$59,S173,$F$71:$BM$71),IF(参数输入表!$I$255="半年度",SUMIF($F$88:$AI$88,S173,$F$100:$AI$100),IF(参数输入表!$I$255="年度",SUMIF($F$146:$T$146,S173,$F$158:$T$158),0)))),IF(参数输入表!$I$255="月度",SUMIF($F$117:$GC$117,S173,$F$123:$GC$123),IF(参数输入表!$I$255="季度",SUMIF($F$59:$BM$59,S173,$F$65:$BM$65),IF(参数输入表!$I$255="半年度",SUMIF($F$88:$AI$88,S173,$F$94:$AI$94),IF(参数输入表!$I$255="年度",SUMIF($F$146:$T$146,S173,$F$152:$T$152),0)))))</f>
        <v>48347.2842112328</v>
      </c>
      <c r="T178" s="467">
        <f ca="1">IF(参数输入表!$I$254="等额本金",IF(参数输入表!$I$255="月度",SUMIF($F$117:$GC$117,T173,$F$129:$GC$129),IF(参数输入表!$I$255="季度",SUMIF($F$59:$BM$59,T173,$F$71:$BM$71),IF(参数输入表!$I$255="半年度",SUMIF($F$88:$AI$88,T173,$F$100:$AI$100),IF(参数输入表!$I$255="年度",SUMIF($F$146:$T$146,T173,$F$158:$T$158),0)))),IF(参数输入表!$I$255="月度",SUMIF($F$117:$GC$117,T173,$F$123:$GC$123),IF(参数输入表!$I$255="季度",SUMIF($F$59:$BM$59,T173,$F$65:$BM$65),IF(参数输入表!$I$255="半年度",SUMIF($F$88:$AI$88,T173,$F$94:$AI$94),IF(参数输入表!$I$255="年度",SUMIF($F$146:$T$146,T173,$F$152:$T$152),0)))))</f>
        <v>48347.2842112328</v>
      </c>
      <c r="U178" s="467">
        <f ca="1">IF(参数输入表!$I$254="等额本金",IF(参数输入表!$I$255="月度",SUMIF($F$117:$GC$117,U173,$F$129:$GC$129),IF(参数输入表!$I$255="季度",SUMIF($F$59:$BM$59,U173,$F$71:$BM$71),IF(参数输入表!$I$255="半年度",SUMIF($F$88:$AI$88,U173,$F$100:$AI$100),IF(参数输入表!$I$255="年度",SUMIF($F$146:$T$146,U173,$F$158:$T$158),0)))),IF(参数输入表!$I$255="月度",SUMIF($F$117:$GC$117,U173,$F$123:$GC$123),IF(参数输入表!$I$255="季度",SUMIF($F$59:$BM$59,U173,$F$65:$BM$65),IF(参数输入表!$I$255="半年度",SUMIF($F$88:$AI$88,U173,$F$94:$AI$94),IF(参数输入表!$I$255="年度",SUMIF($F$146:$T$146,U173,$F$152:$T$152),0)))))</f>
        <v>48347.2842112328</v>
      </c>
      <c r="V178" s="467">
        <f ca="1">IF(参数输入表!$I$254="等额本金",IF(参数输入表!$I$255="月度",SUMIF($F$117:$GC$117,V173,$F$129:$GC$129),IF(参数输入表!$I$255="季度",SUMIF($F$59:$BM$59,V173,$F$71:$BM$71),IF(参数输入表!$I$255="半年度",SUMIF($F$88:$AI$88,V173,$F$100:$AI$100),IF(参数输入表!$I$255="年度",SUMIF($F$146:$T$146,V173,$F$158:$T$158),0)))),IF(参数输入表!$I$255="月度",SUMIF($F$117:$GC$117,V173,$F$123:$GC$123),IF(参数输入表!$I$255="季度",SUMIF($F$59:$BM$59,V173,$F$65:$BM$65),IF(参数输入表!$I$255="半年度",SUMIF($F$88:$AI$88,V173,$F$94:$AI$94),IF(参数输入表!$I$255="年度",SUMIF($F$146:$T$146,V173,$F$152:$T$152),0)))))</f>
        <v>48347.2842112328</v>
      </c>
      <c r="W178" s="467">
        <f ca="1">IF(参数输入表!$I$254="等额本金",IF(参数输入表!$I$255="月度",SUMIF($F$117:$GC$117,W173,$F$129:$GC$129),IF(参数输入表!$I$255="季度",SUMIF($F$59:$BM$59,W173,$F$71:$BM$71),IF(参数输入表!$I$255="半年度",SUMIF($F$88:$AI$88,W173,$F$100:$AI$100),IF(参数输入表!$I$255="年度",SUMIF($F$146:$T$146,W173,$F$158:$T$158),0)))),IF(参数输入表!$I$255="月度",SUMIF($F$117:$GC$117,W173,$F$123:$GC$123),IF(参数输入表!$I$255="季度",SUMIF($F$59:$BM$59,W173,$F$65:$BM$65),IF(参数输入表!$I$255="半年度",SUMIF($F$88:$AI$88,W173,$F$94:$AI$94),IF(参数输入表!$I$255="年度",SUMIF($F$146:$T$146,W173,$F$152:$T$152),0)))))</f>
        <v>48347.2842112328</v>
      </c>
      <c r="X178" s="467">
        <f ca="1">IF(参数输入表!$I$254="等额本金",IF(参数输入表!$I$255="月度",SUMIF($F$117:$GC$117,X173,$F$129:$GC$129),IF(参数输入表!$I$255="季度",SUMIF($F$59:$BM$59,X173,$F$71:$BM$71),IF(参数输入表!$I$255="半年度",SUMIF($F$88:$AI$88,X173,$F$100:$AI$100),IF(参数输入表!$I$255="年度",SUMIF($F$146:$T$146,X173,$F$158:$T$158),0)))),IF(参数输入表!$I$255="月度",SUMIF($F$117:$GC$117,X173,$F$123:$GC$123),IF(参数输入表!$I$255="季度",SUMIF($F$59:$BM$59,X173,$F$65:$BM$65),IF(参数输入表!$I$255="半年度",SUMIF($F$88:$AI$88,X173,$F$94:$AI$94),IF(参数输入表!$I$255="年度",SUMIF($F$146:$T$146,X173,$F$152:$T$152),0)))))</f>
        <v>48347.2842112328</v>
      </c>
      <c r="Y178" s="467">
        <f ca="1">IF(参数输入表!$I$254="等额本金",IF(参数输入表!$I$255="月度",SUMIF($F$117:$GC$117,Y173,$F$129:$GC$129),IF(参数输入表!$I$255="季度",SUMIF($F$59:$BM$59,Y173,$F$71:$BM$71),IF(参数输入表!$I$255="半年度",SUMIF($F$88:$AI$88,Y173,$F$100:$AI$100),IF(参数输入表!$I$255="年度",SUMIF($F$146:$T$146,Y173,$F$158:$T$158),0)))),IF(参数输入表!$I$255="月度",SUMIF($F$117:$GC$117,Y173,$F$123:$GC$123),IF(参数输入表!$I$255="季度",SUMIF($F$59:$BM$59,Y173,$F$65:$BM$65),IF(参数输入表!$I$255="半年度",SUMIF($F$88:$AI$88,Y173,$F$94:$AI$94),IF(参数输入表!$I$255="年度",SUMIF($F$146:$T$146,Y173,$F$152:$T$152),0)))))</f>
        <v>48347.2842112328</v>
      </c>
      <c r="Z178" s="467">
        <f ca="1">IF(参数输入表!$I$254="等额本金",IF(参数输入表!$I$255="月度",SUMIF($F$117:$GC$117,Z173,$F$129:$GC$129),IF(参数输入表!$I$255="季度",SUMIF($F$59:$BM$59,Z173,$F$71:$BM$71),IF(参数输入表!$I$255="半年度",SUMIF($F$88:$AI$88,Z173,$F$100:$AI$100),IF(参数输入表!$I$255="年度",SUMIF($F$146:$T$146,Z173,$F$158:$T$158),0)))),IF(参数输入表!$I$255="月度",SUMIF($F$117:$GC$117,Z173,$F$123:$GC$123),IF(参数输入表!$I$255="季度",SUMIF($F$59:$BM$59,Z173,$F$65:$BM$65),IF(参数输入表!$I$255="半年度",SUMIF($F$88:$AI$88,Z173,$F$94:$AI$94),IF(参数输入表!$I$255="年度",SUMIF($F$146:$T$146,Z173,$F$152:$T$152),0)))))</f>
        <v>48347.2842112328</v>
      </c>
      <c r="AA178" s="467">
        <f ca="1">IF(参数输入表!$I$254="等额本金",IF(参数输入表!$I$255="月度",SUMIF($F$117:$GC$117,AA173,$F$129:$GC$129),IF(参数输入表!$I$255="季度",SUMIF($F$59:$BM$59,AA173,$F$71:$BM$71),IF(参数输入表!$I$255="半年度",SUMIF($F$88:$AI$88,AA173,$F$100:$AI$100),IF(参数输入表!$I$255="年度",SUMIF($F$146:$T$146,AA173,$F$158:$T$158),0)))),IF(参数输入表!$I$255="月度",SUMIF($F$117:$GC$117,AA173,$F$123:$GC$123),IF(参数输入表!$I$255="季度",SUMIF($F$59:$BM$59,AA173,$F$65:$BM$65),IF(参数输入表!$I$255="半年度",SUMIF($F$88:$AI$88,AA173,$F$94:$AI$94),IF(参数输入表!$I$255="年度",SUMIF($F$146:$T$146,AA173,$F$152:$T$152),0)))))</f>
        <v>48347.2842112328</v>
      </c>
      <c r="AB178" s="467">
        <f ca="1">IF(参数输入表!$I$254="等额本金",IF(参数输入表!$I$255="月度",SUMIF($F$117:$GC$117,AB173,$F$129:$GC$129),IF(参数输入表!$I$255="季度",SUMIF($F$59:$BM$59,AB173,$F$71:$BM$71),IF(参数输入表!$I$255="半年度",SUMIF($F$88:$AI$88,AB173,$F$100:$AI$100),IF(参数输入表!$I$255="年度",SUMIF($F$146:$T$146,AB173,$F$158:$T$158),0)))),IF(参数输入表!$I$255="月度",SUMIF($F$117:$GC$117,AB173,$F$123:$GC$123),IF(参数输入表!$I$255="季度",SUMIF($F$59:$BM$59,AB173,$F$65:$BM$65),IF(参数输入表!$I$255="半年度",SUMIF($F$88:$AI$88,AB173,$F$94:$AI$94),IF(参数输入表!$I$255="年度",SUMIF($F$146:$T$146,AB173,$F$152:$T$152),0)))))</f>
        <v>48347.2842112328</v>
      </c>
      <c r="AC178" s="467">
        <f ca="1">IF(参数输入表!$I$254="等额本金",IF(参数输入表!$I$255="月度",SUMIF($F$117:$GC$117,AC173,$F$129:$GC$129),IF(参数输入表!$I$255="季度",SUMIF($F$59:$BM$59,AC173,$F$71:$BM$71),IF(参数输入表!$I$255="半年度",SUMIF($F$88:$AI$88,AC173,$F$100:$AI$100),IF(参数输入表!$I$255="年度",SUMIF($F$146:$T$146,AC173,$F$158:$T$158),0)))),IF(参数输入表!$I$255="月度",SUMIF($F$117:$GC$117,AC173,$F$123:$GC$123),IF(参数输入表!$I$255="季度",SUMIF($F$59:$BM$59,AC173,$F$65:$BM$65),IF(参数输入表!$I$255="半年度",SUMIF($F$88:$AI$88,AC173,$F$94:$AI$94),IF(参数输入表!$I$255="年度",SUMIF($F$146:$T$146,AC173,$F$152:$T$152),0)))))</f>
        <v>48347.2842112328</v>
      </c>
      <c r="AD178" s="467">
        <f ca="1">IF(参数输入表!$I$254="等额本金",IF(参数输入表!$I$255="月度",SUMIF($F$117:$GC$117,AD173,$F$129:$GC$129),IF(参数输入表!$I$255="季度",SUMIF($F$59:$BM$59,AD173,$F$71:$BM$71),IF(参数输入表!$I$255="半年度",SUMIF($F$88:$AI$88,AD173,$F$100:$AI$100),IF(参数输入表!$I$255="年度",SUMIF($F$146:$T$146,AD173,$F$158:$T$158),0)))),IF(参数输入表!$I$255="月度",SUMIF($F$117:$GC$117,AD173,$F$123:$GC$123),IF(参数输入表!$I$255="季度",SUMIF($F$59:$BM$59,AD173,$F$65:$BM$65),IF(参数输入表!$I$255="半年度",SUMIF($F$88:$AI$88,AD173,$F$94:$AI$94),IF(参数输入表!$I$255="年度",SUMIF($F$146:$T$146,AD173,$F$152:$T$152),0)))))</f>
        <v>48347.2842112328</v>
      </c>
      <c r="AE178" s="467">
        <f ca="1">IF(参数输入表!$I$254="等额本金",IF(参数输入表!$I$255="月度",SUMIF($F$117:$GC$117,AE173,$F$129:$GC$129),IF(参数输入表!$I$255="季度",SUMIF($F$59:$BM$59,AE173,$F$71:$BM$71),IF(参数输入表!$I$255="半年度",SUMIF($F$88:$AI$88,AE173,$F$100:$AI$100),IF(参数输入表!$I$255="年度",SUMIF($F$146:$T$146,AE173,$F$158:$T$158),0)))),IF(参数输入表!$I$255="月度",SUMIF($F$117:$GC$117,AE173,$F$123:$GC$123),IF(参数输入表!$I$255="季度",SUMIF($F$59:$BM$59,AE173,$F$65:$BM$65),IF(参数输入表!$I$255="半年度",SUMIF($F$88:$AI$88,AE173,$F$94:$AI$94),IF(参数输入表!$I$255="年度",SUMIF($F$146:$T$146,AE173,$F$152:$T$152),0)))))</f>
        <v>48347.2842112328</v>
      </c>
      <c r="AF178" s="467">
        <f ca="1">IF(参数输入表!$I$254="等额本金",IF(参数输入表!$I$255="月度",SUMIF($F$117:$GC$117,AF173,$F$129:$GC$129),IF(参数输入表!$I$255="季度",SUMIF($F$59:$BM$59,AF173,$F$71:$BM$71),IF(参数输入表!$I$255="半年度",SUMIF($F$88:$AI$88,AF173,$F$100:$AI$100),IF(参数输入表!$I$255="年度",SUMIF($F$146:$T$146,AF173,$F$158:$T$158),0)))),IF(参数输入表!$I$255="月度",SUMIF($F$117:$GC$117,AF173,$F$123:$GC$123),IF(参数输入表!$I$255="季度",SUMIF($F$59:$BM$59,AF173,$F$65:$BM$65),IF(参数输入表!$I$255="半年度",SUMIF($F$88:$AI$88,AF173,$F$94:$AI$94),IF(参数输入表!$I$255="年度",SUMIF($F$146:$T$146,AF173,$F$152:$T$152),0)))))</f>
        <v>36260.4631584246</v>
      </c>
      <c r="AG178" s="467">
        <f ca="1">IF(参数输入表!$I$254="等额本金",IF(参数输入表!$I$255="月度",SUMIF($F$117:$GC$117,AG173,$F$129:$GC$129),IF(参数输入表!$I$255="季度",SUMIF($F$59:$BM$59,AG173,$F$71:$BM$71),IF(参数输入表!$I$255="半年度",SUMIF($F$88:$AI$88,AG173,$F$100:$AI$100),IF(参数输入表!$I$255="年度",SUMIF($F$146:$T$146,AG173,$F$158:$T$158),0)))),IF(参数输入表!$I$255="月度",SUMIF($F$117:$GC$117,AG173,$F$123:$GC$123),IF(参数输入表!$I$255="季度",SUMIF($F$59:$BM$59,AG173,$F$65:$BM$65),IF(参数输入表!$I$255="半年度",SUMIF($F$88:$AI$88,AG173,$F$94:$AI$94),IF(参数输入表!$I$255="年度",SUMIF($F$146:$T$146,AG173,$F$152:$T$152),0)))))</f>
        <v>0</v>
      </c>
      <c r="AH178" s="467">
        <f ca="1">IF(参数输入表!$I$254="等额本金",IF(参数输入表!$I$255="月度",SUMIF($F$117:$GC$117,AH173,$F$129:$GC$129),IF(参数输入表!$I$255="季度",SUMIF($F$59:$BM$59,AH173,$F$71:$BM$71),IF(参数输入表!$I$255="半年度",SUMIF($F$88:$AI$88,AH173,$F$100:$AI$100),IF(参数输入表!$I$255="年度",SUMIF($F$146:$T$146,AH173,$F$158:$T$158),0)))),IF(参数输入表!$I$255="月度",SUMIF($F$117:$GC$117,AH173,$F$123:$GC$123),IF(参数输入表!$I$255="季度",SUMIF($F$59:$BM$59,AH173,$F$65:$BM$65),IF(参数输入表!$I$255="半年度",SUMIF($F$88:$AI$88,AH173,$F$94:$AI$94),IF(参数输入表!$I$255="年度",SUMIF($F$146:$T$146,AH173,$F$152:$T$152),0)))))</f>
        <v>0</v>
      </c>
      <c r="AI178" s="467">
        <f ca="1">IF(参数输入表!$I$254="等额本金",IF(参数输入表!$I$255="月度",SUMIF($F$117:$GC$117,AI173,$F$129:$GC$129),IF(参数输入表!$I$255="季度",SUMIF($F$59:$BM$59,AI173,$F$71:$BM$71),IF(参数输入表!$I$255="半年度",SUMIF($F$88:$AI$88,AI173,$F$100:$AI$100),IF(参数输入表!$I$255="年度",SUMIF($F$146:$T$146,AI173,$F$158:$T$158),0)))),IF(参数输入表!$I$255="月度",SUMIF($F$117:$GC$117,AI173,$F$123:$GC$123),IF(参数输入表!$I$255="季度",SUMIF($F$59:$BM$59,AI173,$F$65:$BM$65),IF(参数输入表!$I$255="半年度",SUMIF($F$88:$AI$88,AI173,$F$94:$AI$94),IF(参数输入表!$I$255="年度",SUMIF($F$146:$T$146,AI173,$F$152:$T$152),0)))))</f>
        <v>0</v>
      </c>
      <c r="AJ178" s="467">
        <f ca="1">IF(参数输入表!$I$254="等额本金",IF(参数输入表!$I$255="月度",SUMIF($F$117:$GC$117,AJ173,$F$129:$GC$129),IF(参数输入表!$I$255="季度",SUMIF($F$59:$BM$59,AJ173,$F$71:$BM$71),IF(参数输入表!$I$255="半年度",SUMIF($F$88:$AI$88,AJ173,$F$100:$AI$100),IF(参数输入表!$I$255="年度",SUMIF($F$146:$T$146,AJ173,$F$158:$T$158),0)))),IF(参数输入表!$I$255="月度",SUMIF($F$117:$GC$117,AJ173,$F$123:$GC$123),IF(参数输入表!$I$255="季度",SUMIF($F$59:$BM$59,AJ173,$F$65:$BM$65),IF(参数输入表!$I$255="半年度",SUMIF($F$88:$AI$88,AJ173,$F$94:$AI$94),IF(参数输入表!$I$255="年度",SUMIF($F$146:$T$146,AJ173,$F$152:$T$152),0)))))</f>
        <v>0</v>
      </c>
      <c r="AK178" s="467">
        <f ca="1">IF(参数输入表!$I$254="等额本金",IF(参数输入表!$I$255="月度",SUMIF($F$117:$GC$117,AK173,$F$129:$GC$129),IF(参数输入表!$I$255="季度",SUMIF($F$59:$BM$59,AK173,$F$71:$BM$71),IF(参数输入表!$I$255="半年度",SUMIF($F$88:$AI$88,AK173,$F$100:$AI$100),IF(参数输入表!$I$255="年度",SUMIF($F$146:$T$146,AK173,$F$158:$T$158),0)))),IF(参数输入表!$I$255="月度",SUMIF($F$117:$GC$117,AK173,$F$123:$GC$123),IF(参数输入表!$I$255="季度",SUMIF($F$59:$BM$59,AK173,$F$65:$BM$65),IF(参数输入表!$I$255="半年度",SUMIF($F$88:$AI$88,AK173,$F$94:$AI$94),IF(参数输入表!$I$255="年度",SUMIF($F$146:$T$146,AK173,$F$152:$T$152),0)))))</f>
        <v>0</v>
      </c>
      <c r="AL178" s="467">
        <f ca="1">IF(参数输入表!$I$254="等额本金",IF(参数输入表!$I$255="月度",SUMIF($F$117:$GC$117,AL173,$F$129:$GC$129),IF(参数输入表!$I$255="季度",SUMIF($F$59:$BM$59,AL173,$F$71:$BM$71),IF(参数输入表!$I$255="半年度",SUMIF($F$88:$AI$88,AL173,$F$100:$AI$100),IF(参数输入表!$I$255="年度",SUMIF($F$146:$T$146,AL173,$F$158:$T$158),0)))),IF(参数输入表!$I$255="月度",SUMIF($F$117:$GC$117,AL173,$F$123:$GC$123),IF(参数输入表!$I$255="季度",SUMIF($F$59:$BM$59,AL173,$F$65:$BM$65),IF(参数输入表!$I$255="半年度",SUMIF($F$88:$AI$88,AL173,$F$94:$AI$94),IF(参数输入表!$I$255="年度",SUMIF($F$146:$T$146,AL173,$F$152:$T$152),0)))))</f>
        <v>0</v>
      </c>
      <c r="AM178" s="467">
        <f ca="1">IF(参数输入表!$I$254="等额本金",IF(参数输入表!$I$255="月度",SUMIF($F$117:$GC$117,AM173,$F$129:$GC$129),IF(参数输入表!$I$255="季度",SUMIF($F$59:$BM$59,AM173,$F$71:$BM$71),IF(参数输入表!$I$255="半年度",SUMIF($F$88:$AI$88,AM173,$F$100:$AI$100),IF(参数输入表!$I$255="年度",SUMIF($F$146:$T$146,AM173,$F$158:$T$158),0)))),IF(参数输入表!$I$255="月度",SUMIF($F$117:$GC$117,AM173,$F$123:$GC$123),IF(参数输入表!$I$255="季度",SUMIF($F$59:$BM$59,AM173,$F$65:$BM$65),IF(参数输入表!$I$255="半年度",SUMIF($F$88:$AI$88,AM173,$F$94:$AI$94),IF(参数输入表!$I$255="年度",SUMIF($F$146:$T$146,AM173,$F$152:$T$152),0)))))</f>
        <v>0</v>
      </c>
      <c r="AN178" s="467">
        <f ca="1">IF(参数输入表!$I$254="等额本金",IF(参数输入表!$I$255="月度",SUMIF($F$117:$GC$117,AN173,$F$129:$GC$129),IF(参数输入表!$I$255="季度",SUMIF($F$59:$BM$59,AN173,$F$71:$BM$71),IF(参数输入表!$I$255="半年度",SUMIF($F$88:$AI$88,AN173,$F$100:$AI$100),IF(参数输入表!$I$255="年度",SUMIF($F$146:$T$146,AN173,$F$158:$T$158),0)))),IF(参数输入表!$I$255="月度",SUMIF($F$117:$GC$117,AN173,$F$123:$GC$123),IF(参数输入表!$I$255="季度",SUMIF($F$59:$BM$59,AN173,$F$65:$BM$65),IF(参数输入表!$I$255="半年度",SUMIF($F$88:$AI$88,AN173,$F$94:$AI$94),IF(参数输入表!$I$255="年度",SUMIF($F$146:$T$146,AN173,$F$152:$T$152),0)))))</f>
        <v>0</v>
      </c>
      <c r="AO178" s="467">
        <f ca="1">IF(参数输入表!$I$254="等额本金",IF(参数输入表!$I$255="月度",SUMIF($F$117:$GC$117,AO173,$F$129:$GC$129),IF(参数输入表!$I$255="季度",SUMIF($F$59:$BM$59,AO173,$F$71:$BM$71),IF(参数输入表!$I$255="半年度",SUMIF($F$88:$AI$88,AO173,$F$100:$AI$100),IF(参数输入表!$I$255="年度",SUMIF($F$146:$T$146,AO173,$F$158:$T$158),0)))),IF(参数输入表!$I$255="月度",SUMIF($F$117:$GC$117,AO173,$F$123:$GC$123),IF(参数输入表!$I$255="季度",SUMIF($F$59:$BM$59,AO173,$F$65:$BM$65),IF(参数输入表!$I$255="半年度",SUMIF($F$88:$AI$88,AO173,$F$94:$AI$94),IF(参数输入表!$I$255="年度",SUMIF($F$146:$T$146,AO173,$F$152:$T$152),0)))))</f>
        <v>0</v>
      </c>
      <c r="AP178" s="467">
        <f ca="1">IF(参数输入表!$I$254="等额本金",IF(参数输入表!$I$255="月度",SUMIF($F$117:$GC$117,AP173,$F$129:$GC$129),IF(参数输入表!$I$255="季度",SUMIF($F$59:$BM$59,AP173,$F$71:$BM$71),IF(参数输入表!$I$255="半年度",SUMIF($F$88:$AI$88,AP173,$F$100:$AI$100),IF(参数输入表!$I$255="年度",SUMIF($F$146:$T$146,AP173,$F$158:$T$158),0)))),IF(参数输入表!$I$255="月度",SUMIF($F$117:$GC$117,AP173,$F$123:$GC$123),IF(参数输入表!$I$255="季度",SUMIF($F$59:$BM$59,AP173,$F$65:$BM$65),IF(参数输入表!$I$255="半年度",SUMIF($F$88:$AI$88,AP173,$F$94:$AI$94),IF(参数输入表!$I$255="年度",SUMIF($F$146:$T$146,AP173,$F$152:$T$152),0)))))</f>
        <v>0</v>
      </c>
      <c r="AQ178" s="467">
        <f ca="1">IF(参数输入表!$I$254="等额本金",IF(参数输入表!$I$255="月度",SUMIF($F$117:$GC$117,AQ173,$F$129:$GC$129),IF(参数输入表!$I$255="季度",SUMIF($F$59:$BM$59,AQ173,$F$71:$BM$71),IF(参数输入表!$I$255="半年度",SUMIF($F$88:$AI$88,AQ173,$F$100:$AI$100),IF(参数输入表!$I$255="年度",SUMIF($F$146:$T$146,AQ173,$F$158:$T$158),0)))),IF(参数输入表!$I$255="月度",SUMIF($F$117:$GC$117,AQ173,$F$123:$GC$123),IF(参数输入表!$I$255="季度",SUMIF($F$59:$BM$59,AQ173,$F$65:$BM$65),IF(参数输入表!$I$255="半年度",SUMIF($F$88:$AI$88,AQ173,$F$94:$AI$94),IF(参数输入表!$I$255="年度",SUMIF($F$146:$T$146,AQ173,$F$152:$T$152),0)))))</f>
        <v>0</v>
      </c>
      <c r="AR178" s="467">
        <f ca="1">IF(参数输入表!$I$254="等额本金",IF(参数输入表!$I$255="月度",SUMIF($F$117:$GC$117,AR173,$F$129:$GC$129),IF(参数输入表!$I$255="季度",SUMIF($F$59:$BM$59,AR173,$F$71:$BM$71),IF(参数输入表!$I$255="半年度",SUMIF($F$88:$AI$88,AR173,$F$100:$AI$100),IF(参数输入表!$I$255="年度",SUMIF($F$146:$T$146,AR173,$F$158:$T$158),0)))),IF(参数输入表!$I$255="月度",SUMIF($F$117:$GC$117,AR173,$F$123:$GC$123),IF(参数输入表!$I$255="季度",SUMIF($F$59:$BM$59,AR173,$F$65:$BM$65),IF(参数输入表!$I$255="半年度",SUMIF($F$88:$AI$88,AR173,$F$94:$AI$94),IF(参数输入表!$I$255="年度",SUMIF($F$146:$T$146,AR173,$F$152:$T$152),0)))))</f>
        <v>0</v>
      </c>
      <c r="AS178" s="467">
        <f ca="1">IF(参数输入表!$I$254="等额本金",IF(参数输入表!$I$255="月度",SUMIF($F$117:$GC$117,AS173,$F$129:$GC$129),IF(参数输入表!$I$255="季度",SUMIF($F$59:$BM$59,AS173,$F$71:$BM$71),IF(参数输入表!$I$255="半年度",SUMIF($F$88:$AI$88,AS173,$F$100:$AI$100),IF(参数输入表!$I$255="年度",SUMIF($F$146:$T$146,AS173,$F$158:$T$158),0)))),IF(参数输入表!$I$255="月度",SUMIF($F$117:$GC$117,AS173,$F$123:$GC$123),IF(参数输入表!$I$255="季度",SUMIF($F$59:$BM$59,AS173,$F$65:$BM$65),IF(参数输入表!$I$255="半年度",SUMIF($F$88:$AI$88,AS173,$F$94:$AI$94),IF(参数输入表!$I$255="年度",SUMIF($F$146:$T$146,AS173,$F$152:$T$152),0)))))</f>
        <v>0</v>
      </c>
      <c r="AT178" s="467">
        <f ca="1">IF(参数输入表!$I$254="等额本金",IF(参数输入表!$I$255="月度",SUMIF($F$117:$GC$117,AT173,$F$129:$GC$129),IF(参数输入表!$I$255="季度",SUMIF($F$59:$BM$59,AT173,$F$71:$BM$71),IF(参数输入表!$I$255="半年度",SUMIF($F$88:$AI$88,AT173,$F$100:$AI$100),IF(参数输入表!$I$255="年度",SUMIF($F$146:$T$146,AT173,$F$158:$T$158),0)))),IF(参数输入表!$I$255="月度",SUMIF($F$117:$GC$117,AT173,$F$123:$GC$123),IF(参数输入表!$I$255="季度",SUMIF($F$59:$BM$59,AT173,$F$65:$BM$65),IF(参数输入表!$I$255="半年度",SUMIF($F$88:$AI$88,AT173,$F$94:$AI$94),IF(参数输入表!$I$255="年度",SUMIF($F$146:$T$146,AT173,$F$152:$T$152),0)))))</f>
        <v>0</v>
      </c>
      <c r="AU178" s="467">
        <f ca="1">IF(参数输入表!$I$254="等额本金",IF(参数输入表!$I$255="月度",SUMIF($F$117:$GC$117,AU173,$F$129:$GC$129),IF(参数输入表!$I$255="季度",SUMIF($F$59:$BM$59,AU173,$F$71:$BM$71),IF(参数输入表!$I$255="半年度",SUMIF($F$88:$AI$88,AU173,$F$100:$AI$100),IF(参数输入表!$I$255="年度",SUMIF($F$146:$T$146,AU173,$F$158:$T$158),0)))),IF(参数输入表!$I$255="月度",SUMIF($F$117:$GC$117,AU173,$F$123:$GC$123),IF(参数输入表!$I$255="季度",SUMIF($F$59:$BM$59,AU173,$F$65:$BM$65),IF(参数输入表!$I$255="半年度",SUMIF($F$88:$AI$88,AU173,$F$94:$AI$94),IF(参数输入表!$I$255="年度",SUMIF($F$146:$T$146,AU173,$F$152:$T$152),0)))))</f>
        <v>0</v>
      </c>
      <c r="AV178" s="467">
        <f ca="1">IF(参数输入表!$I$254="等额本金",IF(参数输入表!$I$255="月度",SUMIF($F$117:$GC$117,AV173,$F$129:$GC$129),IF(参数输入表!$I$255="季度",SUMIF($F$59:$BM$59,AV173,$F$71:$BM$71),IF(参数输入表!$I$255="半年度",SUMIF($F$88:$AI$88,AV173,$F$100:$AI$100),IF(参数输入表!$I$255="年度",SUMIF($F$146:$T$146,AV173,$F$158:$T$158),0)))),IF(参数输入表!$I$255="月度",SUMIF($F$117:$GC$117,AV173,$F$123:$GC$123),IF(参数输入表!$I$255="季度",SUMIF($F$59:$BM$59,AV173,$F$65:$BM$65),IF(参数输入表!$I$255="半年度",SUMIF($F$88:$AI$88,AV173,$F$94:$AI$94),IF(参数输入表!$I$255="年度",SUMIF($F$146:$T$146,AV173,$F$152:$T$152),0)))))</f>
        <v>0</v>
      </c>
      <c r="AW178" s="467">
        <f ca="1">IF(参数输入表!$I$254="等额本金",IF(参数输入表!$I$255="月度",SUMIF($F$117:$GC$117,AW173,$F$129:$GC$129),IF(参数输入表!$I$255="季度",SUMIF($F$59:$BM$59,AW173,$F$71:$BM$71),IF(参数输入表!$I$255="半年度",SUMIF($F$88:$AI$88,AW173,$F$100:$AI$100),IF(参数输入表!$I$255="年度",SUMIF($F$146:$T$146,AW173,$F$158:$T$158),0)))),IF(参数输入表!$I$255="月度",SUMIF($F$117:$GC$117,AW173,$F$123:$GC$123),IF(参数输入表!$I$255="季度",SUMIF($F$59:$BM$59,AW173,$F$65:$BM$65),IF(参数输入表!$I$255="半年度",SUMIF($F$88:$AI$88,AW173,$F$94:$AI$94),IF(参数输入表!$I$255="年度",SUMIF($F$146:$T$146,AW173,$F$152:$T$152),0)))))</f>
        <v>0</v>
      </c>
      <c r="AX178" s="467">
        <f ca="1">IF(参数输入表!$I$254="等额本金",IF(参数输入表!$I$255="月度",SUMIF($F$117:$GC$117,AX173,$F$129:$GC$129),IF(参数输入表!$I$255="季度",SUMIF($F$59:$BM$59,AX173,$F$71:$BM$71),IF(参数输入表!$I$255="半年度",SUMIF($F$88:$AI$88,AX173,$F$100:$AI$100),IF(参数输入表!$I$255="年度",SUMIF($F$146:$T$146,AX173,$F$158:$T$158),0)))),IF(参数输入表!$I$255="月度",SUMIF($F$117:$GC$117,AX173,$F$123:$GC$123),IF(参数输入表!$I$255="季度",SUMIF($F$59:$BM$59,AX173,$F$65:$BM$65),IF(参数输入表!$I$255="半年度",SUMIF($F$88:$AI$88,AX173,$F$94:$AI$94),IF(参数输入表!$I$255="年度",SUMIF($F$146:$T$146,AX173,$F$152:$T$152),0)))))</f>
        <v>0</v>
      </c>
      <c r="AY178" s="467">
        <f ca="1">IF(参数输入表!$I$254="等额本金",IF(参数输入表!$I$255="月度",SUMIF($F$117:$GC$117,AY173,$F$129:$GC$129),IF(参数输入表!$I$255="季度",SUMIF($F$59:$BM$59,AY173,$F$71:$BM$71),IF(参数输入表!$I$255="半年度",SUMIF($F$88:$AI$88,AY173,$F$100:$AI$100),IF(参数输入表!$I$255="年度",SUMIF($F$146:$T$146,AY173,$F$158:$T$158),0)))),IF(参数输入表!$I$255="月度",SUMIF($F$117:$GC$117,AY173,$F$123:$GC$123),IF(参数输入表!$I$255="季度",SUMIF($F$59:$BM$59,AY173,$F$65:$BM$65),IF(参数输入表!$I$255="半年度",SUMIF($F$88:$AI$88,AY173,$F$94:$AI$94),IF(参数输入表!$I$255="年度",SUMIF($F$146:$T$146,AY173,$F$152:$T$152),0)))))</f>
        <v>0</v>
      </c>
      <c r="AZ178" s="467">
        <f ca="1">IF(参数输入表!$I$254="等额本金",IF(参数输入表!$I$255="月度",SUMIF($F$117:$GC$117,AZ173,$F$129:$GC$129),IF(参数输入表!$I$255="季度",SUMIF($F$59:$BM$59,AZ173,$F$71:$BM$71),IF(参数输入表!$I$255="半年度",SUMIF($F$88:$AI$88,AZ173,$F$100:$AI$100),IF(参数输入表!$I$255="年度",SUMIF($F$146:$T$146,AZ173,$F$158:$T$158),0)))),IF(参数输入表!$I$255="月度",SUMIF($F$117:$GC$117,AZ173,$F$123:$GC$123),IF(参数输入表!$I$255="季度",SUMIF($F$59:$BM$59,AZ173,$F$65:$BM$65),IF(参数输入表!$I$255="半年度",SUMIF($F$88:$AI$88,AZ173,$F$94:$AI$94),IF(参数输入表!$I$255="年度",SUMIF($F$146:$T$146,AZ173,$F$152:$T$152),0)))))</f>
        <v>0</v>
      </c>
      <c r="BA178" s="467">
        <f ca="1">IF(参数输入表!$I$254="等额本金",IF(参数输入表!$I$255="月度",SUMIF($F$117:$GC$117,BA173,$F$129:$GC$129),IF(参数输入表!$I$255="季度",SUMIF($F$59:$BM$59,BA173,$F$71:$BM$71),IF(参数输入表!$I$255="半年度",SUMIF($F$88:$AI$88,BA173,$F$100:$AI$100),IF(参数输入表!$I$255="年度",SUMIF($F$146:$T$146,BA173,$F$158:$T$158),0)))),IF(参数输入表!$I$255="月度",SUMIF($F$117:$GC$117,BA173,$F$123:$GC$123),IF(参数输入表!$I$255="季度",SUMIF($F$59:$BM$59,BA173,$F$65:$BM$65),IF(参数输入表!$I$255="半年度",SUMIF($F$88:$AI$88,BA173,$F$94:$AI$94),IF(参数输入表!$I$255="年度",SUMIF($F$146:$T$146,BA173,$F$152:$T$152),0)))))</f>
        <v>0</v>
      </c>
      <c r="BB178" s="467">
        <f ca="1">IF(参数输入表!$I$254="等额本金",IF(参数输入表!$I$255="月度",SUMIF($F$117:$GC$117,BB173,$F$129:$GC$129),IF(参数输入表!$I$255="季度",SUMIF($F$59:$BM$59,BB173,$F$71:$BM$71),IF(参数输入表!$I$255="半年度",SUMIF($F$88:$AI$88,BB173,$F$100:$AI$100),IF(参数输入表!$I$255="年度",SUMIF($F$146:$T$146,BB173,$F$158:$T$158),0)))),IF(参数输入表!$I$255="月度",SUMIF($F$117:$GC$117,BB173,$F$123:$GC$123),IF(参数输入表!$I$255="季度",SUMIF($F$59:$BM$59,BB173,$F$65:$BM$65),IF(参数输入表!$I$255="半年度",SUMIF($F$88:$AI$88,BB173,$F$94:$AI$94),IF(参数输入表!$I$255="年度",SUMIF($F$146:$T$146,BB173,$F$152:$T$152),0)))))</f>
        <v>0</v>
      </c>
      <c r="BC178" s="467">
        <f ca="1">IF(参数输入表!$I$254="等额本金",IF(参数输入表!$I$255="月度",SUMIF($F$117:$GC$117,BC173,$F$129:$GC$129),IF(参数输入表!$I$255="季度",SUMIF($F$59:$BM$59,BC173,$F$71:$BM$71),IF(参数输入表!$I$255="半年度",SUMIF($F$88:$AI$88,BC173,$F$100:$AI$100),IF(参数输入表!$I$255="年度",SUMIF($F$146:$T$146,BC173,$F$158:$T$158),0)))),IF(参数输入表!$I$255="月度",SUMIF($F$117:$GC$117,BC173,$F$123:$GC$123),IF(参数输入表!$I$255="季度",SUMIF($F$59:$BM$59,BC173,$F$65:$BM$65),IF(参数输入表!$I$255="半年度",SUMIF($F$88:$AI$88,BC173,$F$94:$AI$94),IF(参数输入表!$I$255="年度",SUMIF($F$146:$T$146,BC173,$F$152:$T$152),0)))))</f>
        <v>0</v>
      </c>
      <c r="BD178" s="467">
        <f ca="1">IF(参数输入表!$I$254="等额本金",IF(参数输入表!$I$255="月度",SUMIF($F$117:$GC$117,BD173,$F$129:$GC$129),IF(参数输入表!$I$255="季度",SUMIF($F$59:$BM$59,BD173,$F$71:$BM$71),IF(参数输入表!$I$255="半年度",SUMIF($F$88:$AI$88,BD173,$F$100:$AI$100),IF(参数输入表!$I$255="年度",SUMIF($F$146:$T$146,BD173,$F$158:$T$158),0)))),IF(参数输入表!$I$255="月度",SUMIF($F$117:$GC$117,BD173,$F$123:$GC$123),IF(参数输入表!$I$255="季度",SUMIF($F$59:$BM$59,BD173,$F$65:$BM$65),IF(参数输入表!$I$255="半年度",SUMIF($F$88:$AI$88,BD173,$F$94:$AI$94),IF(参数输入表!$I$255="年度",SUMIF($F$146:$T$146,BD173,$F$152:$T$152),0)))))</f>
        <v>0</v>
      </c>
      <c r="BE178" s="467">
        <f ca="1">IF(参数输入表!$I$254="等额本金",IF(参数输入表!$I$255="月度",SUMIF($F$117:$GC$117,BE173,$F$129:$GC$129),IF(参数输入表!$I$255="季度",SUMIF($F$59:$BM$59,BE173,$F$71:$BM$71),IF(参数输入表!$I$255="半年度",SUMIF($F$88:$AI$88,BE173,$F$100:$AI$100),IF(参数输入表!$I$255="年度",SUMIF($F$146:$T$146,BE173,$F$158:$T$158),0)))),IF(参数输入表!$I$255="月度",SUMIF($F$117:$GC$117,BE173,$F$123:$GC$123),IF(参数输入表!$I$255="季度",SUMIF($F$59:$BM$59,BE173,$F$65:$BM$65),IF(参数输入表!$I$255="半年度",SUMIF($F$88:$AI$88,BE173,$F$94:$AI$94),IF(参数输入表!$I$255="年度",SUMIF($F$146:$T$146,BE173,$F$152:$T$152),0)))))</f>
        <v>0</v>
      </c>
    </row>
    <row r="179" spans="2:103">
      <c r="B179" s="29"/>
      <c r="C179" s="576" t="s">
        <v>560</v>
      </c>
      <c r="D179" s="467">
        <f ca="1">SUM(F179:BE179)</f>
        <v>240376.653687723</v>
      </c>
      <c r="E179" s="50" t="s">
        <v>130</v>
      </c>
      <c r="F179" s="467">
        <f ca="1">IF(参数输入表!$I$254="等额本金",IF(参数输入表!$I$255="月度",SUMIF($F$117:$GC$117,F173,$F$130:$GC$130),IF(参数输入表!$I$255="季度",SUMIF($F$59:$BM$59,F173,$F$72:$BM$72),IF(参数输入表!$I$255="半年度",SUMIF($F$88:$AI$88,F173,$F$101:$AI$101),IF(参数输入表!$I$255="年度",SUMIF($F$146:$T$146,F173,$F$159:$T$159),0)))),IF(参数输入表!$I$255="月度",SUMIF($F$117:$GC$117,F173,$F$124:$GC$124),IF(参数输入表!$I$255="季度",SUMIF($F$59:$BM$59,F173,$F$66:$BM$66),IF(参数输入表!$I$255="半年度",SUMIF($F$88:$AI$88,F173,$F$95:$AI$95),IF(参数输入表!$I$255="年度",SUMIF($F$146:$T$146,F173,$F$153:$T$153),0)))))+(F22-F9)</f>
        <v>0</v>
      </c>
      <c r="G179" s="467">
        <f ca="1">IF(参数输入表!$I$254="等额本金",IF(参数输入表!$I$255="月度",SUMIF($F$117:$GC$117,G173,$F$130:$GC$130),IF(参数输入表!$I$255="季度",SUMIF($F$59:$BM$59,G173,$F$72:$BM$72),IF(参数输入表!$I$255="半年度",SUMIF($F$88:$AI$88,G173,$F$101:$AI$101),IF(参数输入表!$I$255="年度",SUMIF($F$146:$T$146,G173,$F$159:$T$159),0)))),IF(参数输入表!$I$255="月度",SUMIF($F$117:$GC$117,G173,$F$124:$GC$124),IF(参数输入表!$I$255="季度",SUMIF($F$59:$BM$59,G173,$F$66:$BM$66),IF(参数输入表!$I$255="半年度",SUMIF($F$88:$AI$88,G173,$F$95:$AI$95),IF(参数输入表!$I$255="年度",SUMIF($F$146:$T$146,G173,$F$153:$T$153),0)))))+(G22-G9)</f>
        <v>0</v>
      </c>
      <c r="H179" s="467">
        <f ca="1">IF(参数输入表!$I$254="等额本金",IF(参数输入表!$I$255="月度",SUMIF($F$117:$GC$117,H173,$F$130:$GC$130),IF(参数输入表!$I$255="季度",SUMIF($F$59:$BM$59,H173,$F$72:$BM$72),IF(参数输入表!$I$255="半年度",SUMIF($F$88:$AI$88,H173,$F$101:$AI$101),IF(参数输入表!$I$255="年度",SUMIF($F$146:$T$146,H173,$F$159:$T$159),0)))),IF(参数输入表!$I$255="月度",SUMIF($F$117:$GC$117,H173,$F$124:$GC$124),IF(参数输入表!$I$255="季度",SUMIF($F$59:$BM$59,H173,$F$66:$BM$66),IF(参数输入表!$I$255="半年度",SUMIF($F$88:$AI$88,H173,$F$95:$AI$95),IF(参数输入表!$I$255="年度",SUMIF($F$146:$T$146,H173,$F$153:$T$153),0)))))+(H22-H9)</f>
        <v>0</v>
      </c>
      <c r="I179" s="467">
        <f ca="1">IF(参数输入表!$I$254="等额本金",IF(参数输入表!$I$255="月度",SUMIF($F$117:$GC$117,I173,$F$130:$GC$130),IF(参数输入表!$I$255="季度",SUMIF($F$59:$BM$59,I173,$F$72:$BM$72),IF(参数输入表!$I$255="半年度",SUMIF($F$88:$AI$88,I173,$F$101:$AI$101),IF(参数输入表!$I$255="年度",SUMIF($F$146:$T$146,I173,$F$159:$T$159),0)))),IF(参数输入表!$I$255="月度",SUMIF($F$117:$GC$117,I173,$F$124:$GC$124),IF(参数输入表!$I$255="季度",SUMIF($F$59:$BM$59,I173,$F$66:$BM$66),IF(参数输入表!$I$255="半年度",SUMIF($F$88:$AI$88,I173,$F$95:$AI$95),IF(参数输入表!$I$255="年度",SUMIF($F$146:$T$146,I173,$F$153:$T$153),0)))))+(I22-I9)</f>
        <v>0</v>
      </c>
      <c r="J179" s="467">
        <f ca="1">IF(参数输入表!$I$254="等额本金",IF(参数输入表!$I$255="月度",SUMIF($F$117:$GC$117,J173,$F$130:$GC$130),IF(参数输入表!$I$255="季度",SUMIF($F$59:$BM$59,J173,$F$72:$BM$72),IF(参数输入表!$I$255="半年度",SUMIF($F$88:$AI$88,J173,$F$101:$AI$101),IF(参数输入表!$I$255="年度",SUMIF($F$146:$T$146,J173,$F$159:$T$159),0)))),IF(参数输入表!$I$255="月度",SUMIF($F$117:$GC$117,J173,$F$124:$GC$124),IF(参数输入表!$I$255="季度",SUMIF($F$59:$BM$59,J173,$F$66:$BM$66),IF(参数输入表!$I$255="半年度",SUMIF($F$88:$AI$88,J173,$F$95:$AI$95),IF(参数输入表!$I$255="年度",SUMIF($F$146:$T$146,J173,$F$153:$T$153),0)))))+(J22-J9)</f>
        <v>0</v>
      </c>
      <c r="K179" s="467">
        <f ca="1">IF(参数输入表!$I$254="等额本金",IF(参数输入表!$I$255="月度",SUMIF($F$117:$GC$117,K173,$F$130:$GC$130),IF(参数输入表!$I$255="季度",SUMIF($F$59:$BM$59,K173,$F$72:$BM$72),IF(参数输入表!$I$255="半年度",SUMIF($F$88:$AI$88,K173,$F$101:$AI$101),IF(参数输入表!$I$255="年度",SUMIF($F$146:$T$146,K173,$F$159:$T$159),0)))),IF(参数输入表!$I$255="月度",SUMIF($F$117:$GC$117,K173,$F$124:$GC$124),IF(参数输入表!$I$255="季度",SUMIF($F$59:$BM$59,K173,$F$66:$BM$66),IF(参数输入表!$I$255="半年度",SUMIF($F$88:$AI$88,K173,$F$95:$AI$95),IF(参数输入表!$I$255="年度",SUMIF($F$146:$T$146,K173,$F$153:$T$153),0)))))+(K22-K9)</f>
        <v>0</v>
      </c>
      <c r="L179" s="467">
        <f ca="1">IF(参数输入表!$I$254="等额本金",IF(参数输入表!$I$255="月度",SUMIF($F$117:$GC$117,L173,$F$130:$GC$130),IF(参数输入表!$I$255="季度",SUMIF($F$59:$BM$59,L173,$F$72:$BM$72),IF(参数输入表!$I$255="半年度",SUMIF($F$88:$AI$88,L173,$F$101:$AI$101),IF(参数输入表!$I$255="年度",SUMIF($F$146:$T$146,L173,$F$159:$T$159),0)))),IF(参数输入表!$I$255="月度",SUMIF($F$117:$GC$117,L173,$F$124:$GC$124),IF(参数输入表!$I$255="季度",SUMIF($F$59:$BM$59,L173,$F$66:$BM$66),IF(参数输入表!$I$255="半年度",SUMIF($F$88:$AI$88,L173,$F$95:$AI$95),IF(参数输入表!$I$255="年度",SUMIF($F$146:$T$146,L173,$F$153:$T$153),0)))))+(L22-L9)</f>
        <v>0</v>
      </c>
      <c r="M179" s="467">
        <f ca="1">IF(参数输入表!$I$254="等额本金",IF(参数输入表!$I$255="月度",SUMIF($F$117:$GC$117,M173,$F$130:$GC$130),IF(参数输入表!$I$255="季度",SUMIF($F$59:$BM$59,M173,$F$72:$BM$72),IF(参数输入表!$I$255="半年度",SUMIF($F$88:$AI$88,M173,$F$101:$AI$101),IF(参数输入表!$I$255="年度",SUMIF($F$146:$T$146,M173,$F$159:$T$159),0)))),IF(参数输入表!$I$255="月度",SUMIF($F$117:$GC$117,M173,$F$124:$GC$124),IF(参数输入表!$I$255="季度",SUMIF($F$59:$BM$59,M173,$F$66:$BM$66),IF(参数输入表!$I$255="半年度",SUMIF($F$88:$AI$88,M173,$F$95:$AI$95),IF(参数输入表!$I$255="年度",SUMIF($F$146:$T$146,M173,$F$153:$T$153),0)))))+(M22-M9)</f>
        <v>0</v>
      </c>
      <c r="N179" s="467">
        <f ca="1">IF(参数输入表!$I$254="等额本金",IF(参数输入表!$I$255="月度",SUMIF($F$117:$GC$117,N173,$F$130:$GC$130),IF(参数输入表!$I$255="季度",SUMIF($F$59:$BM$59,N173,$F$72:$BM$72),IF(参数输入表!$I$255="半年度",SUMIF($F$88:$AI$88,N173,$F$101:$AI$101),IF(参数输入表!$I$255="年度",SUMIF($F$146:$T$146,N173,$F$159:$T$159),0)))),IF(参数输入表!$I$255="月度",SUMIF($F$117:$GC$117,N173,$F$124:$GC$124),IF(参数输入表!$I$255="季度",SUMIF($F$59:$BM$59,N173,$F$66:$BM$66),IF(参数输入表!$I$255="半年度",SUMIF($F$88:$AI$88,N173,$F$95:$AI$95),IF(参数输入表!$I$255="年度",SUMIF($F$146:$T$146,N173,$F$153:$T$153),0)))))+(N22-N9)</f>
        <v>0</v>
      </c>
      <c r="O179" s="467">
        <f ca="1">IF(参数输入表!$I$254="等额本金",IF(参数输入表!$I$255="月度",SUMIF($F$117:$GC$117,O173,$F$130:$GC$130),IF(参数输入表!$I$255="季度",SUMIF($F$59:$BM$59,O173,$F$72:$BM$72),IF(参数输入表!$I$255="半年度",SUMIF($F$88:$AI$88,O173,$F$101:$AI$101),IF(参数输入表!$I$255="年度",SUMIF($F$146:$T$146,O173,$F$159:$T$159),0)))),IF(参数输入表!$I$255="月度",SUMIF($F$117:$GC$117,O173,$F$124:$GC$124),IF(参数输入表!$I$255="季度",SUMIF($F$59:$BM$59,O173,$F$66:$BM$66),IF(参数输入表!$I$255="半年度",SUMIF($F$88:$AI$88,O173,$F$95:$AI$95),IF(参数输入表!$I$255="年度",SUMIF($F$146:$T$146,O173,$F$153:$T$153),0)))))+(O22-O9)</f>
        <v>0</v>
      </c>
      <c r="P179" s="571">
        <f ca="1">IF(参数输入表!$I$254="等额本金",IF(参数输入表!$I$255="月度",SUMIF($F$117:$GC$117,P173,$F$130:$GC$130),IF(参数输入表!$I$255="季度",SUMIF($F$59:$BM$59,P173,$F$72:$BM$72),IF(参数输入表!$I$255="半年度",SUMIF($F$88:$AI$88,P173,$F$101:$AI$101),IF(参数输入表!$I$255="年度",SUMIF($F$146:$T$146,P173,$F$159:$T$159),0)))),IF(参数输入表!$I$255="月度",SUMIF($F$117:$GC$117,P173,$F$124:$GC$124),IF(参数输入表!$I$255="季度",SUMIF($F$59:$BM$59,P173,$F$66:$BM$66),IF(参数输入表!$I$255="半年度",SUMIF($F$88:$AI$88,P173,$F$95:$AI$95),IF(参数输入表!$I$255="年度",SUMIF($F$146:$T$146,P173,$F$153:$T$153),0)))))+(P22-P9)</f>
        <v>2598.66652635376</v>
      </c>
      <c r="Q179" s="467">
        <f ca="1">IF(参数输入表!$I$254="等额本金",IF(参数输入表!$I$255="月度",SUMIF($F$117:$GC$117,Q173,$F$130:$GC$130),IF(参数输入表!$I$255="季度",SUMIF($F$59:$BM$59,Q173,$F$72:$BM$72),IF(参数输入表!$I$255="半年度",SUMIF($F$88:$AI$88,Q173,$F$101:$AI$101),IF(参数输入表!$I$255="年度",SUMIF($F$146:$T$146,Q173,$F$159:$T$159),0)))),IF(参数输入表!$I$255="月度",SUMIF($F$117:$GC$117,Q173,$F$124:$GC$124),IF(参数输入表!$I$255="季度",SUMIF($F$59:$BM$59,Q173,$F$66:$BM$66),IF(参数输入表!$I$255="半年度",SUMIF($F$88:$AI$88,Q173,$F$95:$AI$95),IF(参数输入表!$I$255="年度",SUMIF($F$146:$T$146,Q173,$F$153:$T$153),0)))))+(Q22-Q9)</f>
        <v>7795.99957906129</v>
      </c>
      <c r="R179" s="467">
        <f ca="1">IF(参数输入表!$I$254="等额本金",IF(参数输入表!$I$255="月度",SUMIF($F$117:$GC$117,R173,$F$130:$GC$130),IF(参数输入表!$I$255="季度",SUMIF($F$59:$BM$59,R173,$F$72:$BM$72),IF(参数输入表!$I$255="半年度",SUMIF($F$88:$AI$88,R173,$F$101:$AI$101),IF(参数输入表!$I$255="年度",SUMIF($F$146:$T$146,R173,$F$159:$T$159),0)))),IF(参数输入表!$I$255="月度",SUMIF($F$117:$GC$117,R173,$F$124:$GC$124),IF(参数输入表!$I$255="季度",SUMIF($F$59:$BM$59,R173,$F$66:$BM$66),IF(参数输入表!$I$255="半年度",SUMIF($F$88:$AI$88,R173,$F$95:$AI$95),IF(参数输入表!$I$255="年度",SUMIF($F$146:$T$146,R173,$F$153:$T$153),0)))))+(R22-R9)</f>
        <v>29884.6650530683</v>
      </c>
      <c r="S179" s="467">
        <f ca="1">IF(参数输入表!$I$254="等额本金",IF(参数输入表!$I$255="月度",SUMIF($F$117:$GC$117,S173,$F$130:$GC$130),IF(参数输入表!$I$255="季度",SUMIF($F$59:$BM$59,S173,$F$72:$BM$72),IF(参数输入表!$I$255="半年度",SUMIF($F$88:$AI$88,S173,$F$101:$AI$101),IF(参数输入表!$I$255="年度",SUMIF($F$146:$T$146,S173,$F$159:$T$159),0)))),IF(参数输入表!$I$255="月度",SUMIF($F$117:$GC$117,S173,$F$124:$GC$124),IF(参数输入表!$I$255="季度",SUMIF($F$59:$BM$59,S173,$F$66:$BM$66),IF(参数输入表!$I$255="半年度",SUMIF($F$88:$AI$88,S173,$F$95:$AI$95),IF(参数输入表!$I$255="年度",SUMIF($F$146:$T$146,S173,$F$153:$T$153),0)))))+(S22-S9)</f>
        <v>27805.7318319853</v>
      </c>
      <c r="T179" s="467">
        <f ca="1">IF(参数输入表!$I$254="等额本金",IF(参数输入表!$I$255="月度",SUMIF($F$117:$GC$117,T173,$F$130:$GC$130),IF(参数输入表!$I$255="季度",SUMIF($F$59:$BM$59,T173,$F$72:$BM$72),IF(参数输入表!$I$255="半年度",SUMIF($F$88:$AI$88,T173,$F$101:$AI$101),IF(参数输入表!$I$255="年度",SUMIF($F$146:$T$146,T173,$F$159:$T$159),0)))),IF(参数输入表!$I$255="月度",SUMIF($F$117:$GC$117,T173,$F$124:$GC$124),IF(参数输入表!$I$255="季度",SUMIF($F$59:$BM$59,T173,$F$66:$BM$66),IF(参数输入表!$I$255="半年度",SUMIF($F$88:$AI$88,T173,$F$95:$AI$95),IF(参数输入表!$I$255="年度",SUMIF($F$146:$T$146,T173,$F$153:$T$153),0)))))+(T22-T9)</f>
        <v>25726.7986109023</v>
      </c>
      <c r="U179" s="467">
        <f ca="1">IF(参数输入表!$I$254="等额本金",IF(参数输入表!$I$255="月度",SUMIF($F$117:$GC$117,U173,$F$130:$GC$130),IF(参数输入表!$I$255="季度",SUMIF($F$59:$BM$59,U173,$F$72:$BM$72),IF(参数输入表!$I$255="半年度",SUMIF($F$88:$AI$88,U173,$F$101:$AI$101),IF(参数输入表!$I$255="年度",SUMIF($F$146:$T$146,U173,$F$159:$T$159),0)))),IF(参数输入表!$I$255="月度",SUMIF($F$117:$GC$117,U173,$F$124:$GC$124),IF(参数输入表!$I$255="季度",SUMIF($F$59:$BM$59,U173,$F$66:$BM$66),IF(参数输入表!$I$255="半年度",SUMIF($F$88:$AI$88,U173,$F$95:$AI$95),IF(参数输入表!$I$255="年度",SUMIF($F$146:$T$146,U173,$F$153:$T$153),0)))))+(U22-U9)</f>
        <v>23647.8653898193</v>
      </c>
      <c r="V179" s="467">
        <f ca="1">IF(参数输入表!$I$254="等额本金",IF(参数输入表!$I$255="月度",SUMIF($F$117:$GC$117,V173,$F$130:$GC$130),IF(参数输入表!$I$255="季度",SUMIF($F$59:$BM$59,V173,$F$72:$BM$72),IF(参数输入表!$I$255="半年度",SUMIF($F$88:$AI$88,V173,$F$101:$AI$101),IF(参数输入表!$I$255="年度",SUMIF($F$146:$T$146,V173,$F$159:$T$159),0)))),IF(参数输入表!$I$255="月度",SUMIF($F$117:$GC$117,V173,$F$124:$GC$124),IF(参数输入表!$I$255="季度",SUMIF($F$59:$BM$59,V173,$F$66:$BM$66),IF(参数输入表!$I$255="半年度",SUMIF($F$88:$AI$88,V173,$F$95:$AI$95),IF(参数输入表!$I$255="年度",SUMIF($F$146:$T$146,V173,$F$153:$T$153),0)))))+(V22-V9)</f>
        <v>21568.9321687362</v>
      </c>
      <c r="W179" s="467">
        <f ca="1">IF(参数输入表!$I$254="等额本金",IF(参数输入表!$I$255="月度",SUMIF($F$117:$GC$117,W173,$F$130:$GC$130),IF(参数输入表!$I$255="季度",SUMIF($F$59:$BM$59,W173,$F$72:$BM$72),IF(参数输入表!$I$255="半年度",SUMIF($F$88:$AI$88,W173,$F$101:$AI$101),IF(参数输入表!$I$255="年度",SUMIF($F$146:$T$146,W173,$F$159:$T$159),0)))),IF(参数输入表!$I$255="月度",SUMIF($F$117:$GC$117,W173,$F$124:$GC$124),IF(参数输入表!$I$255="季度",SUMIF($F$59:$BM$59,W173,$F$66:$BM$66),IF(参数输入表!$I$255="半年度",SUMIF($F$88:$AI$88,W173,$F$95:$AI$95),IF(参数输入表!$I$255="年度",SUMIF($F$146:$T$146,W173,$F$153:$T$153),0)))))+(W22-W9)</f>
        <v>19489.9989476532</v>
      </c>
      <c r="X179" s="467">
        <f ca="1">IF(参数输入表!$I$254="等额本金",IF(参数输入表!$I$255="月度",SUMIF($F$117:$GC$117,X173,$F$130:$GC$130),IF(参数输入表!$I$255="季度",SUMIF($F$59:$BM$59,X173,$F$72:$BM$72),IF(参数输入表!$I$255="半年度",SUMIF($F$88:$AI$88,X173,$F$101:$AI$101),IF(参数输入表!$I$255="年度",SUMIF($F$146:$T$146,X173,$F$159:$T$159),0)))),IF(参数输入表!$I$255="月度",SUMIF($F$117:$GC$117,X173,$F$124:$GC$124),IF(参数输入表!$I$255="季度",SUMIF($F$59:$BM$59,X173,$F$66:$BM$66),IF(参数输入表!$I$255="半年度",SUMIF($F$88:$AI$88,X173,$F$95:$AI$95),IF(参数输入表!$I$255="年度",SUMIF($F$146:$T$146,X173,$F$153:$T$153),0)))))+(X22-X9)</f>
        <v>17411.0657265702</v>
      </c>
      <c r="Y179" s="467">
        <f ca="1">IF(参数输入表!$I$254="等额本金",IF(参数输入表!$I$255="月度",SUMIF($F$117:$GC$117,Y173,$F$130:$GC$130),IF(参数输入表!$I$255="季度",SUMIF($F$59:$BM$59,Y173,$F$72:$BM$72),IF(参数输入表!$I$255="半年度",SUMIF($F$88:$AI$88,Y173,$F$101:$AI$101),IF(参数输入表!$I$255="年度",SUMIF($F$146:$T$146,Y173,$F$159:$T$159),0)))),IF(参数输入表!$I$255="月度",SUMIF($F$117:$GC$117,Y173,$F$124:$GC$124),IF(参数输入表!$I$255="季度",SUMIF($F$59:$BM$59,Y173,$F$66:$BM$66),IF(参数输入表!$I$255="半年度",SUMIF($F$88:$AI$88,Y173,$F$95:$AI$95),IF(参数输入表!$I$255="年度",SUMIF($F$146:$T$146,Y173,$F$153:$T$153),0)))))+(Y22-Y9)</f>
        <v>15332.1325054872</v>
      </c>
      <c r="Z179" s="467">
        <f ca="1">IF(参数输入表!$I$254="等额本金",IF(参数输入表!$I$255="月度",SUMIF($F$117:$GC$117,Z173,$F$130:$GC$130),IF(参数输入表!$I$255="季度",SUMIF($F$59:$BM$59,Z173,$F$72:$BM$72),IF(参数输入表!$I$255="半年度",SUMIF($F$88:$AI$88,Z173,$F$101:$AI$101),IF(参数输入表!$I$255="年度",SUMIF($F$146:$T$146,Z173,$F$159:$T$159),0)))),IF(参数输入表!$I$255="月度",SUMIF($F$117:$GC$117,Z173,$F$124:$GC$124),IF(参数输入表!$I$255="季度",SUMIF($F$59:$BM$59,Z173,$F$66:$BM$66),IF(参数输入表!$I$255="半年度",SUMIF($F$88:$AI$88,Z173,$F$95:$AI$95),IF(参数输入表!$I$255="年度",SUMIF($F$146:$T$146,Z173,$F$153:$T$153),0)))))+(Z22-Z9)</f>
        <v>13253.1992844042</v>
      </c>
      <c r="AA179" s="467">
        <f ca="1">IF(参数输入表!$I$254="等额本金",IF(参数输入表!$I$255="月度",SUMIF($F$117:$GC$117,AA173,$F$130:$GC$130),IF(参数输入表!$I$255="季度",SUMIF($F$59:$BM$59,AA173,$F$72:$BM$72),IF(参数输入表!$I$255="半年度",SUMIF($F$88:$AI$88,AA173,$F$101:$AI$101),IF(参数输入表!$I$255="年度",SUMIF($F$146:$T$146,AA173,$F$159:$T$159),0)))),IF(参数输入表!$I$255="月度",SUMIF($F$117:$GC$117,AA173,$F$124:$GC$124),IF(参数输入表!$I$255="季度",SUMIF($F$59:$BM$59,AA173,$F$66:$BM$66),IF(参数输入表!$I$255="半年度",SUMIF($F$88:$AI$88,AA173,$F$95:$AI$95),IF(参数输入表!$I$255="年度",SUMIF($F$146:$T$146,AA173,$F$153:$T$153),0)))))+(AA22-AA9)</f>
        <v>11174.2660633212</v>
      </c>
      <c r="AB179" s="467">
        <f ca="1">IF(参数输入表!$I$254="等额本金",IF(参数输入表!$I$255="月度",SUMIF($F$117:$GC$117,AB173,$F$130:$GC$130),IF(参数输入表!$I$255="季度",SUMIF($F$59:$BM$59,AB173,$F$72:$BM$72),IF(参数输入表!$I$255="半年度",SUMIF($F$88:$AI$88,AB173,$F$101:$AI$101),IF(参数输入表!$I$255="年度",SUMIF($F$146:$T$146,AB173,$F$159:$T$159),0)))),IF(参数输入表!$I$255="月度",SUMIF($F$117:$GC$117,AB173,$F$124:$GC$124),IF(参数输入表!$I$255="季度",SUMIF($F$59:$BM$59,AB173,$F$66:$BM$66),IF(参数输入表!$I$255="半年度",SUMIF($F$88:$AI$88,AB173,$F$95:$AI$95),IF(参数输入表!$I$255="年度",SUMIF($F$146:$T$146,AB173,$F$153:$T$153),0)))))+(AB22-AB9)</f>
        <v>9095.33284223819</v>
      </c>
      <c r="AC179" s="467">
        <f ca="1">IF(参数输入表!$I$254="等额本金",IF(参数输入表!$I$255="月度",SUMIF($F$117:$GC$117,AC173,$F$130:$GC$130),IF(参数输入表!$I$255="季度",SUMIF($F$59:$BM$59,AC173,$F$72:$BM$72),IF(参数输入表!$I$255="半年度",SUMIF($F$88:$AI$88,AC173,$F$101:$AI$101),IF(参数输入表!$I$255="年度",SUMIF($F$146:$T$146,AC173,$F$159:$T$159),0)))),IF(参数输入表!$I$255="月度",SUMIF($F$117:$GC$117,AC173,$F$124:$GC$124),IF(参数输入表!$I$255="季度",SUMIF($F$59:$BM$59,AC173,$F$66:$BM$66),IF(参数输入表!$I$255="半年度",SUMIF($F$88:$AI$88,AC173,$F$95:$AI$95),IF(参数输入表!$I$255="年度",SUMIF($F$146:$T$146,AC173,$F$153:$T$153),0)))))+(AC22-AC9)</f>
        <v>7016.39962115518</v>
      </c>
      <c r="AD179" s="467">
        <f ca="1">IF(参数输入表!$I$254="等额本金",IF(参数输入表!$I$255="月度",SUMIF($F$117:$GC$117,AD173,$F$130:$GC$130),IF(参数输入表!$I$255="季度",SUMIF($F$59:$BM$59,AD173,$F$72:$BM$72),IF(参数输入表!$I$255="半年度",SUMIF($F$88:$AI$88,AD173,$F$101:$AI$101),IF(参数输入表!$I$255="年度",SUMIF($F$146:$T$146,AD173,$F$159:$T$159),0)))),IF(参数输入表!$I$255="月度",SUMIF($F$117:$GC$117,AD173,$F$124:$GC$124),IF(参数输入表!$I$255="季度",SUMIF($F$59:$BM$59,AD173,$F$66:$BM$66),IF(参数输入表!$I$255="半年度",SUMIF($F$88:$AI$88,AD173,$F$95:$AI$95),IF(参数输入表!$I$255="年度",SUMIF($F$146:$T$146,AD173,$F$153:$T$153),0)))))+(AD22-AD9)</f>
        <v>4937.46640007217</v>
      </c>
      <c r="AE179" s="467">
        <f ca="1">IF(参数输入表!$I$254="等额本金",IF(参数输入表!$I$255="月度",SUMIF($F$117:$GC$117,AE173,$F$130:$GC$130),IF(参数输入表!$I$255="季度",SUMIF($F$59:$BM$59,AE173,$F$72:$BM$72),IF(参数输入表!$I$255="半年度",SUMIF($F$88:$AI$88,AE173,$F$101:$AI$101),IF(参数输入表!$I$255="年度",SUMIF($F$146:$T$146,AE173,$F$159:$T$159),0)))),IF(参数输入表!$I$255="月度",SUMIF($F$117:$GC$117,AE173,$F$124:$GC$124),IF(参数输入表!$I$255="季度",SUMIF($F$59:$BM$59,AE173,$F$66:$BM$66),IF(参数输入表!$I$255="半年度",SUMIF($F$88:$AI$88,AE173,$F$95:$AI$95),IF(参数输入表!$I$255="年度",SUMIF($F$146:$T$146,AE173,$F$153:$T$153),0)))))+(AE22-AE9)</f>
        <v>2858.53317898916</v>
      </c>
      <c r="AF179" s="467">
        <f ca="1">IF(参数输入表!$I$254="等额本金",IF(参数输入表!$I$255="月度",SUMIF($F$117:$GC$117,AF173,$F$130:$GC$130),IF(参数输入表!$I$255="季度",SUMIF($F$59:$BM$59,AF173,$F$72:$BM$72),IF(参数输入表!$I$255="半年度",SUMIF($F$88:$AI$88,AF173,$F$101:$AI$101),IF(参数输入表!$I$255="年度",SUMIF($F$146:$T$146,AF173,$F$159:$T$159),0)))),IF(参数输入表!$I$255="月度",SUMIF($F$117:$GC$117,AF173,$F$124:$GC$124),IF(参数输入表!$I$255="季度",SUMIF($F$59:$BM$59,AF173,$F$66:$BM$66),IF(参数输入表!$I$255="半年度",SUMIF($F$88:$AI$88,AF173,$F$95:$AI$95),IF(参数输入表!$I$255="年度",SUMIF($F$146:$T$146,AF173,$F$153:$T$153),0)))))+(AF22-AF9)</f>
        <v>779.599957906143</v>
      </c>
      <c r="AG179" s="467">
        <f ca="1">IF(参数输入表!$I$254="等额本金",IF(参数输入表!$I$255="月度",SUMIF($F$117:$GC$117,AG173,$F$130:$GC$130),IF(参数输入表!$I$255="季度",SUMIF($F$59:$BM$59,AG173,$F$72:$BM$72),IF(参数输入表!$I$255="半年度",SUMIF($F$88:$AI$88,AG173,$F$101:$AI$101),IF(参数输入表!$I$255="年度",SUMIF($F$146:$T$146,AG173,$F$159:$T$159),0)))),IF(参数输入表!$I$255="月度",SUMIF($F$117:$GC$117,AG173,$F$124:$GC$124),IF(参数输入表!$I$255="季度",SUMIF($F$59:$BM$59,AG173,$F$66:$BM$66),IF(参数输入表!$I$255="半年度",SUMIF($F$88:$AI$88,AG173,$F$95:$AI$95),IF(参数输入表!$I$255="年度",SUMIF($F$146:$T$146,AG173,$F$153:$T$153),0)))))+(AG22-AG9)</f>
        <v>0</v>
      </c>
      <c r="AH179" s="467">
        <f ca="1">IF(参数输入表!$I$254="等额本金",IF(参数输入表!$I$255="月度",SUMIF($F$117:$GC$117,AH173,$F$130:$GC$130),IF(参数输入表!$I$255="季度",SUMIF($F$59:$BM$59,AH173,$F$72:$BM$72),IF(参数输入表!$I$255="半年度",SUMIF($F$88:$AI$88,AH173,$F$101:$AI$101),IF(参数输入表!$I$255="年度",SUMIF($F$146:$T$146,AH173,$F$159:$T$159),0)))),IF(参数输入表!$I$255="月度",SUMIF($F$117:$GC$117,AH173,$F$124:$GC$124),IF(参数输入表!$I$255="季度",SUMIF($F$59:$BM$59,AH173,$F$66:$BM$66),IF(参数输入表!$I$255="半年度",SUMIF($F$88:$AI$88,AH173,$F$95:$AI$95),IF(参数输入表!$I$255="年度",SUMIF($F$146:$T$146,AH173,$F$153:$T$153),0)))))+(AH22-AH9)</f>
        <v>0</v>
      </c>
      <c r="AI179" s="467">
        <f ca="1">IF(参数输入表!$I$254="等额本金",IF(参数输入表!$I$255="月度",SUMIF($F$117:$GC$117,AI173,$F$130:$GC$130),IF(参数输入表!$I$255="季度",SUMIF($F$59:$BM$59,AI173,$F$72:$BM$72),IF(参数输入表!$I$255="半年度",SUMIF($F$88:$AI$88,AI173,$F$101:$AI$101),IF(参数输入表!$I$255="年度",SUMIF($F$146:$T$146,AI173,$F$159:$T$159),0)))),IF(参数输入表!$I$255="月度",SUMIF($F$117:$GC$117,AI173,$F$124:$GC$124),IF(参数输入表!$I$255="季度",SUMIF($F$59:$BM$59,AI173,$F$66:$BM$66),IF(参数输入表!$I$255="半年度",SUMIF($F$88:$AI$88,AI173,$F$95:$AI$95),IF(参数输入表!$I$255="年度",SUMIF($F$146:$T$146,AI173,$F$153:$T$153),0)))))+(AI22-AI9)</f>
        <v>0</v>
      </c>
      <c r="AJ179" s="467">
        <f ca="1">IF(参数输入表!$I$254="等额本金",IF(参数输入表!$I$255="月度",SUMIF($F$117:$GC$117,AJ173,$F$130:$GC$130),IF(参数输入表!$I$255="季度",SUMIF($F$59:$BM$59,AJ173,$F$72:$BM$72),IF(参数输入表!$I$255="半年度",SUMIF($F$88:$AI$88,AJ173,$F$101:$AI$101),IF(参数输入表!$I$255="年度",SUMIF($F$146:$T$146,AJ173,$F$159:$T$159),0)))),IF(参数输入表!$I$255="月度",SUMIF($F$117:$GC$117,AJ173,$F$124:$GC$124),IF(参数输入表!$I$255="季度",SUMIF($F$59:$BM$59,AJ173,$F$66:$BM$66),IF(参数输入表!$I$255="半年度",SUMIF($F$88:$AI$88,AJ173,$F$95:$AI$95),IF(参数输入表!$I$255="年度",SUMIF($F$146:$T$146,AJ173,$F$153:$T$153),0)))))+(AJ22-AJ9)</f>
        <v>0</v>
      </c>
      <c r="AK179" s="467">
        <f ca="1">IF(参数输入表!$I$254="等额本金",IF(参数输入表!$I$255="月度",SUMIF($F$117:$GC$117,AK173,$F$130:$GC$130),IF(参数输入表!$I$255="季度",SUMIF($F$59:$BM$59,AK173,$F$72:$BM$72),IF(参数输入表!$I$255="半年度",SUMIF($F$88:$AI$88,AK173,$F$101:$AI$101),IF(参数输入表!$I$255="年度",SUMIF($F$146:$T$146,AK173,$F$159:$T$159),0)))),IF(参数输入表!$I$255="月度",SUMIF($F$117:$GC$117,AK173,$F$124:$GC$124),IF(参数输入表!$I$255="季度",SUMIF($F$59:$BM$59,AK173,$F$66:$BM$66),IF(参数输入表!$I$255="半年度",SUMIF($F$88:$AI$88,AK173,$F$95:$AI$95),IF(参数输入表!$I$255="年度",SUMIF($F$146:$T$146,AK173,$F$153:$T$153),0)))))+(AK22-AK9)</f>
        <v>0</v>
      </c>
      <c r="AL179" s="467">
        <f ca="1">IF(参数输入表!$I$254="等额本金",IF(参数输入表!$I$255="月度",SUMIF($F$117:$GC$117,AL173,$F$130:$GC$130),IF(参数输入表!$I$255="季度",SUMIF($F$59:$BM$59,AL173,$F$72:$BM$72),IF(参数输入表!$I$255="半年度",SUMIF($F$88:$AI$88,AL173,$F$101:$AI$101),IF(参数输入表!$I$255="年度",SUMIF($F$146:$T$146,AL173,$F$159:$T$159),0)))),IF(参数输入表!$I$255="月度",SUMIF($F$117:$GC$117,AL173,$F$124:$GC$124),IF(参数输入表!$I$255="季度",SUMIF($F$59:$BM$59,AL173,$F$66:$BM$66),IF(参数输入表!$I$255="半年度",SUMIF($F$88:$AI$88,AL173,$F$95:$AI$95),IF(参数输入表!$I$255="年度",SUMIF($F$146:$T$146,AL173,$F$153:$T$153),0)))))+(AL22-AL9)</f>
        <v>0</v>
      </c>
      <c r="AM179" s="467">
        <f ca="1">IF(参数输入表!$I$254="等额本金",IF(参数输入表!$I$255="月度",SUMIF($F$117:$GC$117,AM173,$F$130:$GC$130),IF(参数输入表!$I$255="季度",SUMIF($F$59:$BM$59,AM173,$F$72:$BM$72),IF(参数输入表!$I$255="半年度",SUMIF($F$88:$AI$88,AM173,$F$101:$AI$101),IF(参数输入表!$I$255="年度",SUMIF($F$146:$T$146,AM173,$F$159:$T$159),0)))),IF(参数输入表!$I$255="月度",SUMIF($F$117:$GC$117,AM173,$F$124:$GC$124),IF(参数输入表!$I$255="季度",SUMIF($F$59:$BM$59,AM173,$F$66:$BM$66),IF(参数输入表!$I$255="半年度",SUMIF($F$88:$AI$88,AM173,$F$95:$AI$95),IF(参数输入表!$I$255="年度",SUMIF($F$146:$T$146,AM173,$F$153:$T$153),0)))))+(AM22-AM9)</f>
        <v>0</v>
      </c>
      <c r="AN179" s="467">
        <f ca="1">IF(参数输入表!$I$254="等额本金",IF(参数输入表!$I$255="月度",SUMIF($F$117:$GC$117,AN173,$F$130:$GC$130),IF(参数输入表!$I$255="季度",SUMIF($F$59:$BM$59,AN173,$F$72:$BM$72),IF(参数输入表!$I$255="半年度",SUMIF($F$88:$AI$88,AN173,$F$101:$AI$101),IF(参数输入表!$I$255="年度",SUMIF($F$146:$T$146,AN173,$F$159:$T$159),0)))),IF(参数输入表!$I$255="月度",SUMIF($F$117:$GC$117,AN173,$F$124:$GC$124),IF(参数输入表!$I$255="季度",SUMIF($F$59:$BM$59,AN173,$F$66:$BM$66),IF(参数输入表!$I$255="半年度",SUMIF($F$88:$AI$88,AN173,$F$95:$AI$95),IF(参数输入表!$I$255="年度",SUMIF($F$146:$T$146,AN173,$F$153:$T$153),0)))))+(AN22-AN9)</f>
        <v>0</v>
      </c>
      <c r="AO179" s="467">
        <f ca="1">IF(参数输入表!$I$254="等额本金",IF(参数输入表!$I$255="月度",SUMIF($F$117:$GC$117,AO173,$F$130:$GC$130),IF(参数输入表!$I$255="季度",SUMIF($F$59:$BM$59,AO173,$F$72:$BM$72),IF(参数输入表!$I$255="半年度",SUMIF($F$88:$AI$88,AO173,$F$101:$AI$101),IF(参数输入表!$I$255="年度",SUMIF($F$146:$T$146,AO173,$F$159:$T$159),0)))),IF(参数输入表!$I$255="月度",SUMIF($F$117:$GC$117,AO173,$F$124:$GC$124),IF(参数输入表!$I$255="季度",SUMIF($F$59:$BM$59,AO173,$F$66:$BM$66),IF(参数输入表!$I$255="半年度",SUMIF($F$88:$AI$88,AO173,$F$95:$AI$95),IF(参数输入表!$I$255="年度",SUMIF($F$146:$T$146,AO173,$F$153:$T$153),0)))))+(AO22-AO9)</f>
        <v>0</v>
      </c>
      <c r="AP179" s="467">
        <f ca="1">IF(参数输入表!$I$254="等额本金",IF(参数输入表!$I$255="月度",SUMIF($F$117:$GC$117,AP173,$F$130:$GC$130),IF(参数输入表!$I$255="季度",SUMIF($F$59:$BM$59,AP173,$F$72:$BM$72),IF(参数输入表!$I$255="半年度",SUMIF($F$88:$AI$88,AP173,$F$101:$AI$101),IF(参数输入表!$I$255="年度",SUMIF($F$146:$T$146,AP173,$F$159:$T$159),0)))),IF(参数输入表!$I$255="月度",SUMIF($F$117:$GC$117,AP173,$F$124:$GC$124),IF(参数输入表!$I$255="季度",SUMIF($F$59:$BM$59,AP173,$F$66:$BM$66),IF(参数输入表!$I$255="半年度",SUMIF($F$88:$AI$88,AP173,$F$95:$AI$95),IF(参数输入表!$I$255="年度",SUMIF($F$146:$T$146,AP173,$F$153:$T$153),0)))))+(AP22-AP9)</f>
        <v>0</v>
      </c>
      <c r="AQ179" s="467">
        <f ca="1">IF(参数输入表!$I$254="等额本金",IF(参数输入表!$I$255="月度",SUMIF($F$117:$GC$117,AQ173,$F$130:$GC$130),IF(参数输入表!$I$255="季度",SUMIF($F$59:$BM$59,AQ173,$F$72:$BM$72),IF(参数输入表!$I$255="半年度",SUMIF($F$88:$AI$88,AQ173,$F$101:$AI$101),IF(参数输入表!$I$255="年度",SUMIF($F$146:$T$146,AQ173,$F$159:$T$159),0)))),IF(参数输入表!$I$255="月度",SUMIF($F$117:$GC$117,AQ173,$F$124:$GC$124),IF(参数输入表!$I$255="季度",SUMIF($F$59:$BM$59,AQ173,$F$66:$BM$66),IF(参数输入表!$I$255="半年度",SUMIF($F$88:$AI$88,AQ173,$F$95:$AI$95),IF(参数输入表!$I$255="年度",SUMIF($F$146:$T$146,AQ173,$F$153:$T$153),0)))))+(AQ22-AQ9)</f>
        <v>0</v>
      </c>
      <c r="AR179" s="467">
        <f ca="1">IF(参数输入表!$I$254="等额本金",IF(参数输入表!$I$255="月度",SUMIF($F$117:$GC$117,AR173,$F$130:$GC$130),IF(参数输入表!$I$255="季度",SUMIF($F$59:$BM$59,AR173,$F$72:$BM$72),IF(参数输入表!$I$255="半年度",SUMIF($F$88:$AI$88,AR173,$F$101:$AI$101),IF(参数输入表!$I$255="年度",SUMIF($F$146:$T$146,AR173,$F$159:$T$159),0)))),IF(参数输入表!$I$255="月度",SUMIF($F$117:$GC$117,AR173,$F$124:$GC$124),IF(参数输入表!$I$255="季度",SUMIF($F$59:$BM$59,AR173,$F$66:$BM$66),IF(参数输入表!$I$255="半年度",SUMIF($F$88:$AI$88,AR173,$F$95:$AI$95),IF(参数输入表!$I$255="年度",SUMIF($F$146:$T$146,AR173,$F$153:$T$153),0)))))+(AR22-AR9)</f>
        <v>0</v>
      </c>
      <c r="AS179" s="467">
        <f ca="1">IF(参数输入表!$I$254="等额本金",IF(参数输入表!$I$255="月度",SUMIF($F$117:$GC$117,AS173,$F$130:$GC$130),IF(参数输入表!$I$255="季度",SUMIF($F$59:$BM$59,AS173,$F$72:$BM$72),IF(参数输入表!$I$255="半年度",SUMIF($F$88:$AI$88,AS173,$F$101:$AI$101),IF(参数输入表!$I$255="年度",SUMIF($F$146:$T$146,AS173,$F$159:$T$159),0)))),IF(参数输入表!$I$255="月度",SUMIF($F$117:$GC$117,AS173,$F$124:$GC$124),IF(参数输入表!$I$255="季度",SUMIF($F$59:$BM$59,AS173,$F$66:$BM$66),IF(参数输入表!$I$255="半年度",SUMIF($F$88:$AI$88,AS173,$F$95:$AI$95),IF(参数输入表!$I$255="年度",SUMIF($F$146:$T$146,AS173,$F$153:$T$153),0)))))+(AS22-AS9)</f>
        <v>0</v>
      </c>
      <c r="AT179" s="467">
        <f ca="1">IF(参数输入表!$I$254="等额本金",IF(参数输入表!$I$255="月度",SUMIF($F$117:$GC$117,AT173,$F$130:$GC$130),IF(参数输入表!$I$255="季度",SUMIF($F$59:$BM$59,AT173,$F$72:$BM$72),IF(参数输入表!$I$255="半年度",SUMIF($F$88:$AI$88,AT173,$F$101:$AI$101),IF(参数输入表!$I$255="年度",SUMIF($F$146:$T$146,AT173,$F$159:$T$159),0)))),IF(参数输入表!$I$255="月度",SUMIF($F$117:$GC$117,AT173,$F$124:$GC$124),IF(参数输入表!$I$255="季度",SUMIF($F$59:$BM$59,AT173,$F$66:$BM$66),IF(参数输入表!$I$255="半年度",SUMIF($F$88:$AI$88,AT173,$F$95:$AI$95),IF(参数输入表!$I$255="年度",SUMIF($F$146:$T$146,AT173,$F$153:$T$153),0)))))+(AT22-AT9)</f>
        <v>0</v>
      </c>
      <c r="AU179" s="467">
        <f ca="1">IF(参数输入表!$I$254="等额本金",IF(参数输入表!$I$255="月度",SUMIF($F$117:$GC$117,AU173,$F$130:$GC$130),IF(参数输入表!$I$255="季度",SUMIF($F$59:$BM$59,AU173,$F$72:$BM$72),IF(参数输入表!$I$255="半年度",SUMIF($F$88:$AI$88,AU173,$F$101:$AI$101),IF(参数输入表!$I$255="年度",SUMIF($F$146:$T$146,AU173,$F$159:$T$159),0)))),IF(参数输入表!$I$255="月度",SUMIF($F$117:$GC$117,AU173,$F$124:$GC$124),IF(参数输入表!$I$255="季度",SUMIF($F$59:$BM$59,AU173,$F$66:$BM$66),IF(参数输入表!$I$255="半年度",SUMIF($F$88:$AI$88,AU173,$F$95:$AI$95),IF(参数输入表!$I$255="年度",SUMIF($F$146:$T$146,AU173,$F$153:$T$153),0)))))+(AU22-AU9)</f>
        <v>0</v>
      </c>
      <c r="AV179" s="467">
        <f ca="1">IF(参数输入表!$I$254="等额本金",IF(参数输入表!$I$255="月度",SUMIF($F$117:$GC$117,AV173,$F$130:$GC$130),IF(参数输入表!$I$255="季度",SUMIF($F$59:$BM$59,AV173,$F$72:$BM$72),IF(参数输入表!$I$255="半年度",SUMIF($F$88:$AI$88,AV173,$F$101:$AI$101),IF(参数输入表!$I$255="年度",SUMIF($F$146:$T$146,AV173,$F$159:$T$159),0)))),IF(参数输入表!$I$255="月度",SUMIF($F$117:$GC$117,AV173,$F$124:$GC$124),IF(参数输入表!$I$255="季度",SUMIF($F$59:$BM$59,AV173,$F$66:$BM$66),IF(参数输入表!$I$255="半年度",SUMIF($F$88:$AI$88,AV173,$F$95:$AI$95),IF(参数输入表!$I$255="年度",SUMIF($F$146:$T$146,AV173,$F$153:$T$153),0)))))+(AV22-AV9)</f>
        <v>0</v>
      </c>
      <c r="AW179" s="467">
        <f ca="1">IF(参数输入表!$I$254="等额本金",IF(参数输入表!$I$255="月度",SUMIF($F$117:$GC$117,AW173,$F$130:$GC$130),IF(参数输入表!$I$255="季度",SUMIF($F$59:$BM$59,AW173,$F$72:$BM$72),IF(参数输入表!$I$255="半年度",SUMIF($F$88:$AI$88,AW173,$F$101:$AI$101),IF(参数输入表!$I$255="年度",SUMIF($F$146:$T$146,AW173,$F$159:$T$159),0)))),IF(参数输入表!$I$255="月度",SUMIF($F$117:$GC$117,AW173,$F$124:$GC$124),IF(参数输入表!$I$255="季度",SUMIF($F$59:$BM$59,AW173,$F$66:$BM$66),IF(参数输入表!$I$255="半年度",SUMIF($F$88:$AI$88,AW173,$F$95:$AI$95),IF(参数输入表!$I$255="年度",SUMIF($F$146:$T$146,AW173,$F$153:$T$153),0)))))+(AW22-AW9)</f>
        <v>0</v>
      </c>
      <c r="AX179" s="467">
        <f ca="1">IF(参数输入表!$I$254="等额本金",IF(参数输入表!$I$255="月度",SUMIF($F$117:$GC$117,AX173,$F$130:$GC$130),IF(参数输入表!$I$255="季度",SUMIF($F$59:$BM$59,AX173,$F$72:$BM$72),IF(参数输入表!$I$255="半年度",SUMIF($F$88:$AI$88,AX173,$F$101:$AI$101),IF(参数输入表!$I$255="年度",SUMIF($F$146:$T$146,AX173,$F$159:$T$159),0)))),IF(参数输入表!$I$255="月度",SUMIF($F$117:$GC$117,AX173,$F$124:$GC$124),IF(参数输入表!$I$255="季度",SUMIF($F$59:$BM$59,AX173,$F$66:$BM$66),IF(参数输入表!$I$255="半年度",SUMIF($F$88:$AI$88,AX173,$F$95:$AI$95),IF(参数输入表!$I$255="年度",SUMIF($F$146:$T$146,AX173,$F$153:$T$153),0)))))+(AX22-AX9)</f>
        <v>0</v>
      </c>
      <c r="AY179" s="467">
        <f ca="1">IF(参数输入表!$I$254="等额本金",IF(参数输入表!$I$255="月度",SUMIF($F$117:$GC$117,AY173,$F$130:$GC$130),IF(参数输入表!$I$255="季度",SUMIF($F$59:$BM$59,AY173,$F$72:$BM$72),IF(参数输入表!$I$255="半年度",SUMIF($F$88:$AI$88,AY173,$F$101:$AI$101),IF(参数输入表!$I$255="年度",SUMIF($F$146:$T$146,AY173,$F$159:$T$159),0)))),IF(参数输入表!$I$255="月度",SUMIF($F$117:$GC$117,AY173,$F$124:$GC$124),IF(参数输入表!$I$255="季度",SUMIF($F$59:$BM$59,AY173,$F$66:$BM$66),IF(参数输入表!$I$255="半年度",SUMIF($F$88:$AI$88,AY173,$F$95:$AI$95),IF(参数输入表!$I$255="年度",SUMIF($F$146:$T$146,AY173,$F$153:$T$153),0)))))+(AY22-AY9)</f>
        <v>0</v>
      </c>
      <c r="AZ179" s="467">
        <f ca="1">IF(参数输入表!$I$254="等额本金",IF(参数输入表!$I$255="月度",SUMIF($F$117:$GC$117,AZ173,$F$130:$GC$130),IF(参数输入表!$I$255="季度",SUMIF($F$59:$BM$59,AZ173,$F$72:$BM$72),IF(参数输入表!$I$255="半年度",SUMIF($F$88:$AI$88,AZ173,$F$101:$AI$101),IF(参数输入表!$I$255="年度",SUMIF($F$146:$T$146,AZ173,$F$159:$T$159),0)))),IF(参数输入表!$I$255="月度",SUMIF($F$117:$GC$117,AZ173,$F$124:$GC$124),IF(参数输入表!$I$255="季度",SUMIF($F$59:$BM$59,AZ173,$F$66:$BM$66),IF(参数输入表!$I$255="半年度",SUMIF($F$88:$AI$88,AZ173,$F$95:$AI$95),IF(参数输入表!$I$255="年度",SUMIF($F$146:$T$146,AZ173,$F$153:$T$153),0)))))+(AZ22-AZ9)</f>
        <v>0</v>
      </c>
      <c r="BA179" s="467">
        <f ca="1">IF(参数输入表!$I$254="等额本金",IF(参数输入表!$I$255="月度",SUMIF($F$117:$GC$117,BA173,$F$130:$GC$130),IF(参数输入表!$I$255="季度",SUMIF($F$59:$BM$59,BA173,$F$72:$BM$72),IF(参数输入表!$I$255="半年度",SUMIF($F$88:$AI$88,BA173,$F$101:$AI$101),IF(参数输入表!$I$255="年度",SUMIF($F$146:$T$146,BA173,$F$159:$T$159),0)))),IF(参数输入表!$I$255="月度",SUMIF($F$117:$GC$117,BA173,$F$124:$GC$124),IF(参数输入表!$I$255="季度",SUMIF($F$59:$BM$59,BA173,$F$66:$BM$66),IF(参数输入表!$I$255="半年度",SUMIF($F$88:$AI$88,BA173,$F$95:$AI$95),IF(参数输入表!$I$255="年度",SUMIF($F$146:$T$146,BA173,$F$153:$T$153),0)))))+(BA22-BA9)</f>
        <v>0</v>
      </c>
      <c r="BB179" s="467">
        <f ca="1">IF(参数输入表!$I$254="等额本金",IF(参数输入表!$I$255="月度",SUMIF($F$117:$GC$117,BB173,$F$130:$GC$130),IF(参数输入表!$I$255="季度",SUMIF($F$59:$BM$59,BB173,$F$72:$BM$72),IF(参数输入表!$I$255="半年度",SUMIF($F$88:$AI$88,BB173,$F$101:$AI$101),IF(参数输入表!$I$255="年度",SUMIF($F$146:$T$146,BB173,$F$159:$T$159),0)))),IF(参数输入表!$I$255="月度",SUMIF($F$117:$GC$117,BB173,$F$124:$GC$124),IF(参数输入表!$I$255="季度",SUMIF($F$59:$BM$59,BB173,$F$66:$BM$66),IF(参数输入表!$I$255="半年度",SUMIF($F$88:$AI$88,BB173,$F$95:$AI$95),IF(参数输入表!$I$255="年度",SUMIF($F$146:$T$146,BB173,$F$153:$T$153),0)))))+(BB22-BB9)</f>
        <v>0</v>
      </c>
      <c r="BC179" s="467">
        <f ca="1">IF(参数输入表!$I$254="等额本金",IF(参数输入表!$I$255="月度",SUMIF($F$117:$GC$117,BC173,$F$130:$GC$130),IF(参数输入表!$I$255="季度",SUMIF($F$59:$BM$59,BC173,$F$72:$BM$72),IF(参数输入表!$I$255="半年度",SUMIF($F$88:$AI$88,BC173,$F$101:$AI$101),IF(参数输入表!$I$255="年度",SUMIF($F$146:$T$146,BC173,$F$159:$T$159),0)))),IF(参数输入表!$I$255="月度",SUMIF($F$117:$GC$117,BC173,$F$124:$GC$124),IF(参数输入表!$I$255="季度",SUMIF($F$59:$BM$59,BC173,$F$66:$BM$66),IF(参数输入表!$I$255="半年度",SUMIF($F$88:$AI$88,BC173,$F$95:$AI$95),IF(参数输入表!$I$255="年度",SUMIF($F$146:$T$146,BC173,$F$153:$T$153),0)))))+(BC22-BC9)</f>
        <v>0</v>
      </c>
      <c r="BD179" s="467">
        <f ca="1">IF(参数输入表!$I$254="等额本金",IF(参数输入表!$I$255="月度",SUMIF($F$117:$GC$117,BD173,$F$130:$GC$130),IF(参数输入表!$I$255="季度",SUMIF($F$59:$BM$59,BD173,$F$72:$BM$72),IF(参数输入表!$I$255="半年度",SUMIF($F$88:$AI$88,BD173,$F$101:$AI$101),IF(参数输入表!$I$255="年度",SUMIF($F$146:$T$146,BD173,$F$159:$T$159),0)))),IF(参数输入表!$I$255="月度",SUMIF($F$117:$GC$117,BD173,$F$124:$GC$124),IF(参数输入表!$I$255="季度",SUMIF($F$59:$BM$59,BD173,$F$66:$BM$66),IF(参数输入表!$I$255="半年度",SUMIF($F$88:$AI$88,BD173,$F$95:$AI$95),IF(参数输入表!$I$255="年度",SUMIF($F$146:$T$146,BD173,$F$153:$T$153),0)))))+(BD22-BD9)</f>
        <v>0</v>
      </c>
      <c r="BE179" s="467">
        <f ca="1">IF(参数输入表!$I$254="等额本金",IF(参数输入表!$I$255="月度",SUMIF($F$117:$GC$117,BE173,$F$130:$GC$130),IF(参数输入表!$I$255="季度",SUMIF($F$59:$BM$59,BE173,$F$72:$BM$72),IF(参数输入表!$I$255="半年度",SUMIF($F$88:$AI$88,BE173,$F$101:$AI$101),IF(参数输入表!$I$255="年度",SUMIF($F$146:$T$146,BE173,$F$159:$T$159),0)))),IF(参数输入表!$I$255="月度",SUMIF($F$117:$GC$117,BE173,$F$124:$GC$124),IF(参数输入表!$I$255="季度",SUMIF($F$59:$BM$59,BE173,$F$66:$BM$66),IF(参数输入表!$I$255="半年度",SUMIF($F$88:$AI$88,BE173,$F$95:$AI$95),IF(参数输入表!$I$255="年度",SUMIF($F$146:$T$146,BE173,$F$153:$T$153),0)))))+(BE22-BE9)</f>
        <v>0</v>
      </c>
    </row>
    <row r="180" spans="2:103">
      <c r="B180" s="29">
        <v>4</v>
      </c>
      <c r="C180" s="144" t="s">
        <v>540</v>
      </c>
      <c r="D180" s="467">
        <f ca="1">BE180</f>
        <v>4.14729584008455e-10</v>
      </c>
      <c r="E180" s="29" t="s">
        <v>130</v>
      </c>
      <c r="F180" s="466">
        <f ca="1" t="shared" ref="F180:P180" si="195">F175+F176-F178</f>
        <v>21197.0400822516</v>
      </c>
      <c r="G180" s="466">
        <f ca="1" t="shared" si="195"/>
        <v>71633.4875937017</v>
      </c>
      <c r="H180" s="466">
        <f ca="1" t="shared" si="195"/>
        <v>143560.689450587</v>
      </c>
      <c r="I180" s="466">
        <f ca="1" t="shared" si="195"/>
        <v>227206.218790986</v>
      </c>
      <c r="J180" s="466">
        <f ca="1" t="shared" si="195"/>
        <v>320943.151995775</v>
      </c>
      <c r="K180" s="466">
        <f ca="1" t="shared" si="195"/>
        <v>446801.809180491</v>
      </c>
      <c r="L180" s="466">
        <f ca="1" t="shared" si="195"/>
        <v>567118.553113378</v>
      </c>
      <c r="M180" s="466">
        <f ca="1" t="shared" si="195"/>
        <v>632532.195156247</v>
      </c>
      <c r="N180" s="466">
        <f ca="1" t="shared" si="195"/>
        <v>674623.632860075</v>
      </c>
      <c r="O180" s="466">
        <f ca="1" t="shared" si="195"/>
        <v>725209.263168492</v>
      </c>
      <c r="P180" s="571">
        <f ca="1" t="shared" si="195"/>
        <v>725209.263168492</v>
      </c>
      <c r="Q180" s="466">
        <f ca="1" t="shared" ref="Q180:BE180" si="196">Q175+Q176-Q178</f>
        <v>713122.442115684</v>
      </c>
      <c r="R180" s="466">
        <f ca="1" t="shared" si="196"/>
        <v>664775.157904451</v>
      </c>
      <c r="S180" s="466">
        <f ca="1" t="shared" si="196"/>
        <v>616427.873693219</v>
      </c>
      <c r="T180" s="466">
        <f ca="1" t="shared" si="196"/>
        <v>568080.589481986</v>
      </c>
      <c r="U180" s="466">
        <f ca="1" t="shared" si="196"/>
        <v>519733.305270753</v>
      </c>
      <c r="V180" s="466">
        <f ca="1" t="shared" si="196"/>
        <v>471386.02105952</v>
      </c>
      <c r="W180" s="466">
        <f ca="1" t="shared" si="196"/>
        <v>423038.736848288</v>
      </c>
      <c r="X180" s="466">
        <f ca="1" t="shared" si="196"/>
        <v>374691.452637055</v>
      </c>
      <c r="Y180" s="466">
        <f ca="1" t="shared" si="196"/>
        <v>326344.168425822</v>
      </c>
      <c r="Z180" s="466">
        <f ca="1" t="shared" si="196"/>
        <v>277996.884214589</v>
      </c>
      <c r="AA180" s="466">
        <f ca="1" t="shared" si="196"/>
        <v>229649.600003356</v>
      </c>
      <c r="AB180" s="466">
        <f ca="1" t="shared" si="196"/>
        <v>181302.315792123</v>
      </c>
      <c r="AC180" s="466">
        <f ca="1" t="shared" si="196"/>
        <v>132955.031580891</v>
      </c>
      <c r="AD180" s="466">
        <f ca="1" t="shared" si="196"/>
        <v>84607.7473696579</v>
      </c>
      <c r="AE180" s="466">
        <f ca="1" t="shared" si="196"/>
        <v>36260.463158425</v>
      </c>
      <c r="AF180" s="466">
        <f ca="1" t="shared" si="196"/>
        <v>4.14729584008455e-10</v>
      </c>
      <c r="AG180" s="466">
        <f ca="1" t="shared" si="196"/>
        <v>4.14729584008455e-10</v>
      </c>
      <c r="AH180" s="466">
        <f ca="1" t="shared" si="196"/>
        <v>4.14729584008455e-10</v>
      </c>
      <c r="AI180" s="466">
        <f ca="1" t="shared" si="196"/>
        <v>4.14729584008455e-10</v>
      </c>
      <c r="AJ180" s="466">
        <f ca="1" t="shared" si="196"/>
        <v>4.14729584008455e-10</v>
      </c>
      <c r="AK180" s="466">
        <f ca="1" t="shared" si="196"/>
        <v>4.14729584008455e-10</v>
      </c>
      <c r="AL180" s="466">
        <f ca="1" t="shared" si="196"/>
        <v>4.14729584008455e-10</v>
      </c>
      <c r="AM180" s="466">
        <f ca="1" t="shared" si="196"/>
        <v>4.14729584008455e-10</v>
      </c>
      <c r="AN180" s="466">
        <f ca="1" t="shared" si="196"/>
        <v>4.14729584008455e-10</v>
      </c>
      <c r="AO180" s="466">
        <f ca="1" t="shared" si="196"/>
        <v>4.14729584008455e-10</v>
      </c>
      <c r="AP180" s="466">
        <f ca="1" t="shared" si="196"/>
        <v>4.14729584008455e-10</v>
      </c>
      <c r="AQ180" s="466">
        <f ca="1" t="shared" si="196"/>
        <v>4.14729584008455e-10</v>
      </c>
      <c r="AR180" s="466">
        <f ca="1" t="shared" si="196"/>
        <v>4.14729584008455e-10</v>
      </c>
      <c r="AS180" s="466">
        <f ca="1" t="shared" si="196"/>
        <v>4.14729584008455e-10</v>
      </c>
      <c r="AT180" s="466">
        <f ca="1" t="shared" si="196"/>
        <v>4.14729584008455e-10</v>
      </c>
      <c r="AU180" s="466">
        <f ca="1" t="shared" si="196"/>
        <v>4.14729584008455e-10</v>
      </c>
      <c r="AV180" s="466">
        <f ca="1" t="shared" si="196"/>
        <v>4.14729584008455e-10</v>
      </c>
      <c r="AW180" s="466">
        <f ca="1" t="shared" si="196"/>
        <v>4.14729584008455e-10</v>
      </c>
      <c r="AX180" s="466">
        <f ca="1" t="shared" si="196"/>
        <v>4.14729584008455e-10</v>
      </c>
      <c r="AY180" s="466">
        <f ca="1" t="shared" si="196"/>
        <v>4.14729584008455e-10</v>
      </c>
      <c r="AZ180" s="466">
        <f ca="1" t="shared" si="196"/>
        <v>4.14729584008455e-10</v>
      </c>
      <c r="BA180" s="466">
        <f ca="1" t="shared" si="196"/>
        <v>4.14729584008455e-10</v>
      </c>
      <c r="BB180" s="466">
        <f ca="1" t="shared" si="196"/>
        <v>4.14729584008455e-10</v>
      </c>
      <c r="BC180" s="466">
        <f ca="1" t="shared" si="196"/>
        <v>4.14729584008455e-10</v>
      </c>
      <c r="BD180" s="466">
        <f ca="1" t="shared" si="196"/>
        <v>4.14729584008455e-10</v>
      </c>
      <c r="BE180" s="466">
        <f ca="1" t="shared" si="196"/>
        <v>4.14729584008455e-10</v>
      </c>
    </row>
    <row r="181" spans="2:103">
      <c r="B181" s="7"/>
      <c r="D181" s="572"/>
      <c r="E181" s="7"/>
      <c r="F181" s="501"/>
      <c r="G181" s="501"/>
      <c r="H181" s="501"/>
      <c r="I181" s="501"/>
      <c r="J181" s="501"/>
      <c r="K181" s="501"/>
      <c r="L181" s="501"/>
      <c r="M181" s="501"/>
      <c r="N181" s="501"/>
      <c r="O181" s="501"/>
      <c r="P181" s="501"/>
      <c r="Q181" s="501"/>
      <c r="R181" s="501"/>
      <c r="S181" s="501"/>
      <c r="T181" s="501"/>
      <c r="U181" s="501"/>
      <c r="V181" s="501"/>
      <c r="W181" s="501"/>
      <c r="X181" s="501"/>
      <c r="Y181" s="501"/>
      <c r="Z181" s="501"/>
      <c r="AA181" s="501"/>
      <c r="AB181" s="501"/>
      <c r="AC181" s="501"/>
      <c r="AD181" s="501"/>
      <c r="AE181" s="501"/>
      <c r="AF181" s="501"/>
      <c r="AG181" s="501"/>
      <c r="AH181" s="501"/>
      <c r="AI181" s="501"/>
      <c r="AJ181" s="501"/>
      <c r="AK181" s="501"/>
      <c r="AL181" s="501"/>
      <c r="AM181" s="501"/>
      <c r="AN181" s="501"/>
      <c r="AO181" s="501"/>
      <c r="AP181" s="501"/>
      <c r="AQ181" s="501"/>
      <c r="AR181" s="501"/>
      <c r="AS181" s="501"/>
      <c r="AT181" s="501"/>
      <c r="AU181" s="501"/>
      <c r="AV181" s="501"/>
      <c r="AW181" s="501"/>
      <c r="AX181" s="501"/>
      <c r="AY181" s="501"/>
      <c r="AZ181" s="501"/>
      <c r="BA181" s="501"/>
      <c r="BB181" s="501"/>
      <c r="BC181" s="501"/>
      <c r="BD181" s="501"/>
      <c r="BE181" s="501"/>
    </row>
    <row r="182" ht="17.25" spans="2:103">
      <c r="B182" s="7"/>
      <c r="D182" s="572"/>
      <c r="E182" s="7"/>
      <c r="F182" s="501"/>
      <c r="G182" s="501"/>
      <c r="H182" s="501"/>
      <c r="I182" s="501"/>
      <c r="J182" s="466"/>
      <c r="K182" s="515" t="s">
        <v>423</v>
      </c>
      <c r="L182" s="515" t="s">
        <v>209</v>
      </c>
      <c r="M182" s="515" t="s">
        <v>424</v>
      </c>
      <c r="N182" s="515" t="s">
        <v>425</v>
      </c>
      <c r="O182" s="501"/>
      <c r="P182" s="501"/>
      <c r="Q182" s="501"/>
      <c r="R182" s="501"/>
      <c r="S182" s="501"/>
      <c r="T182" s="501"/>
      <c r="U182" s="501"/>
      <c r="V182" s="501"/>
      <c r="W182" s="501"/>
      <c r="X182" s="501"/>
      <c r="Y182" s="501"/>
      <c r="Z182" s="501"/>
      <c r="AA182" s="501"/>
      <c r="AB182" s="501"/>
      <c r="AC182" s="501"/>
      <c r="AD182" s="501"/>
      <c r="AE182" s="501"/>
      <c r="AF182" s="501"/>
      <c r="AG182" s="501"/>
      <c r="AH182" s="501"/>
      <c r="AI182" s="501"/>
      <c r="AJ182" s="501"/>
      <c r="AK182" s="501"/>
      <c r="AL182" s="501"/>
      <c r="AM182" s="501"/>
      <c r="AN182" s="501"/>
      <c r="AO182" s="501"/>
      <c r="AP182" s="501"/>
      <c r="AQ182" s="501"/>
      <c r="AR182" s="501"/>
      <c r="AS182" s="501"/>
      <c r="AT182" s="501"/>
      <c r="AU182" s="501"/>
      <c r="AV182" s="501"/>
      <c r="AW182" s="501"/>
      <c r="AX182" s="501"/>
      <c r="AY182" s="501"/>
      <c r="AZ182" s="501"/>
      <c r="BA182" s="501"/>
      <c r="BB182" s="501"/>
      <c r="BC182" s="501"/>
      <c r="BD182" s="501"/>
      <c r="BE182" s="501"/>
    </row>
    <row r="183" spans="2:103">
      <c r="B183" s="577" t="s">
        <v>562</v>
      </c>
      <c r="C183" s="578" t="s">
        <v>563</v>
      </c>
      <c r="D183" s="579" t="s">
        <v>564</v>
      </c>
      <c r="E183" s="580"/>
      <c r="F183" s="581" t="s">
        <v>565</v>
      </c>
      <c r="G183" s="582">
        <v>5000</v>
      </c>
      <c r="H183" s="583" t="s">
        <v>130</v>
      </c>
      <c r="I183" s="501"/>
      <c r="J183" s="237" t="s">
        <v>566</v>
      </c>
      <c r="K183" s="509">
        <f>EDATE($G$184,K184)</f>
        <v>48761</v>
      </c>
      <c r="L183" s="509">
        <f>EDATE($G$184,L184)</f>
        <v>48823</v>
      </c>
      <c r="M183" s="509">
        <f>EDATE($G$184,M184)</f>
        <v>48914</v>
      </c>
      <c r="N183" s="509">
        <f>EDATE($G$184,N184)</f>
        <v>49096</v>
      </c>
      <c r="O183" s="501"/>
      <c r="P183" s="501"/>
      <c r="Q183" s="501"/>
      <c r="R183" s="501"/>
      <c r="S183" s="501"/>
      <c r="T183" s="501"/>
      <c r="U183" s="501"/>
      <c r="V183" s="501"/>
      <c r="W183" s="501"/>
      <c r="X183" s="501"/>
      <c r="Y183" s="501"/>
      <c r="Z183" s="501"/>
      <c r="AA183" s="501"/>
      <c r="AB183" s="501"/>
      <c r="AC183" s="501"/>
      <c r="AD183" s="501"/>
      <c r="AE183" s="501"/>
      <c r="AF183" s="501"/>
      <c r="AG183" s="501"/>
      <c r="AH183" s="501"/>
      <c r="AI183" s="501"/>
      <c r="AJ183" s="501"/>
      <c r="AK183" s="501"/>
      <c r="AL183" s="501"/>
      <c r="AM183" s="501"/>
      <c r="AN183" s="501"/>
      <c r="AO183" s="501"/>
      <c r="AP183" s="501"/>
      <c r="AQ183" s="501"/>
      <c r="AR183" s="501"/>
      <c r="AS183" s="501"/>
      <c r="AT183" s="501"/>
      <c r="AU183" s="501"/>
      <c r="AV183" s="501"/>
      <c r="AW183" s="501"/>
      <c r="AX183" s="501"/>
      <c r="AY183" s="501"/>
      <c r="AZ183" s="501"/>
      <c r="BA183" s="501"/>
      <c r="BB183" s="501"/>
      <c r="BC183" s="501"/>
      <c r="BD183" s="501"/>
      <c r="BE183" s="501"/>
    </row>
    <row r="184" spans="2:103">
      <c r="B184" s="584"/>
      <c r="C184" s="585"/>
      <c r="D184" s="586"/>
      <c r="E184" s="587"/>
      <c r="F184" s="588" t="s">
        <v>567</v>
      </c>
      <c r="G184" s="509">
        <v>48731</v>
      </c>
      <c r="H184" s="527">
        <f>YEAR(G184)</f>
        <v>2033</v>
      </c>
      <c r="I184" s="501"/>
      <c r="J184" s="237" t="s">
        <v>521</v>
      </c>
      <c r="K184" s="505">
        <v>1</v>
      </c>
      <c r="L184" s="505">
        <v>3</v>
      </c>
      <c r="M184" s="505">
        <v>6</v>
      </c>
      <c r="N184" s="505">
        <v>12</v>
      </c>
      <c r="O184" s="501"/>
      <c r="P184" s="501"/>
      <c r="Q184" s="501"/>
      <c r="R184" s="501"/>
      <c r="S184" s="501"/>
      <c r="T184" s="501"/>
      <c r="U184" s="501"/>
      <c r="V184" s="501"/>
      <c r="W184" s="501"/>
      <c r="X184" s="501"/>
      <c r="Y184" s="501"/>
      <c r="Z184" s="501"/>
      <c r="AA184" s="501"/>
      <c r="AB184" s="501"/>
      <c r="AC184" s="501"/>
      <c r="AD184" s="501"/>
      <c r="AE184" s="501"/>
      <c r="AF184" s="501"/>
      <c r="AG184" s="501"/>
      <c r="AH184" s="501"/>
      <c r="AI184" s="501"/>
      <c r="AJ184" s="501"/>
      <c r="AK184" s="501"/>
      <c r="AL184" s="501"/>
      <c r="AM184" s="501"/>
      <c r="AN184" s="501"/>
      <c r="AO184" s="501"/>
      <c r="AP184" s="501"/>
      <c r="AQ184" s="501"/>
      <c r="AR184" s="501"/>
      <c r="AS184" s="501"/>
      <c r="AT184" s="501"/>
      <c r="AU184" s="501"/>
      <c r="AV184" s="501"/>
      <c r="AW184" s="501"/>
      <c r="AX184" s="501"/>
      <c r="AY184" s="501"/>
      <c r="AZ184" s="501"/>
      <c r="BA184" s="501"/>
      <c r="BB184" s="501"/>
      <c r="BC184" s="501"/>
      <c r="BD184" s="501"/>
      <c r="BE184" s="501"/>
    </row>
    <row r="185" spans="2:103">
      <c r="B185" s="584"/>
      <c r="C185" s="585"/>
      <c r="D185" s="586"/>
      <c r="E185" s="587"/>
      <c r="F185" s="588" t="s">
        <v>568</v>
      </c>
      <c r="G185" s="515">
        <v>8</v>
      </c>
      <c r="H185" s="589" t="s">
        <v>15</v>
      </c>
      <c r="I185" s="501"/>
      <c r="J185" s="237" t="s">
        <v>522</v>
      </c>
      <c r="K185" s="505">
        <f>12/K184</f>
        <v>12</v>
      </c>
      <c r="L185" s="505">
        <f>12/L184</f>
        <v>4</v>
      </c>
      <c r="M185" s="505">
        <f>12/M184</f>
        <v>2</v>
      </c>
      <c r="N185" s="505">
        <f>12/N184</f>
        <v>1</v>
      </c>
      <c r="O185" s="501"/>
      <c r="P185" s="501"/>
      <c r="Q185" s="501"/>
      <c r="R185" s="501"/>
      <c r="S185" s="501"/>
      <c r="T185" s="501"/>
      <c r="U185" s="501"/>
      <c r="V185" s="501"/>
      <c r="W185" s="501"/>
      <c r="X185" s="501"/>
      <c r="Y185" s="501"/>
      <c r="Z185" s="501"/>
      <c r="AA185" s="501"/>
      <c r="AB185" s="501"/>
      <c r="AC185" s="501"/>
      <c r="AD185" s="501"/>
      <c r="AE185" s="501"/>
      <c r="AF185" s="501"/>
      <c r="AG185" s="501"/>
      <c r="AH185" s="501"/>
      <c r="AI185" s="501"/>
      <c r="AJ185" s="501"/>
      <c r="AK185" s="501"/>
      <c r="AL185" s="501"/>
      <c r="AM185" s="501"/>
      <c r="AN185" s="501"/>
      <c r="AO185" s="501"/>
      <c r="AP185" s="501"/>
      <c r="AQ185" s="501"/>
      <c r="AR185" s="501"/>
      <c r="AS185" s="501"/>
      <c r="AT185" s="501"/>
      <c r="AU185" s="501"/>
      <c r="AV185" s="501"/>
      <c r="AW185" s="501"/>
      <c r="AX185" s="501"/>
      <c r="AY185" s="501"/>
      <c r="AZ185" s="501"/>
      <c r="BA185" s="501"/>
      <c r="BB185" s="501"/>
      <c r="BC185" s="501"/>
      <c r="BD185" s="501"/>
      <c r="BE185" s="501"/>
    </row>
    <row r="186" spans="2:103">
      <c r="B186" s="584"/>
      <c r="C186" s="585"/>
      <c r="D186" s="586"/>
      <c r="E186" s="587"/>
      <c r="F186" s="590" t="s">
        <v>569</v>
      </c>
      <c r="G186" s="591" t="s">
        <v>207</v>
      </c>
      <c r="H186" s="589" t="s">
        <v>59</v>
      </c>
      <c r="I186" s="501"/>
      <c r="J186" s="237" t="s">
        <v>524</v>
      </c>
      <c r="K186" s="505">
        <f>$G$185*K185</f>
        <v>96</v>
      </c>
      <c r="L186" s="505">
        <f>$G$185*L185</f>
        <v>32</v>
      </c>
      <c r="M186" s="505">
        <f>$G$185*M185</f>
        <v>16</v>
      </c>
      <c r="N186" s="505">
        <f>$G$185*N185</f>
        <v>8</v>
      </c>
      <c r="O186" s="501"/>
      <c r="P186" s="501"/>
      <c r="Q186" s="501"/>
      <c r="R186" s="501"/>
      <c r="S186" s="501"/>
      <c r="T186" s="501"/>
      <c r="U186" s="501"/>
      <c r="V186" s="501"/>
      <c r="W186" s="501"/>
      <c r="X186" s="501"/>
      <c r="Y186" s="501"/>
      <c r="Z186" s="501"/>
      <c r="AA186" s="501"/>
      <c r="AB186" s="501"/>
      <c r="AC186" s="501"/>
      <c r="AD186" s="501"/>
      <c r="AE186" s="501"/>
      <c r="AF186" s="501"/>
      <c r="AG186" s="501"/>
      <c r="AH186" s="501"/>
      <c r="AI186" s="501"/>
      <c r="AJ186" s="501"/>
      <c r="AK186" s="501"/>
      <c r="AL186" s="501"/>
      <c r="AM186" s="501"/>
      <c r="AN186" s="501"/>
      <c r="AO186" s="501"/>
      <c r="AP186" s="501"/>
      <c r="AQ186" s="501"/>
      <c r="AR186" s="501"/>
      <c r="AS186" s="501"/>
      <c r="AT186" s="501"/>
      <c r="AU186" s="501"/>
      <c r="AV186" s="501"/>
      <c r="AW186" s="501"/>
      <c r="AX186" s="501"/>
      <c r="AY186" s="501"/>
      <c r="AZ186" s="501"/>
      <c r="BA186" s="501"/>
      <c r="BB186" s="501"/>
      <c r="BC186" s="501"/>
      <c r="BD186" s="501"/>
      <c r="BE186" s="501"/>
    </row>
    <row r="187" spans="2:103">
      <c r="B187" s="584"/>
      <c r="C187" s="585"/>
      <c r="D187" s="586"/>
      <c r="E187" s="587"/>
      <c r="F187" s="592"/>
      <c r="G187" s="591" t="s">
        <v>424</v>
      </c>
      <c r="H187" s="589" t="s">
        <v>59</v>
      </c>
      <c r="I187" s="593"/>
      <c r="J187" s="237" t="s">
        <v>570</v>
      </c>
      <c r="K187" s="509">
        <f>EDATE(K183,$G$185*12-K184)</f>
        <v>51653</v>
      </c>
      <c r="L187" s="509">
        <f>EDATE(L183,$G$185*12-L184)</f>
        <v>51653</v>
      </c>
      <c r="M187" s="509">
        <f>EDATE(M183,$G$185*12-M184)</f>
        <v>51653</v>
      </c>
      <c r="N187" s="509">
        <f>EDATE(N183,$G$185*12-N184)</f>
        <v>51653</v>
      </c>
      <c r="O187" s="501"/>
      <c r="P187" s="501"/>
      <c r="Q187" s="501"/>
      <c r="R187" s="501"/>
      <c r="S187" s="501"/>
      <c r="T187" s="501"/>
      <c r="U187" s="501"/>
      <c r="V187" s="501"/>
      <c r="W187" s="501"/>
      <c r="X187" s="501"/>
      <c r="Y187" s="501"/>
      <c r="Z187" s="501"/>
      <c r="AA187" s="501"/>
      <c r="AB187" s="501"/>
      <c r="AC187" s="501"/>
      <c r="AD187" s="501"/>
      <c r="AE187" s="501"/>
      <c r="AF187" s="501"/>
      <c r="AG187" s="501"/>
      <c r="AH187" s="501"/>
      <c r="AI187" s="501"/>
      <c r="AJ187" s="501"/>
      <c r="AK187" s="501"/>
      <c r="AL187" s="501"/>
      <c r="AM187" s="501"/>
      <c r="AN187" s="501"/>
      <c r="AO187" s="501"/>
      <c r="AP187" s="501"/>
      <c r="AQ187" s="501"/>
      <c r="AR187" s="501"/>
      <c r="AS187" s="501"/>
      <c r="AT187" s="501"/>
      <c r="AU187" s="501"/>
      <c r="AV187" s="501"/>
      <c r="AW187" s="501"/>
      <c r="AX187" s="501"/>
      <c r="AY187" s="501"/>
      <c r="AZ187" s="501"/>
      <c r="BA187" s="501"/>
      <c r="BB187" s="501"/>
      <c r="BC187" s="501"/>
      <c r="BD187" s="501"/>
      <c r="BE187" s="501"/>
    </row>
    <row r="188" ht="17.25" spans="2:103">
      <c r="B188" s="584"/>
      <c r="C188" s="585"/>
      <c r="D188" s="594"/>
      <c r="E188" s="595"/>
      <c r="F188" s="596" t="s">
        <v>571</v>
      </c>
      <c r="G188" s="597">
        <v>0.0385</v>
      </c>
      <c r="H188" s="598" t="s">
        <v>31</v>
      </c>
      <c r="I188" s="501"/>
      <c r="O188" s="501"/>
      <c r="P188" s="501"/>
      <c r="Q188" s="501"/>
      <c r="R188" s="501"/>
      <c r="S188" s="501"/>
      <c r="T188" s="501"/>
      <c r="U188" s="501"/>
      <c r="V188" s="501"/>
      <c r="W188" s="501"/>
      <c r="X188" s="501"/>
      <c r="Y188" s="501"/>
      <c r="Z188" s="501"/>
      <c r="AA188" s="501"/>
      <c r="AB188" s="501"/>
      <c r="AC188" s="501"/>
      <c r="AD188" s="501"/>
      <c r="AE188" s="501"/>
      <c r="AF188" s="501"/>
      <c r="AG188" s="501"/>
      <c r="AH188" s="501"/>
      <c r="AI188" s="501"/>
      <c r="AJ188" s="501"/>
      <c r="AK188" s="501"/>
      <c r="AL188" s="501"/>
      <c r="AM188" s="501"/>
      <c r="AN188" s="501"/>
      <c r="AO188" s="501"/>
      <c r="AP188" s="501"/>
      <c r="AQ188" s="501"/>
      <c r="AR188" s="501"/>
      <c r="AS188" s="501"/>
      <c r="AT188" s="501"/>
      <c r="AU188" s="501"/>
      <c r="AV188" s="501"/>
      <c r="AW188" s="501"/>
      <c r="AX188" s="501"/>
      <c r="AY188" s="501"/>
      <c r="AZ188" s="501"/>
      <c r="BA188" s="501"/>
      <c r="BB188" s="501"/>
      <c r="BC188" s="501"/>
      <c r="BD188" s="501"/>
      <c r="BE188" s="501"/>
    </row>
    <row r="189" spans="2:103">
      <c r="B189" s="584"/>
      <c r="C189" s="585"/>
      <c r="D189" s="599" t="s">
        <v>548</v>
      </c>
      <c r="E189" s="520" t="s">
        <v>530</v>
      </c>
      <c r="F189" s="600"/>
      <c r="G189" s="521"/>
      <c r="H189" s="601" t="s">
        <v>572</v>
      </c>
      <c r="I189" s="601" t="s">
        <v>573</v>
      </c>
      <c r="J189" s="601" t="s">
        <v>574</v>
      </c>
      <c r="K189" s="601" t="s">
        <v>575</v>
      </c>
      <c r="L189" s="601" t="s">
        <v>576</v>
      </c>
      <c r="M189" s="601" t="s">
        <v>577</v>
      </c>
      <c r="N189" s="601" t="s">
        <v>578</v>
      </c>
      <c r="O189" s="601" t="s">
        <v>579</v>
      </c>
      <c r="P189" s="601" t="s">
        <v>580</v>
      </c>
      <c r="Q189" s="601" t="s">
        <v>581</v>
      </c>
      <c r="R189" s="601" t="s">
        <v>582</v>
      </c>
      <c r="S189" s="601" t="s">
        <v>583</v>
      </c>
      <c r="T189" s="601" t="s">
        <v>584</v>
      </c>
      <c r="U189" s="601" t="s">
        <v>585</v>
      </c>
      <c r="V189" s="601" t="s">
        <v>586</v>
      </c>
      <c r="W189" s="601" t="s">
        <v>587</v>
      </c>
      <c r="X189" s="601" t="s">
        <v>588</v>
      </c>
      <c r="Y189" s="601" t="s">
        <v>589</v>
      </c>
      <c r="Z189" s="601" t="s">
        <v>590</v>
      </c>
      <c r="AA189" s="601" t="s">
        <v>591</v>
      </c>
      <c r="AB189" s="601" t="s">
        <v>592</v>
      </c>
      <c r="AC189" s="601" t="s">
        <v>593</v>
      </c>
      <c r="AD189" s="601" t="s">
        <v>594</v>
      </c>
      <c r="AE189" s="601" t="s">
        <v>595</v>
      </c>
      <c r="AF189" s="601" t="s">
        <v>596</v>
      </c>
      <c r="AG189" s="601" t="s">
        <v>597</v>
      </c>
      <c r="AH189" s="601" t="s">
        <v>598</v>
      </c>
      <c r="AI189" s="601" t="s">
        <v>599</v>
      </c>
      <c r="AJ189" s="601" t="s">
        <v>600</v>
      </c>
      <c r="AK189" s="601" t="s">
        <v>601</v>
      </c>
      <c r="AL189" s="601" t="s">
        <v>602</v>
      </c>
      <c r="AM189" s="601" t="s">
        <v>603</v>
      </c>
      <c r="AN189" s="601" t="s">
        <v>604</v>
      </c>
      <c r="AO189" s="601" t="s">
        <v>605</v>
      </c>
      <c r="AP189" s="601" t="s">
        <v>606</v>
      </c>
      <c r="AQ189" s="601" t="s">
        <v>607</v>
      </c>
      <c r="AR189" s="601" t="s">
        <v>608</v>
      </c>
      <c r="AS189" s="601" t="s">
        <v>609</v>
      </c>
      <c r="AT189" s="601" t="s">
        <v>610</v>
      </c>
      <c r="AU189" s="601" t="s">
        <v>611</v>
      </c>
      <c r="AV189" s="601" t="s">
        <v>612</v>
      </c>
      <c r="AW189" s="601" t="s">
        <v>613</v>
      </c>
      <c r="AX189" s="601" t="s">
        <v>614</v>
      </c>
      <c r="AY189" s="601" t="s">
        <v>615</v>
      </c>
      <c r="AZ189" s="601" t="s">
        <v>616</v>
      </c>
      <c r="BA189" s="601" t="s">
        <v>617</v>
      </c>
      <c r="BB189" s="601" t="s">
        <v>618</v>
      </c>
      <c r="BC189" s="601" t="s">
        <v>619</v>
      </c>
      <c r="BD189" s="601" t="s">
        <v>620</v>
      </c>
      <c r="BE189" s="601" t="s">
        <v>621</v>
      </c>
      <c r="BF189" s="601" t="s">
        <v>622</v>
      </c>
      <c r="BG189" s="601" t="s">
        <v>623</v>
      </c>
      <c r="BH189" s="601" t="s">
        <v>624</v>
      </c>
      <c r="BI189" s="601" t="s">
        <v>625</v>
      </c>
      <c r="BJ189" s="601" t="s">
        <v>626</v>
      </c>
      <c r="BK189" s="601" t="s">
        <v>627</v>
      </c>
      <c r="BL189" s="601" t="s">
        <v>628</v>
      </c>
      <c r="BM189" s="601" t="s">
        <v>629</v>
      </c>
      <c r="BN189" s="601" t="s">
        <v>630</v>
      </c>
      <c r="BO189" s="601" t="s">
        <v>631</v>
      </c>
      <c r="BP189" s="601" t="s">
        <v>632</v>
      </c>
      <c r="BQ189" s="601" t="s">
        <v>633</v>
      </c>
      <c r="BR189" s="601" t="s">
        <v>634</v>
      </c>
      <c r="BS189" s="601" t="s">
        <v>635</v>
      </c>
      <c r="BT189" s="601" t="s">
        <v>636</v>
      </c>
      <c r="BU189" s="601" t="s">
        <v>637</v>
      </c>
      <c r="BV189" s="601" t="s">
        <v>638</v>
      </c>
      <c r="BW189" s="601" t="s">
        <v>639</v>
      </c>
      <c r="BX189" s="601" t="s">
        <v>640</v>
      </c>
      <c r="BY189" s="601" t="s">
        <v>641</v>
      </c>
      <c r="BZ189" s="601" t="s">
        <v>642</v>
      </c>
      <c r="CA189" s="601" t="s">
        <v>643</v>
      </c>
      <c r="CB189" s="601" t="s">
        <v>644</v>
      </c>
      <c r="CC189" s="601" t="s">
        <v>645</v>
      </c>
      <c r="CD189" s="601" t="s">
        <v>646</v>
      </c>
      <c r="CE189" s="601" t="s">
        <v>647</v>
      </c>
      <c r="CF189" s="601" t="s">
        <v>648</v>
      </c>
      <c r="CG189" s="601" t="s">
        <v>649</v>
      </c>
      <c r="CH189" s="601" t="s">
        <v>650</v>
      </c>
      <c r="CI189" s="601" t="s">
        <v>651</v>
      </c>
      <c r="CJ189" s="601" t="s">
        <v>652</v>
      </c>
      <c r="CK189" s="601" t="s">
        <v>653</v>
      </c>
      <c r="CL189" s="601" t="s">
        <v>654</v>
      </c>
      <c r="CM189" s="601" t="s">
        <v>655</v>
      </c>
      <c r="CN189" s="601" t="s">
        <v>656</v>
      </c>
      <c r="CO189" s="601" t="s">
        <v>657</v>
      </c>
      <c r="CP189" s="601" t="s">
        <v>658</v>
      </c>
      <c r="CQ189" s="601" t="s">
        <v>659</v>
      </c>
      <c r="CR189" s="601" t="s">
        <v>660</v>
      </c>
      <c r="CS189" s="601" t="s">
        <v>661</v>
      </c>
      <c r="CT189" s="601" t="s">
        <v>662</v>
      </c>
      <c r="CU189" s="601" t="s">
        <v>663</v>
      </c>
      <c r="CV189" s="601" t="s">
        <v>664</v>
      </c>
      <c r="CW189" s="601" t="s">
        <v>665</v>
      </c>
      <c r="CX189" s="601" t="s">
        <v>666</v>
      </c>
      <c r="CY189" s="602" t="s">
        <v>667</v>
      </c>
    </row>
    <row r="190" spans="2:103">
      <c r="B190" s="584"/>
      <c r="C190" s="585"/>
      <c r="D190" s="603"/>
      <c r="E190" s="524" t="s">
        <v>545</v>
      </c>
      <c r="F190" s="604"/>
      <c r="G190" s="525"/>
      <c r="H190" s="509">
        <f>K183</f>
        <v>48761</v>
      </c>
      <c r="I190" s="509">
        <f>EDATE(H190,$K$184)</f>
        <v>48792</v>
      </c>
      <c r="J190" s="509">
        <f t="shared" ref="J190:AO190" si="197">EDATE(I190,$K$184)</f>
        <v>48823</v>
      </c>
      <c r="K190" s="509">
        <f t="shared" si="197"/>
        <v>48853</v>
      </c>
      <c r="L190" s="509">
        <f t="shared" si="197"/>
        <v>48884</v>
      </c>
      <c r="M190" s="509">
        <f t="shared" si="197"/>
        <v>48914</v>
      </c>
      <c r="N190" s="509">
        <f t="shared" si="197"/>
        <v>48945</v>
      </c>
      <c r="O190" s="509">
        <f t="shared" si="197"/>
        <v>48976</v>
      </c>
      <c r="P190" s="509">
        <f t="shared" si="197"/>
        <v>49004</v>
      </c>
      <c r="Q190" s="509">
        <f t="shared" si="197"/>
        <v>49035</v>
      </c>
      <c r="R190" s="509">
        <f t="shared" si="197"/>
        <v>49065</v>
      </c>
      <c r="S190" s="509">
        <f t="shared" si="197"/>
        <v>49096</v>
      </c>
      <c r="T190" s="509">
        <f t="shared" si="197"/>
        <v>49126</v>
      </c>
      <c r="U190" s="509">
        <f t="shared" si="197"/>
        <v>49157</v>
      </c>
      <c r="V190" s="509">
        <f t="shared" si="197"/>
        <v>49188</v>
      </c>
      <c r="W190" s="509">
        <f t="shared" si="197"/>
        <v>49218</v>
      </c>
      <c r="X190" s="509">
        <f t="shared" si="197"/>
        <v>49249</v>
      </c>
      <c r="Y190" s="509">
        <f t="shared" si="197"/>
        <v>49279</v>
      </c>
      <c r="Z190" s="509">
        <f t="shared" si="197"/>
        <v>49310</v>
      </c>
      <c r="AA190" s="509">
        <f t="shared" si="197"/>
        <v>49341</v>
      </c>
      <c r="AB190" s="509">
        <f t="shared" si="197"/>
        <v>49369</v>
      </c>
      <c r="AC190" s="509">
        <f t="shared" si="197"/>
        <v>49400</v>
      </c>
      <c r="AD190" s="509">
        <f t="shared" si="197"/>
        <v>49430</v>
      </c>
      <c r="AE190" s="509">
        <f t="shared" si="197"/>
        <v>49461</v>
      </c>
      <c r="AF190" s="509">
        <f t="shared" si="197"/>
        <v>49491</v>
      </c>
      <c r="AG190" s="509">
        <f t="shared" si="197"/>
        <v>49522</v>
      </c>
      <c r="AH190" s="509">
        <f t="shared" si="197"/>
        <v>49553</v>
      </c>
      <c r="AI190" s="509">
        <f t="shared" si="197"/>
        <v>49583</v>
      </c>
      <c r="AJ190" s="509">
        <f t="shared" si="197"/>
        <v>49614</v>
      </c>
      <c r="AK190" s="509">
        <f t="shared" si="197"/>
        <v>49644</v>
      </c>
      <c r="AL190" s="509">
        <f t="shared" si="197"/>
        <v>49675</v>
      </c>
      <c r="AM190" s="509">
        <f t="shared" si="197"/>
        <v>49706</v>
      </c>
      <c r="AN190" s="509">
        <f t="shared" si="197"/>
        <v>49735</v>
      </c>
      <c r="AO190" s="509">
        <f t="shared" si="197"/>
        <v>49766</v>
      </c>
      <c r="AP190" s="509">
        <f t="shared" ref="AP190:BU190" si="198">EDATE(AO190,$K$184)</f>
        <v>49796</v>
      </c>
      <c r="AQ190" s="509">
        <f t="shared" si="198"/>
        <v>49827</v>
      </c>
      <c r="AR190" s="509">
        <f t="shared" si="198"/>
        <v>49857</v>
      </c>
      <c r="AS190" s="509">
        <f t="shared" si="198"/>
        <v>49888</v>
      </c>
      <c r="AT190" s="509">
        <f t="shared" si="198"/>
        <v>49919</v>
      </c>
      <c r="AU190" s="509">
        <f t="shared" si="198"/>
        <v>49949</v>
      </c>
      <c r="AV190" s="509">
        <f t="shared" si="198"/>
        <v>49980</v>
      </c>
      <c r="AW190" s="509">
        <f t="shared" si="198"/>
        <v>50010</v>
      </c>
      <c r="AX190" s="509">
        <f t="shared" si="198"/>
        <v>50041</v>
      </c>
      <c r="AY190" s="509">
        <f t="shared" si="198"/>
        <v>50072</v>
      </c>
      <c r="AZ190" s="509">
        <f t="shared" si="198"/>
        <v>50100</v>
      </c>
      <c r="BA190" s="509">
        <f t="shared" si="198"/>
        <v>50131</v>
      </c>
      <c r="BB190" s="509">
        <f t="shared" si="198"/>
        <v>50161</v>
      </c>
      <c r="BC190" s="509">
        <f t="shared" si="198"/>
        <v>50192</v>
      </c>
      <c r="BD190" s="509">
        <f t="shared" si="198"/>
        <v>50222</v>
      </c>
      <c r="BE190" s="509">
        <f t="shared" si="198"/>
        <v>50253</v>
      </c>
      <c r="BF190" s="509">
        <f t="shared" si="198"/>
        <v>50284</v>
      </c>
      <c r="BG190" s="509">
        <f t="shared" si="198"/>
        <v>50314</v>
      </c>
      <c r="BH190" s="509">
        <f t="shared" si="198"/>
        <v>50345</v>
      </c>
      <c r="BI190" s="509">
        <f t="shared" si="198"/>
        <v>50375</v>
      </c>
      <c r="BJ190" s="509">
        <f t="shared" si="198"/>
        <v>50406</v>
      </c>
      <c r="BK190" s="509">
        <f t="shared" si="198"/>
        <v>50437</v>
      </c>
      <c r="BL190" s="509">
        <f t="shared" si="198"/>
        <v>50465</v>
      </c>
      <c r="BM190" s="509">
        <f t="shared" si="198"/>
        <v>50496</v>
      </c>
      <c r="BN190" s="509">
        <f t="shared" si="198"/>
        <v>50526</v>
      </c>
      <c r="BO190" s="509">
        <f t="shared" si="198"/>
        <v>50557</v>
      </c>
      <c r="BP190" s="509">
        <f t="shared" si="198"/>
        <v>50587</v>
      </c>
      <c r="BQ190" s="509">
        <f t="shared" si="198"/>
        <v>50618</v>
      </c>
      <c r="BR190" s="509">
        <f t="shared" si="198"/>
        <v>50649</v>
      </c>
      <c r="BS190" s="509">
        <f t="shared" si="198"/>
        <v>50679</v>
      </c>
      <c r="BT190" s="509">
        <f t="shared" si="198"/>
        <v>50710</v>
      </c>
      <c r="BU190" s="509">
        <f t="shared" si="198"/>
        <v>50740</v>
      </c>
      <c r="BV190" s="509">
        <f t="shared" ref="BV190:CY190" si="199">EDATE(BU190,$K$184)</f>
        <v>50771</v>
      </c>
      <c r="BW190" s="509">
        <f t="shared" si="199"/>
        <v>50802</v>
      </c>
      <c r="BX190" s="509">
        <f t="shared" si="199"/>
        <v>50830</v>
      </c>
      <c r="BY190" s="509">
        <f t="shared" si="199"/>
        <v>50861</v>
      </c>
      <c r="BZ190" s="509">
        <f t="shared" si="199"/>
        <v>50891</v>
      </c>
      <c r="CA190" s="509">
        <f t="shared" si="199"/>
        <v>50922</v>
      </c>
      <c r="CB190" s="509">
        <f t="shared" si="199"/>
        <v>50952</v>
      </c>
      <c r="CC190" s="509">
        <f t="shared" si="199"/>
        <v>50983</v>
      </c>
      <c r="CD190" s="509">
        <f t="shared" si="199"/>
        <v>51014</v>
      </c>
      <c r="CE190" s="509">
        <f t="shared" si="199"/>
        <v>51044</v>
      </c>
      <c r="CF190" s="509">
        <f t="shared" si="199"/>
        <v>51075</v>
      </c>
      <c r="CG190" s="509">
        <f t="shared" si="199"/>
        <v>51105</v>
      </c>
      <c r="CH190" s="509">
        <f t="shared" si="199"/>
        <v>51136</v>
      </c>
      <c r="CI190" s="509">
        <f t="shared" si="199"/>
        <v>51167</v>
      </c>
      <c r="CJ190" s="509">
        <f t="shared" si="199"/>
        <v>51196</v>
      </c>
      <c r="CK190" s="509">
        <f t="shared" si="199"/>
        <v>51227</v>
      </c>
      <c r="CL190" s="509">
        <f t="shared" si="199"/>
        <v>51257</v>
      </c>
      <c r="CM190" s="509">
        <f t="shared" si="199"/>
        <v>51288</v>
      </c>
      <c r="CN190" s="509">
        <f t="shared" si="199"/>
        <v>51318</v>
      </c>
      <c r="CO190" s="509">
        <f t="shared" si="199"/>
        <v>51349</v>
      </c>
      <c r="CP190" s="509">
        <f t="shared" si="199"/>
        <v>51380</v>
      </c>
      <c r="CQ190" s="509">
        <f t="shared" si="199"/>
        <v>51410</v>
      </c>
      <c r="CR190" s="509">
        <f t="shared" si="199"/>
        <v>51441</v>
      </c>
      <c r="CS190" s="509">
        <f t="shared" si="199"/>
        <v>51471</v>
      </c>
      <c r="CT190" s="509">
        <f t="shared" si="199"/>
        <v>51502</v>
      </c>
      <c r="CU190" s="509">
        <f t="shared" si="199"/>
        <v>51533</v>
      </c>
      <c r="CV190" s="509">
        <f t="shared" si="199"/>
        <v>51561</v>
      </c>
      <c r="CW190" s="509">
        <f t="shared" si="199"/>
        <v>51592</v>
      </c>
      <c r="CX190" s="509">
        <f t="shared" si="199"/>
        <v>51622</v>
      </c>
      <c r="CY190" s="516">
        <f t="shared" si="199"/>
        <v>51653</v>
      </c>
    </row>
    <row r="191" spans="2:103">
      <c r="B191" s="584"/>
      <c r="C191" s="585"/>
      <c r="D191" s="603"/>
      <c r="E191" s="524" t="s">
        <v>532</v>
      </c>
      <c r="F191" s="604"/>
      <c r="G191" s="525"/>
      <c r="H191" s="526">
        <f>YEAR(H190)</f>
        <v>2033</v>
      </c>
      <c r="I191" s="526">
        <f t="shared" ref="I191:AN191" si="200">YEAR(I190)</f>
        <v>2033</v>
      </c>
      <c r="J191" s="526">
        <f t="shared" si="200"/>
        <v>2033</v>
      </c>
      <c r="K191" s="526">
        <f t="shared" si="200"/>
        <v>2033</v>
      </c>
      <c r="L191" s="526">
        <f t="shared" si="200"/>
        <v>2033</v>
      </c>
      <c r="M191" s="526">
        <f t="shared" si="200"/>
        <v>2033</v>
      </c>
      <c r="N191" s="526">
        <f t="shared" si="200"/>
        <v>2034</v>
      </c>
      <c r="O191" s="526">
        <f t="shared" si="200"/>
        <v>2034</v>
      </c>
      <c r="P191" s="526">
        <f t="shared" si="200"/>
        <v>2034</v>
      </c>
      <c r="Q191" s="526">
        <f t="shared" si="200"/>
        <v>2034</v>
      </c>
      <c r="R191" s="526">
        <f t="shared" si="200"/>
        <v>2034</v>
      </c>
      <c r="S191" s="526">
        <f t="shared" si="200"/>
        <v>2034</v>
      </c>
      <c r="T191" s="526">
        <f t="shared" si="200"/>
        <v>2034</v>
      </c>
      <c r="U191" s="526">
        <f t="shared" si="200"/>
        <v>2034</v>
      </c>
      <c r="V191" s="526">
        <f t="shared" si="200"/>
        <v>2034</v>
      </c>
      <c r="W191" s="526">
        <f t="shared" si="200"/>
        <v>2034</v>
      </c>
      <c r="X191" s="526">
        <f t="shared" si="200"/>
        <v>2034</v>
      </c>
      <c r="Y191" s="526">
        <f t="shared" si="200"/>
        <v>2034</v>
      </c>
      <c r="Z191" s="526">
        <f t="shared" si="200"/>
        <v>2035</v>
      </c>
      <c r="AA191" s="526">
        <f t="shared" si="200"/>
        <v>2035</v>
      </c>
      <c r="AB191" s="526">
        <f t="shared" si="200"/>
        <v>2035</v>
      </c>
      <c r="AC191" s="526">
        <f t="shared" si="200"/>
        <v>2035</v>
      </c>
      <c r="AD191" s="526">
        <f t="shared" si="200"/>
        <v>2035</v>
      </c>
      <c r="AE191" s="526">
        <f t="shared" si="200"/>
        <v>2035</v>
      </c>
      <c r="AF191" s="526">
        <f t="shared" si="200"/>
        <v>2035</v>
      </c>
      <c r="AG191" s="526">
        <f t="shared" si="200"/>
        <v>2035</v>
      </c>
      <c r="AH191" s="526">
        <f t="shared" si="200"/>
        <v>2035</v>
      </c>
      <c r="AI191" s="526">
        <f t="shared" si="200"/>
        <v>2035</v>
      </c>
      <c r="AJ191" s="526">
        <f t="shared" si="200"/>
        <v>2035</v>
      </c>
      <c r="AK191" s="526">
        <f t="shared" si="200"/>
        <v>2035</v>
      </c>
      <c r="AL191" s="526">
        <f t="shared" si="200"/>
        <v>2036</v>
      </c>
      <c r="AM191" s="526">
        <f t="shared" si="200"/>
        <v>2036</v>
      </c>
      <c r="AN191" s="526">
        <f t="shared" si="200"/>
        <v>2036</v>
      </c>
      <c r="AO191" s="526">
        <f t="shared" ref="AO191:BT191" si="201">YEAR(AO190)</f>
        <v>2036</v>
      </c>
      <c r="AP191" s="526">
        <f t="shared" si="201"/>
        <v>2036</v>
      </c>
      <c r="AQ191" s="526">
        <f t="shared" si="201"/>
        <v>2036</v>
      </c>
      <c r="AR191" s="526">
        <f t="shared" si="201"/>
        <v>2036</v>
      </c>
      <c r="AS191" s="526">
        <f t="shared" si="201"/>
        <v>2036</v>
      </c>
      <c r="AT191" s="526">
        <f t="shared" si="201"/>
        <v>2036</v>
      </c>
      <c r="AU191" s="526">
        <f t="shared" si="201"/>
        <v>2036</v>
      </c>
      <c r="AV191" s="526">
        <f t="shared" si="201"/>
        <v>2036</v>
      </c>
      <c r="AW191" s="526">
        <f t="shared" si="201"/>
        <v>2036</v>
      </c>
      <c r="AX191" s="526">
        <f t="shared" si="201"/>
        <v>2037</v>
      </c>
      <c r="AY191" s="526">
        <f t="shared" si="201"/>
        <v>2037</v>
      </c>
      <c r="AZ191" s="526">
        <f t="shared" si="201"/>
        <v>2037</v>
      </c>
      <c r="BA191" s="526">
        <f t="shared" si="201"/>
        <v>2037</v>
      </c>
      <c r="BB191" s="526">
        <f t="shared" si="201"/>
        <v>2037</v>
      </c>
      <c r="BC191" s="526">
        <f t="shared" si="201"/>
        <v>2037</v>
      </c>
      <c r="BD191" s="526">
        <f t="shared" si="201"/>
        <v>2037</v>
      </c>
      <c r="BE191" s="526">
        <f t="shared" si="201"/>
        <v>2037</v>
      </c>
      <c r="BF191" s="526">
        <f t="shared" si="201"/>
        <v>2037</v>
      </c>
      <c r="BG191" s="526">
        <f t="shared" si="201"/>
        <v>2037</v>
      </c>
      <c r="BH191" s="526">
        <f t="shared" si="201"/>
        <v>2037</v>
      </c>
      <c r="BI191" s="526">
        <f t="shared" si="201"/>
        <v>2037</v>
      </c>
      <c r="BJ191" s="526">
        <f t="shared" si="201"/>
        <v>2038</v>
      </c>
      <c r="BK191" s="526">
        <f t="shared" si="201"/>
        <v>2038</v>
      </c>
      <c r="BL191" s="526">
        <f t="shared" si="201"/>
        <v>2038</v>
      </c>
      <c r="BM191" s="526">
        <f t="shared" si="201"/>
        <v>2038</v>
      </c>
      <c r="BN191" s="526">
        <f t="shared" si="201"/>
        <v>2038</v>
      </c>
      <c r="BO191" s="526">
        <f t="shared" si="201"/>
        <v>2038</v>
      </c>
      <c r="BP191" s="526">
        <f t="shared" si="201"/>
        <v>2038</v>
      </c>
      <c r="BQ191" s="526">
        <f t="shared" si="201"/>
        <v>2038</v>
      </c>
      <c r="BR191" s="526">
        <f t="shared" si="201"/>
        <v>2038</v>
      </c>
      <c r="BS191" s="526">
        <f t="shared" si="201"/>
        <v>2038</v>
      </c>
      <c r="BT191" s="526">
        <f t="shared" si="201"/>
        <v>2038</v>
      </c>
      <c r="BU191" s="526">
        <f t="shared" ref="BU191:CY191" si="202">YEAR(BU190)</f>
        <v>2038</v>
      </c>
      <c r="BV191" s="526">
        <f t="shared" si="202"/>
        <v>2039</v>
      </c>
      <c r="BW191" s="526">
        <f t="shared" si="202"/>
        <v>2039</v>
      </c>
      <c r="BX191" s="526">
        <f t="shared" si="202"/>
        <v>2039</v>
      </c>
      <c r="BY191" s="526">
        <f t="shared" si="202"/>
        <v>2039</v>
      </c>
      <c r="BZ191" s="526">
        <f t="shared" si="202"/>
        <v>2039</v>
      </c>
      <c r="CA191" s="526">
        <f t="shared" si="202"/>
        <v>2039</v>
      </c>
      <c r="CB191" s="526">
        <f t="shared" si="202"/>
        <v>2039</v>
      </c>
      <c r="CC191" s="526">
        <f t="shared" si="202"/>
        <v>2039</v>
      </c>
      <c r="CD191" s="526">
        <f t="shared" si="202"/>
        <v>2039</v>
      </c>
      <c r="CE191" s="526">
        <f t="shared" si="202"/>
        <v>2039</v>
      </c>
      <c r="CF191" s="526">
        <f t="shared" si="202"/>
        <v>2039</v>
      </c>
      <c r="CG191" s="526">
        <f t="shared" si="202"/>
        <v>2039</v>
      </c>
      <c r="CH191" s="526">
        <f t="shared" si="202"/>
        <v>2040</v>
      </c>
      <c r="CI191" s="526">
        <f t="shared" si="202"/>
        <v>2040</v>
      </c>
      <c r="CJ191" s="526">
        <f t="shared" si="202"/>
        <v>2040</v>
      </c>
      <c r="CK191" s="526">
        <f t="shared" si="202"/>
        <v>2040</v>
      </c>
      <c r="CL191" s="526">
        <f t="shared" si="202"/>
        <v>2040</v>
      </c>
      <c r="CM191" s="526">
        <f t="shared" si="202"/>
        <v>2040</v>
      </c>
      <c r="CN191" s="526">
        <f t="shared" si="202"/>
        <v>2040</v>
      </c>
      <c r="CO191" s="526">
        <f t="shared" si="202"/>
        <v>2040</v>
      </c>
      <c r="CP191" s="526">
        <f t="shared" si="202"/>
        <v>2040</v>
      </c>
      <c r="CQ191" s="526">
        <f t="shared" si="202"/>
        <v>2040</v>
      </c>
      <c r="CR191" s="526">
        <f t="shared" si="202"/>
        <v>2040</v>
      </c>
      <c r="CS191" s="526">
        <f t="shared" si="202"/>
        <v>2040</v>
      </c>
      <c r="CT191" s="526">
        <f t="shared" si="202"/>
        <v>2041</v>
      </c>
      <c r="CU191" s="526">
        <f t="shared" si="202"/>
        <v>2041</v>
      </c>
      <c r="CV191" s="526">
        <f t="shared" si="202"/>
        <v>2041</v>
      </c>
      <c r="CW191" s="526">
        <f t="shared" si="202"/>
        <v>2041</v>
      </c>
      <c r="CX191" s="526">
        <f t="shared" si="202"/>
        <v>2041</v>
      </c>
      <c r="CY191" s="527">
        <f t="shared" si="202"/>
        <v>2041</v>
      </c>
    </row>
    <row r="192" spans="2:103">
      <c r="B192" s="584"/>
      <c r="C192" s="585"/>
      <c r="D192" s="603"/>
      <c r="E192" s="605" t="s">
        <v>420</v>
      </c>
      <c r="F192" s="144" t="s">
        <v>535</v>
      </c>
      <c r="G192" s="467"/>
      <c r="H192" s="467">
        <f>$G$183</f>
        <v>5000</v>
      </c>
      <c r="I192" s="467">
        <f>H197</f>
        <v>4955.44356363628</v>
      </c>
      <c r="J192" s="467">
        <f t="shared" ref="J192:AO192" si="203">I197</f>
        <v>4910.74417537256</v>
      </c>
      <c r="K192" s="467">
        <f t="shared" si="203"/>
        <v>4865.90137657149</v>
      </c>
      <c r="L192" s="467">
        <f t="shared" si="203"/>
        <v>4820.91470712426</v>
      </c>
      <c r="M192" s="467">
        <f t="shared" si="203"/>
        <v>4775.7837054459</v>
      </c>
      <c r="N192" s="467">
        <f t="shared" si="203"/>
        <v>4730.50790847048</v>
      </c>
      <c r="O192" s="467">
        <f t="shared" si="203"/>
        <v>4685.08685164644</v>
      </c>
      <c r="P192" s="467">
        <f t="shared" si="203"/>
        <v>4639.52006893175</v>
      </c>
      <c r="Q192" s="467">
        <f t="shared" si="203"/>
        <v>4593.80709278918</v>
      </c>
      <c r="R192" s="467">
        <f t="shared" si="203"/>
        <v>4547.94745418149</v>
      </c>
      <c r="S192" s="467">
        <f t="shared" si="203"/>
        <v>4501.9406825666</v>
      </c>
      <c r="T192" s="467">
        <f t="shared" si="203"/>
        <v>4455.78630589278</v>
      </c>
      <c r="U192" s="467">
        <f t="shared" si="203"/>
        <v>4409.48385059379</v>
      </c>
      <c r="V192" s="467">
        <f t="shared" si="203"/>
        <v>4363.03284158406</v>
      </c>
      <c r="W192" s="467">
        <f t="shared" si="203"/>
        <v>4316.43280225375</v>
      </c>
      <c r="X192" s="467">
        <f t="shared" si="203"/>
        <v>4269.68325446392</v>
      </c>
      <c r="Y192" s="467">
        <f t="shared" si="203"/>
        <v>4222.78371854161</v>
      </c>
      <c r="Z192" s="467">
        <f t="shared" si="203"/>
        <v>4175.73371327487</v>
      </c>
      <c r="AA192" s="467">
        <f t="shared" si="203"/>
        <v>4128.53275590791</v>
      </c>
      <c r="AB192" s="467">
        <f t="shared" si="203"/>
        <v>4081.18036213606</v>
      </c>
      <c r="AC192" s="467">
        <f t="shared" si="203"/>
        <v>4033.67604610085</v>
      </c>
      <c r="AD192" s="467">
        <f t="shared" si="203"/>
        <v>3986.01932038504</v>
      </c>
      <c r="AE192" s="467">
        <f t="shared" si="203"/>
        <v>3938.20969600755</v>
      </c>
      <c r="AF192" s="467">
        <f t="shared" si="203"/>
        <v>3890.24668241852</v>
      </c>
      <c r="AG192" s="467">
        <f t="shared" si="203"/>
        <v>3842.12978749422</v>
      </c>
      <c r="AH192" s="467">
        <f t="shared" si="203"/>
        <v>3793.85851753204</v>
      </c>
      <c r="AI192" s="467">
        <f t="shared" si="203"/>
        <v>3745.4323772454</v>
      </c>
      <c r="AJ192" s="467">
        <f t="shared" si="203"/>
        <v>3696.85086975868</v>
      </c>
      <c r="AK192" s="467">
        <f t="shared" si="203"/>
        <v>3648.11349660209</v>
      </c>
      <c r="AL192" s="467">
        <f t="shared" si="203"/>
        <v>3599.21975770664</v>
      </c>
      <c r="AM192" s="467">
        <f t="shared" si="203"/>
        <v>3550.16915139889</v>
      </c>
      <c r="AN192" s="467">
        <f t="shared" si="203"/>
        <v>3500.96117439591</v>
      </c>
      <c r="AO192" s="467">
        <f t="shared" si="203"/>
        <v>3451.59532180004</v>
      </c>
      <c r="AP192" s="467">
        <f t="shared" ref="AP192:BU192" si="204">AO197</f>
        <v>3402.07108709376</v>
      </c>
      <c r="AQ192" s="467">
        <f t="shared" si="204"/>
        <v>3352.38796213446</v>
      </c>
      <c r="AR192" s="467">
        <f t="shared" si="204"/>
        <v>3302.54543714925</v>
      </c>
      <c r="AS192" s="467">
        <f t="shared" si="204"/>
        <v>3252.54300072972</v>
      </c>
      <c r="AT192" s="467">
        <f t="shared" si="204"/>
        <v>3202.38013982667</v>
      </c>
      <c r="AU192" s="467">
        <f t="shared" si="204"/>
        <v>3152.05633974489</v>
      </c>
      <c r="AV192" s="467">
        <f t="shared" si="204"/>
        <v>3101.57108413785</v>
      </c>
      <c r="AW192" s="467">
        <f t="shared" si="204"/>
        <v>3050.9238550024</v>
      </c>
      <c r="AX192" s="467">
        <f t="shared" si="204"/>
        <v>3000.11413267348</v>
      </c>
      <c r="AY192" s="467">
        <f t="shared" si="204"/>
        <v>2949.14139581875</v>
      </c>
      <c r="AZ192" s="467">
        <f t="shared" si="204"/>
        <v>2898.00512143328</v>
      </c>
      <c r="BA192" s="467">
        <f t="shared" si="204"/>
        <v>2846.70478483415</v>
      </c>
      <c r="BB192" s="467">
        <f t="shared" si="204"/>
        <v>2795.23985965511</v>
      </c>
      <c r="BC192" s="467">
        <f t="shared" si="204"/>
        <v>2743.60981784111</v>
      </c>
      <c r="BD192" s="467">
        <f t="shared" si="204"/>
        <v>2691.81412964296</v>
      </c>
      <c r="BE192" s="467">
        <f t="shared" si="204"/>
        <v>2639.85226361184</v>
      </c>
      <c r="BF192" s="467">
        <f t="shared" si="204"/>
        <v>2587.72368659388</v>
      </c>
      <c r="BG192" s="467">
        <f t="shared" si="204"/>
        <v>2535.42786372464</v>
      </c>
      <c r="BH192" s="467">
        <f t="shared" si="204"/>
        <v>2482.9642584237</v>
      </c>
      <c r="BI192" s="467">
        <f t="shared" si="204"/>
        <v>2430.33233238909</v>
      </c>
      <c r="BJ192" s="467">
        <f t="shared" si="204"/>
        <v>2377.53154559178</v>
      </c>
      <c r="BK192" s="467">
        <f t="shared" si="204"/>
        <v>2324.56135627017</v>
      </c>
      <c r="BL192" s="467">
        <f t="shared" si="204"/>
        <v>2271.42122092448</v>
      </c>
      <c r="BM192" s="467">
        <f t="shared" si="204"/>
        <v>2218.11059431122</v>
      </c>
      <c r="BN192" s="467">
        <f t="shared" si="204"/>
        <v>2164.62892943758</v>
      </c>
      <c r="BO192" s="467">
        <f t="shared" si="204"/>
        <v>2110.9756775558</v>
      </c>
      <c r="BP192" s="467">
        <f t="shared" si="204"/>
        <v>2057.15028815757</v>
      </c>
      <c r="BQ192" s="467">
        <f t="shared" si="204"/>
        <v>2003.15220896835</v>
      </c>
      <c r="BR192" s="467">
        <f t="shared" si="204"/>
        <v>1948.98088594174</v>
      </c>
      <c r="BS192" s="467">
        <f t="shared" si="204"/>
        <v>1894.63576325375</v>
      </c>
      <c r="BT192" s="467">
        <f t="shared" si="204"/>
        <v>1840.11628329713</v>
      </c>
      <c r="BU192" s="467">
        <f t="shared" si="204"/>
        <v>1785.42188667565</v>
      </c>
      <c r="BV192" s="467">
        <f t="shared" ref="BV192:CY192" si="205">BU197</f>
        <v>1730.55201219835</v>
      </c>
      <c r="BW192" s="467">
        <f t="shared" si="205"/>
        <v>1675.50609687376</v>
      </c>
      <c r="BX192" s="467">
        <f t="shared" si="205"/>
        <v>1620.28357590417</v>
      </c>
      <c r="BY192" s="467">
        <f t="shared" si="205"/>
        <v>1564.88388267981</v>
      </c>
      <c r="BZ192" s="467">
        <f t="shared" si="205"/>
        <v>1509.30644877302</v>
      </c>
      <c r="CA192" s="467">
        <f t="shared" si="205"/>
        <v>1453.55070393244</v>
      </c>
      <c r="CB192" s="467">
        <f t="shared" si="205"/>
        <v>1397.61607607717</v>
      </c>
      <c r="CC192" s="467">
        <f t="shared" si="205"/>
        <v>1341.50199129086</v>
      </c>
      <c r="CD192" s="467">
        <f t="shared" si="205"/>
        <v>1285.20787381586</v>
      </c>
      <c r="CE192" s="467">
        <f t="shared" si="205"/>
        <v>1228.7331460473</v>
      </c>
      <c r="CF192" s="467">
        <f t="shared" si="205"/>
        <v>1172.07722852715</v>
      </c>
      <c r="CG192" s="467">
        <f t="shared" si="205"/>
        <v>1115.23953993828</v>
      </c>
      <c r="CH192" s="467">
        <f t="shared" si="205"/>
        <v>1058.21949709853</v>
      </c>
      <c r="CI192" s="467">
        <f t="shared" si="205"/>
        <v>1001.01651495466</v>
      </c>
      <c r="CJ192" s="467">
        <f t="shared" si="205"/>
        <v>943.63000657642</v>
      </c>
      <c r="CK192" s="467">
        <f t="shared" si="205"/>
        <v>886.059383150463</v>
      </c>
      <c r="CL192" s="467">
        <f t="shared" si="205"/>
        <v>828.304053974348</v>
      </c>
      <c r="CM192" s="467">
        <f t="shared" si="205"/>
        <v>770.36342645046</v>
      </c>
      <c r="CN192" s="467">
        <f t="shared" si="205"/>
        <v>712.236906079933</v>
      </c>
      <c r="CO192" s="467">
        <f t="shared" si="205"/>
        <v>653.92389645655</v>
      </c>
      <c r="CP192" s="467">
        <f t="shared" si="205"/>
        <v>595.423799260625</v>
      </c>
      <c r="CQ192" s="467">
        <f t="shared" si="205"/>
        <v>536.736014252864</v>
      </c>
      <c r="CR192" s="467">
        <f t="shared" si="205"/>
        <v>477.859939268202</v>
      </c>
      <c r="CS192" s="467">
        <f t="shared" si="205"/>
        <v>418.794970209632</v>
      </c>
      <c r="CT192" s="467">
        <f t="shared" si="205"/>
        <v>359.540501041999</v>
      </c>
      <c r="CU192" s="467">
        <f t="shared" si="205"/>
        <v>300.095923785786</v>
      </c>
      <c r="CV192" s="467">
        <f t="shared" si="205"/>
        <v>240.460628510876</v>
      </c>
      <c r="CW192" s="467">
        <f t="shared" si="205"/>
        <v>180.634003330292</v>
      </c>
      <c r="CX192" s="467">
        <f t="shared" si="205"/>
        <v>120.615434393921</v>
      </c>
      <c r="CY192" s="483">
        <f t="shared" si="205"/>
        <v>60.4043058822122</v>
      </c>
    </row>
    <row r="193" spans="2:106">
      <c r="B193" s="584"/>
      <c r="C193" s="585"/>
      <c r="D193" s="603"/>
      <c r="E193" s="606"/>
      <c r="F193" s="144" t="s">
        <v>536</v>
      </c>
      <c r="G193" s="467"/>
      <c r="H193" s="467">
        <v>0</v>
      </c>
      <c r="I193" s="467">
        <v>0</v>
      </c>
      <c r="J193" s="467">
        <v>0</v>
      </c>
      <c r="K193" s="467">
        <v>0</v>
      </c>
      <c r="L193" s="467">
        <v>0</v>
      </c>
      <c r="M193" s="467">
        <v>0</v>
      </c>
      <c r="N193" s="467">
        <v>0</v>
      </c>
      <c r="O193" s="467">
        <v>0</v>
      </c>
      <c r="P193" s="467">
        <v>0</v>
      </c>
      <c r="Q193" s="467">
        <v>0</v>
      </c>
      <c r="R193" s="467">
        <v>0</v>
      </c>
      <c r="S193" s="467">
        <v>0</v>
      </c>
      <c r="T193" s="467">
        <v>0</v>
      </c>
      <c r="U193" s="467">
        <v>0</v>
      </c>
      <c r="V193" s="467">
        <v>0</v>
      </c>
      <c r="W193" s="467">
        <v>0</v>
      </c>
      <c r="X193" s="467">
        <v>0</v>
      </c>
      <c r="Y193" s="467">
        <v>0</v>
      </c>
      <c r="Z193" s="467">
        <v>0</v>
      </c>
      <c r="AA193" s="467">
        <v>0</v>
      </c>
      <c r="AB193" s="467">
        <v>0</v>
      </c>
      <c r="AC193" s="467">
        <v>0</v>
      </c>
      <c r="AD193" s="467">
        <v>0</v>
      </c>
      <c r="AE193" s="467">
        <v>0</v>
      </c>
      <c r="AF193" s="467">
        <v>0</v>
      </c>
      <c r="AG193" s="467">
        <v>0</v>
      </c>
      <c r="AH193" s="467">
        <v>0</v>
      </c>
      <c r="AI193" s="467">
        <v>0</v>
      </c>
      <c r="AJ193" s="467">
        <v>0</v>
      </c>
      <c r="AK193" s="467">
        <v>0</v>
      </c>
      <c r="AL193" s="467">
        <v>0</v>
      </c>
      <c r="AM193" s="467">
        <v>0</v>
      </c>
      <c r="AN193" s="467">
        <v>0</v>
      </c>
      <c r="AO193" s="467">
        <v>0</v>
      </c>
      <c r="AP193" s="467">
        <v>0</v>
      </c>
      <c r="AQ193" s="467">
        <v>0</v>
      </c>
      <c r="AR193" s="467">
        <v>0</v>
      </c>
      <c r="AS193" s="467">
        <v>0</v>
      </c>
      <c r="AT193" s="467">
        <v>0</v>
      </c>
      <c r="AU193" s="467">
        <v>0</v>
      </c>
      <c r="AV193" s="467">
        <v>0</v>
      </c>
      <c r="AW193" s="467">
        <v>0</v>
      </c>
      <c r="AX193" s="467">
        <v>0</v>
      </c>
      <c r="AY193" s="467">
        <v>0</v>
      </c>
      <c r="AZ193" s="467">
        <v>0</v>
      </c>
      <c r="BA193" s="467">
        <v>0</v>
      </c>
      <c r="BB193" s="467">
        <v>0</v>
      </c>
      <c r="BC193" s="467">
        <v>0</v>
      </c>
      <c r="BD193" s="467">
        <v>0</v>
      </c>
      <c r="BE193" s="467">
        <v>0</v>
      </c>
      <c r="BF193" s="467">
        <v>0</v>
      </c>
      <c r="BG193" s="467">
        <v>0</v>
      </c>
      <c r="BH193" s="467">
        <v>0</v>
      </c>
      <c r="BI193" s="467">
        <v>0</v>
      </c>
      <c r="BJ193" s="467">
        <v>0</v>
      </c>
      <c r="BK193" s="467">
        <v>0</v>
      </c>
      <c r="BL193" s="467">
        <v>0</v>
      </c>
      <c r="BM193" s="467">
        <v>0</v>
      </c>
      <c r="BN193" s="467">
        <v>0</v>
      </c>
      <c r="BO193" s="467">
        <v>0</v>
      </c>
      <c r="BP193" s="467">
        <v>0</v>
      </c>
      <c r="BQ193" s="467">
        <v>0</v>
      </c>
      <c r="BR193" s="467">
        <v>0</v>
      </c>
      <c r="BS193" s="467">
        <v>0</v>
      </c>
      <c r="BT193" s="467">
        <v>0</v>
      </c>
      <c r="BU193" s="467">
        <v>0</v>
      </c>
      <c r="BV193" s="467">
        <v>0</v>
      </c>
      <c r="BW193" s="467">
        <v>0</v>
      </c>
      <c r="BX193" s="467">
        <v>0</v>
      </c>
      <c r="BY193" s="467">
        <v>0</v>
      </c>
      <c r="BZ193" s="467">
        <v>0</v>
      </c>
      <c r="CA193" s="467">
        <v>0</v>
      </c>
      <c r="CB193" s="467">
        <v>0</v>
      </c>
      <c r="CC193" s="467">
        <v>0</v>
      </c>
      <c r="CD193" s="467">
        <v>0</v>
      </c>
      <c r="CE193" s="467">
        <v>0</v>
      </c>
      <c r="CF193" s="467">
        <v>0</v>
      </c>
      <c r="CG193" s="467">
        <v>0</v>
      </c>
      <c r="CH193" s="467">
        <v>0</v>
      </c>
      <c r="CI193" s="467">
        <v>0</v>
      </c>
      <c r="CJ193" s="467">
        <v>0</v>
      </c>
      <c r="CK193" s="467">
        <v>0</v>
      </c>
      <c r="CL193" s="467">
        <v>0</v>
      </c>
      <c r="CM193" s="467">
        <v>0</v>
      </c>
      <c r="CN193" s="467">
        <v>0</v>
      </c>
      <c r="CO193" s="467">
        <v>0</v>
      </c>
      <c r="CP193" s="467">
        <v>0</v>
      </c>
      <c r="CQ193" s="467">
        <v>0</v>
      </c>
      <c r="CR193" s="467">
        <v>0</v>
      </c>
      <c r="CS193" s="467">
        <v>0</v>
      </c>
      <c r="CT193" s="467">
        <v>0</v>
      </c>
      <c r="CU193" s="467">
        <v>0</v>
      </c>
      <c r="CV193" s="467">
        <v>0</v>
      </c>
      <c r="CW193" s="467">
        <v>0</v>
      </c>
      <c r="CX193" s="467">
        <v>0</v>
      </c>
      <c r="CY193" s="483">
        <v>0</v>
      </c>
    </row>
    <row r="194" spans="2:106">
      <c r="B194" s="584"/>
      <c r="C194" s="585"/>
      <c r="D194" s="603"/>
      <c r="E194" s="606"/>
      <c r="F194" s="144" t="s">
        <v>537</v>
      </c>
      <c r="G194" s="467">
        <f>SUM(H194:CY194)</f>
        <v>5817.41789091737</v>
      </c>
      <c r="H194" s="467">
        <f>-PMT($G$188/$K$185,$K$186,$G$183)</f>
        <v>60.5981030303893</v>
      </c>
      <c r="I194" s="467">
        <f t="shared" ref="I194:R194" si="206">-PMT($G$188/$K$185,$K$186,$G$183)</f>
        <v>60.5981030303893</v>
      </c>
      <c r="J194" s="467">
        <f t="shared" si="206"/>
        <v>60.5981030303893</v>
      </c>
      <c r="K194" s="467">
        <f t="shared" si="206"/>
        <v>60.5981030303893</v>
      </c>
      <c r="L194" s="467">
        <f t="shared" si="206"/>
        <v>60.5981030303893</v>
      </c>
      <c r="M194" s="467">
        <f t="shared" si="206"/>
        <v>60.5981030303893</v>
      </c>
      <c r="N194" s="467">
        <f t="shared" si="206"/>
        <v>60.5981030303893</v>
      </c>
      <c r="O194" s="467">
        <f t="shared" si="206"/>
        <v>60.5981030303893</v>
      </c>
      <c r="P194" s="467">
        <f t="shared" si="206"/>
        <v>60.5981030303893</v>
      </c>
      <c r="Q194" s="467">
        <f t="shared" si="206"/>
        <v>60.5981030303893</v>
      </c>
      <c r="R194" s="467">
        <f t="shared" si="206"/>
        <v>60.5981030303893</v>
      </c>
      <c r="S194" s="467">
        <f t="shared" ref="S194:AB194" si="207">-PMT($G$188/$K$185,$K$186,$G$183)</f>
        <v>60.5981030303893</v>
      </c>
      <c r="T194" s="467">
        <f t="shared" si="207"/>
        <v>60.5981030303893</v>
      </c>
      <c r="U194" s="467">
        <f t="shared" si="207"/>
        <v>60.5981030303893</v>
      </c>
      <c r="V194" s="467">
        <f t="shared" si="207"/>
        <v>60.5981030303893</v>
      </c>
      <c r="W194" s="467">
        <f t="shared" si="207"/>
        <v>60.5981030303893</v>
      </c>
      <c r="X194" s="467">
        <f t="shared" si="207"/>
        <v>60.5981030303893</v>
      </c>
      <c r="Y194" s="467">
        <f t="shared" si="207"/>
        <v>60.5981030303893</v>
      </c>
      <c r="Z194" s="467">
        <f t="shared" si="207"/>
        <v>60.5981030303893</v>
      </c>
      <c r="AA194" s="467">
        <f t="shared" si="207"/>
        <v>60.5981030303893</v>
      </c>
      <c r="AB194" s="467">
        <f t="shared" si="207"/>
        <v>60.5981030303893</v>
      </c>
      <c r="AC194" s="467">
        <f t="shared" ref="AC194:AL194" si="208">-PMT($G$188/$K$185,$K$186,$G$183)</f>
        <v>60.5981030303893</v>
      </c>
      <c r="AD194" s="467">
        <f t="shared" si="208"/>
        <v>60.5981030303893</v>
      </c>
      <c r="AE194" s="467">
        <f t="shared" si="208"/>
        <v>60.5981030303893</v>
      </c>
      <c r="AF194" s="467">
        <f t="shared" si="208"/>
        <v>60.5981030303893</v>
      </c>
      <c r="AG194" s="467">
        <f t="shared" si="208"/>
        <v>60.5981030303893</v>
      </c>
      <c r="AH194" s="467">
        <f t="shared" si="208"/>
        <v>60.5981030303893</v>
      </c>
      <c r="AI194" s="467">
        <f t="shared" si="208"/>
        <v>60.5981030303893</v>
      </c>
      <c r="AJ194" s="467">
        <f t="shared" si="208"/>
        <v>60.5981030303893</v>
      </c>
      <c r="AK194" s="467">
        <f t="shared" si="208"/>
        <v>60.5981030303893</v>
      </c>
      <c r="AL194" s="467">
        <f t="shared" si="208"/>
        <v>60.5981030303893</v>
      </c>
      <c r="AM194" s="467">
        <f t="shared" ref="AM194:AV194" si="209">-PMT($G$188/$K$185,$K$186,$G$183)</f>
        <v>60.5981030303893</v>
      </c>
      <c r="AN194" s="467">
        <f t="shared" si="209"/>
        <v>60.5981030303893</v>
      </c>
      <c r="AO194" s="467">
        <f t="shared" si="209"/>
        <v>60.5981030303893</v>
      </c>
      <c r="AP194" s="467">
        <f t="shared" si="209"/>
        <v>60.5981030303893</v>
      </c>
      <c r="AQ194" s="467">
        <f t="shared" si="209"/>
        <v>60.5981030303893</v>
      </c>
      <c r="AR194" s="467">
        <f t="shared" si="209"/>
        <v>60.5981030303893</v>
      </c>
      <c r="AS194" s="467">
        <f t="shared" si="209"/>
        <v>60.5981030303893</v>
      </c>
      <c r="AT194" s="467">
        <f t="shared" si="209"/>
        <v>60.5981030303893</v>
      </c>
      <c r="AU194" s="467">
        <f t="shared" si="209"/>
        <v>60.5981030303893</v>
      </c>
      <c r="AV194" s="467">
        <f t="shared" si="209"/>
        <v>60.5981030303893</v>
      </c>
      <c r="AW194" s="467">
        <f t="shared" ref="AW194:BF194" si="210">-PMT($G$188/$K$185,$K$186,$G$183)</f>
        <v>60.5981030303893</v>
      </c>
      <c r="AX194" s="467">
        <f t="shared" si="210"/>
        <v>60.5981030303893</v>
      </c>
      <c r="AY194" s="467">
        <f t="shared" si="210"/>
        <v>60.5981030303893</v>
      </c>
      <c r="AZ194" s="467">
        <f t="shared" si="210"/>
        <v>60.5981030303893</v>
      </c>
      <c r="BA194" s="467">
        <f t="shared" si="210"/>
        <v>60.5981030303893</v>
      </c>
      <c r="BB194" s="467">
        <f t="shared" si="210"/>
        <v>60.5981030303893</v>
      </c>
      <c r="BC194" s="467">
        <f t="shared" si="210"/>
        <v>60.5981030303893</v>
      </c>
      <c r="BD194" s="467">
        <f t="shared" si="210"/>
        <v>60.5981030303893</v>
      </c>
      <c r="BE194" s="467">
        <f t="shared" si="210"/>
        <v>60.5981030303893</v>
      </c>
      <c r="BF194" s="467">
        <f t="shared" si="210"/>
        <v>60.5981030303893</v>
      </c>
      <c r="BG194" s="467">
        <f t="shared" ref="BG194:BP194" si="211">-PMT($G$188/$K$185,$K$186,$G$183)</f>
        <v>60.5981030303893</v>
      </c>
      <c r="BH194" s="467">
        <f t="shared" si="211"/>
        <v>60.5981030303893</v>
      </c>
      <c r="BI194" s="467">
        <f t="shared" si="211"/>
        <v>60.5981030303893</v>
      </c>
      <c r="BJ194" s="467">
        <f t="shared" si="211"/>
        <v>60.5981030303893</v>
      </c>
      <c r="BK194" s="467">
        <f t="shared" si="211"/>
        <v>60.5981030303893</v>
      </c>
      <c r="BL194" s="467">
        <f t="shared" si="211"/>
        <v>60.5981030303893</v>
      </c>
      <c r="BM194" s="467">
        <f t="shared" si="211"/>
        <v>60.5981030303893</v>
      </c>
      <c r="BN194" s="467">
        <f t="shared" si="211"/>
        <v>60.5981030303893</v>
      </c>
      <c r="BO194" s="467">
        <f t="shared" si="211"/>
        <v>60.5981030303893</v>
      </c>
      <c r="BP194" s="467">
        <f t="shared" si="211"/>
        <v>60.5981030303893</v>
      </c>
      <c r="BQ194" s="467">
        <f t="shared" ref="BQ194:BZ194" si="212">-PMT($G$188/$K$185,$K$186,$G$183)</f>
        <v>60.5981030303893</v>
      </c>
      <c r="BR194" s="467">
        <f t="shared" si="212"/>
        <v>60.5981030303893</v>
      </c>
      <c r="BS194" s="467">
        <f t="shared" si="212"/>
        <v>60.5981030303893</v>
      </c>
      <c r="BT194" s="467">
        <f t="shared" si="212"/>
        <v>60.5981030303893</v>
      </c>
      <c r="BU194" s="467">
        <f t="shared" si="212"/>
        <v>60.5981030303893</v>
      </c>
      <c r="BV194" s="467">
        <f t="shared" si="212"/>
        <v>60.5981030303893</v>
      </c>
      <c r="BW194" s="467">
        <f t="shared" si="212"/>
        <v>60.5981030303893</v>
      </c>
      <c r="BX194" s="467">
        <f t="shared" si="212"/>
        <v>60.5981030303893</v>
      </c>
      <c r="BY194" s="467">
        <f t="shared" si="212"/>
        <v>60.5981030303893</v>
      </c>
      <c r="BZ194" s="467">
        <f t="shared" si="212"/>
        <v>60.5981030303893</v>
      </c>
      <c r="CA194" s="467">
        <f t="shared" ref="CA194:CJ194" si="213">-PMT($G$188/$K$185,$K$186,$G$183)</f>
        <v>60.5981030303893</v>
      </c>
      <c r="CB194" s="467">
        <f t="shared" si="213"/>
        <v>60.5981030303893</v>
      </c>
      <c r="CC194" s="467">
        <f t="shared" si="213"/>
        <v>60.5981030303893</v>
      </c>
      <c r="CD194" s="467">
        <f t="shared" si="213"/>
        <v>60.5981030303893</v>
      </c>
      <c r="CE194" s="467">
        <f t="shared" si="213"/>
        <v>60.5981030303893</v>
      </c>
      <c r="CF194" s="467">
        <f t="shared" si="213"/>
        <v>60.5981030303893</v>
      </c>
      <c r="CG194" s="467">
        <f t="shared" si="213"/>
        <v>60.5981030303893</v>
      </c>
      <c r="CH194" s="467">
        <f t="shared" si="213"/>
        <v>60.5981030303893</v>
      </c>
      <c r="CI194" s="467">
        <f t="shared" si="213"/>
        <v>60.5981030303893</v>
      </c>
      <c r="CJ194" s="467">
        <f t="shared" si="213"/>
        <v>60.5981030303893</v>
      </c>
      <c r="CK194" s="467">
        <f t="shared" ref="CK194:CY194" si="214">-PMT($G$188/$K$185,$K$186,$G$183)</f>
        <v>60.5981030303893</v>
      </c>
      <c r="CL194" s="467">
        <f t="shared" si="214"/>
        <v>60.5981030303893</v>
      </c>
      <c r="CM194" s="467">
        <f t="shared" si="214"/>
        <v>60.5981030303893</v>
      </c>
      <c r="CN194" s="467">
        <f t="shared" si="214"/>
        <v>60.5981030303893</v>
      </c>
      <c r="CO194" s="467">
        <f t="shared" si="214"/>
        <v>60.5981030303893</v>
      </c>
      <c r="CP194" s="467">
        <f t="shared" si="214"/>
        <v>60.5981030303893</v>
      </c>
      <c r="CQ194" s="467">
        <f t="shared" si="214"/>
        <v>60.5981030303893</v>
      </c>
      <c r="CR194" s="467">
        <f t="shared" si="214"/>
        <v>60.5981030303893</v>
      </c>
      <c r="CS194" s="467">
        <f t="shared" si="214"/>
        <v>60.5981030303893</v>
      </c>
      <c r="CT194" s="467">
        <f t="shared" si="214"/>
        <v>60.5981030303893</v>
      </c>
      <c r="CU194" s="467">
        <f t="shared" si="214"/>
        <v>60.5981030303893</v>
      </c>
      <c r="CV194" s="467">
        <f t="shared" si="214"/>
        <v>60.5981030303893</v>
      </c>
      <c r="CW194" s="467">
        <f t="shared" si="214"/>
        <v>60.5981030303893</v>
      </c>
      <c r="CX194" s="467">
        <f t="shared" si="214"/>
        <v>60.5981030303893</v>
      </c>
      <c r="CY194" s="483">
        <f t="shared" si="214"/>
        <v>60.5981030303893</v>
      </c>
    </row>
    <row r="195" spans="2:106">
      <c r="B195" s="584"/>
      <c r="C195" s="585"/>
      <c r="D195" s="603"/>
      <c r="E195" s="606"/>
      <c r="F195" s="145" t="s">
        <v>538</v>
      </c>
      <c r="G195" s="467">
        <f t="shared" ref="G195:G202" si="215">SUM(H195:CY195)</f>
        <v>5000.00000000014</v>
      </c>
      <c r="H195" s="467">
        <f>H194-H196</f>
        <v>44.5564363637226</v>
      </c>
      <c r="I195" s="467">
        <f t="shared" ref="I195:AN195" si="216">I194-I196</f>
        <v>44.6993882637229</v>
      </c>
      <c r="J195" s="467">
        <f t="shared" si="216"/>
        <v>44.842798801069</v>
      </c>
      <c r="K195" s="467">
        <f t="shared" si="216"/>
        <v>44.9866694472224</v>
      </c>
      <c r="L195" s="467">
        <f t="shared" si="216"/>
        <v>45.1310016783656</v>
      </c>
      <c r="M195" s="467">
        <f t="shared" si="216"/>
        <v>45.275796975417</v>
      </c>
      <c r="N195" s="467">
        <f t="shared" si="216"/>
        <v>45.4210568240465</v>
      </c>
      <c r="O195" s="467">
        <f t="shared" si="216"/>
        <v>45.5667827146903</v>
      </c>
      <c r="P195" s="467">
        <f t="shared" si="216"/>
        <v>45.7129761425666</v>
      </c>
      <c r="Q195" s="467">
        <f t="shared" si="216"/>
        <v>45.8596386076907</v>
      </c>
      <c r="R195" s="467">
        <f t="shared" si="216"/>
        <v>46.0067716148904</v>
      </c>
      <c r="S195" s="467">
        <f t="shared" si="216"/>
        <v>46.1543766738215</v>
      </c>
      <c r="T195" s="467">
        <f t="shared" si="216"/>
        <v>46.3024552989833</v>
      </c>
      <c r="U195" s="467">
        <f t="shared" si="216"/>
        <v>46.4510090097342</v>
      </c>
      <c r="V195" s="467">
        <f t="shared" si="216"/>
        <v>46.6000393303071</v>
      </c>
      <c r="W195" s="467">
        <f t="shared" si="216"/>
        <v>46.7495477898252</v>
      </c>
      <c r="X195" s="467">
        <f t="shared" si="216"/>
        <v>46.8995359223175</v>
      </c>
      <c r="Y195" s="467">
        <f t="shared" si="216"/>
        <v>47.050005266735</v>
      </c>
      <c r="Z195" s="467">
        <f t="shared" si="216"/>
        <v>47.2009573669657</v>
      </c>
      <c r="AA195" s="467">
        <f t="shared" si="216"/>
        <v>47.3523937718514</v>
      </c>
      <c r="AB195" s="467">
        <f t="shared" si="216"/>
        <v>47.5043160352028</v>
      </c>
      <c r="AC195" s="467">
        <f t="shared" si="216"/>
        <v>47.6567257158157</v>
      </c>
      <c r="AD195" s="467">
        <f t="shared" si="216"/>
        <v>47.8096243774873</v>
      </c>
      <c r="AE195" s="467">
        <f t="shared" si="216"/>
        <v>47.9630135890317</v>
      </c>
      <c r="AF195" s="467">
        <f t="shared" si="216"/>
        <v>48.1168949242966</v>
      </c>
      <c r="AG195" s="467">
        <f t="shared" si="216"/>
        <v>48.2712699621787</v>
      </c>
      <c r="AH195" s="467">
        <f t="shared" si="216"/>
        <v>48.4261402866407</v>
      </c>
      <c r="AI195" s="467">
        <f t="shared" si="216"/>
        <v>48.581507486727</v>
      </c>
      <c r="AJ195" s="467">
        <f t="shared" si="216"/>
        <v>48.7373731565802</v>
      </c>
      <c r="AK195" s="467">
        <f t="shared" si="216"/>
        <v>48.8937388954576</v>
      </c>
      <c r="AL195" s="467">
        <f t="shared" si="216"/>
        <v>49.0506063077472</v>
      </c>
      <c r="AM195" s="467">
        <f t="shared" si="216"/>
        <v>49.2079770029845</v>
      </c>
      <c r="AN195" s="467">
        <f t="shared" si="216"/>
        <v>49.3658525958691</v>
      </c>
      <c r="AO195" s="467">
        <f t="shared" ref="AO195:BT195" si="217">AO194-AO196</f>
        <v>49.5242347062809</v>
      </c>
      <c r="AP195" s="467">
        <f t="shared" si="217"/>
        <v>49.6831249592968</v>
      </c>
      <c r="AQ195" s="467">
        <f t="shared" si="217"/>
        <v>49.8425249852079</v>
      </c>
      <c r="AR195" s="467">
        <f t="shared" si="217"/>
        <v>50.0024364195354</v>
      </c>
      <c r="AS195" s="467">
        <f t="shared" si="217"/>
        <v>50.1628609030481</v>
      </c>
      <c r="AT195" s="467">
        <f t="shared" si="217"/>
        <v>50.3238000817787</v>
      </c>
      <c r="AU195" s="467">
        <f t="shared" si="217"/>
        <v>50.4852556070411</v>
      </c>
      <c r="AV195" s="467">
        <f t="shared" si="217"/>
        <v>50.647229135447</v>
      </c>
      <c r="AW195" s="467">
        <f t="shared" si="217"/>
        <v>50.8097223289233</v>
      </c>
      <c r="AX195" s="467">
        <f t="shared" si="217"/>
        <v>50.9727368547286</v>
      </c>
      <c r="AY195" s="467">
        <f t="shared" si="217"/>
        <v>51.1362743854708</v>
      </c>
      <c r="AZ195" s="467">
        <f t="shared" si="217"/>
        <v>51.3003365991242</v>
      </c>
      <c r="BA195" s="467">
        <f t="shared" si="217"/>
        <v>51.4649251790464</v>
      </c>
      <c r="BB195" s="467">
        <f t="shared" si="217"/>
        <v>51.6300418139958</v>
      </c>
      <c r="BC195" s="467">
        <f t="shared" si="217"/>
        <v>51.7956881981491</v>
      </c>
      <c r="BD195" s="467">
        <f t="shared" si="217"/>
        <v>51.9618660311181</v>
      </c>
      <c r="BE195" s="467">
        <f t="shared" si="217"/>
        <v>52.128577017968</v>
      </c>
      <c r="BF195" s="467">
        <f t="shared" si="217"/>
        <v>52.2958228692339</v>
      </c>
      <c r="BG195" s="467">
        <f t="shared" si="217"/>
        <v>52.4636053009394</v>
      </c>
      <c r="BH195" s="467">
        <f t="shared" si="217"/>
        <v>52.6319260346133</v>
      </c>
      <c r="BI195" s="467">
        <f t="shared" si="217"/>
        <v>52.8007867973076</v>
      </c>
      <c r="BJ195" s="467">
        <f t="shared" si="217"/>
        <v>52.9701893216157</v>
      </c>
      <c r="BK195" s="467">
        <f t="shared" si="217"/>
        <v>53.1401353456892</v>
      </c>
      <c r="BL195" s="467">
        <f t="shared" si="217"/>
        <v>53.3106266132566</v>
      </c>
      <c r="BM195" s="467">
        <f t="shared" si="217"/>
        <v>53.4816648736408</v>
      </c>
      <c r="BN195" s="467">
        <f t="shared" si="217"/>
        <v>53.6532518817771</v>
      </c>
      <c r="BO195" s="467">
        <f t="shared" si="217"/>
        <v>53.8253893982311</v>
      </c>
      <c r="BP195" s="467">
        <f t="shared" si="217"/>
        <v>53.9980791892171</v>
      </c>
      <c r="BQ195" s="467">
        <f t="shared" si="217"/>
        <v>54.1713230266158</v>
      </c>
      <c r="BR195" s="467">
        <f t="shared" si="217"/>
        <v>54.3451226879929</v>
      </c>
      <c r="BS195" s="467">
        <f t="shared" si="217"/>
        <v>54.5194799566169</v>
      </c>
      <c r="BT195" s="467">
        <f t="shared" si="217"/>
        <v>54.6943966214777</v>
      </c>
      <c r="BU195" s="467">
        <f t="shared" ref="BU195:CY195" si="218">BU194-BU196</f>
        <v>54.8698744773049</v>
      </c>
      <c r="BV195" s="467">
        <f t="shared" si="218"/>
        <v>55.0459153245863</v>
      </c>
      <c r="BW195" s="467">
        <f t="shared" si="218"/>
        <v>55.222520969586</v>
      </c>
      <c r="BX195" s="467">
        <f t="shared" si="218"/>
        <v>55.3996932243634</v>
      </c>
      <c r="BY195" s="467">
        <f t="shared" si="218"/>
        <v>55.5774339067916</v>
      </c>
      <c r="BZ195" s="467">
        <f t="shared" si="218"/>
        <v>55.7557448405759</v>
      </c>
      <c r="CA195" s="467">
        <f t="shared" si="218"/>
        <v>55.9346278552727</v>
      </c>
      <c r="CB195" s="467">
        <f t="shared" si="218"/>
        <v>56.1140847863084</v>
      </c>
      <c r="CC195" s="467">
        <f t="shared" si="218"/>
        <v>56.2941174749978</v>
      </c>
      <c r="CD195" s="467">
        <f t="shared" si="218"/>
        <v>56.4747277685634</v>
      </c>
      <c r="CE195" s="467">
        <f t="shared" si="218"/>
        <v>56.6559175201542</v>
      </c>
      <c r="CF195" s="467">
        <f t="shared" si="218"/>
        <v>56.8376885888647</v>
      </c>
      <c r="CG195" s="467">
        <f t="shared" si="218"/>
        <v>57.020042839754</v>
      </c>
      <c r="CH195" s="467">
        <f t="shared" si="218"/>
        <v>57.2029821438649</v>
      </c>
      <c r="CI195" s="467">
        <f t="shared" si="218"/>
        <v>57.3865083782431</v>
      </c>
      <c r="CJ195" s="467">
        <f t="shared" si="218"/>
        <v>57.5706234259566</v>
      </c>
      <c r="CK195" s="467">
        <f t="shared" si="218"/>
        <v>57.7553291761149</v>
      </c>
      <c r="CL195" s="467">
        <f t="shared" si="218"/>
        <v>57.9406275238883</v>
      </c>
      <c r="CM195" s="467">
        <f t="shared" si="218"/>
        <v>58.1265203705274</v>
      </c>
      <c r="CN195" s="467">
        <f t="shared" si="218"/>
        <v>58.3130096233828</v>
      </c>
      <c r="CO195" s="467">
        <f t="shared" si="218"/>
        <v>58.5000971959245</v>
      </c>
      <c r="CP195" s="467">
        <f t="shared" si="218"/>
        <v>58.6877850077615</v>
      </c>
      <c r="CQ195" s="467">
        <f t="shared" si="218"/>
        <v>58.8760749846614</v>
      </c>
      <c r="CR195" s="467">
        <f t="shared" si="218"/>
        <v>59.0649690585705</v>
      </c>
      <c r="CS195" s="467">
        <f t="shared" si="218"/>
        <v>59.2544691676334</v>
      </c>
      <c r="CT195" s="467">
        <f t="shared" si="218"/>
        <v>59.4445772562129</v>
      </c>
      <c r="CU195" s="467">
        <f t="shared" si="218"/>
        <v>59.6352952749099</v>
      </c>
      <c r="CV195" s="467">
        <f t="shared" si="218"/>
        <v>59.8266251805836</v>
      </c>
      <c r="CW195" s="467">
        <f t="shared" si="218"/>
        <v>60.0185689363713</v>
      </c>
      <c r="CX195" s="467">
        <f t="shared" si="218"/>
        <v>60.2111285117088</v>
      </c>
      <c r="CY195" s="483">
        <f t="shared" si="218"/>
        <v>60.4043058823505</v>
      </c>
    </row>
    <row r="196" spans="2:106">
      <c r="B196" s="584"/>
      <c r="C196" s="585"/>
      <c r="D196" s="603"/>
      <c r="E196" s="606"/>
      <c r="F196" s="33" t="s">
        <v>539</v>
      </c>
      <c r="G196" s="467">
        <f t="shared" si="215"/>
        <v>817.417890917234</v>
      </c>
      <c r="H196" s="542">
        <f>(H192+H193/2)*($G$188/$K$185)</f>
        <v>16.0416666666667</v>
      </c>
      <c r="I196" s="542">
        <f t="shared" ref="I196:AN196" si="219">(I192+I193/2)*($G$188/$K$185)</f>
        <v>15.8987147666664</v>
      </c>
      <c r="J196" s="542">
        <f t="shared" si="219"/>
        <v>15.7553042293203</v>
      </c>
      <c r="K196" s="542">
        <f t="shared" si="219"/>
        <v>15.6114335831669</v>
      </c>
      <c r="L196" s="542">
        <f t="shared" si="219"/>
        <v>15.4671013520237</v>
      </c>
      <c r="M196" s="542">
        <f t="shared" si="219"/>
        <v>15.3223060549723</v>
      </c>
      <c r="N196" s="542">
        <f t="shared" si="219"/>
        <v>15.1770462063428</v>
      </c>
      <c r="O196" s="542">
        <f t="shared" si="219"/>
        <v>15.031320315699</v>
      </c>
      <c r="P196" s="542">
        <f t="shared" si="219"/>
        <v>14.8851268878227</v>
      </c>
      <c r="Q196" s="542">
        <f t="shared" si="219"/>
        <v>14.7384644226986</v>
      </c>
      <c r="R196" s="542">
        <f t="shared" si="219"/>
        <v>14.5913314154989</v>
      </c>
      <c r="S196" s="542">
        <f t="shared" si="219"/>
        <v>14.4437263565678</v>
      </c>
      <c r="T196" s="542">
        <f t="shared" si="219"/>
        <v>14.295647731406</v>
      </c>
      <c r="U196" s="542">
        <f t="shared" si="219"/>
        <v>14.1470940206551</v>
      </c>
      <c r="V196" s="542">
        <f t="shared" si="219"/>
        <v>13.9980637000822</v>
      </c>
      <c r="W196" s="542">
        <f t="shared" si="219"/>
        <v>13.8485552405641</v>
      </c>
      <c r="X196" s="542">
        <f t="shared" si="219"/>
        <v>13.6985671080718</v>
      </c>
      <c r="Y196" s="542">
        <f t="shared" si="219"/>
        <v>13.5480977636543</v>
      </c>
      <c r="Z196" s="542">
        <f t="shared" si="219"/>
        <v>13.3971456634235</v>
      </c>
      <c r="AA196" s="542">
        <f t="shared" si="219"/>
        <v>13.2457092585379</v>
      </c>
      <c r="AB196" s="542">
        <f t="shared" si="219"/>
        <v>13.0937869951865</v>
      </c>
      <c r="AC196" s="542">
        <f t="shared" si="219"/>
        <v>12.9413773145736</v>
      </c>
      <c r="AD196" s="542">
        <f t="shared" si="219"/>
        <v>12.788478652902</v>
      </c>
      <c r="AE196" s="542">
        <f t="shared" si="219"/>
        <v>12.6350894413576</v>
      </c>
      <c r="AF196" s="542">
        <f t="shared" si="219"/>
        <v>12.4812081060927</v>
      </c>
      <c r="AG196" s="542">
        <f t="shared" si="219"/>
        <v>12.3268330682106</v>
      </c>
      <c r="AH196" s="542">
        <f t="shared" si="219"/>
        <v>12.1719627437486</v>
      </c>
      <c r="AI196" s="542">
        <f t="shared" si="219"/>
        <v>12.0165955436623</v>
      </c>
      <c r="AJ196" s="542">
        <f t="shared" si="219"/>
        <v>11.8607298738091</v>
      </c>
      <c r="AK196" s="542">
        <f t="shared" si="219"/>
        <v>11.7043641349317</v>
      </c>
      <c r="AL196" s="542">
        <f t="shared" si="219"/>
        <v>11.5474967226421</v>
      </c>
      <c r="AM196" s="542">
        <f t="shared" si="219"/>
        <v>11.3901260274048</v>
      </c>
      <c r="AN196" s="542">
        <f t="shared" si="219"/>
        <v>11.2322504345202</v>
      </c>
      <c r="AO196" s="542">
        <f t="shared" ref="AO196:BT196" si="220">(AO192+AO193/2)*($G$188/$K$185)</f>
        <v>11.0738683241084</v>
      </c>
      <c r="AP196" s="542">
        <f t="shared" si="220"/>
        <v>10.9149780710925</v>
      </c>
      <c r="AQ196" s="542">
        <f t="shared" si="220"/>
        <v>10.7555780451814</v>
      </c>
      <c r="AR196" s="542">
        <f t="shared" si="220"/>
        <v>10.5956666108538</v>
      </c>
      <c r="AS196" s="542">
        <f t="shared" si="220"/>
        <v>10.4352421273412</v>
      </c>
      <c r="AT196" s="542">
        <f t="shared" si="220"/>
        <v>10.2743029486106</v>
      </c>
      <c r="AU196" s="542">
        <f t="shared" si="220"/>
        <v>10.1128474233482</v>
      </c>
      <c r="AV196" s="542">
        <f t="shared" si="220"/>
        <v>9.95087389494226</v>
      </c>
      <c r="AW196" s="542">
        <f t="shared" si="220"/>
        <v>9.78838070146603</v>
      </c>
      <c r="AX196" s="542">
        <f t="shared" si="220"/>
        <v>9.62536617566074</v>
      </c>
      <c r="AY196" s="542">
        <f t="shared" si="220"/>
        <v>9.46182864491848</v>
      </c>
      <c r="AZ196" s="542">
        <f t="shared" si="220"/>
        <v>9.2977664312651</v>
      </c>
      <c r="BA196" s="542">
        <f t="shared" si="220"/>
        <v>9.13317785134291</v>
      </c>
      <c r="BB196" s="542">
        <f t="shared" si="220"/>
        <v>8.96806121639347</v>
      </c>
      <c r="BC196" s="542">
        <f t="shared" si="220"/>
        <v>8.80241483224023</v>
      </c>
      <c r="BD196" s="542">
        <f t="shared" si="220"/>
        <v>8.63623699927117</v>
      </c>
      <c r="BE196" s="542">
        <f t="shared" si="220"/>
        <v>8.46952601242133</v>
      </c>
      <c r="BF196" s="542">
        <f t="shared" si="220"/>
        <v>8.30228016115535</v>
      </c>
      <c r="BG196" s="542">
        <f t="shared" si="220"/>
        <v>8.13449772944989</v>
      </c>
      <c r="BH196" s="542">
        <f t="shared" si="220"/>
        <v>7.96617699577605</v>
      </c>
      <c r="BI196" s="542">
        <f t="shared" si="220"/>
        <v>7.79731623308166</v>
      </c>
      <c r="BJ196" s="542">
        <f t="shared" si="220"/>
        <v>7.62791370877363</v>
      </c>
      <c r="BK196" s="542">
        <f t="shared" si="220"/>
        <v>7.45796768470012</v>
      </c>
      <c r="BL196" s="542">
        <f t="shared" si="220"/>
        <v>7.2874764171327</v>
      </c>
      <c r="BM196" s="542">
        <f t="shared" si="220"/>
        <v>7.1164381567485</v>
      </c>
      <c r="BN196" s="542">
        <f t="shared" si="220"/>
        <v>6.94485114861223</v>
      </c>
      <c r="BO196" s="542">
        <f t="shared" si="220"/>
        <v>6.7727136321582</v>
      </c>
      <c r="BP196" s="542">
        <f t="shared" si="220"/>
        <v>6.60002384117221</v>
      </c>
      <c r="BQ196" s="542">
        <f t="shared" si="220"/>
        <v>6.42678000377347</v>
      </c>
      <c r="BR196" s="542">
        <f t="shared" si="220"/>
        <v>6.25298034239641</v>
      </c>
      <c r="BS196" s="542">
        <f t="shared" si="220"/>
        <v>6.07862307377243</v>
      </c>
      <c r="BT196" s="542">
        <f t="shared" si="220"/>
        <v>5.90370640891162</v>
      </c>
      <c r="BU196" s="542">
        <f t="shared" ref="BU196:CY196" si="221">(BU192+BU193/2)*($G$188/$K$185)</f>
        <v>5.72822855308438</v>
      </c>
      <c r="BV196" s="542">
        <f t="shared" si="221"/>
        <v>5.55218770580303</v>
      </c>
      <c r="BW196" s="542">
        <f t="shared" si="221"/>
        <v>5.37558206080331</v>
      </c>
      <c r="BX196" s="542">
        <f t="shared" si="221"/>
        <v>5.19840980602589</v>
      </c>
      <c r="BY196" s="542">
        <f t="shared" si="221"/>
        <v>5.02066912359772</v>
      </c>
      <c r="BZ196" s="542">
        <f t="shared" si="221"/>
        <v>4.84235818981344</v>
      </c>
      <c r="CA196" s="542">
        <f t="shared" si="221"/>
        <v>4.66347517511659</v>
      </c>
      <c r="CB196" s="542">
        <f t="shared" si="221"/>
        <v>4.48401824408092</v>
      </c>
      <c r="CC196" s="542">
        <f t="shared" si="221"/>
        <v>4.30398555539151</v>
      </c>
      <c r="CD196" s="542">
        <f t="shared" si="221"/>
        <v>4.1233752618259</v>
      </c>
      <c r="CE196" s="542">
        <f t="shared" si="221"/>
        <v>3.94218551023509</v>
      </c>
      <c r="CF196" s="542">
        <f t="shared" si="221"/>
        <v>3.76041444152459</v>
      </c>
      <c r="CG196" s="542">
        <f t="shared" si="221"/>
        <v>3.57806019063532</v>
      </c>
      <c r="CH196" s="542">
        <f t="shared" si="221"/>
        <v>3.39512088652444</v>
      </c>
      <c r="CI196" s="542">
        <f t="shared" si="221"/>
        <v>3.21159465214621</v>
      </c>
      <c r="CJ196" s="542">
        <f t="shared" si="221"/>
        <v>3.02747960443268</v>
      </c>
      <c r="CK196" s="542">
        <f t="shared" si="221"/>
        <v>2.8427738542744</v>
      </c>
      <c r="CL196" s="542">
        <f t="shared" si="221"/>
        <v>2.65747550650103</v>
      </c>
      <c r="CM196" s="542">
        <f t="shared" si="221"/>
        <v>2.47158265986189</v>
      </c>
      <c r="CN196" s="542">
        <f t="shared" si="221"/>
        <v>2.28509340700645</v>
      </c>
      <c r="CO196" s="542">
        <f t="shared" si="221"/>
        <v>2.09800583446476</v>
      </c>
      <c r="CP196" s="542">
        <f t="shared" si="221"/>
        <v>1.91031802262784</v>
      </c>
      <c r="CQ196" s="542">
        <f t="shared" si="221"/>
        <v>1.72202804572794</v>
      </c>
      <c r="CR196" s="542">
        <f t="shared" si="221"/>
        <v>1.53313397181882</v>
      </c>
      <c r="CS196" s="542">
        <f t="shared" si="221"/>
        <v>1.3436338627559</v>
      </c>
      <c r="CT196" s="542">
        <f t="shared" si="221"/>
        <v>1.15352577417641</v>
      </c>
      <c r="CU196" s="542">
        <f t="shared" si="221"/>
        <v>0.962807755479396</v>
      </c>
      <c r="CV196" s="542">
        <f t="shared" si="221"/>
        <v>0.771477849805727</v>
      </c>
      <c r="CW196" s="542">
        <f t="shared" si="221"/>
        <v>0.579534094018021</v>
      </c>
      <c r="CX196" s="542">
        <f t="shared" si="221"/>
        <v>0.386974518680496</v>
      </c>
      <c r="CY196" s="543">
        <f t="shared" si="221"/>
        <v>0.193797148038764</v>
      </c>
    </row>
    <row r="197" spans="2:106">
      <c r="B197" s="584"/>
      <c r="C197" s="585"/>
      <c r="D197" s="603"/>
      <c r="E197" s="607"/>
      <c r="F197" s="144" t="s">
        <v>540</v>
      </c>
      <c r="G197" s="467">
        <f>CY197</f>
        <v>-1.38371092361922e-10</v>
      </c>
      <c r="H197" s="467">
        <f>H192+H193-H195</f>
        <v>4955.44356363628</v>
      </c>
      <c r="I197" s="467">
        <f t="shared" ref="I197:AN197" si="222">I192+I193-I195</f>
        <v>4910.74417537256</v>
      </c>
      <c r="J197" s="467">
        <f t="shared" si="222"/>
        <v>4865.90137657149</v>
      </c>
      <c r="K197" s="467">
        <f t="shared" si="222"/>
        <v>4820.91470712426</v>
      </c>
      <c r="L197" s="467">
        <f t="shared" si="222"/>
        <v>4775.7837054459</v>
      </c>
      <c r="M197" s="467">
        <f t="shared" si="222"/>
        <v>4730.50790847048</v>
      </c>
      <c r="N197" s="467">
        <f t="shared" si="222"/>
        <v>4685.08685164644</v>
      </c>
      <c r="O197" s="467">
        <f t="shared" si="222"/>
        <v>4639.52006893175</v>
      </c>
      <c r="P197" s="467">
        <f t="shared" si="222"/>
        <v>4593.80709278918</v>
      </c>
      <c r="Q197" s="467">
        <f t="shared" si="222"/>
        <v>4547.94745418149</v>
      </c>
      <c r="R197" s="467">
        <f t="shared" si="222"/>
        <v>4501.9406825666</v>
      </c>
      <c r="S197" s="467">
        <f t="shared" si="222"/>
        <v>4455.78630589278</v>
      </c>
      <c r="T197" s="467">
        <f t="shared" si="222"/>
        <v>4409.48385059379</v>
      </c>
      <c r="U197" s="467">
        <f t="shared" si="222"/>
        <v>4363.03284158406</v>
      </c>
      <c r="V197" s="467">
        <f t="shared" si="222"/>
        <v>4316.43280225375</v>
      </c>
      <c r="W197" s="467">
        <f t="shared" si="222"/>
        <v>4269.68325446392</v>
      </c>
      <c r="X197" s="467">
        <f t="shared" si="222"/>
        <v>4222.78371854161</v>
      </c>
      <c r="Y197" s="467">
        <f t="shared" si="222"/>
        <v>4175.73371327487</v>
      </c>
      <c r="Z197" s="467">
        <f t="shared" si="222"/>
        <v>4128.53275590791</v>
      </c>
      <c r="AA197" s="467">
        <f t="shared" si="222"/>
        <v>4081.18036213606</v>
      </c>
      <c r="AB197" s="467">
        <f t="shared" si="222"/>
        <v>4033.67604610085</v>
      </c>
      <c r="AC197" s="467">
        <f t="shared" si="222"/>
        <v>3986.01932038504</v>
      </c>
      <c r="AD197" s="467">
        <f t="shared" si="222"/>
        <v>3938.20969600755</v>
      </c>
      <c r="AE197" s="467">
        <f t="shared" si="222"/>
        <v>3890.24668241852</v>
      </c>
      <c r="AF197" s="467">
        <f t="shared" si="222"/>
        <v>3842.12978749422</v>
      </c>
      <c r="AG197" s="467">
        <f t="shared" si="222"/>
        <v>3793.85851753204</v>
      </c>
      <c r="AH197" s="467">
        <f t="shared" si="222"/>
        <v>3745.4323772454</v>
      </c>
      <c r="AI197" s="467">
        <f t="shared" si="222"/>
        <v>3696.85086975868</v>
      </c>
      <c r="AJ197" s="467">
        <f t="shared" si="222"/>
        <v>3648.11349660209</v>
      </c>
      <c r="AK197" s="467">
        <f t="shared" si="222"/>
        <v>3599.21975770664</v>
      </c>
      <c r="AL197" s="467">
        <f t="shared" si="222"/>
        <v>3550.16915139889</v>
      </c>
      <c r="AM197" s="467">
        <f t="shared" si="222"/>
        <v>3500.96117439591</v>
      </c>
      <c r="AN197" s="467">
        <f t="shared" si="222"/>
        <v>3451.59532180004</v>
      </c>
      <c r="AO197" s="467">
        <f t="shared" ref="AO197:BT197" si="223">AO192+AO193-AO195</f>
        <v>3402.07108709376</v>
      </c>
      <c r="AP197" s="467">
        <f t="shared" si="223"/>
        <v>3352.38796213446</v>
      </c>
      <c r="AQ197" s="467">
        <f t="shared" si="223"/>
        <v>3302.54543714925</v>
      </c>
      <c r="AR197" s="467">
        <f t="shared" si="223"/>
        <v>3252.54300072972</v>
      </c>
      <c r="AS197" s="467">
        <f t="shared" si="223"/>
        <v>3202.38013982667</v>
      </c>
      <c r="AT197" s="467">
        <f t="shared" si="223"/>
        <v>3152.05633974489</v>
      </c>
      <c r="AU197" s="467">
        <f t="shared" si="223"/>
        <v>3101.57108413785</v>
      </c>
      <c r="AV197" s="467">
        <f t="shared" si="223"/>
        <v>3050.9238550024</v>
      </c>
      <c r="AW197" s="467">
        <f t="shared" si="223"/>
        <v>3000.11413267348</v>
      </c>
      <c r="AX197" s="467">
        <f t="shared" si="223"/>
        <v>2949.14139581875</v>
      </c>
      <c r="AY197" s="467">
        <f t="shared" si="223"/>
        <v>2898.00512143328</v>
      </c>
      <c r="AZ197" s="467">
        <f t="shared" si="223"/>
        <v>2846.70478483415</v>
      </c>
      <c r="BA197" s="467">
        <f t="shared" si="223"/>
        <v>2795.23985965511</v>
      </c>
      <c r="BB197" s="467">
        <f t="shared" si="223"/>
        <v>2743.60981784111</v>
      </c>
      <c r="BC197" s="467">
        <f t="shared" si="223"/>
        <v>2691.81412964296</v>
      </c>
      <c r="BD197" s="467">
        <f t="shared" si="223"/>
        <v>2639.85226361184</v>
      </c>
      <c r="BE197" s="467">
        <f t="shared" si="223"/>
        <v>2587.72368659388</v>
      </c>
      <c r="BF197" s="467">
        <f t="shared" si="223"/>
        <v>2535.42786372464</v>
      </c>
      <c r="BG197" s="467">
        <f t="shared" si="223"/>
        <v>2482.9642584237</v>
      </c>
      <c r="BH197" s="467">
        <f t="shared" si="223"/>
        <v>2430.33233238909</v>
      </c>
      <c r="BI197" s="467">
        <f t="shared" si="223"/>
        <v>2377.53154559178</v>
      </c>
      <c r="BJ197" s="467">
        <f t="shared" si="223"/>
        <v>2324.56135627017</v>
      </c>
      <c r="BK197" s="467">
        <f t="shared" si="223"/>
        <v>2271.42122092448</v>
      </c>
      <c r="BL197" s="467">
        <f t="shared" si="223"/>
        <v>2218.11059431122</v>
      </c>
      <c r="BM197" s="467">
        <f t="shared" si="223"/>
        <v>2164.62892943758</v>
      </c>
      <c r="BN197" s="467">
        <f t="shared" si="223"/>
        <v>2110.9756775558</v>
      </c>
      <c r="BO197" s="467">
        <f t="shared" si="223"/>
        <v>2057.15028815757</v>
      </c>
      <c r="BP197" s="467">
        <f t="shared" si="223"/>
        <v>2003.15220896835</v>
      </c>
      <c r="BQ197" s="467">
        <f t="shared" si="223"/>
        <v>1948.98088594174</v>
      </c>
      <c r="BR197" s="467">
        <f t="shared" si="223"/>
        <v>1894.63576325375</v>
      </c>
      <c r="BS197" s="467">
        <f t="shared" si="223"/>
        <v>1840.11628329713</v>
      </c>
      <c r="BT197" s="467">
        <f t="shared" si="223"/>
        <v>1785.42188667565</v>
      </c>
      <c r="BU197" s="467">
        <f t="shared" ref="BU197:CY197" si="224">BU192+BU193-BU195</f>
        <v>1730.55201219835</v>
      </c>
      <c r="BV197" s="467">
        <f t="shared" si="224"/>
        <v>1675.50609687376</v>
      </c>
      <c r="BW197" s="467">
        <f t="shared" si="224"/>
        <v>1620.28357590417</v>
      </c>
      <c r="BX197" s="467">
        <f t="shared" si="224"/>
        <v>1564.88388267981</v>
      </c>
      <c r="BY197" s="467">
        <f t="shared" si="224"/>
        <v>1509.30644877302</v>
      </c>
      <c r="BZ197" s="467">
        <f t="shared" si="224"/>
        <v>1453.55070393244</v>
      </c>
      <c r="CA197" s="467">
        <f t="shared" si="224"/>
        <v>1397.61607607717</v>
      </c>
      <c r="CB197" s="467">
        <f t="shared" si="224"/>
        <v>1341.50199129086</v>
      </c>
      <c r="CC197" s="467">
        <f t="shared" si="224"/>
        <v>1285.20787381586</v>
      </c>
      <c r="CD197" s="467">
        <f t="shared" si="224"/>
        <v>1228.7331460473</v>
      </c>
      <c r="CE197" s="467">
        <f t="shared" si="224"/>
        <v>1172.07722852715</v>
      </c>
      <c r="CF197" s="467">
        <f t="shared" si="224"/>
        <v>1115.23953993828</v>
      </c>
      <c r="CG197" s="467">
        <f t="shared" si="224"/>
        <v>1058.21949709853</v>
      </c>
      <c r="CH197" s="467">
        <f t="shared" si="224"/>
        <v>1001.01651495466</v>
      </c>
      <c r="CI197" s="467">
        <f t="shared" si="224"/>
        <v>943.63000657642</v>
      </c>
      <c r="CJ197" s="467">
        <f t="shared" si="224"/>
        <v>886.059383150463</v>
      </c>
      <c r="CK197" s="467">
        <f t="shared" si="224"/>
        <v>828.304053974348</v>
      </c>
      <c r="CL197" s="467">
        <f t="shared" si="224"/>
        <v>770.36342645046</v>
      </c>
      <c r="CM197" s="467">
        <f t="shared" si="224"/>
        <v>712.236906079933</v>
      </c>
      <c r="CN197" s="467">
        <f t="shared" si="224"/>
        <v>653.92389645655</v>
      </c>
      <c r="CO197" s="467">
        <f t="shared" si="224"/>
        <v>595.423799260625</v>
      </c>
      <c r="CP197" s="467">
        <f t="shared" si="224"/>
        <v>536.736014252864</v>
      </c>
      <c r="CQ197" s="467">
        <f t="shared" si="224"/>
        <v>477.859939268202</v>
      </c>
      <c r="CR197" s="467">
        <f t="shared" si="224"/>
        <v>418.794970209632</v>
      </c>
      <c r="CS197" s="467">
        <f t="shared" si="224"/>
        <v>359.540501041999</v>
      </c>
      <c r="CT197" s="467">
        <f t="shared" si="224"/>
        <v>300.095923785786</v>
      </c>
      <c r="CU197" s="467">
        <f t="shared" si="224"/>
        <v>240.460628510876</v>
      </c>
      <c r="CV197" s="467">
        <f t="shared" si="224"/>
        <v>180.634003330292</v>
      </c>
      <c r="CW197" s="467">
        <f t="shared" si="224"/>
        <v>120.615434393921</v>
      </c>
      <c r="CX197" s="467">
        <f t="shared" si="224"/>
        <v>60.4043058822122</v>
      </c>
      <c r="CY197" s="483">
        <f t="shared" si="224"/>
        <v>-1.38371092361922e-10</v>
      </c>
    </row>
    <row r="198" spans="2:106">
      <c r="B198" s="584"/>
      <c r="C198" s="585"/>
      <c r="D198" s="603"/>
      <c r="E198" s="605" t="s">
        <v>207</v>
      </c>
      <c r="F198" s="144" t="s">
        <v>535</v>
      </c>
      <c r="G198" s="515"/>
      <c r="H198" s="467">
        <f>$G$183</f>
        <v>5000</v>
      </c>
      <c r="I198" s="467">
        <f>H203</f>
        <v>4947.91666666667</v>
      </c>
      <c r="J198" s="467">
        <f t="shared" ref="J198:AO198" si="225">I203</f>
        <v>4895.83333333333</v>
      </c>
      <c r="K198" s="467">
        <f t="shared" si="225"/>
        <v>4843.75</v>
      </c>
      <c r="L198" s="467">
        <f t="shared" si="225"/>
        <v>4791.66666666667</v>
      </c>
      <c r="M198" s="467">
        <f t="shared" si="225"/>
        <v>4739.58333333333</v>
      </c>
      <c r="N198" s="467">
        <f t="shared" si="225"/>
        <v>4687.5</v>
      </c>
      <c r="O198" s="467">
        <f t="shared" si="225"/>
        <v>4635.41666666667</v>
      </c>
      <c r="P198" s="467">
        <f t="shared" si="225"/>
        <v>4583.33333333334</v>
      </c>
      <c r="Q198" s="467">
        <f t="shared" si="225"/>
        <v>4531.25</v>
      </c>
      <c r="R198" s="467">
        <f t="shared" si="225"/>
        <v>4479.16666666667</v>
      </c>
      <c r="S198" s="467">
        <f t="shared" si="225"/>
        <v>4427.08333333334</v>
      </c>
      <c r="T198" s="467">
        <f t="shared" si="225"/>
        <v>4375</v>
      </c>
      <c r="U198" s="467">
        <f t="shared" si="225"/>
        <v>4322.91666666667</v>
      </c>
      <c r="V198" s="467">
        <f t="shared" si="225"/>
        <v>4270.83333333334</v>
      </c>
      <c r="W198" s="467">
        <f t="shared" si="225"/>
        <v>4218.75</v>
      </c>
      <c r="X198" s="467">
        <f t="shared" si="225"/>
        <v>4166.66666666667</v>
      </c>
      <c r="Y198" s="467">
        <f t="shared" si="225"/>
        <v>4114.58333333334</v>
      </c>
      <c r="Z198" s="467">
        <f t="shared" si="225"/>
        <v>4062.50000000001</v>
      </c>
      <c r="AA198" s="467">
        <f t="shared" si="225"/>
        <v>4010.41666666667</v>
      </c>
      <c r="AB198" s="467">
        <f t="shared" si="225"/>
        <v>3958.33333333334</v>
      </c>
      <c r="AC198" s="467">
        <f t="shared" si="225"/>
        <v>3906.25</v>
      </c>
      <c r="AD198" s="467">
        <f t="shared" si="225"/>
        <v>3854.16666666667</v>
      </c>
      <c r="AE198" s="467">
        <f t="shared" si="225"/>
        <v>3802.08333333334</v>
      </c>
      <c r="AF198" s="467">
        <f t="shared" si="225"/>
        <v>3750</v>
      </c>
      <c r="AG198" s="467">
        <f t="shared" si="225"/>
        <v>3697.91666666667</v>
      </c>
      <c r="AH198" s="467">
        <f t="shared" si="225"/>
        <v>3645.83333333334</v>
      </c>
      <c r="AI198" s="467">
        <f t="shared" si="225"/>
        <v>3593.75</v>
      </c>
      <c r="AJ198" s="467">
        <f t="shared" si="225"/>
        <v>3541.66666666667</v>
      </c>
      <c r="AK198" s="467">
        <f t="shared" si="225"/>
        <v>3489.58333333334</v>
      </c>
      <c r="AL198" s="467">
        <f t="shared" si="225"/>
        <v>3437.5</v>
      </c>
      <c r="AM198" s="467">
        <f t="shared" si="225"/>
        <v>3385.41666666667</v>
      </c>
      <c r="AN198" s="467">
        <f t="shared" si="225"/>
        <v>3333.33333333334</v>
      </c>
      <c r="AO198" s="467">
        <f t="shared" si="225"/>
        <v>3281.25</v>
      </c>
      <c r="AP198" s="467">
        <f t="shared" ref="AP198:BU198" si="226">AO203</f>
        <v>3229.16666666667</v>
      </c>
      <c r="AQ198" s="467">
        <f t="shared" si="226"/>
        <v>3177.08333333334</v>
      </c>
      <c r="AR198" s="467">
        <f t="shared" si="226"/>
        <v>3125</v>
      </c>
      <c r="AS198" s="467">
        <f t="shared" si="226"/>
        <v>3072.91666666667</v>
      </c>
      <c r="AT198" s="467">
        <f t="shared" si="226"/>
        <v>3020.83333333334</v>
      </c>
      <c r="AU198" s="467">
        <f t="shared" si="226"/>
        <v>2968.75</v>
      </c>
      <c r="AV198" s="467">
        <f t="shared" si="226"/>
        <v>2916.66666666667</v>
      </c>
      <c r="AW198" s="467">
        <f t="shared" si="226"/>
        <v>2864.58333333333</v>
      </c>
      <c r="AX198" s="467">
        <f t="shared" si="226"/>
        <v>2812.5</v>
      </c>
      <c r="AY198" s="467">
        <f t="shared" si="226"/>
        <v>2760.41666666667</v>
      </c>
      <c r="AZ198" s="467">
        <f t="shared" si="226"/>
        <v>2708.33333333333</v>
      </c>
      <c r="BA198" s="467">
        <f t="shared" si="226"/>
        <v>2656.25</v>
      </c>
      <c r="BB198" s="467">
        <f t="shared" si="226"/>
        <v>2604.16666666667</v>
      </c>
      <c r="BC198" s="467">
        <f t="shared" si="226"/>
        <v>2552.08333333333</v>
      </c>
      <c r="BD198" s="467">
        <f t="shared" si="226"/>
        <v>2500</v>
      </c>
      <c r="BE198" s="467">
        <f t="shared" si="226"/>
        <v>2447.91666666667</v>
      </c>
      <c r="BF198" s="467">
        <f t="shared" si="226"/>
        <v>2395.83333333333</v>
      </c>
      <c r="BG198" s="467">
        <f t="shared" si="226"/>
        <v>2343.75</v>
      </c>
      <c r="BH198" s="467">
        <f t="shared" si="226"/>
        <v>2291.66666666667</v>
      </c>
      <c r="BI198" s="467">
        <f t="shared" si="226"/>
        <v>2239.58333333333</v>
      </c>
      <c r="BJ198" s="467">
        <f t="shared" si="226"/>
        <v>2187.5</v>
      </c>
      <c r="BK198" s="467">
        <f t="shared" si="226"/>
        <v>2135.41666666667</v>
      </c>
      <c r="BL198" s="467">
        <f t="shared" si="226"/>
        <v>2083.33333333333</v>
      </c>
      <c r="BM198" s="467">
        <f t="shared" si="226"/>
        <v>2031.25</v>
      </c>
      <c r="BN198" s="467">
        <f t="shared" si="226"/>
        <v>1979.16666666667</v>
      </c>
      <c r="BO198" s="467">
        <f t="shared" si="226"/>
        <v>1927.08333333333</v>
      </c>
      <c r="BP198" s="467">
        <f t="shared" si="226"/>
        <v>1875</v>
      </c>
      <c r="BQ198" s="467">
        <f t="shared" si="226"/>
        <v>1822.91666666667</v>
      </c>
      <c r="BR198" s="467">
        <f t="shared" si="226"/>
        <v>1770.83333333333</v>
      </c>
      <c r="BS198" s="467">
        <f t="shared" si="226"/>
        <v>1718.75</v>
      </c>
      <c r="BT198" s="467">
        <f t="shared" si="226"/>
        <v>1666.66666666667</v>
      </c>
      <c r="BU198" s="467">
        <f t="shared" si="226"/>
        <v>1614.58333333333</v>
      </c>
      <c r="BV198" s="467">
        <f t="shared" ref="BV198:CY198" si="227">BU203</f>
        <v>1562.5</v>
      </c>
      <c r="BW198" s="467">
        <f t="shared" si="227"/>
        <v>1510.41666666667</v>
      </c>
      <c r="BX198" s="467">
        <f t="shared" si="227"/>
        <v>1458.33333333333</v>
      </c>
      <c r="BY198" s="467">
        <f t="shared" si="227"/>
        <v>1406.25</v>
      </c>
      <c r="BZ198" s="467">
        <f t="shared" si="227"/>
        <v>1354.16666666667</v>
      </c>
      <c r="CA198" s="467">
        <f t="shared" si="227"/>
        <v>1302.08333333333</v>
      </c>
      <c r="CB198" s="467">
        <f t="shared" si="227"/>
        <v>1250</v>
      </c>
      <c r="CC198" s="467">
        <f t="shared" si="227"/>
        <v>1197.91666666667</v>
      </c>
      <c r="CD198" s="467">
        <f t="shared" si="227"/>
        <v>1145.83333333333</v>
      </c>
      <c r="CE198" s="467">
        <f t="shared" si="227"/>
        <v>1093.75</v>
      </c>
      <c r="CF198" s="467">
        <f t="shared" si="227"/>
        <v>1041.66666666667</v>
      </c>
      <c r="CG198" s="467">
        <f t="shared" si="227"/>
        <v>989.583333333334</v>
      </c>
      <c r="CH198" s="467">
        <f t="shared" si="227"/>
        <v>937.500000000001</v>
      </c>
      <c r="CI198" s="467">
        <f t="shared" si="227"/>
        <v>885.416666666667</v>
      </c>
      <c r="CJ198" s="467">
        <f t="shared" si="227"/>
        <v>833.333333333334</v>
      </c>
      <c r="CK198" s="467">
        <f t="shared" si="227"/>
        <v>781.250000000001</v>
      </c>
      <c r="CL198" s="467">
        <f t="shared" si="227"/>
        <v>729.166666666667</v>
      </c>
      <c r="CM198" s="467">
        <f t="shared" si="227"/>
        <v>677.083333333334</v>
      </c>
      <c r="CN198" s="467">
        <f t="shared" si="227"/>
        <v>625</v>
      </c>
      <c r="CO198" s="467">
        <f t="shared" si="227"/>
        <v>572.916666666667</v>
      </c>
      <c r="CP198" s="467">
        <f t="shared" si="227"/>
        <v>520.833333333334</v>
      </c>
      <c r="CQ198" s="467">
        <f t="shared" si="227"/>
        <v>468.75</v>
      </c>
      <c r="CR198" s="467">
        <f t="shared" si="227"/>
        <v>416.666666666667</v>
      </c>
      <c r="CS198" s="467">
        <f t="shared" si="227"/>
        <v>364.583333333334</v>
      </c>
      <c r="CT198" s="467">
        <f t="shared" si="227"/>
        <v>312.5</v>
      </c>
      <c r="CU198" s="467">
        <f t="shared" si="227"/>
        <v>260.416666666667</v>
      </c>
      <c r="CV198" s="467">
        <f t="shared" si="227"/>
        <v>208.333333333334</v>
      </c>
      <c r="CW198" s="467">
        <f t="shared" si="227"/>
        <v>156.25</v>
      </c>
      <c r="CX198" s="467">
        <f t="shared" si="227"/>
        <v>104.166666666667</v>
      </c>
      <c r="CY198" s="483">
        <f t="shared" si="227"/>
        <v>52.0833333333338</v>
      </c>
    </row>
    <row r="199" spans="2:106">
      <c r="B199" s="584"/>
      <c r="C199" s="585"/>
      <c r="D199" s="603"/>
      <c r="E199" s="606"/>
      <c r="F199" s="144" t="s">
        <v>536</v>
      </c>
      <c r="G199" s="515"/>
      <c r="H199" s="467">
        <v>0</v>
      </c>
      <c r="I199" s="467">
        <v>0</v>
      </c>
      <c r="J199" s="467">
        <v>0</v>
      </c>
      <c r="K199" s="467">
        <v>0</v>
      </c>
      <c r="L199" s="467">
        <v>0</v>
      </c>
      <c r="M199" s="467">
        <v>0</v>
      </c>
      <c r="N199" s="467">
        <v>0</v>
      </c>
      <c r="O199" s="467">
        <v>0</v>
      </c>
      <c r="P199" s="467">
        <v>0</v>
      </c>
      <c r="Q199" s="467">
        <v>0</v>
      </c>
      <c r="R199" s="467">
        <v>0</v>
      </c>
      <c r="S199" s="467">
        <v>0</v>
      </c>
      <c r="T199" s="467">
        <v>0</v>
      </c>
      <c r="U199" s="467">
        <v>0</v>
      </c>
      <c r="V199" s="467">
        <v>0</v>
      </c>
      <c r="W199" s="467">
        <v>0</v>
      </c>
      <c r="X199" s="467">
        <v>0</v>
      </c>
      <c r="Y199" s="467">
        <v>0</v>
      </c>
      <c r="Z199" s="467">
        <v>0</v>
      </c>
      <c r="AA199" s="467">
        <v>0</v>
      </c>
      <c r="AB199" s="467">
        <v>0</v>
      </c>
      <c r="AC199" s="467">
        <v>0</v>
      </c>
      <c r="AD199" s="467">
        <v>0</v>
      </c>
      <c r="AE199" s="467">
        <v>0</v>
      </c>
      <c r="AF199" s="467">
        <v>0</v>
      </c>
      <c r="AG199" s="467">
        <v>0</v>
      </c>
      <c r="AH199" s="467">
        <v>0</v>
      </c>
      <c r="AI199" s="467">
        <v>0</v>
      </c>
      <c r="AJ199" s="467">
        <v>0</v>
      </c>
      <c r="AK199" s="467">
        <v>0</v>
      </c>
      <c r="AL199" s="467">
        <v>0</v>
      </c>
      <c r="AM199" s="467">
        <v>0</v>
      </c>
      <c r="AN199" s="467">
        <v>0</v>
      </c>
      <c r="AO199" s="467">
        <v>0</v>
      </c>
      <c r="AP199" s="467">
        <v>0</v>
      </c>
      <c r="AQ199" s="467">
        <v>0</v>
      </c>
      <c r="AR199" s="467">
        <v>0</v>
      </c>
      <c r="AS199" s="467">
        <v>0</v>
      </c>
      <c r="AT199" s="467">
        <v>0</v>
      </c>
      <c r="AU199" s="467">
        <v>0</v>
      </c>
      <c r="AV199" s="467">
        <v>0</v>
      </c>
      <c r="AW199" s="467">
        <v>0</v>
      </c>
      <c r="AX199" s="467">
        <v>0</v>
      </c>
      <c r="AY199" s="467">
        <v>0</v>
      </c>
      <c r="AZ199" s="467">
        <v>0</v>
      </c>
      <c r="BA199" s="467">
        <v>0</v>
      </c>
      <c r="BB199" s="467">
        <v>0</v>
      </c>
      <c r="BC199" s="467">
        <v>0</v>
      </c>
      <c r="BD199" s="467">
        <v>0</v>
      </c>
      <c r="BE199" s="467">
        <v>0</v>
      </c>
      <c r="BF199" s="467">
        <v>0</v>
      </c>
      <c r="BG199" s="467">
        <v>0</v>
      </c>
      <c r="BH199" s="467">
        <v>0</v>
      </c>
      <c r="BI199" s="467">
        <v>0</v>
      </c>
      <c r="BJ199" s="467">
        <v>0</v>
      </c>
      <c r="BK199" s="467">
        <v>0</v>
      </c>
      <c r="BL199" s="467">
        <v>0</v>
      </c>
      <c r="BM199" s="467">
        <v>0</v>
      </c>
      <c r="BN199" s="467">
        <v>0</v>
      </c>
      <c r="BO199" s="467">
        <v>0</v>
      </c>
      <c r="BP199" s="467">
        <v>0</v>
      </c>
      <c r="BQ199" s="467">
        <v>0</v>
      </c>
      <c r="BR199" s="467">
        <v>0</v>
      </c>
      <c r="BS199" s="467">
        <v>0</v>
      </c>
      <c r="BT199" s="467">
        <v>0</v>
      </c>
      <c r="BU199" s="467">
        <v>0</v>
      </c>
      <c r="BV199" s="467">
        <v>0</v>
      </c>
      <c r="BW199" s="467">
        <v>0</v>
      </c>
      <c r="BX199" s="467">
        <v>0</v>
      </c>
      <c r="BY199" s="467">
        <v>0</v>
      </c>
      <c r="BZ199" s="467">
        <v>0</v>
      </c>
      <c r="CA199" s="467">
        <v>0</v>
      </c>
      <c r="CB199" s="467">
        <v>0</v>
      </c>
      <c r="CC199" s="467">
        <v>0</v>
      </c>
      <c r="CD199" s="467">
        <v>0</v>
      </c>
      <c r="CE199" s="467">
        <v>0</v>
      </c>
      <c r="CF199" s="467">
        <v>0</v>
      </c>
      <c r="CG199" s="467">
        <v>0</v>
      </c>
      <c r="CH199" s="467">
        <v>0</v>
      </c>
      <c r="CI199" s="467">
        <v>0</v>
      </c>
      <c r="CJ199" s="467">
        <v>0</v>
      </c>
      <c r="CK199" s="467">
        <v>0</v>
      </c>
      <c r="CL199" s="467">
        <v>0</v>
      </c>
      <c r="CM199" s="467">
        <v>0</v>
      </c>
      <c r="CN199" s="467">
        <v>0</v>
      </c>
      <c r="CO199" s="467">
        <v>0</v>
      </c>
      <c r="CP199" s="467">
        <v>0</v>
      </c>
      <c r="CQ199" s="467">
        <v>0</v>
      </c>
      <c r="CR199" s="467">
        <v>0</v>
      </c>
      <c r="CS199" s="467">
        <v>0</v>
      </c>
      <c r="CT199" s="467">
        <v>0</v>
      </c>
      <c r="CU199" s="467">
        <v>0</v>
      </c>
      <c r="CV199" s="467">
        <v>0</v>
      </c>
      <c r="CW199" s="467">
        <v>0</v>
      </c>
      <c r="CX199" s="467">
        <v>0</v>
      </c>
      <c r="CY199" s="483">
        <v>0</v>
      </c>
    </row>
    <row r="200" spans="2:106">
      <c r="B200" s="584"/>
      <c r="C200" s="585"/>
      <c r="D200" s="603"/>
      <c r="E200" s="606"/>
      <c r="F200" s="144" t="s">
        <v>537</v>
      </c>
      <c r="G200" s="467">
        <f t="shared" si="215"/>
        <v>5778.02083333333</v>
      </c>
      <c r="H200" s="467">
        <f>SUM(H201:H202)</f>
        <v>68.125</v>
      </c>
      <c r="I200" s="467">
        <f t="shared" ref="I200:AN200" si="228">SUM(I201:I202)</f>
        <v>67.9578993055556</v>
      </c>
      <c r="J200" s="467">
        <f t="shared" si="228"/>
        <v>67.7907986111111</v>
      </c>
      <c r="K200" s="467">
        <f t="shared" si="228"/>
        <v>67.6236979166667</v>
      </c>
      <c r="L200" s="467">
        <f t="shared" si="228"/>
        <v>67.4565972222222</v>
      </c>
      <c r="M200" s="467">
        <f t="shared" si="228"/>
        <v>67.2894965277778</v>
      </c>
      <c r="N200" s="467">
        <f t="shared" si="228"/>
        <v>67.1223958333333</v>
      </c>
      <c r="O200" s="467">
        <f t="shared" si="228"/>
        <v>66.9552951388889</v>
      </c>
      <c r="P200" s="467">
        <f t="shared" si="228"/>
        <v>66.7881944444445</v>
      </c>
      <c r="Q200" s="467">
        <f t="shared" si="228"/>
        <v>66.62109375</v>
      </c>
      <c r="R200" s="467">
        <f t="shared" si="228"/>
        <v>66.4539930555556</v>
      </c>
      <c r="S200" s="467">
        <f t="shared" si="228"/>
        <v>66.2868923611111</v>
      </c>
      <c r="T200" s="467">
        <f t="shared" si="228"/>
        <v>66.1197916666667</v>
      </c>
      <c r="U200" s="467">
        <f t="shared" si="228"/>
        <v>65.9526909722222</v>
      </c>
      <c r="V200" s="467">
        <f t="shared" si="228"/>
        <v>65.7855902777778</v>
      </c>
      <c r="W200" s="467">
        <f t="shared" si="228"/>
        <v>65.6184895833333</v>
      </c>
      <c r="X200" s="467">
        <f t="shared" si="228"/>
        <v>65.4513888888889</v>
      </c>
      <c r="Y200" s="467">
        <f t="shared" si="228"/>
        <v>65.2842881944445</v>
      </c>
      <c r="Z200" s="467">
        <f t="shared" si="228"/>
        <v>65.1171875</v>
      </c>
      <c r="AA200" s="467">
        <f t="shared" si="228"/>
        <v>64.9500868055556</v>
      </c>
      <c r="AB200" s="467">
        <f t="shared" si="228"/>
        <v>64.7829861111111</v>
      </c>
      <c r="AC200" s="467">
        <f t="shared" si="228"/>
        <v>64.6158854166667</v>
      </c>
      <c r="AD200" s="467">
        <f t="shared" si="228"/>
        <v>64.4487847222222</v>
      </c>
      <c r="AE200" s="467">
        <f t="shared" si="228"/>
        <v>64.2816840277778</v>
      </c>
      <c r="AF200" s="467">
        <f t="shared" si="228"/>
        <v>64.1145833333333</v>
      </c>
      <c r="AG200" s="467">
        <f t="shared" si="228"/>
        <v>63.9474826388889</v>
      </c>
      <c r="AH200" s="467">
        <f t="shared" si="228"/>
        <v>63.7803819444445</v>
      </c>
      <c r="AI200" s="467">
        <f t="shared" si="228"/>
        <v>63.61328125</v>
      </c>
      <c r="AJ200" s="467">
        <f t="shared" si="228"/>
        <v>63.4461805555556</v>
      </c>
      <c r="AK200" s="467">
        <f t="shared" si="228"/>
        <v>63.2790798611111</v>
      </c>
      <c r="AL200" s="467">
        <f t="shared" si="228"/>
        <v>63.1119791666667</v>
      </c>
      <c r="AM200" s="467">
        <f t="shared" si="228"/>
        <v>62.9448784722222</v>
      </c>
      <c r="AN200" s="467">
        <f t="shared" si="228"/>
        <v>62.7777777777778</v>
      </c>
      <c r="AO200" s="467">
        <f t="shared" ref="AO200:BT200" si="229">SUM(AO201:AO202)</f>
        <v>62.6106770833333</v>
      </c>
      <c r="AP200" s="467">
        <f t="shared" si="229"/>
        <v>62.4435763888889</v>
      </c>
      <c r="AQ200" s="467">
        <f t="shared" si="229"/>
        <v>62.2764756944445</v>
      </c>
      <c r="AR200" s="467">
        <f t="shared" si="229"/>
        <v>62.109375</v>
      </c>
      <c r="AS200" s="467">
        <f t="shared" si="229"/>
        <v>61.9422743055556</v>
      </c>
      <c r="AT200" s="467">
        <f t="shared" si="229"/>
        <v>61.7751736111111</v>
      </c>
      <c r="AU200" s="467">
        <f t="shared" si="229"/>
        <v>61.6080729166667</v>
      </c>
      <c r="AV200" s="467">
        <f t="shared" si="229"/>
        <v>61.4409722222222</v>
      </c>
      <c r="AW200" s="467">
        <f t="shared" si="229"/>
        <v>61.2738715277778</v>
      </c>
      <c r="AX200" s="467">
        <f t="shared" si="229"/>
        <v>61.1067708333333</v>
      </c>
      <c r="AY200" s="467">
        <f t="shared" si="229"/>
        <v>60.9396701388889</v>
      </c>
      <c r="AZ200" s="467">
        <f t="shared" si="229"/>
        <v>60.7725694444444</v>
      </c>
      <c r="BA200" s="467">
        <f t="shared" si="229"/>
        <v>60.60546875</v>
      </c>
      <c r="BB200" s="467">
        <f t="shared" si="229"/>
        <v>60.4383680555556</v>
      </c>
      <c r="BC200" s="467">
        <f t="shared" si="229"/>
        <v>60.2712673611111</v>
      </c>
      <c r="BD200" s="467">
        <f t="shared" si="229"/>
        <v>60.1041666666667</v>
      </c>
      <c r="BE200" s="467">
        <f t="shared" si="229"/>
        <v>59.9370659722222</v>
      </c>
      <c r="BF200" s="467">
        <f t="shared" si="229"/>
        <v>59.7699652777778</v>
      </c>
      <c r="BG200" s="467">
        <f t="shared" si="229"/>
        <v>59.6028645833333</v>
      </c>
      <c r="BH200" s="467">
        <f t="shared" si="229"/>
        <v>59.4357638888889</v>
      </c>
      <c r="BI200" s="467">
        <f t="shared" si="229"/>
        <v>59.2686631944444</v>
      </c>
      <c r="BJ200" s="467">
        <f t="shared" si="229"/>
        <v>59.1015625</v>
      </c>
      <c r="BK200" s="467">
        <f t="shared" si="229"/>
        <v>58.9344618055556</v>
      </c>
      <c r="BL200" s="467">
        <f t="shared" si="229"/>
        <v>58.7673611111111</v>
      </c>
      <c r="BM200" s="467">
        <f t="shared" si="229"/>
        <v>58.6002604166667</v>
      </c>
      <c r="BN200" s="467">
        <f t="shared" si="229"/>
        <v>58.4331597222222</v>
      </c>
      <c r="BO200" s="467">
        <f t="shared" si="229"/>
        <v>58.2660590277778</v>
      </c>
      <c r="BP200" s="467">
        <f t="shared" si="229"/>
        <v>58.0989583333333</v>
      </c>
      <c r="BQ200" s="467">
        <f t="shared" si="229"/>
        <v>57.9318576388889</v>
      </c>
      <c r="BR200" s="467">
        <f t="shared" si="229"/>
        <v>57.7647569444444</v>
      </c>
      <c r="BS200" s="467">
        <f t="shared" si="229"/>
        <v>57.59765625</v>
      </c>
      <c r="BT200" s="467">
        <f t="shared" si="229"/>
        <v>57.4305555555556</v>
      </c>
      <c r="BU200" s="467">
        <f t="shared" ref="BU200:CY200" si="230">SUM(BU201:BU202)</f>
        <v>57.2634548611111</v>
      </c>
      <c r="BV200" s="467">
        <f t="shared" si="230"/>
        <v>57.0963541666667</v>
      </c>
      <c r="BW200" s="467">
        <f t="shared" si="230"/>
        <v>56.9292534722222</v>
      </c>
      <c r="BX200" s="467">
        <f t="shared" si="230"/>
        <v>56.7621527777778</v>
      </c>
      <c r="BY200" s="467">
        <f t="shared" si="230"/>
        <v>56.5950520833333</v>
      </c>
      <c r="BZ200" s="467">
        <f t="shared" si="230"/>
        <v>56.4279513888889</v>
      </c>
      <c r="CA200" s="467">
        <f t="shared" si="230"/>
        <v>56.2608506944444</v>
      </c>
      <c r="CB200" s="467">
        <f t="shared" si="230"/>
        <v>56.09375</v>
      </c>
      <c r="CC200" s="467">
        <f t="shared" si="230"/>
        <v>55.9266493055556</v>
      </c>
      <c r="CD200" s="467">
        <f t="shared" si="230"/>
        <v>55.7595486111111</v>
      </c>
      <c r="CE200" s="467">
        <f t="shared" si="230"/>
        <v>55.5924479166667</v>
      </c>
      <c r="CF200" s="467">
        <f t="shared" si="230"/>
        <v>55.4253472222222</v>
      </c>
      <c r="CG200" s="467">
        <f t="shared" si="230"/>
        <v>55.2582465277778</v>
      </c>
      <c r="CH200" s="467">
        <f t="shared" si="230"/>
        <v>55.0911458333333</v>
      </c>
      <c r="CI200" s="467">
        <f t="shared" si="230"/>
        <v>54.9240451388889</v>
      </c>
      <c r="CJ200" s="467">
        <f t="shared" si="230"/>
        <v>54.7569444444444</v>
      </c>
      <c r="CK200" s="467">
        <f t="shared" si="230"/>
        <v>54.58984375</v>
      </c>
      <c r="CL200" s="467">
        <f t="shared" si="230"/>
        <v>54.4227430555556</v>
      </c>
      <c r="CM200" s="467">
        <f t="shared" si="230"/>
        <v>54.2556423611111</v>
      </c>
      <c r="CN200" s="467">
        <f t="shared" si="230"/>
        <v>54.0885416666667</v>
      </c>
      <c r="CO200" s="467">
        <f t="shared" si="230"/>
        <v>53.9214409722222</v>
      </c>
      <c r="CP200" s="467">
        <f t="shared" si="230"/>
        <v>53.7543402777778</v>
      </c>
      <c r="CQ200" s="467">
        <f t="shared" si="230"/>
        <v>53.5872395833333</v>
      </c>
      <c r="CR200" s="467">
        <f t="shared" si="230"/>
        <v>53.4201388888889</v>
      </c>
      <c r="CS200" s="467">
        <f t="shared" si="230"/>
        <v>53.2530381944444</v>
      </c>
      <c r="CT200" s="467">
        <f t="shared" si="230"/>
        <v>53.0859375</v>
      </c>
      <c r="CU200" s="467">
        <f t="shared" si="230"/>
        <v>52.9188368055556</v>
      </c>
      <c r="CV200" s="467">
        <f t="shared" si="230"/>
        <v>52.7517361111111</v>
      </c>
      <c r="CW200" s="467">
        <f t="shared" si="230"/>
        <v>52.5846354166667</v>
      </c>
      <c r="CX200" s="467">
        <f t="shared" si="230"/>
        <v>52.4175347222222</v>
      </c>
      <c r="CY200" s="483">
        <f t="shared" si="230"/>
        <v>52.2504340277778</v>
      </c>
    </row>
    <row r="201" spans="2:106">
      <c r="B201" s="584"/>
      <c r="C201" s="585"/>
      <c r="D201" s="603"/>
      <c r="E201" s="606"/>
      <c r="F201" s="145" t="s">
        <v>538</v>
      </c>
      <c r="G201" s="467">
        <f t="shared" si="215"/>
        <v>5000</v>
      </c>
      <c r="H201" s="467">
        <f>$G$183/$K$186</f>
        <v>52.0833333333333</v>
      </c>
      <c r="I201" s="467">
        <f t="shared" ref="I201:R201" si="231">$G$183/$K$186</f>
        <v>52.0833333333333</v>
      </c>
      <c r="J201" s="467">
        <f t="shared" si="231"/>
        <v>52.0833333333333</v>
      </c>
      <c r="K201" s="467">
        <f t="shared" si="231"/>
        <v>52.0833333333333</v>
      </c>
      <c r="L201" s="467">
        <f t="shared" si="231"/>
        <v>52.0833333333333</v>
      </c>
      <c r="M201" s="467">
        <f t="shared" si="231"/>
        <v>52.0833333333333</v>
      </c>
      <c r="N201" s="467">
        <f t="shared" si="231"/>
        <v>52.0833333333333</v>
      </c>
      <c r="O201" s="467">
        <f t="shared" si="231"/>
        <v>52.0833333333333</v>
      </c>
      <c r="P201" s="467">
        <f t="shared" si="231"/>
        <v>52.0833333333333</v>
      </c>
      <c r="Q201" s="467">
        <f t="shared" si="231"/>
        <v>52.0833333333333</v>
      </c>
      <c r="R201" s="467">
        <f t="shared" si="231"/>
        <v>52.0833333333333</v>
      </c>
      <c r="S201" s="467">
        <f t="shared" ref="S201:AB201" si="232">$G$183/$K$186</f>
        <v>52.0833333333333</v>
      </c>
      <c r="T201" s="467">
        <f t="shared" si="232"/>
        <v>52.0833333333333</v>
      </c>
      <c r="U201" s="467">
        <f t="shared" si="232"/>
        <v>52.0833333333333</v>
      </c>
      <c r="V201" s="467">
        <f t="shared" si="232"/>
        <v>52.0833333333333</v>
      </c>
      <c r="W201" s="467">
        <f t="shared" si="232"/>
        <v>52.0833333333333</v>
      </c>
      <c r="X201" s="467">
        <f t="shared" si="232"/>
        <v>52.0833333333333</v>
      </c>
      <c r="Y201" s="467">
        <f t="shared" si="232"/>
        <v>52.0833333333333</v>
      </c>
      <c r="Z201" s="467">
        <f t="shared" si="232"/>
        <v>52.0833333333333</v>
      </c>
      <c r="AA201" s="467">
        <f t="shared" si="232"/>
        <v>52.0833333333333</v>
      </c>
      <c r="AB201" s="467">
        <f t="shared" si="232"/>
        <v>52.0833333333333</v>
      </c>
      <c r="AC201" s="467">
        <f t="shared" ref="AC201:AL201" si="233">$G$183/$K$186</f>
        <v>52.0833333333333</v>
      </c>
      <c r="AD201" s="467">
        <f t="shared" si="233"/>
        <v>52.0833333333333</v>
      </c>
      <c r="AE201" s="467">
        <f t="shared" si="233"/>
        <v>52.0833333333333</v>
      </c>
      <c r="AF201" s="467">
        <f t="shared" si="233"/>
        <v>52.0833333333333</v>
      </c>
      <c r="AG201" s="467">
        <f t="shared" si="233"/>
        <v>52.0833333333333</v>
      </c>
      <c r="AH201" s="467">
        <f t="shared" si="233"/>
        <v>52.0833333333333</v>
      </c>
      <c r="AI201" s="467">
        <f t="shared" si="233"/>
        <v>52.0833333333333</v>
      </c>
      <c r="AJ201" s="467">
        <f t="shared" si="233"/>
        <v>52.0833333333333</v>
      </c>
      <c r="AK201" s="467">
        <f t="shared" si="233"/>
        <v>52.0833333333333</v>
      </c>
      <c r="AL201" s="467">
        <f t="shared" si="233"/>
        <v>52.0833333333333</v>
      </c>
      <c r="AM201" s="467">
        <f t="shared" ref="AM201:AV201" si="234">$G$183/$K$186</f>
        <v>52.0833333333333</v>
      </c>
      <c r="AN201" s="467">
        <f t="shared" si="234"/>
        <v>52.0833333333333</v>
      </c>
      <c r="AO201" s="467">
        <f t="shared" si="234"/>
        <v>52.0833333333333</v>
      </c>
      <c r="AP201" s="467">
        <f t="shared" si="234"/>
        <v>52.0833333333333</v>
      </c>
      <c r="AQ201" s="467">
        <f t="shared" si="234"/>
        <v>52.0833333333333</v>
      </c>
      <c r="AR201" s="467">
        <f t="shared" si="234"/>
        <v>52.0833333333333</v>
      </c>
      <c r="AS201" s="467">
        <f t="shared" si="234"/>
        <v>52.0833333333333</v>
      </c>
      <c r="AT201" s="467">
        <f t="shared" si="234"/>
        <v>52.0833333333333</v>
      </c>
      <c r="AU201" s="467">
        <f t="shared" si="234"/>
        <v>52.0833333333333</v>
      </c>
      <c r="AV201" s="467">
        <f t="shared" si="234"/>
        <v>52.0833333333333</v>
      </c>
      <c r="AW201" s="467">
        <f t="shared" ref="AW201:BF201" si="235">$G$183/$K$186</f>
        <v>52.0833333333333</v>
      </c>
      <c r="AX201" s="467">
        <f t="shared" si="235"/>
        <v>52.0833333333333</v>
      </c>
      <c r="AY201" s="467">
        <f t="shared" si="235"/>
        <v>52.0833333333333</v>
      </c>
      <c r="AZ201" s="467">
        <f t="shared" si="235"/>
        <v>52.0833333333333</v>
      </c>
      <c r="BA201" s="467">
        <f t="shared" si="235"/>
        <v>52.0833333333333</v>
      </c>
      <c r="BB201" s="467">
        <f t="shared" si="235"/>
        <v>52.0833333333333</v>
      </c>
      <c r="BC201" s="467">
        <f t="shared" si="235"/>
        <v>52.0833333333333</v>
      </c>
      <c r="BD201" s="467">
        <f t="shared" si="235"/>
        <v>52.0833333333333</v>
      </c>
      <c r="BE201" s="467">
        <f t="shared" si="235"/>
        <v>52.0833333333333</v>
      </c>
      <c r="BF201" s="467">
        <f t="shared" si="235"/>
        <v>52.0833333333333</v>
      </c>
      <c r="BG201" s="467">
        <f t="shared" ref="BG201:BP201" si="236">$G$183/$K$186</f>
        <v>52.0833333333333</v>
      </c>
      <c r="BH201" s="467">
        <f t="shared" si="236"/>
        <v>52.0833333333333</v>
      </c>
      <c r="BI201" s="467">
        <f t="shared" si="236"/>
        <v>52.0833333333333</v>
      </c>
      <c r="BJ201" s="467">
        <f t="shared" si="236"/>
        <v>52.0833333333333</v>
      </c>
      <c r="BK201" s="467">
        <f t="shared" si="236"/>
        <v>52.0833333333333</v>
      </c>
      <c r="BL201" s="467">
        <f t="shared" si="236"/>
        <v>52.0833333333333</v>
      </c>
      <c r="BM201" s="467">
        <f t="shared" si="236"/>
        <v>52.0833333333333</v>
      </c>
      <c r="BN201" s="467">
        <f t="shared" si="236"/>
        <v>52.0833333333333</v>
      </c>
      <c r="BO201" s="467">
        <f t="shared" si="236"/>
        <v>52.0833333333333</v>
      </c>
      <c r="BP201" s="467">
        <f t="shared" si="236"/>
        <v>52.0833333333333</v>
      </c>
      <c r="BQ201" s="467">
        <f t="shared" ref="BQ201:BZ201" si="237">$G$183/$K$186</f>
        <v>52.0833333333333</v>
      </c>
      <c r="BR201" s="467">
        <f t="shared" si="237"/>
        <v>52.0833333333333</v>
      </c>
      <c r="BS201" s="467">
        <f t="shared" si="237"/>
        <v>52.0833333333333</v>
      </c>
      <c r="BT201" s="467">
        <f t="shared" si="237"/>
        <v>52.0833333333333</v>
      </c>
      <c r="BU201" s="467">
        <f t="shared" si="237"/>
        <v>52.0833333333333</v>
      </c>
      <c r="BV201" s="467">
        <f t="shared" si="237"/>
        <v>52.0833333333333</v>
      </c>
      <c r="BW201" s="467">
        <f t="shared" si="237"/>
        <v>52.0833333333333</v>
      </c>
      <c r="BX201" s="467">
        <f t="shared" si="237"/>
        <v>52.0833333333333</v>
      </c>
      <c r="BY201" s="467">
        <f t="shared" si="237"/>
        <v>52.0833333333333</v>
      </c>
      <c r="BZ201" s="467">
        <f t="shared" si="237"/>
        <v>52.0833333333333</v>
      </c>
      <c r="CA201" s="467">
        <f t="shared" ref="CA201:CJ201" si="238">$G$183/$K$186</f>
        <v>52.0833333333333</v>
      </c>
      <c r="CB201" s="467">
        <f t="shared" si="238"/>
        <v>52.0833333333333</v>
      </c>
      <c r="CC201" s="467">
        <f t="shared" si="238"/>
        <v>52.0833333333333</v>
      </c>
      <c r="CD201" s="467">
        <f t="shared" si="238"/>
        <v>52.0833333333333</v>
      </c>
      <c r="CE201" s="467">
        <f t="shared" si="238"/>
        <v>52.0833333333333</v>
      </c>
      <c r="CF201" s="467">
        <f t="shared" si="238"/>
        <v>52.0833333333333</v>
      </c>
      <c r="CG201" s="467">
        <f t="shared" si="238"/>
        <v>52.0833333333333</v>
      </c>
      <c r="CH201" s="467">
        <f t="shared" si="238"/>
        <v>52.0833333333333</v>
      </c>
      <c r="CI201" s="467">
        <f t="shared" si="238"/>
        <v>52.0833333333333</v>
      </c>
      <c r="CJ201" s="467">
        <f t="shared" si="238"/>
        <v>52.0833333333333</v>
      </c>
      <c r="CK201" s="467">
        <f t="shared" ref="CK201:CY201" si="239">$G$183/$K$186</f>
        <v>52.0833333333333</v>
      </c>
      <c r="CL201" s="467">
        <f t="shared" si="239"/>
        <v>52.0833333333333</v>
      </c>
      <c r="CM201" s="467">
        <f t="shared" si="239"/>
        <v>52.0833333333333</v>
      </c>
      <c r="CN201" s="467">
        <f t="shared" si="239"/>
        <v>52.0833333333333</v>
      </c>
      <c r="CO201" s="467">
        <f t="shared" si="239"/>
        <v>52.0833333333333</v>
      </c>
      <c r="CP201" s="467">
        <f t="shared" si="239"/>
        <v>52.0833333333333</v>
      </c>
      <c r="CQ201" s="467">
        <f t="shared" si="239"/>
        <v>52.0833333333333</v>
      </c>
      <c r="CR201" s="467">
        <f t="shared" si="239"/>
        <v>52.0833333333333</v>
      </c>
      <c r="CS201" s="467">
        <f t="shared" si="239"/>
        <v>52.0833333333333</v>
      </c>
      <c r="CT201" s="467">
        <f t="shared" si="239"/>
        <v>52.0833333333333</v>
      </c>
      <c r="CU201" s="467">
        <f t="shared" si="239"/>
        <v>52.0833333333333</v>
      </c>
      <c r="CV201" s="467">
        <f t="shared" si="239"/>
        <v>52.0833333333333</v>
      </c>
      <c r="CW201" s="467">
        <f t="shared" si="239"/>
        <v>52.0833333333333</v>
      </c>
      <c r="CX201" s="467">
        <f t="shared" si="239"/>
        <v>52.0833333333333</v>
      </c>
      <c r="CY201" s="483">
        <f t="shared" si="239"/>
        <v>52.0833333333333</v>
      </c>
    </row>
    <row r="202" spans="2:106">
      <c r="B202" s="584"/>
      <c r="C202" s="585"/>
      <c r="D202" s="603"/>
      <c r="E202" s="606"/>
      <c r="F202" s="33" t="s">
        <v>539</v>
      </c>
      <c r="G202" s="467">
        <f t="shared" si="215"/>
        <v>778.020833333334</v>
      </c>
      <c r="H202" s="542">
        <f>(H198+H199/2)*($G$188/$K$185)</f>
        <v>16.0416666666667</v>
      </c>
      <c r="I202" s="542">
        <f t="shared" ref="I202:AN202" si="240">(I198+I199/2)*($G$188/$K$185)</f>
        <v>15.8745659722222</v>
      </c>
      <c r="J202" s="542">
        <f t="shared" si="240"/>
        <v>15.7074652777778</v>
      </c>
      <c r="K202" s="542">
        <f t="shared" si="240"/>
        <v>15.5403645833333</v>
      </c>
      <c r="L202" s="542">
        <f t="shared" si="240"/>
        <v>15.3732638888889</v>
      </c>
      <c r="M202" s="542">
        <f t="shared" si="240"/>
        <v>15.2061631944444</v>
      </c>
      <c r="N202" s="542">
        <f t="shared" si="240"/>
        <v>15.0390625</v>
      </c>
      <c r="O202" s="542">
        <f t="shared" si="240"/>
        <v>14.8719618055556</v>
      </c>
      <c r="P202" s="542">
        <f t="shared" si="240"/>
        <v>14.7048611111111</v>
      </c>
      <c r="Q202" s="542">
        <f t="shared" si="240"/>
        <v>14.5377604166667</v>
      </c>
      <c r="R202" s="542">
        <f t="shared" si="240"/>
        <v>14.3706597222222</v>
      </c>
      <c r="S202" s="542">
        <f t="shared" si="240"/>
        <v>14.2035590277778</v>
      </c>
      <c r="T202" s="542">
        <f t="shared" si="240"/>
        <v>14.0364583333333</v>
      </c>
      <c r="U202" s="542">
        <f t="shared" si="240"/>
        <v>13.8693576388889</v>
      </c>
      <c r="V202" s="542">
        <f t="shared" si="240"/>
        <v>13.7022569444445</v>
      </c>
      <c r="W202" s="542">
        <f t="shared" si="240"/>
        <v>13.53515625</v>
      </c>
      <c r="X202" s="542">
        <f t="shared" si="240"/>
        <v>13.3680555555556</v>
      </c>
      <c r="Y202" s="542">
        <f t="shared" si="240"/>
        <v>13.2009548611111</v>
      </c>
      <c r="Z202" s="542">
        <f t="shared" si="240"/>
        <v>13.0338541666667</v>
      </c>
      <c r="AA202" s="542">
        <f t="shared" si="240"/>
        <v>12.8667534722222</v>
      </c>
      <c r="AB202" s="542">
        <f t="shared" si="240"/>
        <v>12.6996527777778</v>
      </c>
      <c r="AC202" s="542">
        <f t="shared" si="240"/>
        <v>12.5325520833333</v>
      </c>
      <c r="AD202" s="542">
        <f t="shared" si="240"/>
        <v>12.3654513888889</v>
      </c>
      <c r="AE202" s="542">
        <f t="shared" si="240"/>
        <v>12.1983506944445</v>
      </c>
      <c r="AF202" s="542">
        <f t="shared" si="240"/>
        <v>12.03125</v>
      </c>
      <c r="AG202" s="542">
        <f t="shared" si="240"/>
        <v>11.8641493055556</v>
      </c>
      <c r="AH202" s="542">
        <f t="shared" si="240"/>
        <v>11.6970486111111</v>
      </c>
      <c r="AI202" s="542">
        <f t="shared" si="240"/>
        <v>11.5299479166667</v>
      </c>
      <c r="AJ202" s="542">
        <f t="shared" si="240"/>
        <v>11.3628472222222</v>
      </c>
      <c r="AK202" s="542">
        <f t="shared" si="240"/>
        <v>11.1957465277778</v>
      </c>
      <c r="AL202" s="542">
        <f t="shared" si="240"/>
        <v>11.0286458333333</v>
      </c>
      <c r="AM202" s="542">
        <f t="shared" si="240"/>
        <v>10.8615451388889</v>
      </c>
      <c r="AN202" s="542">
        <f t="shared" si="240"/>
        <v>10.6944444444445</v>
      </c>
      <c r="AO202" s="542">
        <f t="shared" ref="AO202:BT202" si="241">(AO198+AO199/2)*($G$188/$K$185)</f>
        <v>10.52734375</v>
      </c>
      <c r="AP202" s="542">
        <f t="shared" si="241"/>
        <v>10.3602430555556</v>
      </c>
      <c r="AQ202" s="542">
        <f t="shared" si="241"/>
        <v>10.1931423611111</v>
      </c>
      <c r="AR202" s="542">
        <f t="shared" si="241"/>
        <v>10.0260416666667</v>
      </c>
      <c r="AS202" s="542">
        <f t="shared" si="241"/>
        <v>9.85894097222223</v>
      </c>
      <c r="AT202" s="542">
        <f t="shared" si="241"/>
        <v>9.69184027777778</v>
      </c>
      <c r="AU202" s="542">
        <f t="shared" si="241"/>
        <v>9.52473958333334</v>
      </c>
      <c r="AV202" s="542">
        <f t="shared" si="241"/>
        <v>9.35763888888889</v>
      </c>
      <c r="AW202" s="542">
        <f t="shared" si="241"/>
        <v>9.19053819444445</v>
      </c>
      <c r="AX202" s="542">
        <f t="shared" si="241"/>
        <v>9.02343750000001</v>
      </c>
      <c r="AY202" s="542">
        <f t="shared" si="241"/>
        <v>8.85633680555556</v>
      </c>
      <c r="AZ202" s="542">
        <f t="shared" si="241"/>
        <v>8.68923611111111</v>
      </c>
      <c r="BA202" s="542">
        <f t="shared" si="241"/>
        <v>8.52213541666667</v>
      </c>
      <c r="BB202" s="542">
        <f t="shared" si="241"/>
        <v>8.35503472222222</v>
      </c>
      <c r="BC202" s="542">
        <f t="shared" si="241"/>
        <v>8.18793402777778</v>
      </c>
      <c r="BD202" s="542">
        <f t="shared" si="241"/>
        <v>8.02083333333334</v>
      </c>
      <c r="BE202" s="542">
        <f t="shared" si="241"/>
        <v>7.85373263888889</v>
      </c>
      <c r="BF202" s="542">
        <f t="shared" si="241"/>
        <v>7.68663194444445</v>
      </c>
      <c r="BG202" s="542">
        <f t="shared" si="241"/>
        <v>7.51953125</v>
      </c>
      <c r="BH202" s="542">
        <f t="shared" si="241"/>
        <v>7.35243055555556</v>
      </c>
      <c r="BI202" s="542">
        <f t="shared" si="241"/>
        <v>7.18532986111111</v>
      </c>
      <c r="BJ202" s="542">
        <f t="shared" si="241"/>
        <v>7.01822916666667</v>
      </c>
      <c r="BK202" s="542">
        <f t="shared" si="241"/>
        <v>6.85112847222222</v>
      </c>
      <c r="BL202" s="542">
        <f t="shared" si="241"/>
        <v>6.68402777777778</v>
      </c>
      <c r="BM202" s="542">
        <f t="shared" si="241"/>
        <v>6.51692708333333</v>
      </c>
      <c r="BN202" s="542">
        <f t="shared" si="241"/>
        <v>6.34982638888889</v>
      </c>
      <c r="BO202" s="542">
        <f t="shared" si="241"/>
        <v>6.18272569444444</v>
      </c>
      <c r="BP202" s="542">
        <f t="shared" si="241"/>
        <v>6.015625</v>
      </c>
      <c r="BQ202" s="542">
        <f t="shared" si="241"/>
        <v>5.84852430555555</v>
      </c>
      <c r="BR202" s="542">
        <f t="shared" si="241"/>
        <v>5.68142361111111</v>
      </c>
      <c r="BS202" s="542">
        <f t="shared" si="241"/>
        <v>5.51432291666667</v>
      </c>
      <c r="BT202" s="542">
        <f t="shared" si="241"/>
        <v>5.34722222222222</v>
      </c>
      <c r="BU202" s="542">
        <f t="shared" ref="BU202:CY202" si="242">(BU198+BU199/2)*($G$188/$K$185)</f>
        <v>5.18012152777778</v>
      </c>
      <c r="BV202" s="542">
        <f t="shared" si="242"/>
        <v>5.01302083333333</v>
      </c>
      <c r="BW202" s="542">
        <f t="shared" si="242"/>
        <v>4.84592013888889</v>
      </c>
      <c r="BX202" s="542">
        <f t="shared" si="242"/>
        <v>4.67881944444444</v>
      </c>
      <c r="BY202" s="542">
        <f t="shared" si="242"/>
        <v>4.51171875</v>
      </c>
      <c r="BZ202" s="542">
        <f t="shared" si="242"/>
        <v>4.34461805555556</v>
      </c>
      <c r="CA202" s="542">
        <f t="shared" si="242"/>
        <v>4.17751736111111</v>
      </c>
      <c r="CB202" s="542">
        <f t="shared" si="242"/>
        <v>4.01041666666667</v>
      </c>
      <c r="CC202" s="542">
        <f t="shared" si="242"/>
        <v>3.84331597222222</v>
      </c>
      <c r="CD202" s="542">
        <f t="shared" si="242"/>
        <v>3.67621527777778</v>
      </c>
      <c r="CE202" s="542">
        <f t="shared" si="242"/>
        <v>3.50911458333334</v>
      </c>
      <c r="CF202" s="542">
        <f t="shared" si="242"/>
        <v>3.34201388888889</v>
      </c>
      <c r="CG202" s="542">
        <f t="shared" si="242"/>
        <v>3.17491319444445</v>
      </c>
      <c r="CH202" s="542">
        <f t="shared" si="242"/>
        <v>3.0078125</v>
      </c>
      <c r="CI202" s="542">
        <f t="shared" si="242"/>
        <v>2.84071180555556</v>
      </c>
      <c r="CJ202" s="542">
        <f t="shared" si="242"/>
        <v>2.67361111111111</v>
      </c>
      <c r="CK202" s="542">
        <f t="shared" si="242"/>
        <v>2.50651041666667</v>
      </c>
      <c r="CL202" s="542">
        <f t="shared" si="242"/>
        <v>2.33940972222222</v>
      </c>
      <c r="CM202" s="542">
        <f t="shared" si="242"/>
        <v>2.17230902777778</v>
      </c>
      <c r="CN202" s="542">
        <f t="shared" si="242"/>
        <v>2.00520833333333</v>
      </c>
      <c r="CO202" s="542">
        <f t="shared" si="242"/>
        <v>1.83810763888889</v>
      </c>
      <c r="CP202" s="542">
        <f t="shared" si="242"/>
        <v>1.67100694444445</v>
      </c>
      <c r="CQ202" s="542">
        <f t="shared" si="242"/>
        <v>1.50390625</v>
      </c>
      <c r="CR202" s="542">
        <f t="shared" si="242"/>
        <v>1.33680555555556</v>
      </c>
      <c r="CS202" s="542">
        <f t="shared" si="242"/>
        <v>1.16970486111111</v>
      </c>
      <c r="CT202" s="542">
        <f t="shared" si="242"/>
        <v>1.00260416666667</v>
      </c>
      <c r="CU202" s="542">
        <f t="shared" si="242"/>
        <v>0.835503472222224</v>
      </c>
      <c r="CV202" s="542">
        <f t="shared" si="242"/>
        <v>0.668402777777779</v>
      </c>
      <c r="CW202" s="542">
        <f t="shared" si="242"/>
        <v>0.501302083333335</v>
      </c>
      <c r="CX202" s="542">
        <f t="shared" si="242"/>
        <v>0.33420138888889</v>
      </c>
      <c r="CY202" s="543">
        <f t="shared" si="242"/>
        <v>0.167100694444446</v>
      </c>
    </row>
    <row r="203" ht="17.25" spans="2:106">
      <c r="B203" s="584"/>
      <c r="C203" s="585"/>
      <c r="D203" s="608"/>
      <c r="E203" s="609"/>
      <c r="F203" s="163" t="s">
        <v>540</v>
      </c>
      <c r="G203" s="489">
        <f>CY203</f>
        <v>4.40536496171262e-13</v>
      </c>
      <c r="H203" s="489">
        <f>H198+H199-H201</f>
        <v>4947.91666666667</v>
      </c>
      <c r="I203" s="489">
        <f t="shared" ref="I203:AN203" si="243">I198+I199-I201</f>
        <v>4895.83333333333</v>
      </c>
      <c r="J203" s="489">
        <f t="shared" si="243"/>
        <v>4843.75</v>
      </c>
      <c r="K203" s="489">
        <f t="shared" si="243"/>
        <v>4791.66666666667</v>
      </c>
      <c r="L203" s="489">
        <f t="shared" si="243"/>
        <v>4739.58333333333</v>
      </c>
      <c r="M203" s="489">
        <f t="shared" si="243"/>
        <v>4687.5</v>
      </c>
      <c r="N203" s="489">
        <f t="shared" si="243"/>
        <v>4635.41666666667</v>
      </c>
      <c r="O203" s="489">
        <f t="shared" si="243"/>
        <v>4583.33333333334</v>
      </c>
      <c r="P203" s="489">
        <f t="shared" si="243"/>
        <v>4531.25</v>
      </c>
      <c r="Q203" s="489">
        <f t="shared" si="243"/>
        <v>4479.16666666667</v>
      </c>
      <c r="R203" s="489">
        <f t="shared" si="243"/>
        <v>4427.08333333334</v>
      </c>
      <c r="S203" s="489">
        <f t="shared" si="243"/>
        <v>4375</v>
      </c>
      <c r="T203" s="489">
        <f t="shared" si="243"/>
        <v>4322.91666666667</v>
      </c>
      <c r="U203" s="489">
        <f t="shared" si="243"/>
        <v>4270.83333333334</v>
      </c>
      <c r="V203" s="489">
        <f t="shared" si="243"/>
        <v>4218.75</v>
      </c>
      <c r="W203" s="489">
        <f t="shared" si="243"/>
        <v>4166.66666666667</v>
      </c>
      <c r="X203" s="489">
        <f t="shared" si="243"/>
        <v>4114.58333333334</v>
      </c>
      <c r="Y203" s="489">
        <f t="shared" si="243"/>
        <v>4062.50000000001</v>
      </c>
      <c r="Z203" s="489">
        <f t="shared" si="243"/>
        <v>4010.41666666667</v>
      </c>
      <c r="AA203" s="489">
        <f t="shared" si="243"/>
        <v>3958.33333333334</v>
      </c>
      <c r="AB203" s="489">
        <f t="shared" si="243"/>
        <v>3906.25</v>
      </c>
      <c r="AC203" s="489">
        <f t="shared" si="243"/>
        <v>3854.16666666667</v>
      </c>
      <c r="AD203" s="489">
        <f t="shared" si="243"/>
        <v>3802.08333333334</v>
      </c>
      <c r="AE203" s="489">
        <f t="shared" si="243"/>
        <v>3750</v>
      </c>
      <c r="AF203" s="489">
        <f t="shared" si="243"/>
        <v>3697.91666666667</v>
      </c>
      <c r="AG203" s="489">
        <f t="shared" si="243"/>
        <v>3645.83333333334</v>
      </c>
      <c r="AH203" s="489">
        <f t="shared" si="243"/>
        <v>3593.75</v>
      </c>
      <c r="AI203" s="489">
        <f t="shared" si="243"/>
        <v>3541.66666666667</v>
      </c>
      <c r="AJ203" s="489">
        <f t="shared" si="243"/>
        <v>3489.58333333334</v>
      </c>
      <c r="AK203" s="489">
        <f t="shared" si="243"/>
        <v>3437.5</v>
      </c>
      <c r="AL203" s="489">
        <f t="shared" si="243"/>
        <v>3385.41666666667</v>
      </c>
      <c r="AM203" s="489">
        <f t="shared" si="243"/>
        <v>3333.33333333334</v>
      </c>
      <c r="AN203" s="489">
        <f t="shared" si="243"/>
        <v>3281.25</v>
      </c>
      <c r="AO203" s="489">
        <f t="shared" ref="AO203:BT203" si="244">AO198+AO199-AO201</f>
        <v>3229.16666666667</v>
      </c>
      <c r="AP203" s="489">
        <f t="shared" si="244"/>
        <v>3177.08333333334</v>
      </c>
      <c r="AQ203" s="489">
        <f t="shared" si="244"/>
        <v>3125</v>
      </c>
      <c r="AR203" s="489">
        <f t="shared" si="244"/>
        <v>3072.91666666667</v>
      </c>
      <c r="AS203" s="489">
        <f t="shared" si="244"/>
        <v>3020.83333333334</v>
      </c>
      <c r="AT203" s="489">
        <f t="shared" si="244"/>
        <v>2968.75</v>
      </c>
      <c r="AU203" s="489">
        <f t="shared" si="244"/>
        <v>2916.66666666667</v>
      </c>
      <c r="AV203" s="489">
        <f t="shared" si="244"/>
        <v>2864.58333333333</v>
      </c>
      <c r="AW203" s="489">
        <f t="shared" si="244"/>
        <v>2812.5</v>
      </c>
      <c r="AX203" s="489">
        <f t="shared" si="244"/>
        <v>2760.41666666667</v>
      </c>
      <c r="AY203" s="489">
        <f t="shared" si="244"/>
        <v>2708.33333333333</v>
      </c>
      <c r="AZ203" s="489">
        <f t="shared" si="244"/>
        <v>2656.25</v>
      </c>
      <c r="BA203" s="489">
        <f t="shared" si="244"/>
        <v>2604.16666666667</v>
      </c>
      <c r="BB203" s="489">
        <f t="shared" si="244"/>
        <v>2552.08333333333</v>
      </c>
      <c r="BC203" s="489">
        <f t="shared" si="244"/>
        <v>2500</v>
      </c>
      <c r="BD203" s="489">
        <f t="shared" si="244"/>
        <v>2447.91666666667</v>
      </c>
      <c r="BE203" s="489">
        <f t="shared" si="244"/>
        <v>2395.83333333333</v>
      </c>
      <c r="BF203" s="489">
        <f t="shared" si="244"/>
        <v>2343.75</v>
      </c>
      <c r="BG203" s="489">
        <f t="shared" si="244"/>
        <v>2291.66666666667</v>
      </c>
      <c r="BH203" s="489">
        <f t="shared" si="244"/>
        <v>2239.58333333333</v>
      </c>
      <c r="BI203" s="489">
        <f t="shared" si="244"/>
        <v>2187.5</v>
      </c>
      <c r="BJ203" s="489">
        <f t="shared" si="244"/>
        <v>2135.41666666667</v>
      </c>
      <c r="BK203" s="489">
        <f t="shared" si="244"/>
        <v>2083.33333333333</v>
      </c>
      <c r="BL203" s="489">
        <f t="shared" si="244"/>
        <v>2031.25</v>
      </c>
      <c r="BM203" s="489">
        <f t="shared" si="244"/>
        <v>1979.16666666667</v>
      </c>
      <c r="BN203" s="489">
        <f t="shared" si="244"/>
        <v>1927.08333333333</v>
      </c>
      <c r="BO203" s="489">
        <f t="shared" si="244"/>
        <v>1875</v>
      </c>
      <c r="BP203" s="489">
        <f t="shared" si="244"/>
        <v>1822.91666666667</v>
      </c>
      <c r="BQ203" s="489">
        <f t="shared" si="244"/>
        <v>1770.83333333333</v>
      </c>
      <c r="BR203" s="489">
        <f t="shared" si="244"/>
        <v>1718.75</v>
      </c>
      <c r="BS203" s="489">
        <f t="shared" si="244"/>
        <v>1666.66666666667</v>
      </c>
      <c r="BT203" s="489">
        <f t="shared" si="244"/>
        <v>1614.58333333333</v>
      </c>
      <c r="BU203" s="489">
        <f t="shared" ref="BU203:CY203" si="245">BU198+BU199-BU201</f>
        <v>1562.5</v>
      </c>
      <c r="BV203" s="489">
        <f t="shared" si="245"/>
        <v>1510.41666666667</v>
      </c>
      <c r="BW203" s="489">
        <f t="shared" si="245"/>
        <v>1458.33333333333</v>
      </c>
      <c r="BX203" s="489">
        <f t="shared" si="245"/>
        <v>1406.25</v>
      </c>
      <c r="BY203" s="489">
        <f t="shared" si="245"/>
        <v>1354.16666666667</v>
      </c>
      <c r="BZ203" s="489">
        <f t="shared" si="245"/>
        <v>1302.08333333333</v>
      </c>
      <c r="CA203" s="489">
        <f t="shared" si="245"/>
        <v>1250</v>
      </c>
      <c r="CB203" s="489">
        <f t="shared" si="245"/>
        <v>1197.91666666667</v>
      </c>
      <c r="CC203" s="489">
        <f t="shared" si="245"/>
        <v>1145.83333333333</v>
      </c>
      <c r="CD203" s="489">
        <f t="shared" si="245"/>
        <v>1093.75</v>
      </c>
      <c r="CE203" s="489">
        <f t="shared" si="245"/>
        <v>1041.66666666667</v>
      </c>
      <c r="CF203" s="489">
        <f t="shared" si="245"/>
        <v>989.583333333334</v>
      </c>
      <c r="CG203" s="489">
        <f t="shared" si="245"/>
        <v>937.500000000001</v>
      </c>
      <c r="CH203" s="489">
        <f t="shared" si="245"/>
        <v>885.416666666667</v>
      </c>
      <c r="CI203" s="489">
        <f t="shared" si="245"/>
        <v>833.333333333334</v>
      </c>
      <c r="CJ203" s="489">
        <f t="shared" si="245"/>
        <v>781.250000000001</v>
      </c>
      <c r="CK203" s="489">
        <f t="shared" si="245"/>
        <v>729.166666666667</v>
      </c>
      <c r="CL203" s="489">
        <f t="shared" si="245"/>
        <v>677.083333333334</v>
      </c>
      <c r="CM203" s="489">
        <f t="shared" si="245"/>
        <v>625</v>
      </c>
      <c r="CN203" s="489">
        <f t="shared" si="245"/>
        <v>572.916666666667</v>
      </c>
      <c r="CO203" s="489">
        <f t="shared" si="245"/>
        <v>520.833333333334</v>
      </c>
      <c r="CP203" s="489">
        <f t="shared" si="245"/>
        <v>468.75</v>
      </c>
      <c r="CQ203" s="489">
        <f t="shared" si="245"/>
        <v>416.666666666667</v>
      </c>
      <c r="CR203" s="489">
        <f t="shared" si="245"/>
        <v>364.583333333334</v>
      </c>
      <c r="CS203" s="489">
        <f t="shared" si="245"/>
        <v>312.5</v>
      </c>
      <c r="CT203" s="489">
        <f t="shared" si="245"/>
        <v>260.416666666667</v>
      </c>
      <c r="CU203" s="489">
        <f t="shared" si="245"/>
        <v>208.333333333334</v>
      </c>
      <c r="CV203" s="489">
        <f t="shared" si="245"/>
        <v>156.25</v>
      </c>
      <c r="CW203" s="489">
        <f t="shared" si="245"/>
        <v>104.166666666667</v>
      </c>
      <c r="CX203" s="489">
        <f t="shared" si="245"/>
        <v>52.0833333333338</v>
      </c>
      <c r="CY203" s="490">
        <f t="shared" si="245"/>
        <v>4.40536496171262e-13</v>
      </c>
    </row>
    <row r="204" spans="2:106">
      <c r="B204" s="584"/>
      <c r="C204" s="585"/>
      <c r="D204" s="603" t="s">
        <v>517</v>
      </c>
      <c r="E204" s="610" t="s">
        <v>530</v>
      </c>
      <c r="F204" s="611"/>
      <c r="G204" s="612"/>
      <c r="H204" s="613" t="s">
        <v>572</v>
      </c>
      <c r="I204" s="613" t="s">
        <v>573</v>
      </c>
      <c r="J204" s="613" t="s">
        <v>574</v>
      </c>
      <c r="K204" s="613" t="s">
        <v>575</v>
      </c>
      <c r="L204" s="613" t="s">
        <v>576</v>
      </c>
      <c r="M204" s="613" t="s">
        <v>577</v>
      </c>
      <c r="N204" s="613" t="s">
        <v>578</v>
      </c>
      <c r="O204" s="613" t="s">
        <v>579</v>
      </c>
      <c r="P204" s="613" t="s">
        <v>580</v>
      </c>
      <c r="Q204" s="613" t="s">
        <v>581</v>
      </c>
      <c r="R204" s="613" t="s">
        <v>582</v>
      </c>
      <c r="S204" s="613" t="s">
        <v>583</v>
      </c>
      <c r="T204" s="613" t="s">
        <v>584</v>
      </c>
      <c r="U204" s="613" t="s">
        <v>585</v>
      </c>
      <c r="V204" s="613" t="s">
        <v>586</v>
      </c>
      <c r="W204" s="613" t="s">
        <v>587</v>
      </c>
      <c r="X204" s="613" t="s">
        <v>588</v>
      </c>
      <c r="Y204" s="613" t="s">
        <v>589</v>
      </c>
      <c r="Z204" s="613" t="s">
        <v>590</v>
      </c>
      <c r="AA204" s="613" t="s">
        <v>591</v>
      </c>
      <c r="AB204" s="613" t="s">
        <v>592</v>
      </c>
      <c r="AC204" s="613" t="s">
        <v>593</v>
      </c>
      <c r="AD204" s="613" t="s">
        <v>594</v>
      </c>
      <c r="AE204" s="613" t="s">
        <v>595</v>
      </c>
      <c r="AF204" s="613" t="s">
        <v>596</v>
      </c>
      <c r="AG204" s="613" t="s">
        <v>597</v>
      </c>
      <c r="AH204" s="613" t="s">
        <v>598</v>
      </c>
      <c r="AI204" s="613" t="s">
        <v>599</v>
      </c>
      <c r="AJ204" s="613" t="s">
        <v>600</v>
      </c>
      <c r="AK204" s="613" t="s">
        <v>601</v>
      </c>
      <c r="AL204" s="613" t="s">
        <v>602</v>
      </c>
      <c r="AM204" s="614" t="s">
        <v>603</v>
      </c>
      <c r="AN204" s="615"/>
      <c r="AO204" s="615"/>
      <c r="AP204" s="615"/>
      <c r="AQ204" s="615"/>
      <c r="AR204" s="615"/>
      <c r="AS204" s="615"/>
      <c r="AT204" s="615"/>
      <c r="AU204" s="615"/>
      <c r="AV204" s="615"/>
      <c r="AW204" s="615"/>
      <c r="AX204" s="615"/>
      <c r="AY204" s="615"/>
      <c r="AZ204" s="615"/>
      <c r="BA204" s="615"/>
      <c r="BB204" s="615"/>
      <c r="BC204" s="615"/>
      <c r="BD204" s="615"/>
      <c r="BE204" s="615"/>
      <c r="BF204" s="615"/>
      <c r="BG204" s="615"/>
      <c r="BH204" s="615"/>
      <c r="BI204" s="615"/>
      <c r="BJ204" s="615"/>
      <c r="BK204" s="615"/>
      <c r="BL204" s="615"/>
      <c r="BM204" s="615"/>
      <c r="BN204" s="615"/>
      <c r="BO204" s="615"/>
      <c r="BP204" s="615"/>
      <c r="BQ204" s="615"/>
      <c r="BR204" s="615"/>
      <c r="BS204" s="615"/>
      <c r="BT204" s="615"/>
      <c r="BU204" s="615"/>
      <c r="BV204" s="615"/>
      <c r="BW204" s="615"/>
      <c r="BX204" s="615"/>
      <c r="BY204" s="615"/>
      <c r="BZ204" s="615"/>
      <c r="CA204" s="615"/>
      <c r="CB204" s="615"/>
      <c r="CC204" s="615"/>
      <c r="CD204" s="615"/>
      <c r="CE204" s="615"/>
      <c r="CF204" s="615"/>
      <c r="CG204" s="615"/>
      <c r="CH204" s="615"/>
      <c r="CI204" s="615"/>
      <c r="CJ204" s="615"/>
      <c r="CK204" s="615"/>
      <c r="CL204" s="615"/>
      <c r="CM204" s="615"/>
      <c r="CN204" s="615"/>
      <c r="CO204" s="615"/>
      <c r="CP204" s="615"/>
      <c r="CQ204" s="615"/>
      <c r="CR204" s="615"/>
      <c r="CS204" s="615"/>
      <c r="CT204" s="615"/>
      <c r="CU204" s="615"/>
      <c r="CV204" s="615"/>
      <c r="CW204" s="615"/>
      <c r="CX204" s="615"/>
      <c r="CY204" s="615"/>
      <c r="CZ204" s="212"/>
      <c r="DA204" s="212"/>
      <c r="DB204" s="212"/>
    </row>
    <row r="205" spans="2:106">
      <c r="B205" s="584"/>
      <c r="C205" s="585"/>
      <c r="D205" s="603"/>
      <c r="E205" s="524" t="s">
        <v>545</v>
      </c>
      <c r="F205" s="604"/>
      <c r="G205" s="525"/>
      <c r="H205" s="509">
        <f>L183</f>
        <v>48823</v>
      </c>
      <c r="I205" s="509">
        <f>EDATE(H205,$L$184)</f>
        <v>48914</v>
      </c>
      <c r="J205" s="509">
        <f t="shared" ref="J205:AM205" si="246">EDATE(I205,$L$184)</f>
        <v>49004</v>
      </c>
      <c r="K205" s="509">
        <f t="shared" si="246"/>
        <v>49096</v>
      </c>
      <c r="L205" s="509">
        <f t="shared" si="246"/>
        <v>49188</v>
      </c>
      <c r="M205" s="509">
        <f t="shared" si="246"/>
        <v>49279</v>
      </c>
      <c r="N205" s="509">
        <f t="shared" si="246"/>
        <v>49369</v>
      </c>
      <c r="O205" s="509">
        <f t="shared" si="246"/>
        <v>49461</v>
      </c>
      <c r="P205" s="509">
        <f t="shared" si="246"/>
        <v>49553</v>
      </c>
      <c r="Q205" s="509">
        <f t="shared" si="246"/>
        <v>49644</v>
      </c>
      <c r="R205" s="509">
        <f t="shared" si="246"/>
        <v>49735</v>
      </c>
      <c r="S205" s="509">
        <f t="shared" si="246"/>
        <v>49827</v>
      </c>
      <c r="T205" s="509">
        <f t="shared" si="246"/>
        <v>49919</v>
      </c>
      <c r="U205" s="509">
        <f t="shared" si="246"/>
        <v>50010</v>
      </c>
      <c r="V205" s="509">
        <f t="shared" si="246"/>
        <v>50100</v>
      </c>
      <c r="W205" s="509">
        <f t="shared" si="246"/>
        <v>50192</v>
      </c>
      <c r="X205" s="509">
        <f t="shared" si="246"/>
        <v>50284</v>
      </c>
      <c r="Y205" s="509">
        <f t="shared" si="246"/>
        <v>50375</v>
      </c>
      <c r="Z205" s="509">
        <f t="shared" si="246"/>
        <v>50465</v>
      </c>
      <c r="AA205" s="509">
        <f t="shared" si="246"/>
        <v>50557</v>
      </c>
      <c r="AB205" s="509">
        <f t="shared" si="246"/>
        <v>50649</v>
      </c>
      <c r="AC205" s="509">
        <f t="shared" si="246"/>
        <v>50740</v>
      </c>
      <c r="AD205" s="509">
        <f t="shared" si="246"/>
        <v>50830</v>
      </c>
      <c r="AE205" s="509">
        <f t="shared" si="246"/>
        <v>50922</v>
      </c>
      <c r="AF205" s="509">
        <f t="shared" si="246"/>
        <v>51014</v>
      </c>
      <c r="AG205" s="509">
        <f t="shared" si="246"/>
        <v>51105</v>
      </c>
      <c r="AH205" s="509">
        <f t="shared" si="246"/>
        <v>51196</v>
      </c>
      <c r="AI205" s="509">
        <f t="shared" si="246"/>
        <v>51288</v>
      </c>
      <c r="AJ205" s="509">
        <f t="shared" si="246"/>
        <v>51380</v>
      </c>
      <c r="AK205" s="509">
        <f t="shared" si="246"/>
        <v>51471</v>
      </c>
      <c r="AL205" s="509">
        <f t="shared" si="246"/>
        <v>51561</v>
      </c>
      <c r="AM205" s="516">
        <f t="shared" si="246"/>
        <v>51653</v>
      </c>
      <c r="AN205" s="615"/>
      <c r="AO205" s="615"/>
      <c r="AP205" s="615"/>
      <c r="AQ205" s="615"/>
      <c r="AR205" s="615"/>
      <c r="AS205" s="615"/>
      <c r="AT205" s="615"/>
      <c r="AU205" s="615"/>
      <c r="AV205" s="615"/>
      <c r="AW205" s="615"/>
      <c r="AX205" s="615"/>
      <c r="AY205" s="615"/>
      <c r="AZ205" s="615"/>
      <c r="BA205" s="615"/>
      <c r="BB205" s="615"/>
      <c r="BC205" s="615"/>
      <c r="BD205" s="615"/>
      <c r="BE205" s="615"/>
      <c r="BF205" s="615"/>
      <c r="BG205" s="615"/>
      <c r="BH205" s="615"/>
      <c r="BI205" s="615"/>
      <c r="BJ205" s="615"/>
      <c r="BK205" s="615"/>
      <c r="BL205" s="615"/>
      <c r="BM205" s="615"/>
      <c r="BN205" s="615"/>
      <c r="BO205" s="615"/>
      <c r="BP205" s="615"/>
      <c r="BQ205" s="615"/>
      <c r="BR205" s="615"/>
      <c r="BS205" s="615"/>
      <c r="BT205" s="615"/>
      <c r="BU205" s="615"/>
      <c r="BV205" s="615"/>
      <c r="BW205" s="615"/>
      <c r="BX205" s="615"/>
      <c r="BY205" s="615"/>
      <c r="BZ205" s="615"/>
      <c r="CA205" s="615"/>
      <c r="CB205" s="615"/>
      <c r="CC205" s="615"/>
      <c r="CD205" s="615"/>
      <c r="CE205" s="615"/>
      <c r="CF205" s="615"/>
      <c r="CG205" s="615"/>
      <c r="CH205" s="615"/>
      <c r="CI205" s="615"/>
      <c r="CJ205" s="615"/>
      <c r="CK205" s="615"/>
      <c r="CL205" s="615"/>
      <c r="CM205" s="615"/>
      <c r="CN205" s="615"/>
      <c r="CO205" s="615"/>
      <c r="CP205" s="615"/>
      <c r="CQ205" s="615"/>
      <c r="CR205" s="615"/>
      <c r="CS205" s="615"/>
      <c r="CT205" s="615"/>
      <c r="CU205" s="615"/>
      <c r="CV205" s="615"/>
      <c r="CW205" s="615"/>
      <c r="CX205" s="615"/>
      <c r="CY205" s="615"/>
      <c r="CZ205" s="212"/>
      <c r="DA205" s="212"/>
      <c r="DB205" s="212"/>
    </row>
    <row r="206" spans="2:106">
      <c r="B206" s="584"/>
      <c r="C206" s="585"/>
      <c r="D206" s="603"/>
      <c r="E206" s="524" t="s">
        <v>532</v>
      </c>
      <c r="F206" s="604"/>
      <c r="G206" s="525"/>
      <c r="H206" s="526">
        <f>YEAR(H205)</f>
        <v>2033</v>
      </c>
      <c r="I206" s="526">
        <f t="shared" ref="I206:AM206" si="247">YEAR(I205)</f>
        <v>2033</v>
      </c>
      <c r="J206" s="526">
        <f t="shared" si="247"/>
        <v>2034</v>
      </c>
      <c r="K206" s="526">
        <f t="shared" si="247"/>
        <v>2034</v>
      </c>
      <c r="L206" s="526">
        <f t="shared" si="247"/>
        <v>2034</v>
      </c>
      <c r="M206" s="526">
        <f t="shared" si="247"/>
        <v>2034</v>
      </c>
      <c r="N206" s="526">
        <f t="shared" si="247"/>
        <v>2035</v>
      </c>
      <c r="O206" s="526">
        <f t="shared" si="247"/>
        <v>2035</v>
      </c>
      <c r="P206" s="526">
        <f t="shared" si="247"/>
        <v>2035</v>
      </c>
      <c r="Q206" s="526">
        <f t="shared" si="247"/>
        <v>2035</v>
      </c>
      <c r="R206" s="526">
        <f t="shared" si="247"/>
        <v>2036</v>
      </c>
      <c r="S206" s="526">
        <f t="shared" si="247"/>
        <v>2036</v>
      </c>
      <c r="T206" s="526">
        <f t="shared" si="247"/>
        <v>2036</v>
      </c>
      <c r="U206" s="526">
        <f t="shared" si="247"/>
        <v>2036</v>
      </c>
      <c r="V206" s="526">
        <f t="shared" si="247"/>
        <v>2037</v>
      </c>
      <c r="W206" s="526">
        <f t="shared" si="247"/>
        <v>2037</v>
      </c>
      <c r="X206" s="526">
        <f t="shared" si="247"/>
        <v>2037</v>
      </c>
      <c r="Y206" s="526">
        <f t="shared" si="247"/>
        <v>2037</v>
      </c>
      <c r="Z206" s="526">
        <f t="shared" si="247"/>
        <v>2038</v>
      </c>
      <c r="AA206" s="526">
        <f t="shared" si="247"/>
        <v>2038</v>
      </c>
      <c r="AB206" s="526">
        <f t="shared" si="247"/>
        <v>2038</v>
      </c>
      <c r="AC206" s="526">
        <f t="shared" si="247"/>
        <v>2038</v>
      </c>
      <c r="AD206" s="526">
        <f t="shared" si="247"/>
        <v>2039</v>
      </c>
      <c r="AE206" s="526">
        <f t="shared" si="247"/>
        <v>2039</v>
      </c>
      <c r="AF206" s="526">
        <f t="shared" si="247"/>
        <v>2039</v>
      </c>
      <c r="AG206" s="526">
        <f t="shared" si="247"/>
        <v>2039</v>
      </c>
      <c r="AH206" s="526">
        <f t="shared" si="247"/>
        <v>2040</v>
      </c>
      <c r="AI206" s="526">
        <f t="shared" si="247"/>
        <v>2040</v>
      </c>
      <c r="AJ206" s="526">
        <f t="shared" si="247"/>
        <v>2040</v>
      </c>
      <c r="AK206" s="526">
        <f t="shared" si="247"/>
        <v>2040</v>
      </c>
      <c r="AL206" s="526">
        <f t="shared" si="247"/>
        <v>2041</v>
      </c>
      <c r="AM206" s="527">
        <f t="shared" si="247"/>
        <v>2041</v>
      </c>
      <c r="AN206" s="615"/>
      <c r="AO206" s="615"/>
      <c r="AP206" s="615"/>
      <c r="AQ206" s="615"/>
      <c r="AR206" s="615"/>
      <c r="AS206" s="615"/>
      <c r="AT206" s="615"/>
      <c r="AU206" s="615"/>
      <c r="AV206" s="615"/>
      <c r="AW206" s="615"/>
      <c r="AX206" s="615"/>
      <c r="AY206" s="615"/>
      <c r="AZ206" s="615"/>
      <c r="BA206" s="615"/>
      <c r="BB206" s="615"/>
      <c r="BC206" s="615"/>
      <c r="BD206" s="615"/>
      <c r="BE206" s="615"/>
      <c r="BF206" s="615"/>
      <c r="BG206" s="615"/>
      <c r="BH206" s="615"/>
      <c r="BI206" s="615"/>
      <c r="BJ206" s="615"/>
      <c r="BK206" s="615"/>
      <c r="BL206" s="615"/>
      <c r="BM206" s="615"/>
      <c r="BN206" s="615"/>
      <c r="BO206" s="615"/>
      <c r="BP206" s="615"/>
      <c r="BQ206" s="615"/>
      <c r="BR206" s="615"/>
      <c r="BS206" s="615"/>
      <c r="BT206" s="615"/>
      <c r="BU206" s="615"/>
      <c r="BV206" s="615"/>
      <c r="BW206" s="615"/>
      <c r="BX206" s="615"/>
      <c r="BY206" s="615"/>
      <c r="BZ206" s="615"/>
      <c r="CA206" s="615"/>
      <c r="CB206" s="615"/>
      <c r="CC206" s="615"/>
      <c r="CD206" s="615"/>
      <c r="CE206" s="615"/>
      <c r="CF206" s="615"/>
      <c r="CG206" s="615"/>
      <c r="CH206" s="615"/>
      <c r="CI206" s="615"/>
      <c r="CJ206" s="615"/>
      <c r="CK206" s="615"/>
      <c r="CL206" s="615"/>
      <c r="CM206" s="615"/>
      <c r="CN206" s="615"/>
      <c r="CO206" s="615"/>
      <c r="CP206" s="615"/>
      <c r="CQ206" s="615"/>
      <c r="CR206" s="615"/>
      <c r="CS206" s="615"/>
      <c r="CT206" s="615"/>
      <c r="CU206" s="615"/>
      <c r="CV206" s="615"/>
      <c r="CW206" s="615"/>
      <c r="CX206" s="615"/>
      <c r="CY206" s="615"/>
      <c r="CZ206" s="212"/>
      <c r="DA206" s="212"/>
      <c r="DB206" s="212"/>
    </row>
    <row r="207" spans="2:106">
      <c r="B207" s="584"/>
      <c r="C207" s="585"/>
      <c r="D207" s="603"/>
      <c r="E207" s="605" t="s">
        <v>420</v>
      </c>
      <c r="F207" s="144" t="s">
        <v>535</v>
      </c>
      <c r="G207" s="467"/>
      <c r="H207" s="467">
        <f>$G$183</f>
        <v>5000</v>
      </c>
      <c r="I207" s="467">
        <f>H212</f>
        <v>4865.83436636763</v>
      </c>
      <c r="J207" s="467">
        <f t="shared" ref="J207:AM207" si="248">I212</f>
        <v>4730.37738851154</v>
      </c>
      <c r="K207" s="467">
        <f t="shared" si="248"/>
        <v>4593.61663724359</v>
      </c>
      <c r="L207" s="467">
        <f t="shared" si="248"/>
        <v>4455.53956374468</v>
      </c>
      <c r="M207" s="467">
        <f t="shared" si="248"/>
        <v>4316.13349841335</v>
      </c>
      <c r="N207" s="467">
        <f t="shared" si="248"/>
        <v>4175.3856497032</v>
      </c>
      <c r="O207" s="467">
        <f t="shared" si="248"/>
        <v>4033.28310294922</v>
      </c>
      <c r="P207" s="467">
        <f t="shared" si="248"/>
        <v>3889.81281918273</v>
      </c>
      <c r="Q207" s="467">
        <f t="shared" si="248"/>
        <v>3744.96163393499</v>
      </c>
      <c r="R207" s="467">
        <f t="shared" si="248"/>
        <v>3598.71625602924</v>
      </c>
      <c r="S207" s="467">
        <f t="shared" si="248"/>
        <v>3451.06326636115</v>
      </c>
      <c r="T207" s="467">
        <f t="shared" si="248"/>
        <v>3301.9891166675</v>
      </c>
      <c r="U207" s="467">
        <f t="shared" si="248"/>
        <v>3151.48012828305</v>
      </c>
      <c r="V207" s="467">
        <f t="shared" si="248"/>
        <v>2999.5224908854</v>
      </c>
      <c r="W207" s="467">
        <f t="shared" si="248"/>
        <v>2846.10226122779</v>
      </c>
      <c r="X207" s="467">
        <f t="shared" si="248"/>
        <v>2691.20536185974</v>
      </c>
      <c r="Y207" s="467">
        <f t="shared" si="248"/>
        <v>2534.81757983526</v>
      </c>
      <c r="Z207" s="467">
        <f t="shared" si="248"/>
        <v>2376.9245654088</v>
      </c>
      <c r="AA207" s="467">
        <f t="shared" si="248"/>
        <v>2217.51183071849</v>
      </c>
      <c r="AB207" s="467">
        <f t="shared" si="248"/>
        <v>2056.56474845678</v>
      </c>
      <c r="AC207" s="467">
        <f t="shared" si="248"/>
        <v>1894.0685505283</v>
      </c>
      <c r="AD207" s="467">
        <f t="shared" si="248"/>
        <v>1730.00832669476</v>
      </c>
      <c r="AE207" s="467">
        <f t="shared" si="248"/>
        <v>1564.36902320682</v>
      </c>
      <c r="AF207" s="467">
        <f t="shared" si="248"/>
        <v>1397.13544142281</v>
      </c>
      <c r="AG207" s="467">
        <f t="shared" si="248"/>
        <v>1228.29223641413</v>
      </c>
      <c r="AH207" s="467">
        <f t="shared" si="248"/>
        <v>1057.82391555724</v>
      </c>
      <c r="AI207" s="467">
        <f t="shared" si="248"/>
        <v>885.714837112103</v>
      </c>
      <c r="AJ207" s="467">
        <f t="shared" si="248"/>
        <v>711.949208786932</v>
      </c>
      <c r="AK207" s="467">
        <f t="shared" si="248"/>
        <v>536.511086289131</v>
      </c>
      <c r="AL207" s="467">
        <f t="shared" si="248"/>
        <v>359.384371862289</v>
      </c>
      <c r="AM207" s="483">
        <f t="shared" si="248"/>
        <v>180.552812809089</v>
      </c>
      <c r="AN207" s="615"/>
      <c r="AO207" s="615"/>
      <c r="AP207" s="615"/>
      <c r="AQ207" s="615"/>
      <c r="AR207" s="615"/>
      <c r="AS207" s="615"/>
      <c r="AT207" s="615"/>
      <c r="AU207" s="615"/>
      <c r="AV207" s="615"/>
      <c r="AW207" s="615"/>
      <c r="AX207" s="615"/>
      <c r="AY207" s="615"/>
      <c r="AZ207" s="615"/>
      <c r="BA207" s="615"/>
      <c r="BB207" s="615"/>
      <c r="BC207" s="615"/>
      <c r="BD207" s="615"/>
      <c r="BE207" s="615"/>
      <c r="BF207" s="615"/>
      <c r="BG207" s="615"/>
      <c r="BH207" s="615"/>
      <c r="BI207" s="615"/>
      <c r="BJ207" s="615"/>
      <c r="BK207" s="615"/>
      <c r="BL207" s="615"/>
      <c r="BM207" s="615"/>
      <c r="BN207" s="615"/>
      <c r="BO207" s="615"/>
      <c r="BP207" s="615"/>
      <c r="BQ207" s="615"/>
      <c r="BR207" s="615"/>
      <c r="BS207" s="615"/>
      <c r="BT207" s="615"/>
      <c r="BU207" s="615"/>
      <c r="BV207" s="615"/>
      <c r="BW207" s="615"/>
      <c r="BX207" s="615"/>
      <c r="BY207" s="615"/>
      <c r="BZ207" s="615"/>
      <c r="CA207" s="615"/>
      <c r="CB207" s="615"/>
      <c r="CC207" s="615"/>
      <c r="CD207" s="615"/>
      <c r="CE207" s="615"/>
      <c r="CF207" s="615"/>
      <c r="CG207" s="615"/>
      <c r="CH207" s="615"/>
      <c r="CI207" s="615"/>
      <c r="CJ207" s="615"/>
      <c r="CK207" s="615"/>
      <c r="CL207" s="615"/>
      <c r="CM207" s="615"/>
      <c r="CN207" s="615"/>
      <c r="CO207" s="615"/>
      <c r="CP207" s="615"/>
      <c r="CQ207" s="615"/>
      <c r="CR207" s="615"/>
      <c r="CS207" s="615"/>
      <c r="CT207" s="615"/>
      <c r="CU207" s="615"/>
      <c r="CV207" s="615"/>
      <c r="CW207" s="615"/>
      <c r="CX207" s="615"/>
      <c r="CY207" s="615"/>
      <c r="CZ207" s="212"/>
      <c r="DA207" s="212"/>
      <c r="DB207" s="212"/>
    </row>
    <row r="208" spans="2:106">
      <c r="B208" s="584"/>
      <c r="C208" s="585"/>
      <c r="D208" s="603"/>
      <c r="E208" s="606"/>
      <c r="F208" s="144" t="s">
        <v>536</v>
      </c>
      <c r="G208" s="467"/>
      <c r="H208" s="467">
        <v>0</v>
      </c>
      <c r="I208" s="467">
        <v>0</v>
      </c>
      <c r="J208" s="467">
        <v>0</v>
      </c>
      <c r="K208" s="467">
        <v>0</v>
      </c>
      <c r="L208" s="467">
        <v>0</v>
      </c>
      <c r="M208" s="467">
        <v>0</v>
      </c>
      <c r="N208" s="467">
        <v>0</v>
      </c>
      <c r="O208" s="467">
        <v>0</v>
      </c>
      <c r="P208" s="467">
        <v>0</v>
      </c>
      <c r="Q208" s="467">
        <v>0</v>
      </c>
      <c r="R208" s="467">
        <v>0</v>
      </c>
      <c r="S208" s="467">
        <v>0</v>
      </c>
      <c r="T208" s="467">
        <v>0</v>
      </c>
      <c r="U208" s="467">
        <v>0</v>
      </c>
      <c r="V208" s="467">
        <v>0</v>
      </c>
      <c r="W208" s="467">
        <v>0</v>
      </c>
      <c r="X208" s="467">
        <v>0</v>
      </c>
      <c r="Y208" s="467">
        <v>0</v>
      </c>
      <c r="Z208" s="467">
        <v>0</v>
      </c>
      <c r="AA208" s="467">
        <v>0</v>
      </c>
      <c r="AB208" s="467">
        <v>0</v>
      </c>
      <c r="AC208" s="467">
        <v>0</v>
      </c>
      <c r="AD208" s="467">
        <v>0</v>
      </c>
      <c r="AE208" s="467">
        <v>0</v>
      </c>
      <c r="AF208" s="467">
        <v>0</v>
      </c>
      <c r="AG208" s="467">
        <v>0</v>
      </c>
      <c r="AH208" s="467">
        <v>0</v>
      </c>
      <c r="AI208" s="467">
        <v>0</v>
      </c>
      <c r="AJ208" s="467">
        <v>0</v>
      </c>
      <c r="AK208" s="467">
        <v>0</v>
      </c>
      <c r="AL208" s="467">
        <v>0</v>
      </c>
      <c r="AM208" s="483">
        <v>0</v>
      </c>
      <c r="AN208" s="615"/>
      <c r="AO208" s="615"/>
      <c r="AP208" s="615"/>
      <c r="AQ208" s="615"/>
      <c r="AR208" s="615"/>
      <c r="AS208" s="615"/>
      <c r="AT208" s="615"/>
      <c r="AU208" s="615"/>
      <c r="AV208" s="615"/>
      <c r="AW208" s="615"/>
      <c r="AX208" s="615"/>
      <c r="AY208" s="615"/>
      <c r="AZ208" s="615"/>
      <c r="BA208" s="615"/>
      <c r="BB208" s="615"/>
      <c r="BC208" s="615"/>
      <c r="BD208" s="615"/>
      <c r="BE208" s="615"/>
      <c r="BF208" s="615"/>
      <c r="BG208" s="615"/>
      <c r="BH208" s="615"/>
      <c r="BI208" s="615"/>
      <c r="BJ208" s="615"/>
      <c r="BK208" s="615"/>
      <c r="BL208" s="615"/>
      <c r="BM208" s="615"/>
      <c r="BN208" s="615"/>
      <c r="BO208" s="615"/>
      <c r="BP208" s="615"/>
      <c r="BQ208" s="615"/>
      <c r="BR208" s="615"/>
      <c r="BS208" s="615"/>
      <c r="BT208" s="615"/>
      <c r="BU208" s="615"/>
      <c r="BV208" s="615"/>
      <c r="BW208" s="615"/>
      <c r="BX208" s="615"/>
      <c r="BY208" s="615"/>
      <c r="BZ208" s="615"/>
      <c r="CA208" s="615"/>
      <c r="CB208" s="615"/>
      <c r="CC208" s="615"/>
      <c r="CD208" s="615"/>
      <c r="CE208" s="615"/>
      <c r="CF208" s="615"/>
      <c r="CG208" s="615"/>
      <c r="CH208" s="615"/>
      <c r="CI208" s="615"/>
      <c r="CJ208" s="615"/>
      <c r="CK208" s="615"/>
      <c r="CL208" s="615"/>
      <c r="CM208" s="615"/>
      <c r="CN208" s="615"/>
      <c r="CO208" s="615"/>
      <c r="CP208" s="615"/>
      <c r="CQ208" s="615"/>
      <c r="CR208" s="615"/>
      <c r="CS208" s="615"/>
      <c r="CT208" s="615"/>
      <c r="CU208" s="615"/>
      <c r="CV208" s="615"/>
      <c r="CW208" s="615"/>
      <c r="CX208" s="615"/>
      <c r="CY208" s="615"/>
      <c r="CZ208" s="212"/>
      <c r="DA208" s="212"/>
      <c r="DB208" s="212"/>
    </row>
    <row r="209" spans="2:108">
      <c r="B209" s="584"/>
      <c r="C209" s="585"/>
      <c r="D209" s="603"/>
      <c r="E209" s="606"/>
      <c r="F209" s="144" t="s">
        <v>537</v>
      </c>
      <c r="G209" s="467">
        <f>SUM(H209:AM209)</f>
        <v>5833.300276236</v>
      </c>
      <c r="H209" s="467">
        <f>-PMT($G$188/$L$185,$L$186,$G$183)</f>
        <v>182.290633632375</v>
      </c>
      <c r="I209" s="467">
        <f t="shared" ref="I209:R209" si="249">-PMT($G$188/$L$185,$L$186,$G$183)</f>
        <v>182.290633632375</v>
      </c>
      <c r="J209" s="467">
        <f t="shared" si="249"/>
        <v>182.290633632375</v>
      </c>
      <c r="K209" s="467">
        <f t="shared" si="249"/>
        <v>182.290633632375</v>
      </c>
      <c r="L209" s="467">
        <f t="shared" si="249"/>
        <v>182.290633632375</v>
      </c>
      <c r="M209" s="467">
        <f t="shared" si="249"/>
        <v>182.290633632375</v>
      </c>
      <c r="N209" s="467">
        <f t="shared" si="249"/>
        <v>182.290633632375</v>
      </c>
      <c r="O209" s="467">
        <f t="shared" si="249"/>
        <v>182.290633632375</v>
      </c>
      <c r="P209" s="467">
        <f t="shared" si="249"/>
        <v>182.290633632375</v>
      </c>
      <c r="Q209" s="467">
        <f t="shared" si="249"/>
        <v>182.290633632375</v>
      </c>
      <c r="R209" s="467">
        <f t="shared" si="249"/>
        <v>182.290633632375</v>
      </c>
      <c r="S209" s="467">
        <f t="shared" ref="S209:AB209" si="250">-PMT($G$188/$L$185,$L$186,$G$183)</f>
        <v>182.290633632375</v>
      </c>
      <c r="T209" s="467">
        <f t="shared" si="250"/>
        <v>182.290633632375</v>
      </c>
      <c r="U209" s="467">
        <f t="shared" si="250"/>
        <v>182.290633632375</v>
      </c>
      <c r="V209" s="467">
        <f t="shared" si="250"/>
        <v>182.290633632375</v>
      </c>
      <c r="W209" s="467">
        <f t="shared" si="250"/>
        <v>182.290633632375</v>
      </c>
      <c r="X209" s="467">
        <f t="shared" si="250"/>
        <v>182.290633632375</v>
      </c>
      <c r="Y209" s="467">
        <f t="shared" si="250"/>
        <v>182.290633632375</v>
      </c>
      <c r="Z209" s="467">
        <f t="shared" si="250"/>
        <v>182.290633632375</v>
      </c>
      <c r="AA209" s="467">
        <f t="shared" si="250"/>
        <v>182.290633632375</v>
      </c>
      <c r="AB209" s="467">
        <f t="shared" si="250"/>
        <v>182.290633632375</v>
      </c>
      <c r="AC209" s="467">
        <f t="shared" ref="AC209:AM209" si="251">-PMT($G$188/$L$185,$L$186,$G$183)</f>
        <v>182.290633632375</v>
      </c>
      <c r="AD209" s="467">
        <f t="shared" si="251"/>
        <v>182.290633632375</v>
      </c>
      <c r="AE209" s="467">
        <f t="shared" si="251"/>
        <v>182.290633632375</v>
      </c>
      <c r="AF209" s="467">
        <f t="shared" si="251"/>
        <v>182.290633632375</v>
      </c>
      <c r="AG209" s="467">
        <f t="shared" si="251"/>
        <v>182.290633632375</v>
      </c>
      <c r="AH209" s="467">
        <f t="shared" si="251"/>
        <v>182.290633632375</v>
      </c>
      <c r="AI209" s="467">
        <f t="shared" si="251"/>
        <v>182.290633632375</v>
      </c>
      <c r="AJ209" s="467">
        <f t="shared" si="251"/>
        <v>182.290633632375</v>
      </c>
      <c r="AK209" s="467">
        <f t="shared" si="251"/>
        <v>182.290633632375</v>
      </c>
      <c r="AL209" s="467">
        <f t="shared" si="251"/>
        <v>182.290633632375</v>
      </c>
      <c r="AM209" s="483">
        <f t="shared" si="251"/>
        <v>182.290633632375</v>
      </c>
      <c r="AN209" s="615"/>
      <c r="AO209" s="615"/>
      <c r="AP209" s="615"/>
      <c r="AQ209" s="615"/>
      <c r="AR209" s="615"/>
      <c r="AS209" s="615"/>
      <c r="AT209" s="615"/>
      <c r="AU209" s="615"/>
      <c r="AV209" s="615"/>
      <c r="AW209" s="615"/>
      <c r="AX209" s="615"/>
      <c r="AY209" s="615"/>
      <c r="AZ209" s="615"/>
      <c r="BA209" s="615"/>
      <c r="BB209" s="615"/>
      <c r="BC209" s="615"/>
      <c r="BD209" s="615"/>
      <c r="BE209" s="615"/>
      <c r="BF209" s="615"/>
      <c r="BG209" s="615"/>
      <c r="BH209" s="615"/>
      <c r="BI209" s="615"/>
      <c r="BJ209" s="615"/>
      <c r="BK209" s="615"/>
      <c r="BL209" s="615"/>
      <c r="BM209" s="615"/>
      <c r="BN209" s="615"/>
      <c r="BO209" s="615"/>
      <c r="BP209" s="615"/>
      <c r="BQ209" s="615"/>
      <c r="BR209" s="615"/>
      <c r="BS209" s="615"/>
      <c r="BT209" s="615"/>
      <c r="BU209" s="615"/>
      <c r="BV209" s="615"/>
      <c r="BW209" s="615"/>
      <c r="BX209" s="615"/>
      <c r="BY209" s="615"/>
      <c r="BZ209" s="615"/>
      <c r="CA209" s="615"/>
      <c r="CB209" s="615"/>
      <c r="CC209" s="615"/>
      <c r="CD209" s="615"/>
      <c r="CE209" s="615"/>
      <c r="CF209" s="615"/>
      <c r="CG209" s="615"/>
      <c r="CH209" s="615"/>
      <c r="CI209" s="615"/>
      <c r="CJ209" s="615"/>
      <c r="CK209" s="615"/>
      <c r="CL209" s="615"/>
      <c r="CM209" s="615"/>
      <c r="CN209" s="615"/>
      <c r="CO209" s="615"/>
      <c r="CP209" s="615"/>
      <c r="CQ209" s="615"/>
      <c r="CR209" s="615"/>
      <c r="CS209" s="615"/>
      <c r="CT209" s="615"/>
      <c r="CU209" s="615"/>
      <c r="CV209" s="615"/>
      <c r="CW209" s="615"/>
      <c r="CX209" s="615"/>
      <c r="CY209" s="615"/>
      <c r="CZ209" s="212"/>
      <c r="DA209" s="212"/>
      <c r="DB209" s="212"/>
    </row>
    <row r="210" spans="2:108">
      <c r="B210" s="584"/>
      <c r="C210" s="585"/>
      <c r="D210" s="603"/>
      <c r="E210" s="606"/>
      <c r="F210" s="145" t="s">
        <v>538</v>
      </c>
      <c r="G210" s="467">
        <f t="shared" ref="G210:G217" si="252">SUM(H210:AM210)</f>
        <v>5000</v>
      </c>
      <c r="H210" s="467">
        <f>H209-H211</f>
        <v>134.165633632375</v>
      </c>
      <c r="I210" s="467">
        <f t="shared" ref="I210:AM210" si="253">I209-I211</f>
        <v>135.456977856087</v>
      </c>
      <c r="J210" s="467">
        <f t="shared" si="253"/>
        <v>136.760751267952</v>
      </c>
      <c r="K210" s="467">
        <f t="shared" si="253"/>
        <v>138.077073498906</v>
      </c>
      <c r="L210" s="467">
        <f t="shared" si="253"/>
        <v>139.406065331333</v>
      </c>
      <c r="M210" s="467">
        <f t="shared" si="253"/>
        <v>140.747848710147</v>
      </c>
      <c r="N210" s="467">
        <f t="shared" si="253"/>
        <v>142.102546753982</v>
      </c>
      <c r="O210" s="467">
        <f t="shared" si="253"/>
        <v>143.470283766489</v>
      </c>
      <c r="P210" s="467">
        <f t="shared" si="253"/>
        <v>144.851185247741</v>
      </c>
      <c r="Q210" s="467">
        <f t="shared" si="253"/>
        <v>146.245377905751</v>
      </c>
      <c r="R210" s="467">
        <f t="shared" si="253"/>
        <v>147.652989668094</v>
      </c>
      <c r="S210" s="467">
        <f t="shared" si="253"/>
        <v>149.074149693649</v>
      </c>
      <c r="T210" s="467">
        <f t="shared" si="253"/>
        <v>150.50898838445</v>
      </c>
      <c r="U210" s="467">
        <f t="shared" si="253"/>
        <v>151.957637397651</v>
      </c>
      <c r="V210" s="467">
        <f t="shared" si="253"/>
        <v>153.420229657603</v>
      </c>
      <c r="W210" s="467">
        <f t="shared" si="253"/>
        <v>154.896899368058</v>
      </c>
      <c r="X210" s="467">
        <f t="shared" si="253"/>
        <v>156.387782024475</v>
      </c>
      <c r="Y210" s="467">
        <f t="shared" si="253"/>
        <v>157.893014426461</v>
      </c>
      <c r="Z210" s="467">
        <f t="shared" si="253"/>
        <v>159.412734690315</v>
      </c>
      <c r="AA210" s="467">
        <f t="shared" si="253"/>
        <v>160.94708226171</v>
      </c>
      <c r="AB210" s="467">
        <f t="shared" si="253"/>
        <v>162.496197928479</v>
      </c>
      <c r="AC210" s="467">
        <f t="shared" si="253"/>
        <v>164.06022383354</v>
      </c>
      <c r="AD210" s="467">
        <f t="shared" si="253"/>
        <v>165.639303487938</v>
      </c>
      <c r="AE210" s="467">
        <f t="shared" si="253"/>
        <v>167.233581784009</v>
      </c>
      <c r="AF210" s="467">
        <f t="shared" si="253"/>
        <v>168.843205008681</v>
      </c>
      <c r="AG210" s="467">
        <f t="shared" si="253"/>
        <v>170.468320856889</v>
      </c>
      <c r="AH210" s="467">
        <f t="shared" si="253"/>
        <v>172.109078445137</v>
      </c>
      <c r="AI210" s="467">
        <f t="shared" si="253"/>
        <v>173.765628325171</v>
      </c>
      <c r="AJ210" s="467">
        <f t="shared" si="253"/>
        <v>175.438122497801</v>
      </c>
      <c r="AK210" s="467">
        <f t="shared" si="253"/>
        <v>177.126714426842</v>
      </c>
      <c r="AL210" s="467">
        <f t="shared" si="253"/>
        <v>178.831559053201</v>
      </c>
      <c r="AM210" s="483">
        <f t="shared" si="253"/>
        <v>180.552812809088</v>
      </c>
      <c r="AN210" s="615"/>
      <c r="AO210" s="615"/>
      <c r="AP210" s="615"/>
      <c r="AQ210" s="615"/>
      <c r="AR210" s="615"/>
      <c r="AS210" s="615"/>
      <c r="AT210" s="615"/>
      <c r="AU210" s="615"/>
      <c r="AV210" s="615"/>
      <c r="AW210" s="615"/>
      <c r="AX210" s="615"/>
      <c r="AY210" s="615"/>
      <c r="AZ210" s="615"/>
      <c r="BA210" s="615"/>
      <c r="BB210" s="615"/>
      <c r="BC210" s="615"/>
      <c r="BD210" s="615"/>
      <c r="BE210" s="615"/>
      <c r="BF210" s="615"/>
      <c r="BG210" s="615"/>
      <c r="BH210" s="615"/>
      <c r="BI210" s="615"/>
      <c r="BJ210" s="615"/>
      <c r="BK210" s="615"/>
      <c r="BL210" s="615"/>
      <c r="BM210" s="615"/>
      <c r="BN210" s="615"/>
      <c r="BO210" s="615"/>
      <c r="BP210" s="615"/>
      <c r="BQ210" s="615"/>
      <c r="BR210" s="615"/>
      <c r="BS210" s="615"/>
      <c r="BT210" s="615"/>
      <c r="BU210" s="615"/>
      <c r="BV210" s="615"/>
      <c r="BW210" s="615"/>
      <c r="BX210" s="615"/>
      <c r="BY210" s="615"/>
      <c r="BZ210" s="615"/>
      <c r="CA210" s="615"/>
      <c r="CB210" s="615"/>
      <c r="CC210" s="615"/>
      <c r="CD210" s="615"/>
      <c r="CE210" s="615"/>
      <c r="CF210" s="615"/>
      <c r="CG210" s="615"/>
      <c r="CH210" s="615"/>
      <c r="CI210" s="615"/>
      <c r="CJ210" s="615"/>
      <c r="CK210" s="615"/>
      <c r="CL210" s="615"/>
      <c r="CM210" s="615"/>
      <c r="CN210" s="615"/>
      <c r="CO210" s="615"/>
      <c r="CP210" s="615"/>
      <c r="CQ210" s="615"/>
      <c r="CR210" s="615"/>
      <c r="CS210" s="615"/>
      <c r="CT210" s="615"/>
      <c r="CU210" s="615"/>
      <c r="CV210" s="615"/>
      <c r="CW210" s="615"/>
      <c r="CX210" s="615"/>
      <c r="CY210" s="615"/>
      <c r="CZ210" s="212"/>
      <c r="DA210" s="212"/>
      <c r="DB210" s="212"/>
    </row>
    <row r="211" spans="2:108">
      <c r="B211" s="584"/>
      <c r="C211" s="585"/>
      <c r="D211" s="603"/>
      <c r="E211" s="606"/>
      <c r="F211" s="33" t="s">
        <v>539</v>
      </c>
      <c r="G211" s="467">
        <f t="shared" si="252"/>
        <v>833.300276236002</v>
      </c>
      <c r="H211" s="542">
        <f>(H207+H208/2)*($G$188/$L$185)</f>
        <v>48.125</v>
      </c>
      <c r="I211" s="542">
        <f t="shared" ref="I211:AM211" si="254">(I207+I208/2)*($G$188/$L$185)</f>
        <v>46.8336557762884</v>
      </c>
      <c r="J211" s="542">
        <f t="shared" si="254"/>
        <v>45.5298823644236</v>
      </c>
      <c r="K211" s="542">
        <f t="shared" si="254"/>
        <v>44.2135601334695</v>
      </c>
      <c r="L211" s="542">
        <f t="shared" si="254"/>
        <v>42.8845683010426</v>
      </c>
      <c r="M211" s="542">
        <f t="shared" si="254"/>
        <v>41.5427849222285</v>
      </c>
      <c r="N211" s="542">
        <f t="shared" si="254"/>
        <v>40.1880868783933</v>
      </c>
      <c r="O211" s="542">
        <f t="shared" si="254"/>
        <v>38.8203498658863</v>
      </c>
      <c r="P211" s="542">
        <f t="shared" si="254"/>
        <v>37.4394483846338</v>
      </c>
      <c r="Q211" s="542">
        <f t="shared" si="254"/>
        <v>36.0452557266243</v>
      </c>
      <c r="R211" s="542">
        <f t="shared" si="254"/>
        <v>34.6376439642814</v>
      </c>
      <c r="S211" s="542">
        <f t="shared" si="254"/>
        <v>33.216483938726</v>
      </c>
      <c r="T211" s="542">
        <f t="shared" si="254"/>
        <v>31.7816452479247</v>
      </c>
      <c r="U211" s="542">
        <f t="shared" si="254"/>
        <v>30.3329962347243</v>
      </c>
      <c r="V211" s="542">
        <f t="shared" si="254"/>
        <v>28.8704039747719</v>
      </c>
      <c r="W211" s="542">
        <f t="shared" si="254"/>
        <v>27.3937342643175</v>
      </c>
      <c r="X211" s="542">
        <f t="shared" si="254"/>
        <v>25.9028516079</v>
      </c>
      <c r="Y211" s="542">
        <f t="shared" si="254"/>
        <v>24.3976192059144</v>
      </c>
      <c r="Z211" s="542">
        <f t="shared" si="254"/>
        <v>22.8778989420597</v>
      </c>
      <c r="AA211" s="542">
        <f t="shared" si="254"/>
        <v>21.3435513706654</v>
      </c>
      <c r="AB211" s="542">
        <f t="shared" si="254"/>
        <v>19.7944357038965</v>
      </c>
      <c r="AC211" s="542">
        <f t="shared" si="254"/>
        <v>18.2304097988349</v>
      </c>
      <c r="AD211" s="542">
        <f t="shared" si="254"/>
        <v>16.651330144437</v>
      </c>
      <c r="AE211" s="542">
        <f t="shared" si="254"/>
        <v>15.0570518483656</v>
      </c>
      <c r="AF211" s="542">
        <f t="shared" si="254"/>
        <v>13.4474286236945</v>
      </c>
      <c r="AG211" s="542">
        <f t="shared" si="254"/>
        <v>11.822312775486</v>
      </c>
      <c r="AH211" s="542">
        <f t="shared" si="254"/>
        <v>10.1815551872384</v>
      </c>
      <c r="AI211" s="542">
        <f t="shared" si="254"/>
        <v>8.52500530720399</v>
      </c>
      <c r="AJ211" s="542">
        <f t="shared" si="254"/>
        <v>6.85251113457422</v>
      </c>
      <c r="AK211" s="542">
        <f t="shared" si="254"/>
        <v>5.16391920553289</v>
      </c>
      <c r="AL211" s="542">
        <f t="shared" si="254"/>
        <v>3.45907457917453</v>
      </c>
      <c r="AM211" s="543">
        <f t="shared" si="254"/>
        <v>1.73782082328748</v>
      </c>
      <c r="AN211" s="615"/>
      <c r="AO211" s="615"/>
      <c r="AP211" s="615"/>
      <c r="AQ211" s="615"/>
      <c r="AR211" s="615"/>
      <c r="AS211" s="615"/>
      <c r="AT211" s="615"/>
      <c r="AU211" s="615"/>
      <c r="AV211" s="615"/>
      <c r="AW211" s="615"/>
      <c r="AX211" s="615"/>
      <c r="AY211" s="615"/>
      <c r="AZ211" s="615"/>
      <c r="BA211" s="615"/>
      <c r="BB211" s="615"/>
      <c r="BC211" s="615"/>
      <c r="BD211" s="615"/>
      <c r="BE211" s="615"/>
      <c r="BF211" s="615"/>
      <c r="BG211" s="615"/>
      <c r="BH211" s="615"/>
      <c r="BI211" s="615"/>
      <c r="BJ211" s="615"/>
      <c r="BK211" s="615"/>
      <c r="BL211" s="615"/>
      <c r="BM211" s="615"/>
      <c r="BN211" s="615"/>
      <c r="BO211" s="615"/>
      <c r="BP211" s="615"/>
      <c r="BQ211" s="615"/>
      <c r="BR211" s="615"/>
      <c r="BS211" s="615"/>
      <c r="BT211" s="615"/>
      <c r="BU211" s="615"/>
      <c r="BV211" s="615"/>
      <c r="BW211" s="615"/>
      <c r="BX211" s="615"/>
      <c r="BY211" s="615"/>
      <c r="BZ211" s="615"/>
      <c r="CA211" s="615"/>
      <c r="CB211" s="615"/>
      <c r="CC211" s="615"/>
      <c r="CD211" s="615"/>
      <c r="CE211" s="615"/>
      <c r="CF211" s="615"/>
      <c r="CG211" s="615"/>
      <c r="CH211" s="615"/>
      <c r="CI211" s="615"/>
      <c r="CJ211" s="615"/>
      <c r="CK211" s="615"/>
      <c r="CL211" s="615"/>
      <c r="CM211" s="615"/>
      <c r="CN211" s="615"/>
      <c r="CO211" s="615"/>
      <c r="CP211" s="615"/>
      <c r="CQ211" s="615"/>
      <c r="CR211" s="615"/>
      <c r="CS211" s="615"/>
      <c r="CT211" s="615"/>
      <c r="CU211" s="615"/>
      <c r="CV211" s="615"/>
      <c r="CW211" s="615"/>
      <c r="CX211" s="615"/>
      <c r="CY211" s="615"/>
      <c r="CZ211" s="212"/>
      <c r="DA211" s="212"/>
      <c r="DB211" s="212"/>
    </row>
    <row r="212" spans="2:108">
      <c r="B212" s="584"/>
      <c r="C212" s="585"/>
      <c r="D212" s="603"/>
      <c r="E212" s="607"/>
      <c r="F212" s="144" t="s">
        <v>540</v>
      </c>
      <c r="G212" s="467">
        <f>AM212</f>
        <v>9.09494701772928e-13</v>
      </c>
      <c r="H212" s="467">
        <f>H207+H208-H210</f>
        <v>4865.83436636763</v>
      </c>
      <c r="I212" s="467">
        <f t="shared" ref="I212:AM212" si="255">I207+I208-I210</f>
        <v>4730.37738851154</v>
      </c>
      <c r="J212" s="467">
        <f t="shared" si="255"/>
        <v>4593.61663724359</v>
      </c>
      <c r="K212" s="467">
        <f t="shared" si="255"/>
        <v>4455.53956374468</v>
      </c>
      <c r="L212" s="467">
        <f t="shared" si="255"/>
        <v>4316.13349841335</v>
      </c>
      <c r="M212" s="467">
        <f t="shared" si="255"/>
        <v>4175.3856497032</v>
      </c>
      <c r="N212" s="467">
        <f t="shared" si="255"/>
        <v>4033.28310294922</v>
      </c>
      <c r="O212" s="467">
        <f t="shared" si="255"/>
        <v>3889.81281918273</v>
      </c>
      <c r="P212" s="467">
        <f t="shared" si="255"/>
        <v>3744.96163393499</v>
      </c>
      <c r="Q212" s="467">
        <f t="shared" si="255"/>
        <v>3598.71625602924</v>
      </c>
      <c r="R212" s="467">
        <f t="shared" si="255"/>
        <v>3451.06326636115</v>
      </c>
      <c r="S212" s="467">
        <f t="shared" si="255"/>
        <v>3301.9891166675</v>
      </c>
      <c r="T212" s="467">
        <f t="shared" si="255"/>
        <v>3151.48012828305</v>
      </c>
      <c r="U212" s="467">
        <f t="shared" si="255"/>
        <v>2999.5224908854</v>
      </c>
      <c r="V212" s="467">
        <f t="shared" si="255"/>
        <v>2846.10226122779</v>
      </c>
      <c r="W212" s="467">
        <f t="shared" si="255"/>
        <v>2691.20536185974</v>
      </c>
      <c r="X212" s="467">
        <f t="shared" si="255"/>
        <v>2534.81757983526</v>
      </c>
      <c r="Y212" s="467">
        <f t="shared" si="255"/>
        <v>2376.9245654088</v>
      </c>
      <c r="Z212" s="467">
        <f t="shared" si="255"/>
        <v>2217.51183071849</v>
      </c>
      <c r="AA212" s="467">
        <f t="shared" si="255"/>
        <v>2056.56474845678</v>
      </c>
      <c r="AB212" s="467">
        <f t="shared" si="255"/>
        <v>1894.0685505283</v>
      </c>
      <c r="AC212" s="467">
        <f t="shared" si="255"/>
        <v>1730.00832669476</v>
      </c>
      <c r="AD212" s="467">
        <f t="shared" si="255"/>
        <v>1564.36902320682</v>
      </c>
      <c r="AE212" s="467">
        <f t="shared" si="255"/>
        <v>1397.13544142281</v>
      </c>
      <c r="AF212" s="467">
        <f t="shared" si="255"/>
        <v>1228.29223641413</v>
      </c>
      <c r="AG212" s="467">
        <f t="shared" si="255"/>
        <v>1057.82391555724</v>
      </c>
      <c r="AH212" s="467">
        <f t="shared" si="255"/>
        <v>885.714837112103</v>
      </c>
      <c r="AI212" s="467">
        <f t="shared" si="255"/>
        <v>711.949208786932</v>
      </c>
      <c r="AJ212" s="467">
        <f t="shared" si="255"/>
        <v>536.511086289131</v>
      </c>
      <c r="AK212" s="467">
        <f t="shared" si="255"/>
        <v>359.384371862289</v>
      </c>
      <c r="AL212" s="467">
        <f t="shared" si="255"/>
        <v>180.552812809089</v>
      </c>
      <c r="AM212" s="483">
        <f t="shared" si="255"/>
        <v>9.09494701772928e-13</v>
      </c>
      <c r="AN212" s="615"/>
      <c r="AO212" s="615"/>
      <c r="AP212" s="615"/>
      <c r="AQ212" s="615"/>
      <c r="AR212" s="615"/>
      <c r="AS212" s="615"/>
      <c r="AT212" s="615"/>
      <c r="AU212" s="615"/>
      <c r="AV212" s="615"/>
      <c r="AW212" s="615"/>
      <c r="AX212" s="615"/>
      <c r="AY212" s="615"/>
      <c r="AZ212" s="615"/>
      <c r="BA212" s="615"/>
      <c r="BB212" s="615"/>
      <c r="BC212" s="615"/>
      <c r="BD212" s="615"/>
      <c r="BE212" s="615"/>
      <c r="BF212" s="615"/>
      <c r="BG212" s="615"/>
      <c r="BH212" s="615"/>
      <c r="BI212" s="615"/>
      <c r="BJ212" s="615"/>
      <c r="BK212" s="615"/>
      <c r="BL212" s="615"/>
      <c r="BM212" s="615"/>
      <c r="BN212" s="615"/>
      <c r="BO212" s="615"/>
      <c r="BP212" s="615"/>
      <c r="BQ212" s="615"/>
      <c r="BR212" s="615"/>
      <c r="BS212" s="615"/>
      <c r="BT212" s="615"/>
      <c r="BU212" s="615"/>
      <c r="BV212" s="615"/>
      <c r="BW212" s="615"/>
      <c r="BX212" s="615"/>
      <c r="BY212" s="615"/>
      <c r="BZ212" s="615"/>
      <c r="CA212" s="615"/>
      <c r="CB212" s="615"/>
      <c r="CC212" s="615"/>
      <c r="CD212" s="615"/>
      <c r="CE212" s="615"/>
      <c r="CF212" s="615"/>
      <c r="CG212" s="615"/>
      <c r="CH212" s="615"/>
      <c r="CI212" s="615"/>
      <c r="CJ212" s="615"/>
      <c r="CK212" s="615"/>
      <c r="CL212" s="615"/>
      <c r="CM212" s="615"/>
      <c r="CN212" s="615"/>
      <c r="CO212" s="615"/>
      <c r="CP212" s="615"/>
      <c r="CQ212" s="615"/>
      <c r="CR212" s="615"/>
      <c r="CS212" s="615"/>
      <c r="CT212" s="615"/>
      <c r="CU212" s="615"/>
      <c r="CV212" s="615"/>
      <c r="CW212" s="615"/>
      <c r="CX212" s="615"/>
      <c r="CY212" s="615"/>
      <c r="CZ212" s="212"/>
      <c r="DA212" s="212"/>
      <c r="DB212" s="212"/>
    </row>
    <row r="213" spans="2:108">
      <c r="B213" s="584"/>
      <c r="C213" s="585"/>
      <c r="D213" s="603"/>
      <c r="E213" s="605" t="s">
        <v>207</v>
      </c>
      <c r="F213" s="144" t="s">
        <v>535</v>
      </c>
      <c r="G213" s="515"/>
      <c r="H213" s="467">
        <f>$G$183</f>
        <v>5000</v>
      </c>
      <c r="I213" s="467">
        <f>H218</f>
        <v>4843.75</v>
      </c>
      <c r="J213" s="467">
        <f t="shared" ref="J213:AM213" si="256">I218</f>
        <v>4687.5</v>
      </c>
      <c r="K213" s="467">
        <f t="shared" si="256"/>
        <v>4531.25</v>
      </c>
      <c r="L213" s="467">
        <f t="shared" si="256"/>
        <v>4375</v>
      </c>
      <c r="M213" s="467">
        <f t="shared" si="256"/>
        <v>4218.75</v>
      </c>
      <c r="N213" s="467">
        <f t="shared" si="256"/>
        <v>4062.5</v>
      </c>
      <c r="O213" s="467">
        <f t="shared" si="256"/>
        <v>3906.25</v>
      </c>
      <c r="P213" s="467">
        <f t="shared" si="256"/>
        <v>3750</v>
      </c>
      <c r="Q213" s="467">
        <f t="shared" si="256"/>
        <v>3593.75</v>
      </c>
      <c r="R213" s="467">
        <f t="shared" si="256"/>
        <v>3437.5</v>
      </c>
      <c r="S213" s="467">
        <f t="shared" si="256"/>
        <v>3281.25</v>
      </c>
      <c r="T213" s="467">
        <f t="shared" si="256"/>
        <v>3125</v>
      </c>
      <c r="U213" s="467">
        <f t="shared" si="256"/>
        <v>2968.75</v>
      </c>
      <c r="V213" s="467">
        <f t="shared" si="256"/>
        <v>2812.5</v>
      </c>
      <c r="W213" s="467">
        <f t="shared" si="256"/>
        <v>2656.25</v>
      </c>
      <c r="X213" s="467">
        <f t="shared" si="256"/>
        <v>2500</v>
      </c>
      <c r="Y213" s="467">
        <f t="shared" si="256"/>
        <v>2343.75</v>
      </c>
      <c r="Z213" s="467">
        <f t="shared" si="256"/>
        <v>2187.5</v>
      </c>
      <c r="AA213" s="467">
        <f t="shared" si="256"/>
        <v>2031.25</v>
      </c>
      <c r="AB213" s="467">
        <f t="shared" si="256"/>
        <v>1875</v>
      </c>
      <c r="AC213" s="467">
        <f t="shared" si="256"/>
        <v>1718.75</v>
      </c>
      <c r="AD213" s="467">
        <f t="shared" si="256"/>
        <v>1562.5</v>
      </c>
      <c r="AE213" s="467">
        <f t="shared" si="256"/>
        <v>1406.25</v>
      </c>
      <c r="AF213" s="467">
        <f t="shared" si="256"/>
        <v>1250</v>
      </c>
      <c r="AG213" s="467">
        <f t="shared" si="256"/>
        <v>1093.75</v>
      </c>
      <c r="AH213" s="467">
        <f t="shared" si="256"/>
        <v>937.5</v>
      </c>
      <c r="AI213" s="467">
        <f t="shared" si="256"/>
        <v>781.25</v>
      </c>
      <c r="AJ213" s="467">
        <f t="shared" si="256"/>
        <v>625</v>
      </c>
      <c r="AK213" s="467">
        <f t="shared" si="256"/>
        <v>468.75</v>
      </c>
      <c r="AL213" s="467">
        <f t="shared" si="256"/>
        <v>312.5</v>
      </c>
      <c r="AM213" s="483">
        <f t="shared" si="256"/>
        <v>156.25</v>
      </c>
      <c r="AN213" s="615"/>
      <c r="AO213" s="615"/>
      <c r="AP213" s="615"/>
      <c r="AQ213" s="615"/>
      <c r="AR213" s="615"/>
      <c r="AS213" s="615"/>
      <c r="AT213" s="615"/>
      <c r="AU213" s="615"/>
      <c r="AV213" s="615"/>
      <c r="AW213" s="615"/>
      <c r="AX213" s="615"/>
      <c r="AY213" s="615"/>
      <c r="AZ213" s="615"/>
      <c r="BA213" s="615"/>
      <c r="BB213" s="615"/>
      <c r="BC213" s="615"/>
      <c r="BD213" s="615"/>
      <c r="BE213" s="615"/>
      <c r="BF213" s="615"/>
      <c r="BG213" s="615"/>
      <c r="BH213" s="615"/>
      <c r="BI213" s="615"/>
      <c r="BJ213" s="615"/>
      <c r="BK213" s="615"/>
      <c r="BL213" s="615"/>
      <c r="BM213" s="615"/>
      <c r="BN213" s="615"/>
      <c r="BO213" s="615"/>
      <c r="BP213" s="615"/>
      <c r="BQ213" s="615"/>
      <c r="BR213" s="615"/>
      <c r="BS213" s="615"/>
      <c r="BT213" s="615"/>
      <c r="BU213" s="615"/>
      <c r="BV213" s="615"/>
      <c r="BW213" s="615"/>
      <c r="BX213" s="615"/>
      <c r="BY213" s="615"/>
      <c r="BZ213" s="615"/>
      <c r="CA213" s="615"/>
      <c r="CB213" s="615"/>
      <c r="CC213" s="615"/>
      <c r="CD213" s="615"/>
      <c r="CE213" s="615"/>
      <c r="CF213" s="615"/>
      <c r="CG213" s="615"/>
      <c r="CH213" s="615"/>
      <c r="CI213" s="615"/>
      <c r="CJ213" s="615"/>
      <c r="CK213" s="615"/>
      <c r="CL213" s="615"/>
      <c r="CM213" s="615"/>
      <c r="CN213" s="615"/>
      <c r="CO213" s="615"/>
      <c r="CP213" s="615"/>
      <c r="CQ213" s="615"/>
      <c r="CR213" s="615"/>
      <c r="CS213" s="615"/>
      <c r="CT213" s="615"/>
      <c r="CU213" s="615"/>
      <c r="CV213" s="615"/>
      <c r="CW213" s="615"/>
      <c r="CX213" s="615"/>
      <c r="CY213" s="615"/>
      <c r="CZ213" s="212"/>
      <c r="DA213" s="212"/>
      <c r="DB213" s="212"/>
    </row>
    <row r="214" spans="2:108">
      <c r="B214" s="584"/>
      <c r="C214" s="585"/>
      <c r="D214" s="603"/>
      <c r="E214" s="606"/>
      <c r="F214" s="144" t="s">
        <v>536</v>
      </c>
      <c r="G214" s="515"/>
      <c r="H214" s="467">
        <v>0</v>
      </c>
      <c r="I214" s="467">
        <v>0</v>
      </c>
      <c r="J214" s="467">
        <v>0</v>
      </c>
      <c r="K214" s="467">
        <v>0</v>
      </c>
      <c r="L214" s="467">
        <v>0</v>
      </c>
      <c r="M214" s="467">
        <v>0</v>
      </c>
      <c r="N214" s="467">
        <v>0</v>
      </c>
      <c r="O214" s="467">
        <v>0</v>
      </c>
      <c r="P214" s="467">
        <v>0</v>
      </c>
      <c r="Q214" s="467">
        <v>0</v>
      </c>
      <c r="R214" s="467">
        <v>0</v>
      </c>
      <c r="S214" s="467">
        <v>0</v>
      </c>
      <c r="T214" s="467">
        <v>0</v>
      </c>
      <c r="U214" s="467">
        <v>0</v>
      </c>
      <c r="V214" s="467">
        <v>0</v>
      </c>
      <c r="W214" s="467">
        <v>0</v>
      </c>
      <c r="X214" s="467">
        <v>0</v>
      </c>
      <c r="Y214" s="467">
        <v>0</v>
      </c>
      <c r="Z214" s="467">
        <v>0</v>
      </c>
      <c r="AA214" s="467">
        <v>0</v>
      </c>
      <c r="AB214" s="467">
        <v>0</v>
      </c>
      <c r="AC214" s="467">
        <v>0</v>
      </c>
      <c r="AD214" s="467">
        <v>0</v>
      </c>
      <c r="AE214" s="467">
        <v>0</v>
      </c>
      <c r="AF214" s="467">
        <v>0</v>
      </c>
      <c r="AG214" s="467">
        <v>0</v>
      </c>
      <c r="AH214" s="467">
        <v>0</v>
      </c>
      <c r="AI214" s="467">
        <v>0</v>
      </c>
      <c r="AJ214" s="467">
        <v>0</v>
      </c>
      <c r="AK214" s="467">
        <v>0</v>
      </c>
      <c r="AL214" s="467">
        <v>0</v>
      </c>
      <c r="AM214" s="483">
        <v>0</v>
      </c>
      <c r="AN214" s="615"/>
      <c r="AO214" s="615"/>
      <c r="AP214" s="615"/>
      <c r="AQ214" s="615"/>
      <c r="AR214" s="615"/>
      <c r="AS214" s="615"/>
      <c r="AT214" s="615"/>
      <c r="AU214" s="615"/>
      <c r="AV214" s="615"/>
      <c r="AW214" s="615"/>
      <c r="AX214" s="615"/>
      <c r="AY214" s="615"/>
      <c r="AZ214" s="615"/>
      <c r="BA214" s="615"/>
      <c r="BB214" s="615"/>
      <c r="BC214" s="615"/>
      <c r="BD214" s="615"/>
      <c r="BE214" s="615"/>
      <c r="BF214" s="615"/>
      <c r="BG214" s="615"/>
      <c r="BH214" s="615"/>
      <c r="BI214" s="615"/>
      <c r="BJ214" s="615"/>
      <c r="BK214" s="615"/>
      <c r="BL214" s="615"/>
      <c r="BM214" s="615"/>
      <c r="BN214" s="615"/>
      <c r="BO214" s="615"/>
      <c r="BP214" s="615"/>
      <c r="BQ214" s="615"/>
      <c r="BR214" s="615"/>
      <c r="BS214" s="615"/>
      <c r="BT214" s="615"/>
      <c r="BU214" s="615"/>
      <c r="BV214" s="615"/>
      <c r="BW214" s="615"/>
      <c r="BX214" s="615"/>
      <c r="BY214" s="615"/>
      <c r="BZ214" s="615"/>
      <c r="CA214" s="615"/>
      <c r="CB214" s="615"/>
      <c r="CC214" s="615"/>
      <c r="CD214" s="615"/>
      <c r="CE214" s="615"/>
      <c r="CF214" s="615"/>
      <c r="CG214" s="615"/>
      <c r="CH214" s="615"/>
      <c r="CI214" s="615"/>
      <c r="CJ214" s="615"/>
      <c r="CK214" s="615"/>
      <c r="CL214" s="615"/>
      <c r="CM214" s="615"/>
      <c r="CN214" s="615"/>
      <c r="CO214" s="615"/>
      <c r="CP214" s="615"/>
      <c r="CQ214" s="615"/>
      <c r="CR214" s="615"/>
      <c r="CS214" s="615"/>
      <c r="CT214" s="615"/>
      <c r="CU214" s="615"/>
      <c r="CV214" s="615"/>
      <c r="CW214" s="615"/>
      <c r="CX214" s="615"/>
      <c r="CY214" s="615"/>
      <c r="CZ214" s="212"/>
      <c r="DA214" s="212"/>
      <c r="DB214" s="212"/>
    </row>
    <row r="215" spans="2:108">
      <c r="B215" s="584"/>
      <c r="C215" s="585"/>
      <c r="D215" s="603"/>
      <c r="E215" s="606"/>
      <c r="F215" s="144" t="s">
        <v>537</v>
      </c>
      <c r="G215" s="467">
        <f t="shared" si="252"/>
        <v>5794.0625</v>
      </c>
      <c r="H215" s="467">
        <f>SUM(H216:H217)</f>
        <v>204.375</v>
      </c>
      <c r="I215" s="467">
        <f t="shared" ref="I215:AM215" si="257">SUM(I216:I217)</f>
        <v>202.87109375</v>
      </c>
      <c r="J215" s="467">
        <f t="shared" si="257"/>
        <v>201.3671875</v>
      </c>
      <c r="K215" s="467">
        <f t="shared" si="257"/>
        <v>199.86328125</v>
      </c>
      <c r="L215" s="467">
        <f t="shared" si="257"/>
        <v>198.359375</v>
      </c>
      <c r="M215" s="467">
        <f t="shared" si="257"/>
        <v>196.85546875</v>
      </c>
      <c r="N215" s="467">
        <f t="shared" si="257"/>
        <v>195.3515625</v>
      </c>
      <c r="O215" s="467">
        <f t="shared" si="257"/>
        <v>193.84765625</v>
      </c>
      <c r="P215" s="467">
        <f t="shared" si="257"/>
        <v>192.34375</v>
      </c>
      <c r="Q215" s="467">
        <f t="shared" si="257"/>
        <v>190.83984375</v>
      </c>
      <c r="R215" s="467">
        <f t="shared" si="257"/>
        <v>189.3359375</v>
      </c>
      <c r="S215" s="467">
        <f t="shared" si="257"/>
        <v>187.83203125</v>
      </c>
      <c r="T215" s="467">
        <f t="shared" si="257"/>
        <v>186.328125</v>
      </c>
      <c r="U215" s="467">
        <f t="shared" si="257"/>
        <v>184.82421875</v>
      </c>
      <c r="V215" s="467">
        <f t="shared" si="257"/>
        <v>183.3203125</v>
      </c>
      <c r="W215" s="467">
        <f t="shared" si="257"/>
        <v>181.81640625</v>
      </c>
      <c r="X215" s="467">
        <f t="shared" si="257"/>
        <v>180.3125</v>
      </c>
      <c r="Y215" s="467">
        <f t="shared" si="257"/>
        <v>178.80859375</v>
      </c>
      <c r="Z215" s="467">
        <f t="shared" si="257"/>
        <v>177.3046875</v>
      </c>
      <c r="AA215" s="467">
        <f t="shared" si="257"/>
        <v>175.80078125</v>
      </c>
      <c r="AB215" s="467">
        <f t="shared" si="257"/>
        <v>174.296875</v>
      </c>
      <c r="AC215" s="467">
        <f t="shared" si="257"/>
        <v>172.79296875</v>
      </c>
      <c r="AD215" s="467">
        <f t="shared" si="257"/>
        <v>171.2890625</v>
      </c>
      <c r="AE215" s="467">
        <f t="shared" si="257"/>
        <v>169.78515625</v>
      </c>
      <c r="AF215" s="467">
        <f t="shared" si="257"/>
        <v>168.28125</v>
      </c>
      <c r="AG215" s="467">
        <f t="shared" si="257"/>
        <v>166.77734375</v>
      </c>
      <c r="AH215" s="467">
        <f t="shared" si="257"/>
        <v>165.2734375</v>
      </c>
      <c r="AI215" s="467">
        <f t="shared" si="257"/>
        <v>163.76953125</v>
      </c>
      <c r="AJ215" s="467">
        <f t="shared" si="257"/>
        <v>162.265625</v>
      </c>
      <c r="AK215" s="467">
        <f t="shared" si="257"/>
        <v>160.76171875</v>
      </c>
      <c r="AL215" s="467">
        <f t="shared" si="257"/>
        <v>159.2578125</v>
      </c>
      <c r="AM215" s="483">
        <f t="shared" si="257"/>
        <v>157.75390625</v>
      </c>
      <c r="AN215" s="615"/>
      <c r="AO215" s="615"/>
      <c r="AP215" s="615"/>
      <c r="AQ215" s="615"/>
      <c r="AR215" s="615"/>
      <c r="AS215" s="615"/>
      <c r="AT215" s="615"/>
      <c r="AU215" s="615"/>
      <c r="AV215" s="615"/>
      <c r="AW215" s="615"/>
      <c r="AX215" s="615"/>
      <c r="AY215" s="615"/>
      <c r="AZ215" s="615"/>
      <c r="BA215" s="615"/>
      <c r="BB215" s="615"/>
      <c r="BC215" s="615"/>
      <c r="BD215" s="615"/>
      <c r="BE215" s="615"/>
      <c r="BF215" s="615"/>
      <c r="BG215" s="615"/>
      <c r="BH215" s="615"/>
      <c r="BI215" s="615"/>
      <c r="BJ215" s="615"/>
      <c r="BK215" s="615"/>
      <c r="BL215" s="615"/>
      <c r="BM215" s="615"/>
      <c r="BN215" s="615"/>
      <c r="BO215" s="615"/>
      <c r="BP215" s="615"/>
      <c r="BQ215" s="615"/>
      <c r="BR215" s="615"/>
      <c r="BS215" s="615"/>
      <c r="BT215" s="615"/>
      <c r="BU215" s="615"/>
      <c r="BV215" s="615"/>
      <c r="BW215" s="615"/>
      <c r="BX215" s="615"/>
      <c r="BY215" s="615"/>
      <c r="BZ215" s="615"/>
      <c r="CA215" s="615"/>
      <c r="CB215" s="615"/>
      <c r="CC215" s="615"/>
      <c r="CD215" s="615"/>
      <c r="CE215" s="615"/>
      <c r="CF215" s="615"/>
      <c r="CG215" s="615"/>
      <c r="CH215" s="615"/>
      <c r="CI215" s="615"/>
      <c r="CJ215" s="615"/>
      <c r="CK215" s="615"/>
      <c r="CL215" s="615"/>
      <c r="CM215" s="615"/>
      <c r="CN215" s="615"/>
      <c r="CO215" s="615"/>
      <c r="CP215" s="615"/>
      <c r="CQ215" s="615"/>
      <c r="CR215" s="615"/>
      <c r="CS215" s="615"/>
      <c r="CT215" s="615"/>
      <c r="CU215" s="615"/>
      <c r="CV215" s="615"/>
      <c r="CW215" s="615"/>
      <c r="CX215" s="615"/>
      <c r="CY215" s="615"/>
      <c r="CZ215" s="212"/>
      <c r="DA215" s="212"/>
      <c r="DB215" s="212"/>
    </row>
    <row r="216" spans="2:108">
      <c r="B216" s="584"/>
      <c r="C216" s="585"/>
      <c r="D216" s="603"/>
      <c r="E216" s="606"/>
      <c r="F216" s="145" t="s">
        <v>538</v>
      </c>
      <c r="G216" s="467">
        <f t="shared" si="252"/>
        <v>5000</v>
      </c>
      <c r="H216" s="467">
        <f>$G$183/$L$186</f>
        <v>156.25</v>
      </c>
      <c r="I216" s="467">
        <f t="shared" ref="I216:R216" si="258">$G$183/$L$186</f>
        <v>156.25</v>
      </c>
      <c r="J216" s="467">
        <f t="shared" si="258"/>
        <v>156.25</v>
      </c>
      <c r="K216" s="467">
        <f t="shared" si="258"/>
        <v>156.25</v>
      </c>
      <c r="L216" s="467">
        <f t="shared" si="258"/>
        <v>156.25</v>
      </c>
      <c r="M216" s="467">
        <f t="shared" si="258"/>
        <v>156.25</v>
      </c>
      <c r="N216" s="467">
        <f t="shared" si="258"/>
        <v>156.25</v>
      </c>
      <c r="O216" s="467">
        <f t="shared" si="258"/>
        <v>156.25</v>
      </c>
      <c r="P216" s="467">
        <f t="shared" si="258"/>
        <v>156.25</v>
      </c>
      <c r="Q216" s="467">
        <f t="shared" si="258"/>
        <v>156.25</v>
      </c>
      <c r="R216" s="467">
        <f t="shared" si="258"/>
        <v>156.25</v>
      </c>
      <c r="S216" s="467">
        <f t="shared" ref="S216:AB216" si="259">$G$183/$L$186</f>
        <v>156.25</v>
      </c>
      <c r="T216" s="467">
        <f t="shared" si="259"/>
        <v>156.25</v>
      </c>
      <c r="U216" s="467">
        <f t="shared" si="259"/>
        <v>156.25</v>
      </c>
      <c r="V216" s="467">
        <f t="shared" si="259"/>
        <v>156.25</v>
      </c>
      <c r="W216" s="467">
        <f t="shared" si="259"/>
        <v>156.25</v>
      </c>
      <c r="X216" s="467">
        <f t="shared" si="259"/>
        <v>156.25</v>
      </c>
      <c r="Y216" s="467">
        <f t="shared" si="259"/>
        <v>156.25</v>
      </c>
      <c r="Z216" s="467">
        <f t="shared" si="259"/>
        <v>156.25</v>
      </c>
      <c r="AA216" s="467">
        <f t="shared" si="259"/>
        <v>156.25</v>
      </c>
      <c r="AB216" s="467">
        <f t="shared" si="259"/>
        <v>156.25</v>
      </c>
      <c r="AC216" s="467">
        <f t="shared" ref="AC216:AM216" si="260">$G$183/$L$186</f>
        <v>156.25</v>
      </c>
      <c r="AD216" s="467">
        <f t="shared" si="260"/>
        <v>156.25</v>
      </c>
      <c r="AE216" s="467">
        <f t="shared" si="260"/>
        <v>156.25</v>
      </c>
      <c r="AF216" s="467">
        <f t="shared" si="260"/>
        <v>156.25</v>
      </c>
      <c r="AG216" s="467">
        <f t="shared" si="260"/>
        <v>156.25</v>
      </c>
      <c r="AH216" s="467">
        <f t="shared" si="260"/>
        <v>156.25</v>
      </c>
      <c r="AI216" s="467">
        <f t="shared" si="260"/>
        <v>156.25</v>
      </c>
      <c r="AJ216" s="467">
        <f t="shared" si="260"/>
        <v>156.25</v>
      </c>
      <c r="AK216" s="467">
        <f t="shared" si="260"/>
        <v>156.25</v>
      </c>
      <c r="AL216" s="467">
        <f t="shared" si="260"/>
        <v>156.25</v>
      </c>
      <c r="AM216" s="483">
        <f t="shared" si="260"/>
        <v>156.25</v>
      </c>
      <c r="AN216" s="615"/>
      <c r="AO216" s="615"/>
      <c r="AP216" s="615"/>
      <c r="AQ216" s="615"/>
      <c r="AR216" s="615"/>
      <c r="AS216" s="615"/>
      <c r="AT216" s="615"/>
      <c r="AU216" s="615"/>
      <c r="AV216" s="615"/>
      <c r="AW216" s="615"/>
      <c r="AX216" s="615"/>
      <c r="AY216" s="615"/>
      <c r="AZ216" s="615"/>
      <c r="BA216" s="615"/>
      <c r="BB216" s="615"/>
      <c r="BC216" s="615"/>
      <c r="BD216" s="615"/>
      <c r="BE216" s="615"/>
      <c r="BF216" s="615"/>
      <c r="BG216" s="615"/>
      <c r="BH216" s="615"/>
      <c r="BI216" s="615"/>
      <c r="BJ216" s="615"/>
      <c r="BK216" s="615"/>
      <c r="BL216" s="615"/>
      <c r="BM216" s="615"/>
      <c r="BN216" s="615"/>
      <c r="BO216" s="615"/>
      <c r="BP216" s="615"/>
      <c r="BQ216" s="615"/>
      <c r="BR216" s="615"/>
      <c r="BS216" s="615"/>
      <c r="BT216" s="615"/>
      <c r="BU216" s="615"/>
      <c r="BV216" s="615"/>
      <c r="BW216" s="615"/>
      <c r="BX216" s="615"/>
      <c r="BY216" s="615"/>
      <c r="BZ216" s="615"/>
      <c r="CA216" s="615"/>
      <c r="CB216" s="615"/>
      <c r="CC216" s="615"/>
      <c r="CD216" s="615"/>
      <c r="CE216" s="615"/>
      <c r="CF216" s="615"/>
      <c r="CG216" s="615"/>
      <c r="CH216" s="615"/>
      <c r="CI216" s="615"/>
      <c r="CJ216" s="615"/>
      <c r="CK216" s="615"/>
      <c r="CL216" s="615"/>
      <c r="CM216" s="615"/>
      <c r="CN216" s="615"/>
      <c r="CO216" s="615"/>
      <c r="CP216" s="615"/>
      <c r="CQ216" s="615"/>
      <c r="CR216" s="615"/>
      <c r="CS216" s="615"/>
      <c r="CT216" s="615"/>
      <c r="CU216" s="615"/>
      <c r="CV216" s="615"/>
      <c r="CW216" s="615"/>
      <c r="CX216" s="615"/>
      <c r="CY216" s="615"/>
      <c r="CZ216" s="212"/>
      <c r="DA216" s="212"/>
      <c r="DB216" s="212"/>
    </row>
    <row r="217" spans="2:108">
      <c r="B217" s="584"/>
      <c r="C217" s="585"/>
      <c r="D217" s="603"/>
      <c r="E217" s="606"/>
      <c r="F217" s="33" t="s">
        <v>539</v>
      </c>
      <c r="G217" s="467">
        <f t="shared" si="252"/>
        <v>794.0625</v>
      </c>
      <c r="H217" s="542">
        <f>(H213+H214/2)*($G$188/$L$185)</f>
        <v>48.125</v>
      </c>
      <c r="I217" s="542">
        <f t="shared" ref="I217:AM217" si="261">(I213+I214/2)*($G$188/$L$185)</f>
        <v>46.62109375</v>
      </c>
      <c r="J217" s="542">
        <f t="shared" si="261"/>
        <v>45.1171875</v>
      </c>
      <c r="K217" s="542">
        <f t="shared" si="261"/>
        <v>43.61328125</v>
      </c>
      <c r="L217" s="542">
        <f t="shared" si="261"/>
        <v>42.109375</v>
      </c>
      <c r="M217" s="542">
        <f t="shared" si="261"/>
        <v>40.60546875</v>
      </c>
      <c r="N217" s="542">
        <f t="shared" si="261"/>
        <v>39.1015625</v>
      </c>
      <c r="O217" s="542">
        <f t="shared" si="261"/>
        <v>37.59765625</v>
      </c>
      <c r="P217" s="542">
        <f t="shared" si="261"/>
        <v>36.09375</v>
      </c>
      <c r="Q217" s="542">
        <f t="shared" si="261"/>
        <v>34.58984375</v>
      </c>
      <c r="R217" s="542">
        <f t="shared" si="261"/>
        <v>33.0859375</v>
      </c>
      <c r="S217" s="542">
        <f t="shared" si="261"/>
        <v>31.58203125</v>
      </c>
      <c r="T217" s="542">
        <f t="shared" si="261"/>
        <v>30.078125</v>
      </c>
      <c r="U217" s="542">
        <f t="shared" si="261"/>
        <v>28.57421875</v>
      </c>
      <c r="V217" s="542">
        <f t="shared" si="261"/>
        <v>27.0703125</v>
      </c>
      <c r="W217" s="542">
        <f t="shared" si="261"/>
        <v>25.56640625</v>
      </c>
      <c r="X217" s="542">
        <f t="shared" si="261"/>
        <v>24.0625</v>
      </c>
      <c r="Y217" s="542">
        <f t="shared" si="261"/>
        <v>22.55859375</v>
      </c>
      <c r="Z217" s="542">
        <f t="shared" si="261"/>
        <v>21.0546875</v>
      </c>
      <c r="AA217" s="542">
        <f t="shared" si="261"/>
        <v>19.55078125</v>
      </c>
      <c r="AB217" s="542">
        <f t="shared" si="261"/>
        <v>18.046875</v>
      </c>
      <c r="AC217" s="542">
        <f t="shared" si="261"/>
        <v>16.54296875</v>
      </c>
      <c r="AD217" s="542">
        <f t="shared" si="261"/>
        <v>15.0390625</v>
      </c>
      <c r="AE217" s="542">
        <f t="shared" si="261"/>
        <v>13.53515625</v>
      </c>
      <c r="AF217" s="542">
        <f t="shared" si="261"/>
        <v>12.03125</v>
      </c>
      <c r="AG217" s="542">
        <f t="shared" si="261"/>
        <v>10.52734375</v>
      </c>
      <c r="AH217" s="542">
        <f t="shared" si="261"/>
        <v>9.0234375</v>
      </c>
      <c r="AI217" s="542">
        <f t="shared" si="261"/>
        <v>7.51953125</v>
      </c>
      <c r="AJ217" s="542">
        <f t="shared" si="261"/>
        <v>6.015625</v>
      </c>
      <c r="AK217" s="542">
        <f t="shared" si="261"/>
        <v>4.51171875</v>
      </c>
      <c r="AL217" s="542">
        <f t="shared" si="261"/>
        <v>3.0078125</v>
      </c>
      <c r="AM217" s="543">
        <f t="shared" si="261"/>
        <v>1.50390625</v>
      </c>
      <c r="AN217" s="615"/>
      <c r="AO217" s="615"/>
      <c r="AP217" s="615"/>
      <c r="AQ217" s="615"/>
      <c r="AR217" s="615"/>
      <c r="AS217" s="615"/>
      <c r="AT217" s="615"/>
      <c r="AU217" s="615"/>
      <c r="AV217" s="615"/>
      <c r="AW217" s="615"/>
      <c r="AX217" s="615"/>
      <c r="AY217" s="615"/>
      <c r="AZ217" s="615"/>
      <c r="BA217" s="615"/>
      <c r="BB217" s="615"/>
      <c r="BC217" s="615"/>
      <c r="BD217" s="615"/>
      <c r="BE217" s="615"/>
      <c r="BF217" s="615"/>
      <c r="BG217" s="615"/>
      <c r="BH217" s="615"/>
      <c r="BI217" s="615"/>
      <c r="BJ217" s="615"/>
      <c r="BK217" s="615"/>
      <c r="BL217" s="615"/>
      <c r="BM217" s="615"/>
      <c r="BN217" s="615"/>
      <c r="BO217" s="615"/>
      <c r="BP217" s="615"/>
      <c r="BQ217" s="615"/>
      <c r="BR217" s="615"/>
      <c r="BS217" s="615"/>
      <c r="BT217" s="615"/>
      <c r="BU217" s="615"/>
      <c r="BV217" s="615"/>
      <c r="BW217" s="615"/>
      <c r="BX217" s="615"/>
      <c r="BY217" s="615"/>
      <c r="BZ217" s="615"/>
      <c r="CA217" s="615"/>
      <c r="CB217" s="615"/>
      <c r="CC217" s="615"/>
      <c r="CD217" s="615"/>
      <c r="CE217" s="615"/>
      <c r="CF217" s="615"/>
      <c r="CG217" s="615"/>
      <c r="CH217" s="615"/>
      <c r="CI217" s="615"/>
      <c r="CJ217" s="615"/>
      <c r="CK217" s="615"/>
      <c r="CL217" s="615"/>
      <c r="CM217" s="615"/>
      <c r="CN217" s="615"/>
      <c r="CO217" s="615"/>
      <c r="CP217" s="615"/>
      <c r="CQ217" s="615"/>
      <c r="CR217" s="615"/>
      <c r="CS217" s="615"/>
      <c r="CT217" s="615"/>
      <c r="CU217" s="615"/>
      <c r="CV217" s="615"/>
      <c r="CW217" s="615"/>
      <c r="CX217" s="615"/>
      <c r="CY217" s="615"/>
      <c r="CZ217" s="212"/>
      <c r="DA217" s="212"/>
      <c r="DB217" s="212"/>
    </row>
    <row r="218" ht="17.25" spans="2:108">
      <c r="B218" s="584"/>
      <c r="C218" s="585"/>
      <c r="D218" s="608"/>
      <c r="E218" s="609"/>
      <c r="F218" s="163" t="s">
        <v>540</v>
      </c>
      <c r="G218" s="489">
        <f>AM218</f>
        <v>0</v>
      </c>
      <c r="H218" s="489">
        <f>H213+H214-H216</f>
        <v>4843.75</v>
      </c>
      <c r="I218" s="489">
        <f t="shared" ref="I218:AM218" si="262">I213+I214-I216</f>
        <v>4687.5</v>
      </c>
      <c r="J218" s="489">
        <f t="shared" si="262"/>
        <v>4531.25</v>
      </c>
      <c r="K218" s="489">
        <f t="shared" si="262"/>
        <v>4375</v>
      </c>
      <c r="L218" s="489">
        <f t="shared" si="262"/>
        <v>4218.75</v>
      </c>
      <c r="M218" s="489">
        <f t="shared" si="262"/>
        <v>4062.5</v>
      </c>
      <c r="N218" s="489">
        <f t="shared" si="262"/>
        <v>3906.25</v>
      </c>
      <c r="O218" s="489">
        <f t="shared" si="262"/>
        <v>3750</v>
      </c>
      <c r="P218" s="489">
        <f t="shared" si="262"/>
        <v>3593.75</v>
      </c>
      <c r="Q218" s="489">
        <f t="shared" si="262"/>
        <v>3437.5</v>
      </c>
      <c r="R218" s="489">
        <f t="shared" si="262"/>
        <v>3281.25</v>
      </c>
      <c r="S218" s="489">
        <f t="shared" si="262"/>
        <v>3125</v>
      </c>
      <c r="T218" s="489">
        <f t="shared" si="262"/>
        <v>2968.75</v>
      </c>
      <c r="U218" s="489">
        <f t="shared" si="262"/>
        <v>2812.5</v>
      </c>
      <c r="V218" s="489">
        <f t="shared" si="262"/>
        <v>2656.25</v>
      </c>
      <c r="W218" s="489">
        <f t="shared" si="262"/>
        <v>2500</v>
      </c>
      <c r="X218" s="489">
        <f t="shared" si="262"/>
        <v>2343.75</v>
      </c>
      <c r="Y218" s="489">
        <f t="shared" si="262"/>
        <v>2187.5</v>
      </c>
      <c r="Z218" s="489">
        <f t="shared" si="262"/>
        <v>2031.25</v>
      </c>
      <c r="AA218" s="489">
        <f t="shared" si="262"/>
        <v>1875</v>
      </c>
      <c r="AB218" s="489">
        <f t="shared" si="262"/>
        <v>1718.75</v>
      </c>
      <c r="AC218" s="489">
        <f t="shared" si="262"/>
        <v>1562.5</v>
      </c>
      <c r="AD218" s="489">
        <f t="shared" si="262"/>
        <v>1406.25</v>
      </c>
      <c r="AE218" s="489">
        <f t="shared" si="262"/>
        <v>1250</v>
      </c>
      <c r="AF218" s="489">
        <f t="shared" si="262"/>
        <v>1093.75</v>
      </c>
      <c r="AG218" s="489">
        <f t="shared" si="262"/>
        <v>937.5</v>
      </c>
      <c r="AH218" s="489">
        <f t="shared" si="262"/>
        <v>781.25</v>
      </c>
      <c r="AI218" s="489">
        <f t="shared" si="262"/>
        <v>625</v>
      </c>
      <c r="AJ218" s="489">
        <f t="shared" si="262"/>
        <v>468.75</v>
      </c>
      <c r="AK218" s="489">
        <f t="shared" si="262"/>
        <v>312.5</v>
      </c>
      <c r="AL218" s="489">
        <f t="shared" si="262"/>
        <v>156.25</v>
      </c>
      <c r="AM218" s="490">
        <f t="shared" si="262"/>
        <v>0</v>
      </c>
      <c r="AN218" s="615"/>
      <c r="AO218" s="615"/>
      <c r="AP218" s="615"/>
      <c r="AQ218" s="615"/>
      <c r="AR218" s="615"/>
      <c r="AS218" s="615"/>
      <c r="AT218" s="615"/>
      <c r="AU218" s="615"/>
      <c r="AV218" s="615"/>
      <c r="AW218" s="615"/>
      <c r="AX218" s="615"/>
      <c r="AY218" s="615"/>
      <c r="AZ218" s="615"/>
      <c r="BA218" s="615"/>
      <c r="BB218" s="615"/>
      <c r="BC218" s="615"/>
      <c r="BD218" s="615"/>
      <c r="BE218" s="615"/>
      <c r="BF218" s="615"/>
      <c r="BG218" s="615"/>
      <c r="BH218" s="615"/>
      <c r="BI218" s="615"/>
      <c r="BJ218" s="615"/>
      <c r="BK218" s="615"/>
      <c r="BL218" s="615"/>
      <c r="BM218" s="615"/>
      <c r="BN218" s="615"/>
      <c r="BO218" s="615"/>
      <c r="BP218" s="615"/>
      <c r="BQ218" s="615"/>
      <c r="BR218" s="615"/>
      <c r="BS218" s="615"/>
      <c r="BT218" s="615"/>
      <c r="BU218" s="615"/>
      <c r="BV218" s="615"/>
      <c r="BW218" s="615"/>
      <c r="BX218" s="615"/>
      <c r="BY218" s="615"/>
      <c r="BZ218" s="615"/>
      <c r="CA218" s="615"/>
      <c r="CB218" s="615"/>
      <c r="CC218" s="615"/>
      <c r="CD218" s="615"/>
      <c r="CE218" s="615"/>
      <c r="CF218" s="615"/>
      <c r="CG218" s="615"/>
      <c r="CH218" s="615"/>
      <c r="CI218" s="615"/>
      <c r="CJ218" s="615"/>
      <c r="CK218" s="615"/>
      <c r="CL218" s="615"/>
      <c r="CM218" s="615"/>
      <c r="CN218" s="615"/>
      <c r="CO218" s="615"/>
      <c r="CP218" s="615"/>
      <c r="CQ218" s="615"/>
      <c r="CR218" s="615"/>
      <c r="CS218" s="615"/>
      <c r="CT218" s="615"/>
      <c r="CU218" s="615"/>
      <c r="CV218" s="615"/>
      <c r="CW218" s="615"/>
      <c r="CX218" s="615"/>
      <c r="CY218" s="615"/>
      <c r="CZ218" s="212"/>
      <c r="DA218" s="212"/>
      <c r="DB218" s="212"/>
    </row>
    <row r="219" spans="2:108">
      <c r="B219" s="584"/>
      <c r="C219" s="585"/>
      <c r="D219" s="603" t="s">
        <v>542</v>
      </c>
      <c r="E219" s="610" t="s">
        <v>530</v>
      </c>
      <c r="F219" s="611"/>
      <c r="G219" s="612"/>
      <c r="H219" s="613" t="s">
        <v>572</v>
      </c>
      <c r="I219" s="613" t="s">
        <v>573</v>
      </c>
      <c r="J219" s="613" t="s">
        <v>574</v>
      </c>
      <c r="K219" s="613" t="s">
        <v>575</v>
      </c>
      <c r="L219" s="613" t="s">
        <v>576</v>
      </c>
      <c r="M219" s="613" t="s">
        <v>577</v>
      </c>
      <c r="N219" s="613" t="s">
        <v>578</v>
      </c>
      <c r="O219" s="613" t="s">
        <v>579</v>
      </c>
      <c r="P219" s="613" t="s">
        <v>580</v>
      </c>
      <c r="Q219" s="613" t="s">
        <v>581</v>
      </c>
      <c r="R219" s="613" t="s">
        <v>582</v>
      </c>
      <c r="S219" s="613" t="s">
        <v>583</v>
      </c>
      <c r="T219" s="613" t="s">
        <v>584</v>
      </c>
      <c r="U219" s="613" t="s">
        <v>585</v>
      </c>
      <c r="V219" s="613" t="s">
        <v>586</v>
      </c>
      <c r="W219" s="614" t="s">
        <v>587</v>
      </c>
      <c r="X219" s="615"/>
      <c r="Y219" s="615"/>
      <c r="Z219" s="615"/>
      <c r="AA219" s="615"/>
      <c r="AB219" s="615"/>
      <c r="AC219" s="615"/>
      <c r="AD219" s="615"/>
      <c r="AE219" s="615"/>
      <c r="AF219" s="615"/>
      <c r="AG219" s="615"/>
      <c r="AH219" s="615"/>
      <c r="AI219" s="615"/>
      <c r="AJ219" s="615"/>
      <c r="AK219" s="615"/>
      <c r="AL219" s="615"/>
      <c r="AM219" s="615"/>
      <c r="AN219" s="615"/>
      <c r="AO219" s="615"/>
      <c r="AP219" s="615"/>
      <c r="AQ219" s="615"/>
      <c r="AR219" s="615"/>
      <c r="AS219" s="615"/>
      <c r="AT219" s="615"/>
      <c r="AU219" s="615"/>
      <c r="AV219" s="615"/>
      <c r="AW219" s="615"/>
      <c r="AX219" s="615"/>
      <c r="AY219" s="615"/>
      <c r="AZ219" s="615"/>
      <c r="BA219" s="615"/>
      <c r="BB219" s="615"/>
      <c r="BC219" s="615"/>
      <c r="BD219" s="615"/>
      <c r="BE219" s="615"/>
      <c r="BF219" s="615"/>
      <c r="BG219" s="615"/>
      <c r="BH219" s="615"/>
      <c r="BI219" s="615"/>
      <c r="BJ219" s="615"/>
      <c r="BK219" s="615"/>
      <c r="BL219" s="615"/>
      <c r="BM219" s="615"/>
      <c r="BN219" s="615"/>
      <c r="BO219" s="615"/>
      <c r="BP219" s="615"/>
      <c r="BQ219" s="615"/>
      <c r="BR219" s="615"/>
      <c r="BS219" s="615"/>
      <c r="BT219" s="615"/>
      <c r="BU219" s="615"/>
      <c r="BV219" s="615"/>
      <c r="BW219" s="615"/>
      <c r="BX219" s="615"/>
      <c r="BY219" s="615"/>
      <c r="BZ219" s="615"/>
      <c r="CA219" s="615"/>
      <c r="CB219" s="615"/>
      <c r="CC219" s="615"/>
      <c r="CD219" s="615"/>
      <c r="CE219" s="615"/>
      <c r="CF219" s="615"/>
      <c r="CG219" s="615"/>
      <c r="CH219" s="615"/>
      <c r="CI219" s="615"/>
      <c r="CJ219" s="615"/>
      <c r="CK219" s="615"/>
      <c r="CL219" s="615"/>
      <c r="CM219" s="615"/>
      <c r="CN219" s="615"/>
      <c r="CO219" s="615"/>
      <c r="CP219" s="615"/>
      <c r="CQ219" s="615"/>
      <c r="CR219" s="615"/>
      <c r="CS219" s="615"/>
      <c r="CT219" s="615"/>
      <c r="CU219" s="615"/>
      <c r="CV219" s="615"/>
      <c r="CW219" s="615"/>
      <c r="CX219" s="615"/>
      <c r="CY219" s="615"/>
      <c r="CZ219" s="212"/>
      <c r="DA219" s="212"/>
      <c r="DB219" s="212"/>
      <c r="DC219" s="212"/>
      <c r="DD219" s="212"/>
    </row>
    <row r="220" spans="2:108">
      <c r="B220" s="584"/>
      <c r="C220" s="585"/>
      <c r="D220" s="603"/>
      <c r="E220" s="524" t="s">
        <v>545</v>
      </c>
      <c r="F220" s="604"/>
      <c r="G220" s="525"/>
      <c r="H220" s="509">
        <f>M183</f>
        <v>48914</v>
      </c>
      <c r="I220" s="509">
        <f>EDATE(H220,$M$184)</f>
        <v>49096</v>
      </c>
      <c r="J220" s="509">
        <f t="shared" ref="J220:W220" si="263">EDATE(I220,$M$184)</f>
        <v>49279</v>
      </c>
      <c r="K220" s="509">
        <f t="shared" si="263"/>
        <v>49461</v>
      </c>
      <c r="L220" s="509">
        <f t="shared" si="263"/>
        <v>49644</v>
      </c>
      <c r="M220" s="509">
        <f t="shared" si="263"/>
        <v>49827</v>
      </c>
      <c r="N220" s="509">
        <f t="shared" si="263"/>
        <v>50010</v>
      </c>
      <c r="O220" s="509">
        <f t="shared" si="263"/>
        <v>50192</v>
      </c>
      <c r="P220" s="509">
        <f t="shared" si="263"/>
        <v>50375</v>
      </c>
      <c r="Q220" s="509">
        <f t="shared" si="263"/>
        <v>50557</v>
      </c>
      <c r="R220" s="509">
        <f t="shared" si="263"/>
        <v>50740</v>
      </c>
      <c r="S220" s="509">
        <f t="shared" si="263"/>
        <v>50922</v>
      </c>
      <c r="T220" s="509">
        <f t="shared" si="263"/>
        <v>51105</v>
      </c>
      <c r="U220" s="509">
        <f t="shared" si="263"/>
        <v>51288</v>
      </c>
      <c r="V220" s="509">
        <f t="shared" si="263"/>
        <v>51471</v>
      </c>
      <c r="W220" s="516">
        <f t="shared" si="263"/>
        <v>51653</v>
      </c>
      <c r="X220" s="615"/>
      <c r="Y220" s="615"/>
      <c r="Z220" s="615"/>
      <c r="AA220" s="615"/>
      <c r="AB220" s="615"/>
      <c r="AC220" s="615"/>
      <c r="AD220" s="615"/>
      <c r="AE220" s="615"/>
      <c r="AF220" s="615"/>
      <c r="AG220" s="615"/>
      <c r="AH220" s="615"/>
      <c r="AI220" s="615"/>
      <c r="AJ220" s="615"/>
      <c r="AK220" s="615"/>
      <c r="AL220" s="615"/>
      <c r="AM220" s="615"/>
      <c r="AN220" s="615"/>
      <c r="AO220" s="615"/>
      <c r="AP220" s="615"/>
      <c r="AQ220" s="615"/>
      <c r="AR220" s="615"/>
      <c r="AS220" s="615"/>
      <c r="AT220" s="615"/>
      <c r="AU220" s="615"/>
      <c r="AV220" s="615"/>
      <c r="AW220" s="615"/>
      <c r="AX220" s="615"/>
      <c r="AY220" s="615"/>
      <c r="AZ220" s="615"/>
      <c r="BA220" s="615"/>
      <c r="BB220" s="615"/>
      <c r="BC220" s="615"/>
      <c r="BD220" s="615"/>
      <c r="BE220" s="615"/>
      <c r="BF220" s="615"/>
      <c r="BG220" s="615"/>
      <c r="BH220" s="615"/>
      <c r="BI220" s="615"/>
      <c r="BJ220" s="615"/>
      <c r="BK220" s="615"/>
      <c r="BL220" s="615"/>
      <c r="BM220" s="615"/>
      <c r="BN220" s="615"/>
      <c r="BO220" s="615"/>
      <c r="BP220" s="615"/>
      <c r="BQ220" s="615"/>
      <c r="BR220" s="615"/>
      <c r="BS220" s="615"/>
      <c r="BT220" s="615"/>
      <c r="BU220" s="615"/>
      <c r="BV220" s="615"/>
      <c r="BW220" s="615"/>
      <c r="BX220" s="615"/>
      <c r="BY220" s="615"/>
      <c r="BZ220" s="615"/>
      <c r="CA220" s="615"/>
      <c r="CB220" s="615"/>
      <c r="CC220" s="615"/>
      <c r="CD220" s="615"/>
      <c r="CE220" s="615"/>
      <c r="CF220" s="615"/>
      <c r="CG220" s="615"/>
      <c r="CH220" s="615"/>
      <c r="CI220" s="615"/>
      <c r="CJ220" s="615"/>
      <c r="CK220" s="615"/>
      <c r="CL220" s="615"/>
      <c r="CM220" s="615"/>
      <c r="CN220" s="615"/>
      <c r="CO220" s="615"/>
      <c r="CP220" s="615"/>
      <c r="CQ220" s="615"/>
      <c r="CR220" s="615"/>
      <c r="CS220" s="615"/>
      <c r="CT220" s="615"/>
      <c r="CU220" s="615"/>
      <c r="CV220" s="615"/>
      <c r="CW220" s="615"/>
      <c r="CX220" s="615"/>
      <c r="CY220" s="615"/>
      <c r="CZ220" s="212"/>
      <c r="DA220" s="212"/>
      <c r="DB220" s="212"/>
      <c r="DC220" s="212"/>
      <c r="DD220" s="212"/>
    </row>
    <row r="221" spans="2:108">
      <c r="B221" s="584"/>
      <c r="C221" s="585"/>
      <c r="D221" s="603"/>
      <c r="E221" s="524" t="s">
        <v>532</v>
      </c>
      <c r="F221" s="604"/>
      <c r="G221" s="525"/>
      <c r="H221" s="526">
        <f>YEAR(H220)</f>
        <v>2033</v>
      </c>
      <c r="I221" s="526">
        <f t="shared" ref="I221:W221" si="264">YEAR(I220)</f>
        <v>2034</v>
      </c>
      <c r="J221" s="526">
        <f t="shared" si="264"/>
        <v>2034</v>
      </c>
      <c r="K221" s="526">
        <f t="shared" si="264"/>
        <v>2035</v>
      </c>
      <c r="L221" s="526">
        <f t="shared" si="264"/>
        <v>2035</v>
      </c>
      <c r="M221" s="526">
        <f t="shared" si="264"/>
        <v>2036</v>
      </c>
      <c r="N221" s="526">
        <f t="shared" si="264"/>
        <v>2036</v>
      </c>
      <c r="O221" s="526">
        <f t="shared" si="264"/>
        <v>2037</v>
      </c>
      <c r="P221" s="526">
        <f t="shared" si="264"/>
        <v>2037</v>
      </c>
      <c r="Q221" s="526">
        <f t="shared" si="264"/>
        <v>2038</v>
      </c>
      <c r="R221" s="526">
        <f t="shared" si="264"/>
        <v>2038</v>
      </c>
      <c r="S221" s="526">
        <f t="shared" si="264"/>
        <v>2039</v>
      </c>
      <c r="T221" s="526">
        <f t="shared" si="264"/>
        <v>2039</v>
      </c>
      <c r="U221" s="526">
        <f t="shared" si="264"/>
        <v>2040</v>
      </c>
      <c r="V221" s="526">
        <f t="shared" si="264"/>
        <v>2040</v>
      </c>
      <c r="W221" s="527">
        <f t="shared" si="264"/>
        <v>2041</v>
      </c>
      <c r="X221" s="615"/>
      <c r="Y221" s="615"/>
      <c r="Z221" s="615"/>
      <c r="AA221" s="615"/>
      <c r="AB221" s="615"/>
      <c r="AC221" s="615"/>
      <c r="AD221" s="615"/>
      <c r="AE221" s="615"/>
      <c r="AF221" s="615"/>
      <c r="AG221" s="615"/>
      <c r="AH221" s="615"/>
      <c r="AI221" s="615"/>
      <c r="AJ221" s="615"/>
      <c r="AK221" s="615"/>
      <c r="AL221" s="615"/>
      <c r="AM221" s="615"/>
      <c r="AN221" s="615"/>
      <c r="AO221" s="615"/>
      <c r="AP221" s="615"/>
      <c r="AQ221" s="615"/>
      <c r="AR221" s="615"/>
      <c r="AS221" s="615"/>
      <c r="AT221" s="615"/>
      <c r="AU221" s="615"/>
      <c r="AV221" s="615"/>
      <c r="AW221" s="615"/>
      <c r="AX221" s="615"/>
      <c r="AY221" s="615"/>
      <c r="AZ221" s="615"/>
      <c r="BA221" s="615"/>
      <c r="BB221" s="615"/>
      <c r="BC221" s="615"/>
      <c r="BD221" s="615"/>
      <c r="BE221" s="615"/>
      <c r="BF221" s="615"/>
      <c r="BG221" s="615"/>
      <c r="BH221" s="615"/>
      <c r="BI221" s="615"/>
      <c r="BJ221" s="615"/>
      <c r="BK221" s="615"/>
      <c r="BL221" s="615"/>
      <c r="BM221" s="615"/>
      <c r="BN221" s="615"/>
      <c r="BO221" s="615"/>
      <c r="BP221" s="615"/>
      <c r="BQ221" s="615"/>
      <c r="BR221" s="615"/>
      <c r="BS221" s="615"/>
      <c r="BT221" s="615"/>
      <c r="BU221" s="615"/>
      <c r="BV221" s="615"/>
      <c r="BW221" s="615"/>
      <c r="BX221" s="615"/>
      <c r="BY221" s="615"/>
      <c r="BZ221" s="615"/>
      <c r="CA221" s="615"/>
      <c r="CB221" s="615"/>
      <c r="CC221" s="615"/>
      <c r="CD221" s="615"/>
      <c r="CE221" s="615"/>
      <c r="CF221" s="615"/>
      <c r="CG221" s="615"/>
      <c r="CH221" s="615"/>
      <c r="CI221" s="615"/>
      <c r="CJ221" s="615"/>
      <c r="CK221" s="615"/>
      <c r="CL221" s="615"/>
      <c r="CM221" s="615"/>
      <c r="CN221" s="615"/>
      <c r="CO221" s="615"/>
      <c r="CP221" s="615"/>
      <c r="CQ221" s="615"/>
      <c r="CR221" s="615"/>
      <c r="CS221" s="615"/>
      <c r="CT221" s="615"/>
      <c r="CU221" s="615"/>
      <c r="CV221" s="615"/>
      <c r="CW221" s="615"/>
      <c r="CX221" s="615"/>
      <c r="CY221" s="615"/>
      <c r="CZ221" s="212"/>
      <c r="DA221" s="212"/>
      <c r="DB221" s="212"/>
      <c r="DC221" s="212"/>
      <c r="DD221" s="212"/>
    </row>
    <row r="222" spans="2:108">
      <c r="B222" s="584"/>
      <c r="C222" s="585"/>
      <c r="D222" s="603"/>
      <c r="E222" s="605" t="s">
        <v>420</v>
      </c>
      <c r="F222" s="144" t="s">
        <v>535</v>
      </c>
      <c r="G222" s="467"/>
      <c r="H222" s="467">
        <f>$G$183</f>
        <v>5000</v>
      </c>
      <c r="I222" s="467">
        <f>H227</f>
        <v>4730.18359328614</v>
      </c>
      <c r="J222" s="467">
        <f t="shared" ref="J222:W222" si="265">I227</f>
        <v>4455.17322074304</v>
      </c>
      <c r="K222" s="467">
        <f t="shared" si="265"/>
        <v>4174.86889852849</v>
      </c>
      <c r="L222" s="467">
        <f t="shared" si="265"/>
        <v>3889.1687181113</v>
      </c>
      <c r="M222" s="467">
        <f t="shared" si="265"/>
        <v>3597.96880922109</v>
      </c>
      <c r="N222" s="467">
        <f t="shared" si="265"/>
        <v>3301.16330208473</v>
      </c>
      <c r="O222" s="467">
        <f t="shared" si="265"/>
        <v>2998.64428893601</v>
      </c>
      <c r="P222" s="467">
        <f t="shared" si="265"/>
        <v>2690.30178478417</v>
      </c>
      <c r="Q222" s="467">
        <f t="shared" si="265"/>
        <v>2376.0236874274</v>
      </c>
      <c r="R222" s="467">
        <f t="shared" si="265"/>
        <v>2055.69573669652</v>
      </c>
      <c r="S222" s="467">
        <f t="shared" si="265"/>
        <v>1729.20147291407</v>
      </c>
      <c r="T222" s="467">
        <f t="shared" si="265"/>
        <v>1396.42219455381</v>
      </c>
      <c r="U222" s="467">
        <f t="shared" si="265"/>
        <v>1057.23691508511</v>
      </c>
      <c r="V222" s="467">
        <f t="shared" si="265"/>
        <v>711.522318986641</v>
      </c>
      <c r="W222" s="483">
        <f t="shared" si="265"/>
        <v>359.152716913276</v>
      </c>
      <c r="X222" s="615"/>
      <c r="Y222" s="615"/>
      <c r="Z222" s="615"/>
      <c r="AA222" s="615"/>
      <c r="AB222" s="615"/>
      <c r="AC222" s="615"/>
      <c r="AD222" s="615"/>
      <c r="AE222" s="615"/>
      <c r="AF222" s="615"/>
      <c r="AG222" s="615"/>
      <c r="AH222" s="615"/>
      <c r="AI222" s="615"/>
      <c r="AJ222" s="615"/>
      <c r="AK222" s="615"/>
      <c r="AL222" s="615"/>
      <c r="AM222" s="615"/>
      <c r="AN222" s="615"/>
      <c r="AO222" s="615"/>
      <c r="AP222" s="615"/>
      <c r="AQ222" s="615"/>
      <c r="AR222" s="615"/>
      <c r="AS222" s="615"/>
      <c r="AT222" s="615"/>
      <c r="AU222" s="615"/>
      <c r="AV222" s="615"/>
      <c r="AW222" s="615"/>
      <c r="AX222" s="615"/>
      <c r="AY222" s="615"/>
      <c r="AZ222" s="615"/>
      <c r="BA222" s="615"/>
      <c r="BB222" s="615"/>
      <c r="BC222" s="615"/>
      <c r="BD222" s="615"/>
      <c r="BE222" s="615"/>
      <c r="BF222" s="615"/>
      <c r="BG222" s="615"/>
      <c r="BH222" s="615"/>
      <c r="BI222" s="615"/>
      <c r="BJ222" s="615"/>
      <c r="BK222" s="615"/>
      <c r="BL222" s="615"/>
      <c r="BM222" s="615"/>
      <c r="BN222" s="615"/>
      <c r="BO222" s="615"/>
      <c r="BP222" s="615"/>
      <c r="BQ222" s="615"/>
      <c r="BR222" s="615"/>
      <c r="BS222" s="615"/>
      <c r="BT222" s="615"/>
      <c r="BU222" s="615"/>
      <c r="BV222" s="615"/>
      <c r="BW222" s="615"/>
      <c r="BX222" s="615"/>
      <c r="BY222" s="615"/>
      <c r="BZ222" s="615"/>
      <c r="CA222" s="615"/>
      <c r="CB222" s="615"/>
      <c r="CC222" s="615"/>
      <c r="CD222" s="615"/>
      <c r="CE222" s="615"/>
      <c r="CF222" s="615"/>
      <c r="CG222" s="615"/>
      <c r="CH222" s="615"/>
      <c r="CI222" s="615"/>
      <c r="CJ222" s="615"/>
      <c r="CK222" s="615"/>
      <c r="CL222" s="615"/>
      <c r="CM222" s="615"/>
      <c r="CN222" s="615"/>
      <c r="CO222" s="615"/>
      <c r="CP222" s="615"/>
      <c r="CQ222" s="615"/>
      <c r="CR222" s="615"/>
      <c r="CS222" s="615"/>
      <c r="CT222" s="615"/>
      <c r="CU222" s="615"/>
      <c r="CV222" s="615"/>
      <c r="CW222" s="615"/>
      <c r="CX222" s="615"/>
      <c r="CY222" s="615"/>
      <c r="CZ222" s="212"/>
      <c r="DA222" s="212"/>
      <c r="DB222" s="212"/>
      <c r="DC222" s="212"/>
      <c r="DD222" s="212"/>
    </row>
    <row r="223" spans="2:108">
      <c r="B223" s="584"/>
      <c r="C223" s="585"/>
      <c r="D223" s="603"/>
      <c r="E223" s="606"/>
      <c r="F223" s="144" t="s">
        <v>536</v>
      </c>
      <c r="G223" s="467"/>
      <c r="H223" s="467">
        <v>0</v>
      </c>
      <c r="I223" s="467">
        <v>0</v>
      </c>
      <c r="J223" s="467">
        <v>0</v>
      </c>
      <c r="K223" s="467">
        <v>0</v>
      </c>
      <c r="L223" s="467">
        <v>0</v>
      </c>
      <c r="M223" s="467">
        <v>0</v>
      </c>
      <c r="N223" s="467">
        <v>0</v>
      </c>
      <c r="O223" s="467">
        <v>0</v>
      </c>
      <c r="P223" s="467">
        <v>0</v>
      </c>
      <c r="Q223" s="467">
        <v>0</v>
      </c>
      <c r="R223" s="467">
        <v>0</v>
      </c>
      <c r="S223" s="467">
        <v>0</v>
      </c>
      <c r="T223" s="467">
        <v>0</v>
      </c>
      <c r="U223" s="467">
        <v>0</v>
      </c>
      <c r="V223" s="467">
        <v>0</v>
      </c>
      <c r="W223" s="483">
        <v>0</v>
      </c>
      <c r="X223" s="615"/>
      <c r="Y223" s="615"/>
      <c r="Z223" s="615"/>
      <c r="AA223" s="615"/>
      <c r="AB223" s="615"/>
      <c r="AC223" s="615"/>
      <c r="AD223" s="615"/>
      <c r="AE223" s="615"/>
      <c r="AF223" s="615"/>
      <c r="AG223" s="615"/>
      <c r="AH223" s="615"/>
      <c r="AI223" s="615"/>
      <c r="AJ223" s="615"/>
      <c r="AK223" s="615"/>
      <c r="AL223" s="615"/>
      <c r="AM223" s="615"/>
      <c r="AN223" s="615"/>
      <c r="AO223" s="615"/>
      <c r="AP223" s="615"/>
      <c r="AQ223" s="615"/>
      <c r="AR223" s="615"/>
      <c r="AS223" s="615"/>
      <c r="AT223" s="615"/>
      <c r="AU223" s="615"/>
      <c r="AV223" s="615"/>
      <c r="AW223" s="615"/>
      <c r="AX223" s="615"/>
      <c r="AY223" s="615"/>
      <c r="AZ223" s="615"/>
      <c r="BA223" s="615"/>
      <c r="BB223" s="615"/>
      <c r="BC223" s="615"/>
      <c r="BD223" s="615"/>
      <c r="BE223" s="615"/>
      <c r="BF223" s="615"/>
      <c r="BG223" s="615"/>
      <c r="BH223" s="615"/>
      <c r="BI223" s="615"/>
      <c r="BJ223" s="615"/>
      <c r="BK223" s="615"/>
      <c r="BL223" s="615"/>
      <c r="BM223" s="615"/>
      <c r="BN223" s="615"/>
      <c r="BO223" s="615"/>
      <c r="BP223" s="615"/>
      <c r="BQ223" s="615"/>
      <c r="BR223" s="615"/>
      <c r="BS223" s="615"/>
      <c r="BT223" s="615"/>
      <c r="BU223" s="615"/>
      <c r="BV223" s="615"/>
      <c r="BW223" s="615"/>
      <c r="BX223" s="615"/>
      <c r="BY223" s="615"/>
      <c r="BZ223" s="615"/>
      <c r="CA223" s="615"/>
      <c r="CB223" s="615"/>
      <c r="CC223" s="615"/>
      <c r="CD223" s="615"/>
      <c r="CE223" s="615"/>
      <c r="CF223" s="615"/>
      <c r="CG223" s="615"/>
      <c r="CH223" s="615"/>
      <c r="CI223" s="615"/>
      <c r="CJ223" s="615"/>
      <c r="CK223" s="615"/>
      <c r="CL223" s="615"/>
      <c r="CM223" s="615"/>
      <c r="CN223" s="615"/>
      <c r="CO223" s="615"/>
      <c r="CP223" s="615"/>
      <c r="CQ223" s="615"/>
      <c r="CR223" s="615"/>
      <c r="CS223" s="615"/>
      <c r="CT223" s="615"/>
      <c r="CU223" s="615"/>
      <c r="CV223" s="615"/>
      <c r="CW223" s="615"/>
      <c r="CX223" s="615"/>
      <c r="CY223" s="615"/>
      <c r="CZ223" s="212"/>
      <c r="DA223" s="212"/>
      <c r="DB223" s="212"/>
      <c r="DC223" s="212"/>
      <c r="DD223" s="212"/>
    </row>
    <row r="224" spans="2:108">
      <c r="B224" s="584"/>
      <c r="C224" s="585"/>
      <c r="D224" s="603"/>
      <c r="E224" s="606"/>
      <c r="F224" s="144" t="s">
        <v>537</v>
      </c>
      <c r="G224" s="467">
        <f>SUM(H224:W224)</f>
        <v>5857.06250742173</v>
      </c>
      <c r="H224" s="467">
        <f>-PMT($G$188/$M$185,$M$186,$G$183)</f>
        <v>366.066406713858</v>
      </c>
      <c r="I224" s="467">
        <f t="shared" ref="I224:W224" si="266">-PMT($G$188/$M$185,$M$186,$G$183)</f>
        <v>366.066406713858</v>
      </c>
      <c r="J224" s="467">
        <f t="shared" si="266"/>
        <v>366.066406713858</v>
      </c>
      <c r="K224" s="467">
        <f t="shared" si="266"/>
        <v>366.066406713858</v>
      </c>
      <c r="L224" s="467">
        <f t="shared" si="266"/>
        <v>366.066406713858</v>
      </c>
      <c r="M224" s="467">
        <f t="shared" si="266"/>
        <v>366.066406713858</v>
      </c>
      <c r="N224" s="467">
        <f t="shared" si="266"/>
        <v>366.066406713858</v>
      </c>
      <c r="O224" s="467">
        <f t="shared" si="266"/>
        <v>366.066406713858</v>
      </c>
      <c r="P224" s="467">
        <f t="shared" si="266"/>
        <v>366.066406713858</v>
      </c>
      <c r="Q224" s="467">
        <f t="shared" si="266"/>
        <v>366.066406713858</v>
      </c>
      <c r="R224" s="467">
        <f t="shared" si="266"/>
        <v>366.066406713858</v>
      </c>
      <c r="S224" s="467">
        <f t="shared" si="266"/>
        <v>366.066406713858</v>
      </c>
      <c r="T224" s="467">
        <f t="shared" si="266"/>
        <v>366.066406713858</v>
      </c>
      <c r="U224" s="467">
        <f t="shared" si="266"/>
        <v>366.066406713858</v>
      </c>
      <c r="V224" s="467">
        <f t="shared" si="266"/>
        <v>366.066406713858</v>
      </c>
      <c r="W224" s="483">
        <f t="shared" si="266"/>
        <v>366.066406713858</v>
      </c>
      <c r="X224" s="615"/>
      <c r="Y224" s="615"/>
      <c r="Z224" s="615"/>
      <c r="AA224" s="615"/>
      <c r="AB224" s="615"/>
      <c r="AC224" s="615"/>
      <c r="AD224" s="615"/>
      <c r="AE224" s="615"/>
      <c r="AF224" s="615"/>
      <c r="AG224" s="615"/>
      <c r="AH224" s="615"/>
      <c r="AI224" s="615"/>
      <c r="AJ224" s="615"/>
      <c r="AK224" s="615"/>
      <c r="AL224" s="615"/>
      <c r="AM224" s="615"/>
      <c r="AN224" s="615"/>
      <c r="AO224" s="615"/>
      <c r="AP224" s="615"/>
      <c r="AQ224" s="615"/>
      <c r="AR224" s="615"/>
      <c r="AS224" s="615"/>
      <c r="AT224" s="615"/>
      <c r="AU224" s="615"/>
      <c r="AV224" s="615"/>
      <c r="AW224" s="615"/>
      <c r="AX224" s="615"/>
      <c r="AY224" s="615"/>
      <c r="AZ224" s="615"/>
      <c r="BA224" s="615"/>
      <c r="BB224" s="615"/>
      <c r="BC224" s="615"/>
      <c r="BD224" s="615"/>
      <c r="BE224" s="615"/>
      <c r="BF224" s="615"/>
      <c r="BG224" s="615"/>
      <c r="BH224" s="615"/>
      <c r="BI224" s="615"/>
      <c r="BJ224" s="615"/>
      <c r="BK224" s="615"/>
      <c r="BL224" s="615"/>
      <c r="BM224" s="615"/>
      <c r="BN224" s="615"/>
      <c r="BO224" s="615"/>
      <c r="BP224" s="615"/>
      <c r="BQ224" s="615"/>
      <c r="BR224" s="615"/>
      <c r="BS224" s="615"/>
      <c r="BT224" s="615"/>
      <c r="BU224" s="615"/>
      <c r="BV224" s="615"/>
      <c r="BW224" s="615"/>
      <c r="BX224" s="615"/>
      <c r="BY224" s="615"/>
      <c r="BZ224" s="615"/>
      <c r="CA224" s="615"/>
      <c r="CB224" s="615"/>
      <c r="CC224" s="615"/>
      <c r="CD224" s="615"/>
      <c r="CE224" s="615"/>
      <c r="CF224" s="615"/>
      <c r="CG224" s="615"/>
      <c r="CH224" s="615"/>
      <c r="CI224" s="615"/>
      <c r="CJ224" s="615"/>
      <c r="CK224" s="615"/>
      <c r="CL224" s="615"/>
      <c r="CM224" s="615"/>
      <c r="CN224" s="615"/>
      <c r="CO224" s="615"/>
      <c r="CP224" s="615"/>
      <c r="CQ224" s="615"/>
      <c r="CR224" s="615"/>
      <c r="CS224" s="615"/>
      <c r="CT224" s="615"/>
      <c r="CU224" s="615"/>
      <c r="CV224" s="615"/>
      <c r="CW224" s="615"/>
      <c r="CX224" s="615"/>
      <c r="CY224" s="615"/>
      <c r="CZ224" s="212"/>
      <c r="DA224" s="212"/>
      <c r="DB224" s="212"/>
      <c r="DC224" s="212"/>
      <c r="DD224" s="212"/>
    </row>
    <row r="225" spans="2:227">
      <c r="B225" s="584"/>
      <c r="C225" s="585"/>
      <c r="D225" s="603"/>
      <c r="E225" s="606"/>
      <c r="F225" s="145" t="s">
        <v>538</v>
      </c>
      <c r="G225" s="467">
        <f t="shared" ref="G225:G232" si="267">SUM(H225:W225)</f>
        <v>5000</v>
      </c>
      <c r="H225" s="467">
        <f>H224-H226</f>
        <v>269.816406713858</v>
      </c>
      <c r="I225" s="467">
        <f t="shared" ref="I225:W225" si="268">I224-I226</f>
        <v>275.0103725431</v>
      </c>
      <c r="J225" s="467">
        <f t="shared" si="268"/>
        <v>280.304322214555</v>
      </c>
      <c r="K225" s="467">
        <f t="shared" si="268"/>
        <v>285.700180417185</v>
      </c>
      <c r="L225" s="467">
        <f t="shared" si="268"/>
        <v>291.199908890216</v>
      </c>
      <c r="M225" s="467">
        <f t="shared" si="268"/>
        <v>296.805507136353</v>
      </c>
      <c r="N225" s="467">
        <f t="shared" si="268"/>
        <v>302.519013148727</v>
      </c>
      <c r="O225" s="467">
        <f t="shared" si="268"/>
        <v>308.34250415184</v>
      </c>
      <c r="P225" s="467">
        <f t="shared" si="268"/>
        <v>314.278097356763</v>
      </c>
      <c r="Q225" s="467">
        <f t="shared" si="268"/>
        <v>320.327950730881</v>
      </c>
      <c r="R225" s="467">
        <f t="shared" si="268"/>
        <v>326.49426378245</v>
      </c>
      <c r="S225" s="467">
        <f t="shared" si="268"/>
        <v>332.779278360263</v>
      </c>
      <c r="T225" s="467">
        <f t="shared" si="268"/>
        <v>339.185279468698</v>
      </c>
      <c r="U225" s="467">
        <f t="shared" si="268"/>
        <v>345.71459609847</v>
      </c>
      <c r="V225" s="467">
        <f t="shared" si="268"/>
        <v>352.369602073366</v>
      </c>
      <c r="W225" s="483">
        <f t="shared" si="268"/>
        <v>359.152716913278</v>
      </c>
      <c r="X225" s="615"/>
      <c r="Y225" s="615"/>
      <c r="Z225" s="615"/>
      <c r="AA225" s="615"/>
      <c r="AB225" s="615"/>
      <c r="AC225" s="615"/>
      <c r="AD225" s="615"/>
      <c r="AE225" s="615"/>
      <c r="AF225" s="615"/>
      <c r="AG225" s="615"/>
      <c r="AH225" s="615"/>
      <c r="AI225" s="615"/>
      <c r="AJ225" s="615"/>
      <c r="AK225" s="615"/>
      <c r="AL225" s="615"/>
      <c r="AM225" s="615"/>
      <c r="AN225" s="615"/>
      <c r="AO225" s="615"/>
      <c r="AP225" s="615"/>
      <c r="AQ225" s="615"/>
      <c r="AR225" s="615"/>
      <c r="AS225" s="615"/>
      <c r="AT225" s="615"/>
      <c r="AU225" s="615"/>
      <c r="AV225" s="615"/>
      <c r="AW225" s="615"/>
      <c r="AX225" s="615"/>
      <c r="AY225" s="615"/>
      <c r="AZ225" s="615"/>
      <c r="BA225" s="615"/>
      <c r="BB225" s="615"/>
      <c r="BC225" s="615"/>
      <c r="BD225" s="615"/>
      <c r="BE225" s="615"/>
      <c r="BF225" s="615"/>
      <c r="BG225" s="615"/>
      <c r="BH225" s="615"/>
      <c r="BI225" s="615"/>
      <c r="BJ225" s="615"/>
      <c r="BK225" s="615"/>
      <c r="BL225" s="615"/>
      <c r="BM225" s="615"/>
      <c r="BN225" s="615"/>
      <c r="BO225" s="615"/>
      <c r="BP225" s="615"/>
      <c r="BQ225" s="615"/>
      <c r="BR225" s="615"/>
      <c r="BS225" s="615"/>
      <c r="BT225" s="615"/>
      <c r="BU225" s="615"/>
      <c r="BV225" s="615"/>
      <c r="BW225" s="615"/>
      <c r="BX225" s="615"/>
      <c r="BY225" s="615"/>
      <c r="BZ225" s="615"/>
      <c r="CA225" s="615"/>
      <c r="CB225" s="615"/>
      <c r="CC225" s="615"/>
      <c r="CD225" s="615"/>
      <c r="CE225" s="615"/>
      <c r="CF225" s="615"/>
      <c r="CG225" s="615"/>
      <c r="CH225" s="615"/>
      <c r="CI225" s="615"/>
      <c r="CJ225" s="615"/>
      <c r="CK225" s="615"/>
      <c r="CL225" s="615"/>
      <c r="CM225" s="615"/>
      <c r="CN225" s="615"/>
      <c r="CO225" s="615"/>
      <c r="CP225" s="615"/>
      <c r="CQ225" s="615"/>
      <c r="CR225" s="615"/>
      <c r="CS225" s="615"/>
      <c r="CT225" s="615"/>
      <c r="CU225" s="615"/>
      <c r="CV225" s="615"/>
      <c r="CW225" s="615"/>
      <c r="CX225" s="615"/>
      <c r="CY225" s="615"/>
      <c r="CZ225" s="212"/>
      <c r="DA225" s="212"/>
      <c r="DB225" s="212"/>
      <c r="DC225" s="212"/>
      <c r="DD225" s="212"/>
    </row>
    <row r="226" spans="2:227">
      <c r="B226" s="584"/>
      <c r="C226" s="585"/>
      <c r="D226" s="603"/>
      <c r="E226" s="606"/>
      <c r="F226" s="33" t="s">
        <v>539</v>
      </c>
      <c r="G226" s="467">
        <f t="shared" si="267"/>
        <v>857.062507421732</v>
      </c>
      <c r="H226" s="542">
        <f>(H222+H223/2)*($G$188/$M$185)</f>
        <v>96.25</v>
      </c>
      <c r="I226" s="542">
        <f t="shared" ref="I226:W226" si="269">(I222+I223/2)*($G$188/$M$185)</f>
        <v>91.0560341707582</v>
      </c>
      <c r="J226" s="542">
        <f t="shared" si="269"/>
        <v>85.7620844993035</v>
      </c>
      <c r="K226" s="542">
        <f t="shared" si="269"/>
        <v>80.3662262966734</v>
      </c>
      <c r="L226" s="542">
        <f t="shared" si="269"/>
        <v>74.8664978236425</v>
      </c>
      <c r="M226" s="542">
        <f t="shared" si="269"/>
        <v>69.2608995775059</v>
      </c>
      <c r="N226" s="542">
        <f t="shared" si="269"/>
        <v>63.5473935651311</v>
      </c>
      <c r="O226" s="542">
        <f t="shared" si="269"/>
        <v>57.7239025620181</v>
      </c>
      <c r="P226" s="542">
        <f t="shared" si="269"/>
        <v>51.7883093570952</v>
      </c>
      <c r="Q226" s="542">
        <f t="shared" si="269"/>
        <v>45.7384559829775</v>
      </c>
      <c r="R226" s="542">
        <f t="shared" si="269"/>
        <v>39.572142931408</v>
      </c>
      <c r="S226" s="542">
        <f t="shared" si="269"/>
        <v>33.2871283535959</v>
      </c>
      <c r="T226" s="542">
        <f t="shared" si="269"/>
        <v>26.8811272451608</v>
      </c>
      <c r="U226" s="542">
        <f t="shared" si="269"/>
        <v>20.3518106153884</v>
      </c>
      <c r="V226" s="542">
        <f t="shared" si="269"/>
        <v>13.6968046404928</v>
      </c>
      <c r="W226" s="543">
        <f t="shared" si="269"/>
        <v>6.91368980058056</v>
      </c>
      <c r="X226" s="615"/>
      <c r="Y226" s="615"/>
      <c r="Z226" s="615"/>
      <c r="AA226" s="615"/>
      <c r="AB226" s="615"/>
      <c r="AC226" s="615"/>
      <c r="AD226" s="615"/>
      <c r="AE226" s="615"/>
      <c r="AF226" s="615"/>
      <c r="AG226" s="615"/>
      <c r="AH226" s="615"/>
      <c r="AI226" s="615"/>
      <c r="AJ226" s="615"/>
      <c r="AK226" s="615"/>
      <c r="AL226" s="615"/>
      <c r="AM226" s="615"/>
      <c r="AN226" s="615"/>
      <c r="AO226" s="615"/>
      <c r="AP226" s="615"/>
      <c r="AQ226" s="615"/>
      <c r="AR226" s="615"/>
      <c r="AS226" s="615"/>
      <c r="AT226" s="615"/>
      <c r="AU226" s="615"/>
      <c r="AV226" s="615"/>
      <c r="AW226" s="615"/>
      <c r="AX226" s="615"/>
      <c r="AY226" s="615"/>
      <c r="AZ226" s="615"/>
      <c r="BA226" s="615"/>
      <c r="BB226" s="615"/>
      <c r="BC226" s="615"/>
      <c r="BD226" s="615"/>
      <c r="BE226" s="615"/>
      <c r="BF226" s="615"/>
      <c r="BG226" s="615"/>
      <c r="BH226" s="615"/>
      <c r="BI226" s="615"/>
      <c r="BJ226" s="615"/>
      <c r="BK226" s="615"/>
      <c r="BL226" s="615"/>
      <c r="BM226" s="615"/>
      <c r="BN226" s="615"/>
      <c r="BO226" s="615"/>
      <c r="BP226" s="615"/>
      <c r="BQ226" s="615"/>
      <c r="BR226" s="615"/>
      <c r="BS226" s="615"/>
      <c r="BT226" s="615"/>
      <c r="BU226" s="615"/>
      <c r="BV226" s="615"/>
      <c r="BW226" s="615"/>
      <c r="BX226" s="615"/>
      <c r="BY226" s="615"/>
      <c r="BZ226" s="615"/>
      <c r="CA226" s="615"/>
      <c r="CB226" s="615"/>
      <c r="CC226" s="615"/>
      <c r="CD226" s="615"/>
      <c r="CE226" s="615"/>
      <c r="CF226" s="615"/>
      <c r="CG226" s="615"/>
      <c r="CH226" s="615"/>
      <c r="CI226" s="615"/>
      <c r="CJ226" s="615"/>
      <c r="CK226" s="615"/>
      <c r="CL226" s="615"/>
      <c r="CM226" s="615"/>
      <c r="CN226" s="615"/>
      <c r="CO226" s="615"/>
      <c r="CP226" s="615"/>
      <c r="CQ226" s="615"/>
      <c r="CR226" s="615"/>
      <c r="CS226" s="615"/>
      <c r="CT226" s="615"/>
      <c r="CU226" s="615"/>
      <c r="CV226" s="615"/>
      <c r="CW226" s="615"/>
      <c r="CX226" s="615"/>
      <c r="CY226" s="615"/>
      <c r="CZ226" s="212"/>
      <c r="DA226" s="212"/>
      <c r="DB226" s="212"/>
      <c r="DC226" s="212"/>
      <c r="DD226" s="212"/>
    </row>
    <row r="227" spans="2:227">
      <c r="B227" s="584"/>
      <c r="C227" s="585"/>
      <c r="D227" s="603"/>
      <c r="E227" s="607"/>
      <c r="F227" s="144" t="s">
        <v>540</v>
      </c>
      <c r="G227" s="467">
        <f>W227</f>
        <v>-1.93267624126747e-12</v>
      </c>
      <c r="H227" s="467">
        <f>H222+H223-H225</f>
        <v>4730.18359328614</v>
      </c>
      <c r="I227" s="467">
        <f t="shared" ref="I227:W227" si="270">I222+I223-I225</f>
        <v>4455.17322074304</v>
      </c>
      <c r="J227" s="467">
        <f t="shared" si="270"/>
        <v>4174.86889852849</v>
      </c>
      <c r="K227" s="467">
        <f t="shared" si="270"/>
        <v>3889.1687181113</v>
      </c>
      <c r="L227" s="467">
        <f t="shared" si="270"/>
        <v>3597.96880922109</v>
      </c>
      <c r="M227" s="467">
        <f t="shared" si="270"/>
        <v>3301.16330208473</v>
      </c>
      <c r="N227" s="467">
        <f t="shared" si="270"/>
        <v>2998.64428893601</v>
      </c>
      <c r="O227" s="467">
        <f t="shared" si="270"/>
        <v>2690.30178478417</v>
      </c>
      <c r="P227" s="467">
        <f t="shared" si="270"/>
        <v>2376.0236874274</v>
      </c>
      <c r="Q227" s="467">
        <f t="shared" si="270"/>
        <v>2055.69573669652</v>
      </c>
      <c r="R227" s="467">
        <f t="shared" si="270"/>
        <v>1729.20147291407</v>
      </c>
      <c r="S227" s="467">
        <f t="shared" si="270"/>
        <v>1396.42219455381</v>
      </c>
      <c r="T227" s="467">
        <f t="shared" si="270"/>
        <v>1057.23691508511</v>
      </c>
      <c r="U227" s="467">
        <f t="shared" si="270"/>
        <v>711.522318986641</v>
      </c>
      <c r="V227" s="467">
        <f t="shared" si="270"/>
        <v>359.152716913276</v>
      </c>
      <c r="W227" s="483">
        <f t="shared" si="270"/>
        <v>-1.93267624126747e-12</v>
      </c>
      <c r="X227" s="615"/>
      <c r="Y227" s="615"/>
      <c r="Z227" s="615"/>
      <c r="AA227" s="615"/>
      <c r="AB227" s="615"/>
      <c r="AC227" s="615"/>
      <c r="AD227" s="615"/>
      <c r="AE227" s="615"/>
      <c r="AF227" s="615"/>
      <c r="AG227" s="615"/>
      <c r="AH227" s="615"/>
      <c r="AI227" s="615"/>
      <c r="AJ227" s="615"/>
      <c r="AK227" s="615"/>
      <c r="AL227" s="615"/>
      <c r="AM227" s="615"/>
      <c r="AN227" s="615"/>
      <c r="AO227" s="615"/>
      <c r="AP227" s="615"/>
      <c r="AQ227" s="615"/>
      <c r="AR227" s="615"/>
      <c r="AS227" s="615"/>
      <c r="AT227" s="615"/>
      <c r="AU227" s="615"/>
      <c r="AV227" s="615"/>
      <c r="AW227" s="615"/>
      <c r="AX227" s="615"/>
      <c r="AY227" s="615"/>
      <c r="AZ227" s="615"/>
      <c r="BA227" s="615"/>
      <c r="BB227" s="615"/>
      <c r="BC227" s="615"/>
      <c r="BD227" s="615"/>
      <c r="BE227" s="615"/>
      <c r="BF227" s="615"/>
      <c r="BG227" s="615"/>
      <c r="BH227" s="615"/>
      <c r="BI227" s="615"/>
      <c r="BJ227" s="615"/>
      <c r="BK227" s="615"/>
      <c r="BL227" s="615"/>
      <c r="BM227" s="615"/>
      <c r="BN227" s="615"/>
      <c r="BO227" s="615"/>
      <c r="BP227" s="615"/>
      <c r="BQ227" s="615"/>
      <c r="BR227" s="615"/>
      <c r="BS227" s="615"/>
      <c r="BT227" s="615"/>
      <c r="BU227" s="615"/>
      <c r="BV227" s="615"/>
      <c r="BW227" s="615"/>
      <c r="BX227" s="615"/>
      <c r="BY227" s="615"/>
      <c r="BZ227" s="615"/>
      <c r="CA227" s="615"/>
      <c r="CB227" s="615"/>
      <c r="CC227" s="615"/>
      <c r="CD227" s="615"/>
      <c r="CE227" s="615"/>
      <c r="CF227" s="615"/>
      <c r="CG227" s="615"/>
      <c r="CH227" s="615"/>
      <c r="CI227" s="615"/>
      <c r="CJ227" s="615"/>
      <c r="CK227" s="615"/>
      <c r="CL227" s="615"/>
      <c r="CM227" s="615"/>
      <c r="CN227" s="615"/>
      <c r="CO227" s="615"/>
      <c r="CP227" s="615"/>
      <c r="CQ227" s="615"/>
      <c r="CR227" s="615"/>
      <c r="CS227" s="615"/>
      <c r="CT227" s="615"/>
      <c r="CU227" s="615"/>
      <c r="CV227" s="615"/>
      <c r="CW227" s="615"/>
      <c r="CX227" s="615"/>
      <c r="CY227" s="615"/>
      <c r="CZ227" s="212"/>
      <c r="DA227" s="212"/>
      <c r="DB227" s="212"/>
      <c r="DC227" s="212"/>
      <c r="DD227" s="212"/>
    </row>
    <row r="228" spans="2:227">
      <c r="B228" s="584"/>
      <c r="C228" s="585"/>
      <c r="D228" s="603"/>
      <c r="E228" s="605" t="s">
        <v>207</v>
      </c>
      <c r="F228" s="144" t="s">
        <v>535</v>
      </c>
      <c r="G228" s="515"/>
      <c r="H228" s="467">
        <f>$G$183</f>
        <v>5000</v>
      </c>
      <c r="I228" s="467">
        <f>H233</f>
        <v>4687.5</v>
      </c>
      <c r="J228" s="467">
        <f t="shared" ref="J228:W228" si="271">I233</f>
        <v>4375</v>
      </c>
      <c r="K228" s="467">
        <f t="shared" si="271"/>
        <v>4062.5</v>
      </c>
      <c r="L228" s="467">
        <f t="shared" si="271"/>
        <v>3750</v>
      </c>
      <c r="M228" s="467">
        <f t="shared" si="271"/>
        <v>3437.5</v>
      </c>
      <c r="N228" s="467">
        <f t="shared" si="271"/>
        <v>3125</v>
      </c>
      <c r="O228" s="467">
        <f t="shared" si="271"/>
        <v>2812.5</v>
      </c>
      <c r="P228" s="467">
        <f t="shared" si="271"/>
        <v>2500</v>
      </c>
      <c r="Q228" s="467">
        <f t="shared" si="271"/>
        <v>2187.5</v>
      </c>
      <c r="R228" s="467">
        <f t="shared" si="271"/>
        <v>1875</v>
      </c>
      <c r="S228" s="467">
        <f t="shared" si="271"/>
        <v>1562.5</v>
      </c>
      <c r="T228" s="467">
        <f t="shared" si="271"/>
        <v>1250</v>
      </c>
      <c r="U228" s="467">
        <f t="shared" si="271"/>
        <v>937.5</v>
      </c>
      <c r="V228" s="467">
        <f t="shared" si="271"/>
        <v>625</v>
      </c>
      <c r="W228" s="483">
        <f t="shared" si="271"/>
        <v>312.5</v>
      </c>
      <c r="X228" s="615"/>
      <c r="Y228" s="615"/>
      <c r="Z228" s="615"/>
      <c r="AA228" s="615"/>
      <c r="AB228" s="615"/>
      <c r="AC228" s="615"/>
      <c r="AD228" s="615"/>
      <c r="AE228" s="615"/>
      <c r="AF228" s="615"/>
      <c r="AG228" s="615"/>
      <c r="AH228" s="615"/>
      <c r="AI228" s="615"/>
      <c r="AJ228" s="615"/>
      <c r="AK228" s="615"/>
      <c r="AL228" s="615"/>
      <c r="AM228" s="615"/>
      <c r="AN228" s="615"/>
      <c r="AO228" s="615"/>
      <c r="AP228" s="615"/>
      <c r="AQ228" s="615"/>
      <c r="AR228" s="615"/>
      <c r="AS228" s="615"/>
      <c r="AT228" s="615"/>
      <c r="AU228" s="615"/>
      <c r="AV228" s="615"/>
      <c r="AW228" s="615"/>
      <c r="AX228" s="615"/>
      <c r="AY228" s="615"/>
      <c r="AZ228" s="615"/>
      <c r="BA228" s="615"/>
      <c r="BB228" s="615"/>
      <c r="BC228" s="615"/>
      <c r="BD228" s="615"/>
      <c r="BE228" s="615"/>
      <c r="BF228" s="615"/>
      <c r="BG228" s="615"/>
      <c r="BH228" s="615"/>
      <c r="BI228" s="615"/>
      <c r="BJ228" s="615"/>
      <c r="BK228" s="615"/>
      <c r="BL228" s="615"/>
      <c r="BM228" s="615"/>
      <c r="BN228" s="615"/>
      <c r="BO228" s="615"/>
      <c r="BP228" s="615"/>
      <c r="BQ228" s="615"/>
      <c r="BR228" s="615"/>
      <c r="BS228" s="615"/>
      <c r="BT228" s="615"/>
      <c r="BU228" s="615"/>
      <c r="BV228" s="615"/>
      <c r="BW228" s="615"/>
      <c r="BX228" s="615"/>
      <c r="BY228" s="615"/>
      <c r="BZ228" s="615"/>
      <c r="CA228" s="615"/>
      <c r="CB228" s="615"/>
      <c r="CC228" s="615"/>
      <c r="CD228" s="615"/>
      <c r="CE228" s="615"/>
      <c r="CF228" s="615"/>
      <c r="CG228" s="615"/>
      <c r="CH228" s="615"/>
      <c r="CI228" s="615"/>
      <c r="CJ228" s="615"/>
      <c r="CK228" s="615"/>
      <c r="CL228" s="615"/>
      <c r="CM228" s="615"/>
      <c r="CN228" s="615"/>
      <c r="CO228" s="615"/>
      <c r="CP228" s="615"/>
      <c r="CQ228" s="615"/>
      <c r="CR228" s="615"/>
      <c r="CS228" s="615"/>
      <c r="CT228" s="615"/>
      <c r="CU228" s="615"/>
      <c r="CV228" s="615"/>
      <c r="CW228" s="615"/>
      <c r="CX228" s="615"/>
      <c r="CY228" s="615"/>
      <c r="CZ228" s="212"/>
      <c r="DA228" s="212"/>
      <c r="DB228" s="212"/>
      <c r="DC228" s="212"/>
      <c r="DD228" s="212"/>
    </row>
    <row r="229" spans="2:227">
      <c r="B229" s="584"/>
      <c r="C229" s="585"/>
      <c r="D229" s="603"/>
      <c r="E229" s="606"/>
      <c r="F229" s="144" t="s">
        <v>536</v>
      </c>
      <c r="G229" s="515"/>
      <c r="H229" s="467">
        <v>0</v>
      </c>
      <c r="I229" s="467">
        <v>0</v>
      </c>
      <c r="J229" s="467">
        <v>0</v>
      </c>
      <c r="K229" s="467">
        <v>0</v>
      </c>
      <c r="L229" s="467">
        <v>0</v>
      </c>
      <c r="M229" s="467">
        <v>0</v>
      </c>
      <c r="N229" s="467">
        <v>0</v>
      </c>
      <c r="O229" s="467">
        <v>0</v>
      </c>
      <c r="P229" s="467">
        <v>0</v>
      </c>
      <c r="Q229" s="467">
        <v>0</v>
      </c>
      <c r="R229" s="467">
        <v>0</v>
      </c>
      <c r="S229" s="467">
        <v>0</v>
      </c>
      <c r="T229" s="467">
        <v>0</v>
      </c>
      <c r="U229" s="467">
        <v>0</v>
      </c>
      <c r="V229" s="467">
        <v>0</v>
      </c>
      <c r="W229" s="483">
        <v>0</v>
      </c>
      <c r="X229" s="615"/>
      <c r="Y229" s="615"/>
      <c r="Z229" s="615"/>
      <c r="AA229" s="615"/>
      <c r="AB229" s="615"/>
      <c r="AC229" s="615"/>
      <c r="AD229" s="615"/>
      <c r="AE229" s="615"/>
      <c r="AF229" s="615"/>
      <c r="AG229" s="615"/>
      <c r="AH229" s="615"/>
      <c r="AI229" s="615"/>
      <c r="AJ229" s="615"/>
      <c r="AK229" s="615"/>
      <c r="AL229" s="615"/>
      <c r="AM229" s="615"/>
      <c r="AN229" s="615"/>
      <c r="AO229" s="615"/>
      <c r="AP229" s="615"/>
      <c r="AQ229" s="615"/>
      <c r="AR229" s="615"/>
      <c r="AS229" s="615"/>
      <c r="AT229" s="615"/>
      <c r="AU229" s="615"/>
      <c r="AV229" s="615"/>
      <c r="AW229" s="615"/>
      <c r="AX229" s="615"/>
      <c r="AY229" s="615"/>
      <c r="AZ229" s="615"/>
      <c r="BA229" s="615"/>
      <c r="BB229" s="615"/>
      <c r="BC229" s="615"/>
      <c r="BD229" s="615"/>
      <c r="BE229" s="615"/>
      <c r="BF229" s="615"/>
      <c r="BG229" s="615"/>
      <c r="BH229" s="615"/>
      <c r="BI229" s="615"/>
      <c r="BJ229" s="615"/>
      <c r="BK229" s="615"/>
      <c r="BL229" s="615"/>
      <c r="BM229" s="615"/>
      <c r="BN229" s="615"/>
      <c r="BO229" s="615"/>
      <c r="BP229" s="615"/>
      <c r="BQ229" s="615"/>
      <c r="BR229" s="615"/>
      <c r="BS229" s="615"/>
      <c r="BT229" s="615"/>
      <c r="BU229" s="615"/>
      <c r="BV229" s="615"/>
      <c r="BW229" s="615"/>
      <c r="BX229" s="615"/>
      <c r="BY229" s="615"/>
      <c r="BZ229" s="615"/>
      <c r="CA229" s="615"/>
      <c r="CB229" s="615"/>
      <c r="CC229" s="615"/>
      <c r="CD229" s="615"/>
      <c r="CE229" s="615"/>
      <c r="CF229" s="615"/>
      <c r="CG229" s="615"/>
      <c r="CH229" s="615"/>
      <c r="CI229" s="615"/>
      <c r="CJ229" s="615"/>
      <c r="CK229" s="615"/>
      <c r="CL229" s="615"/>
      <c r="CM229" s="615"/>
      <c r="CN229" s="615"/>
      <c r="CO229" s="615"/>
      <c r="CP229" s="615"/>
      <c r="CQ229" s="615"/>
      <c r="CR229" s="615"/>
      <c r="CS229" s="615"/>
      <c r="CT229" s="615"/>
      <c r="CU229" s="615"/>
      <c r="CV229" s="615"/>
      <c r="CW229" s="615"/>
      <c r="CX229" s="615"/>
      <c r="CY229" s="615"/>
      <c r="CZ229" s="212"/>
      <c r="DA229" s="212"/>
      <c r="DB229" s="212"/>
      <c r="DC229" s="212"/>
      <c r="DD229" s="212"/>
    </row>
    <row r="230" spans="2:227">
      <c r="B230" s="584"/>
      <c r="C230" s="585"/>
      <c r="D230" s="603"/>
      <c r="E230" s="606"/>
      <c r="F230" s="144" t="s">
        <v>537</v>
      </c>
      <c r="G230" s="467">
        <f t="shared" si="267"/>
        <v>5818.125</v>
      </c>
      <c r="H230" s="467">
        <f>SUM(H231:H232)</f>
        <v>408.75</v>
      </c>
      <c r="I230" s="467">
        <f t="shared" ref="I230:W230" si="272">SUM(I231:I232)</f>
        <v>402.734375</v>
      </c>
      <c r="J230" s="467">
        <f t="shared" si="272"/>
        <v>396.71875</v>
      </c>
      <c r="K230" s="467">
        <f t="shared" si="272"/>
        <v>390.703125</v>
      </c>
      <c r="L230" s="467">
        <f t="shared" si="272"/>
        <v>384.6875</v>
      </c>
      <c r="M230" s="467">
        <f t="shared" si="272"/>
        <v>378.671875</v>
      </c>
      <c r="N230" s="467">
        <f t="shared" si="272"/>
        <v>372.65625</v>
      </c>
      <c r="O230" s="467">
        <f t="shared" si="272"/>
        <v>366.640625</v>
      </c>
      <c r="P230" s="467">
        <f t="shared" si="272"/>
        <v>360.625</v>
      </c>
      <c r="Q230" s="467">
        <f t="shared" si="272"/>
        <v>354.609375</v>
      </c>
      <c r="R230" s="467">
        <f t="shared" si="272"/>
        <v>348.59375</v>
      </c>
      <c r="S230" s="467">
        <f t="shared" si="272"/>
        <v>342.578125</v>
      </c>
      <c r="T230" s="467">
        <f t="shared" si="272"/>
        <v>336.5625</v>
      </c>
      <c r="U230" s="467">
        <f t="shared" si="272"/>
        <v>330.546875</v>
      </c>
      <c r="V230" s="467">
        <f t="shared" si="272"/>
        <v>324.53125</v>
      </c>
      <c r="W230" s="483">
        <f t="shared" si="272"/>
        <v>318.515625</v>
      </c>
      <c r="X230" s="615"/>
      <c r="Y230" s="615"/>
      <c r="Z230" s="615"/>
      <c r="AA230" s="615"/>
      <c r="AB230" s="615"/>
      <c r="AC230" s="615"/>
      <c r="AD230" s="615"/>
      <c r="AE230" s="615"/>
      <c r="AF230" s="615"/>
      <c r="AG230" s="615"/>
      <c r="AH230" s="615"/>
      <c r="AI230" s="615"/>
      <c r="AJ230" s="615"/>
      <c r="AK230" s="615"/>
      <c r="AL230" s="615"/>
      <c r="AM230" s="615"/>
      <c r="AN230" s="615"/>
      <c r="AO230" s="615"/>
      <c r="AP230" s="615"/>
      <c r="AQ230" s="615"/>
      <c r="AR230" s="615"/>
      <c r="AS230" s="615"/>
      <c r="AT230" s="615"/>
      <c r="AU230" s="615"/>
      <c r="AV230" s="615"/>
      <c r="AW230" s="615"/>
      <c r="AX230" s="615"/>
      <c r="AY230" s="615"/>
      <c r="AZ230" s="615"/>
      <c r="BA230" s="615"/>
      <c r="BB230" s="615"/>
      <c r="BC230" s="615"/>
      <c r="BD230" s="615"/>
      <c r="BE230" s="615"/>
      <c r="BF230" s="615"/>
      <c r="BG230" s="615"/>
      <c r="BH230" s="615"/>
      <c r="BI230" s="615"/>
      <c r="BJ230" s="615"/>
      <c r="BK230" s="615"/>
      <c r="BL230" s="615"/>
      <c r="BM230" s="615"/>
      <c r="BN230" s="615"/>
      <c r="BO230" s="615"/>
      <c r="BP230" s="615"/>
      <c r="BQ230" s="615"/>
      <c r="BR230" s="615"/>
      <c r="BS230" s="615"/>
      <c r="BT230" s="615"/>
      <c r="BU230" s="615"/>
      <c r="BV230" s="615"/>
      <c r="BW230" s="615"/>
      <c r="BX230" s="615"/>
      <c r="BY230" s="615"/>
      <c r="BZ230" s="615"/>
      <c r="CA230" s="615"/>
      <c r="CB230" s="615"/>
      <c r="CC230" s="615"/>
      <c r="CD230" s="615"/>
      <c r="CE230" s="615"/>
      <c r="CF230" s="615"/>
      <c r="CG230" s="615"/>
      <c r="CH230" s="615"/>
      <c r="CI230" s="615"/>
      <c r="CJ230" s="615"/>
      <c r="CK230" s="615"/>
      <c r="CL230" s="615"/>
      <c r="CM230" s="615"/>
      <c r="CN230" s="615"/>
      <c r="CO230" s="615"/>
      <c r="CP230" s="615"/>
      <c r="CQ230" s="615"/>
      <c r="CR230" s="615"/>
      <c r="CS230" s="615"/>
      <c r="CT230" s="615"/>
      <c r="CU230" s="615"/>
      <c r="CV230" s="615"/>
      <c r="CW230" s="615"/>
      <c r="CX230" s="615"/>
      <c r="CY230" s="615"/>
      <c r="CZ230" s="212"/>
      <c r="DA230" s="212"/>
      <c r="DB230" s="212"/>
      <c r="DC230" s="212"/>
      <c r="DD230" s="212"/>
    </row>
    <row r="231" spans="2:227">
      <c r="B231" s="584"/>
      <c r="C231" s="585"/>
      <c r="D231" s="603"/>
      <c r="E231" s="606"/>
      <c r="F231" s="145" t="s">
        <v>538</v>
      </c>
      <c r="G231" s="467">
        <f t="shared" si="267"/>
        <v>5000</v>
      </c>
      <c r="H231" s="467">
        <f>$G$183/$M$186</f>
        <v>312.5</v>
      </c>
      <c r="I231" s="467">
        <f t="shared" ref="I231:W231" si="273">$G$183/$M$186</f>
        <v>312.5</v>
      </c>
      <c r="J231" s="467">
        <f t="shared" si="273"/>
        <v>312.5</v>
      </c>
      <c r="K231" s="467">
        <f t="shared" si="273"/>
        <v>312.5</v>
      </c>
      <c r="L231" s="467">
        <f t="shared" si="273"/>
        <v>312.5</v>
      </c>
      <c r="M231" s="467">
        <f t="shared" si="273"/>
        <v>312.5</v>
      </c>
      <c r="N231" s="467">
        <f t="shared" si="273"/>
        <v>312.5</v>
      </c>
      <c r="O231" s="467">
        <f t="shared" si="273"/>
        <v>312.5</v>
      </c>
      <c r="P231" s="467">
        <f t="shared" si="273"/>
        <v>312.5</v>
      </c>
      <c r="Q231" s="467">
        <f t="shared" si="273"/>
        <v>312.5</v>
      </c>
      <c r="R231" s="467">
        <f t="shared" si="273"/>
        <v>312.5</v>
      </c>
      <c r="S231" s="467">
        <f t="shared" si="273"/>
        <v>312.5</v>
      </c>
      <c r="T231" s="467">
        <f t="shared" si="273"/>
        <v>312.5</v>
      </c>
      <c r="U231" s="467">
        <f t="shared" si="273"/>
        <v>312.5</v>
      </c>
      <c r="V231" s="467">
        <f t="shared" si="273"/>
        <v>312.5</v>
      </c>
      <c r="W231" s="483">
        <f t="shared" si="273"/>
        <v>312.5</v>
      </c>
      <c r="X231" s="615"/>
      <c r="Y231" s="615"/>
      <c r="Z231" s="615"/>
      <c r="AA231" s="615"/>
      <c r="AB231" s="615"/>
      <c r="AC231" s="615"/>
      <c r="AD231" s="615"/>
      <c r="AE231" s="615"/>
      <c r="AF231" s="615"/>
      <c r="AG231" s="615"/>
      <c r="AH231" s="615"/>
      <c r="AI231" s="615"/>
      <c r="AJ231" s="615"/>
      <c r="AK231" s="615"/>
      <c r="AL231" s="615"/>
      <c r="AM231" s="615"/>
      <c r="AN231" s="615"/>
      <c r="AO231" s="615"/>
      <c r="AP231" s="615"/>
      <c r="AQ231" s="615"/>
      <c r="AR231" s="615"/>
      <c r="AS231" s="615"/>
      <c r="AT231" s="615"/>
      <c r="AU231" s="615"/>
      <c r="AV231" s="615"/>
      <c r="AW231" s="615"/>
      <c r="AX231" s="615"/>
      <c r="AY231" s="615"/>
      <c r="AZ231" s="615"/>
      <c r="BA231" s="615"/>
      <c r="BB231" s="615"/>
      <c r="BC231" s="615"/>
      <c r="BD231" s="615"/>
      <c r="BE231" s="615"/>
      <c r="BF231" s="615"/>
      <c r="BG231" s="615"/>
      <c r="BH231" s="615"/>
      <c r="BI231" s="615"/>
      <c r="BJ231" s="615"/>
      <c r="BK231" s="615"/>
      <c r="BL231" s="615"/>
      <c r="BM231" s="615"/>
      <c r="BN231" s="615"/>
      <c r="BO231" s="615"/>
      <c r="BP231" s="615"/>
      <c r="BQ231" s="615"/>
      <c r="BR231" s="615"/>
      <c r="BS231" s="615"/>
      <c r="BT231" s="615"/>
      <c r="BU231" s="615"/>
      <c r="BV231" s="615"/>
      <c r="BW231" s="615"/>
      <c r="BX231" s="615"/>
      <c r="BY231" s="615"/>
      <c r="BZ231" s="615"/>
      <c r="CA231" s="615"/>
      <c r="CB231" s="615"/>
      <c r="CC231" s="615"/>
      <c r="CD231" s="615"/>
      <c r="CE231" s="615"/>
      <c r="CF231" s="615"/>
      <c r="CG231" s="615"/>
      <c r="CH231" s="615"/>
      <c r="CI231" s="615"/>
      <c r="CJ231" s="615"/>
      <c r="CK231" s="615"/>
      <c r="CL231" s="615"/>
      <c r="CM231" s="615"/>
      <c r="CN231" s="615"/>
      <c r="CO231" s="615"/>
      <c r="CP231" s="615"/>
      <c r="CQ231" s="615"/>
      <c r="CR231" s="615"/>
      <c r="CS231" s="615"/>
      <c r="CT231" s="615"/>
      <c r="CU231" s="615"/>
      <c r="CV231" s="615"/>
      <c r="CW231" s="615"/>
      <c r="CX231" s="615"/>
      <c r="CY231" s="615"/>
      <c r="CZ231" s="212"/>
      <c r="DA231" s="212"/>
      <c r="DB231" s="212"/>
      <c r="DC231" s="212"/>
      <c r="DD231" s="212"/>
    </row>
    <row r="232" spans="2:227">
      <c r="B232" s="584"/>
      <c r="C232" s="585"/>
      <c r="D232" s="603"/>
      <c r="E232" s="606"/>
      <c r="F232" s="33" t="s">
        <v>539</v>
      </c>
      <c r="G232" s="467">
        <f t="shared" si="267"/>
        <v>818.125</v>
      </c>
      <c r="H232" s="542">
        <f>(H228+H229/2)*($G$188/$M$185)</f>
        <v>96.25</v>
      </c>
      <c r="I232" s="542">
        <f t="shared" ref="I232:W232" si="274">(I228+I229/2)*($G$188/$M$185)</f>
        <v>90.234375</v>
      </c>
      <c r="J232" s="542">
        <f t="shared" si="274"/>
        <v>84.21875</v>
      </c>
      <c r="K232" s="542">
        <f t="shared" si="274"/>
        <v>78.203125</v>
      </c>
      <c r="L232" s="542">
        <f t="shared" si="274"/>
        <v>72.1875</v>
      </c>
      <c r="M232" s="542">
        <f t="shared" si="274"/>
        <v>66.171875</v>
      </c>
      <c r="N232" s="542">
        <f t="shared" si="274"/>
        <v>60.15625</v>
      </c>
      <c r="O232" s="542">
        <f t="shared" si="274"/>
        <v>54.140625</v>
      </c>
      <c r="P232" s="542">
        <f t="shared" si="274"/>
        <v>48.125</v>
      </c>
      <c r="Q232" s="542">
        <f t="shared" si="274"/>
        <v>42.109375</v>
      </c>
      <c r="R232" s="542">
        <f t="shared" si="274"/>
        <v>36.09375</v>
      </c>
      <c r="S232" s="542">
        <f t="shared" si="274"/>
        <v>30.078125</v>
      </c>
      <c r="T232" s="542">
        <f t="shared" si="274"/>
        <v>24.0625</v>
      </c>
      <c r="U232" s="542">
        <f t="shared" si="274"/>
        <v>18.046875</v>
      </c>
      <c r="V232" s="542">
        <f t="shared" si="274"/>
        <v>12.03125</v>
      </c>
      <c r="W232" s="543">
        <f t="shared" si="274"/>
        <v>6.015625</v>
      </c>
      <c r="X232" s="615"/>
      <c r="Y232" s="615"/>
      <c r="Z232" s="615"/>
      <c r="AA232" s="615"/>
      <c r="AB232" s="615"/>
      <c r="AC232" s="615"/>
      <c r="AD232" s="615"/>
      <c r="AE232" s="615"/>
      <c r="AF232" s="615"/>
      <c r="AG232" s="615"/>
      <c r="AH232" s="615"/>
      <c r="AI232" s="615"/>
      <c r="AJ232" s="615"/>
      <c r="AK232" s="615"/>
      <c r="AL232" s="615"/>
      <c r="AM232" s="615"/>
      <c r="AN232" s="615"/>
      <c r="AO232" s="615"/>
      <c r="AP232" s="615"/>
      <c r="AQ232" s="615"/>
      <c r="AR232" s="615"/>
      <c r="AS232" s="615"/>
      <c r="AT232" s="615"/>
      <c r="AU232" s="615"/>
      <c r="AV232" s="615"/>
      <c r="AW232" s="615"/>
      <c r="AX232" s="615"/>
      <c r="AY232" s="615"/>
      <c r="AZ232" s="615"/>
      <c r="BA232" s="615"/>
      <c r="BB232" s="615"/>
      <c r="BC232" s="615"/>
      <c r="BD232" s="615"/>
      <c r="BE232" s="615"/>
      <c r="BF232" s="615"/>
      <c r="BG232" s="615"/>
      <c r="BH232" s="615"/>
      <c r="BI232" s="615"/>
      <c r="BJ232" s="615"/>
      <c r="BK232" s="615"/>
      <c r="BL232" s="615"/>
      <c r="BM232" s="615"/>
      <c r="BN232" s="615"/>
      <c r="BO232" s="615"/>
      <c r="BP232" s="615"/>
      <c r="BQ232" s="615"/>
      <c r="BR232" s="615"/>
      <c r="BS232" s="615"/>
      <c r="BT232" s="615"/>
      <c r="BU232" s="615"/>
      <c r="BV232" s="615"/>
      <c r="BW232" s="615"/>
      <c r="BX232" s="615"/>
      <c r="BY232" s="615"/>
      <c r="BZ232" s="615"/>
      <c r="CA232" s="615"/>
      <c r="CB232" s="615"/>
      <c r="CC232" s="615"/>
      <c r="CD232" s="615"/>
      <c r="CE232" s="615"/>
      <c r="CF232" s="615"/>
      <c r="CG232" s="615"/>
      <c r="CH232" s="615"/>
      <c r="CI232" s="615"/>
      <c r="CJ232" s="615"/>
      <c r="CK232" s="615"/>
      <c r="CL232" s="615"/>
      <c r="CM232" s="615"/>
      <c r="CN232" s="615"/>
      <c r="CO232" s="615"/>
      <c r="CP232" s="615"/>
      <c r="CQ232" s="615"/>
      <c r="CR232" s="615"/>
      <c r="CS232" s="615"/>
      <c r="CT232" s="615"/>
      <c r="CU232" s="615"/>
      <c r="CV232" s="615"/>
      <c r="CW232" s="615"/>
      <c r="CX232" s="615"/>
      <c r="CY232" s="615"/>
      <c r="CZ232" s="212"/>
      <c r="DA232" s="212"/>
      <c r="DB232" s="212"/>
      <c r="DC232" s="212"/>
      <c r="DD232" s="212"/>
    </row>
    <row r="233" ht="17.25" spans="2:227">
      <c r="B233" s="584"/>
      <c r="C233" s="585"/>
      <c r="D233" s="608"/>
      <c r="E233" s="609"/>
      <c r="F233" s="163" t="s">
        <v>540</v>
      </c>
      <c r="G233" s="489">
        <f>W233</f>
        <v>0</v>
      </c>
      <c r="H233" s="489">
        <f>H228+H229-H231</f>
        <v>4687.5</v>
      </c>
      <c r="I233" s="489">
        <f t="shared" ref="I233:W233" si="275">I228+I229-I231</f>
        <v>4375</v>
      </c>
      <c r="J233" s="489">
        <f t="shared" si="275"/>
        <v>4062.5</v>
      </c>
      <c r="K233" s="489">
        <f t="shared" si="275"/>
        <v>3750</v>
      </c>
      <c r="L233" s="489">
        <f t="shared" si="275"/>
        <v>3437.5</v>
      </c>
      <c r="M233" s="489">
        <f t="shared" si="275"/>
        <v>3125</v>
      </c>
      <c r="N233" s="489">
        <f t="shared" si="275"/>
        <v>2812.5</v>
      </c>
      <c r="O233" s="489">
        <f t="shared" si="275"/>
        <v>2500</v>
      </c>
      <c r="P233" s="489">
        <f t="shared" si="275"/>
        <v>2187.5</v>
      </c>
      <c r="Q233" s="489">
        <f t="shared" si="275"/>
        <v>1875</v>
      </c>
      <c r="R233" s="489">
        <f t="shared" si="275"/>
        <v>1562.5</v>
      </c>
      <c r="S233" s="489">
        <f t="shared" si="275"/>
        <v>1250</v>
      </c>
      <c r="T233" s="489">
        <f t="shared" si="275"/>
        <v>937.5</v>
      </c>
      <c r="U233" s="489">
        <f t="shared" si="275"/>
        <v>625</v>
      </c>
      <c r="V233" s="489">
        <f t="shared" si="275"/>
        <v>312.5</v>
      </c>
      <c r="W233" s="490">
        <f t="shared" si="275"/>
        <v>0</v>
      </c>
      <c r="X233" s="615"/>
      <c r="Y233" s="615"/>
      <c r="Z233" s="615"/>
      <c r="AA233" s="615"/>
      <c r="AB233" s="615"/>
      <c r="AC233" s="615"/>
      <c r="AD233" s="615"/>
      <c r="AE233" s="615"/>
      <c r="AF233" s="615"/>
      <c r="AG233" s="615"/>
      <c r="AH233" s="615"/>
      <c r="AI233" s="615"/>
      <c r="AJ233" s="615"/>
      <c r="AK233" s="615"/>
      <c r="AL233" s="615"/>
      <c r="AM233" s="615"/>
      <c r="AN233" s="615"/>
      <c r="AO233" s="615"/>
      <c r="AP233" s="615"/>
      <c r="AQ233" s="615"/>
      <c r="AR233" s="615"/>
      <c r="AS233" s="615"/>
      <c r="AT233" s="615"/>
      <c r="AU233" s="615"/>
      <c r="AV233" s="615"/>
      <c r="AW233" s="615"/>
      <c r="AX233" s="615"/>
      <c r="AY233" s="615"/>
      <c r="AZ233" s="615"/>
      <c r="BA233" s="615"/>
      <c r="BB233" s="615"/>
      <c r="BC233" s="615"/>
      <c r="BD233" s="615"/>
      <c r="BE233" s="615"/>
      <c r="BF233" s="615"/>
      <c r="BG233" s="615"/>
      <c r="BH233" s="615"/>
      <c r="BI233" s="615"/>
      <c r="BJ233" s="615"/>
      <c r="BK233" s="615"/>
      <c r="BL233" s="615"/>
      <c r="BM233" s="615"/>
      <c r="BN233" s="615"/>
      <c r="BO233" s="615"/>
      <c r="BP233" s="615"/>
      <c r="BQ233" s="615"/>
      <c r="BR233" s="615"/>
      <c r="BS233" s="615"/>
      <c r="BT233" s="615"/>
      <c r="BU233" s="615"/>
      <c r="BV233" s="615"/>
      <c r="BW233" s="615"/>
      <c r="BX233" s="615"/>
      <c r="BY233" s="615"/>
      <c r="BZ233" s="615"/>
      <c r="CA233" s="615"/>
      <c r="CB233" s="615"/>
      <c r="CC233" s="615"/>
      <c r="CD233" s="615"/>
      <c r="CE233" s="615"/>
      <c r="CF233" s="615"/>
      <c r="CG233" s="615"/>
      <c r="CH233" s="615"/>
      <c r="CI233" s="615"/>
      <c r="CJ233" s="615"/>
      <c r="CK233" s="615"/>
      <c r="CL233" s="615"/>
      <c r="CM233" s="615"/>
      <c r="CN233" s="615"/>
      <c r="CO233" s="615"/>
      <c r="CP233" s="615"/>
      <c r="CQ233" s="615"/>
      <c r="CR233" s="615"/>
      <c r="CS233" s="615"/>
      <c r="CT233" s="615"/>
      <c r="CU233" s="615"/>
      <c r="CV233" s="615"/>
      <c r="CW233" s="615"/>
      <c r="CX233" s="615"/>
      <c r="CY233" s="615"/>
      <c r="CZ233" s="212"/>
      <c r="DA233" s="212"/>
      <c r="DB233" s="212"/>
      <c r="DC233" s="212"/>
      <c r="DD233" s="212"/>
    </row>
    <row r="234" spans="2:227">
      <c r="B234" s="584"/>
      <c r="C234" s="585"/>
      <c r="D234" s="603" t="s">
        <v>553</v>
      </c>
      <c r="E234" s="610" t="s">
        <v>530</v>
      </c>
      <c r="F234" s="611"/>
      <c r="G234" s="612"/>
      <c r="H234" s="613" t="s">
        <v>572</v>
      </c>
      <c r="I234" s="613" t="s">
        <v>573</v>
      </c>
      <c r="J234" s="613" t="s">
        <v>574</v>
      </c>
      <c r="K234" s="613" t="s">
        <v>575</v>
      </c>
      <c r="L234" s="613" t="s">
        <v>576</v>
      </c>
      <c r="M234" s="613" t="s">
        <v>577</v>
      </c>
      <c r="N234" s="613" t="s">
        <v>578</v>
      </c>
      <c r="O234" s="614" t="s">
        <v>579</v>
      </c>
      <c r="P234" s="615"/>
      <c r="Q234" s="615"/>
      <c r="R234" s="615"/>
      <c r="S234" s="615"/>
      <c r="T234" s="615"/>
      <c r="U234" s="615"/>
      <c r="V234" s="615"/>
      <c r="W234" s="615"/>
      <c r="X234" s="615"/>
      <c r="Y234" s="615"/>
      <c r="Z234" s="615"/>
      <c r="AA234" s="615"/>
      <c r="AB234" s="615"/>
      <c r="AC234" s="615"/>
      <c r="AD234" s="615"/>
      <c r="AE234" s="615"/>
      <c r="AF234" s="615"/>
      <c r="AG234" s="615"/>
      <c r="AH234" s="615"/>
      <c r="AI234" s="615"/>
      <c r="AJ234" s="615"/>
      <c r="AK234" s="615"/>
      <c r="AL234" s="615"/>
      <c r="AM234" s="615"/>
      <c r="AN234" s="615"/>
      <c r="AO234" s="615"/>
      <c r="AP234" s="615"/>
      <c r="AQ234" s="615"/>
      <c r="AR234" s="615"/>
      <c r="AS234" s="615"/>
      <c r="AT234" s="615"/>
      <c r="AU234" s="615"/>
      <c r="AV234" s="615"/>
      <c r="AW234" s="615"/>
      <c r="AX234" s="615"/>
      <c r="AY234" s="615"/>
      <c r="AZ234" s="615"/>
      <c r="BA234" s="615"/>
      <c r="BB234" s="615"/>
      <c r="BC234" s="615"/>
      <c r="BD234" s="615"/>
      <c r="BE234" s="615"/>
      <c r="BF234" s="615"/>
      <c r="BG234" s="615"/>
      <c r="BH234" s="615"/>
      <c r="BI234" s="615"/>
      <c r="BJ234" s="615"/>
      <c r="BK234" s="615"/>
      <c r="BL234" s="615"/>
      <c r="BM234" s="615"/>
      <c r="BN234" s="615"/>
      <c r="BO234" s="615"/>
      <c r="BP234" s="615"/>
      <c r="BQ234" s="615"/>
      <c r="BR234" s="615"/>
      <c r="BS234" s="615"/>
      <c r="BT234" s="615"/>
      <c r="BU234" s="615"/>
      <c r="BV234" s="615"/>
      <c r="BW234" s="615"/>
      <c r="BX234" s="615"/>
      <c r="BY234" s="615"/>
      <c r="BZ234" s="615"/>
      <c r="CA234" s="615"/>
      <c r="CB234" s="615"/>
      <c r="CC234" s="615"/>
      <c r="CD234" s="615"/>
      <c r="CE234" s="615"/>
      <c r="CF234" s="615"/>
      <c r="CG234" s="615"/>
      <c r="CH234" s="615"/>
      <c r="CI234" s="615"/>
      <c r="CJ234" s="615"/>
      <c r="CK234" s="615"/>
      <c r="CL234" s="615"/>
      <c r="CM234" s="615"/>
      <c r="CN234" s="615"/>
      <c r="CO234" s="615"/>
      <c r="CP234" s="615"/>
      <c r="CQ234" s="615"/>
      <c r="CR234" s="615"/>
      <c r="CS234" s="615"/>
      <c r="CT234" s="615"/>
      <c r="CU234" s="615"/>
      <c r="CV234" s="615"/>
      <c r="CW234" s="615"/>
      <c r="CX234" s="615"/>
      <c r="CY234" s="615"/>
      <c r="CZ234" s="212"/>
      <c r="DA234" s="212"/>
      <c r="DB234" s="212"/>
      <c r="DC234" s="212"/>
      <c r="DD234" s="212"/>
      <c r="DE234" s="212"/>
      <c r="DF234" s="212"/>
      <c r="DG234" s="212"/>
      <c r="DH234" s="212"/>
      <c r="DI234" s="212"/>
      <c r="DJ234" s="212"/>
      <c r="DK234" s="212"/>
      <c r="DL234" s="212"/>
      <c r="DM234" s="212"/>
      <c r="DN234" s="212"/>
      <c r="DO234" s="212"/>
      <c r="DP234" s="212"/>
      <c r="DQ234" s="212"/>
      <c r="DR234" s="212"/>
      <c r="DS234" s="212"/>
      <c r="DT234" s="212"/>
      <c r="DU234" s="212"/>
      <c r="DV234" s="212"/>
      <c r="DW234" s="212"/>
      <c r="DX234" s="212"/>
      <c r="DY234" s="212"/>
      <c r="DZ234" s="212"/>
      <c r="EA234" s="212"/>
      <c r="EB234" s="212"/>
      <c r="EC234" s="212"/>
      <c r="ED234" s="212"/>
      <c r="EE234" s="212"/>
      <c r="EF234" s="212"/>
      <c r="EG234" s="212"/>
      <c r="EH234" s="212"/>
      <c r="EI234" s="212"/>
      <c r="EJ234" s="212"/>
      <c r="EK234" s="212"/>
      <c r="EL234" s="212"/>
      <c r="EM234" s="212"/>
      <c r="EN234" s="212"/>
      <c r="EO234" s="212"/>
      <c r="EP234" s="212"/>
      <c r="EQ234" s="212"/>
      <c r="ER234" s="212"/>
      <c r="ES234" s="212"/>
      <c r="ET234" s="212"/>
      <c r="EU234" s="212"/>
      <c r="EV234" s="212"/>
      <c r="EW234" s="212"/>
      <c r="EX234" s="212"/>
      <c r="EY234" s="212"/>
      <c r="EZ234" s="212"/>
      <c r="FA234" s="212"/>
      <c r="FB234" s="212"/>
      <c r="FC234" s="212"/>
      <c r="FD234" s="212"/>
      <c r="FE234" s="212"/>
      <c r="FF234" s="212"/>
      <c r="FG234" s="212"/>
      <c r="FH234" s="212"/>
      <c r="FI234" s="212"/>
      <c r="FJ234" s="212"/>
      <c r="FK234" s="212"/>
      <c r="FL234" s="212"/>
      <c r="FM234" s="212"/>
      <c r="FN234" s="212"/>
      <c r="FO234" s="212"/>
      <c r="FP234" s="212"/>
      <c r="FQ234" s="212"/>
      <c r="FR234" s="212"/>
      <c r="FS234" s="212"/>
      <c r="FT234" s="212"/>
      <c r="FU234" s="212"/>
      <c r="FV234" s="212"/>
      <c r="FW234" s="212"/>
      <c r="FX234" s="212"/>
      <c r="FY234" s="212"/>
      <c r="FZ234" s="212"/>
      <c r="GA234" s="212"/>
      <c r="GB234" s="212"/>
      <c r="GC234" s="212"/>
      <c r="GD234" s="212"/>
      <c r="GE234" s="212"/>
      <c r="GF234" s="212"/>
      <c r="GG234" s="212"/>
      <c r="GH234" s="212"/>
      <c r="GI234" s="212"/>
      <c r="GJ234" s="212"/>
      <c r="GK234" s="212"/>
      <c r="GL234" s="212"/>
      <c r="GM234" s="212"/>
      <c r="GN234" s="212"/>
      <c r="GO234" s="212"/>
      <c r="GP234" s="212"/>
      <c r="GQ234" s="212"/>
      <c r="GR234" s="212"/>
      <c r="GS234" s="212"/>
      <c r="GT234" s="212"/>
      <c r="GU234" s="212"/>
      <c r="GV234" s="212"/>
      <c r="GW234" s="212"/>
      <c r="GX234" s="212"/>
      <c r="GY234" s="212"/>
      <c r="GZ234" s="212"/>
      <c r="HA234" s="212"/>
      <c r="HB234" s="212"/>
      <c r="HC234" s="212"/>
      <c r="HD234" s="212"/>
      <c r="HE234" s="212"/>
      <c r="HF234" s="212"/>
      <c r="HG234" s="212"/>
      <c r="HH234" s="212"/>
      <c r="HI234" s="212"/>
      <c r="HJ234" s="212"/>
      <c r="HK234" s="212"/>
      <c r="HL234" s="212"/>
      <c r="HM234" s="212"/>
      <c r="HN234" s="212"/>
      <c r="HO234" s="212"/>
      <c r="HP234" s="212"/>
      <c r="HQ234" s="212"/>
      <c r="HR234" s="212"/>
      <c r="HS234" s="212"/>
    </row>
    <row r="235" spans="2:227">
      <c r="B235" s="584"/>
      <c r="C235" s="585"/>
      <c r="D235" s="603"/>
      <c r="E235" s="524" t="s">
        <v>545</v>
      </c>
      <c r="F235" s="604"/>
      <c r="G235" s="525"/>
      <c r="H235" s="509">
        <f>N183</f>
        <v>49096</v>
      </c>
      <c r="I235" s="509">
        <f>EDATE(H235,$N$184)</f>
        <v>49461</v>
      </c>
      <c r="J235" s="509">
        <f t="shared" ref="J235:O235" si="276">EDATE(I235,$N$184)</f>
        <v>49827</v>
      </c>
      <c r="K235" s="509">
        <f t="shared" si="276"/>
        <v>50192</v>
      </c>
      <c r="L235" s="509">
        <f t="shared" si="276"/>
        <v>50557</v>
      </c>
      <c r="M235" s="509">
        <f t="shared" si="276"/>
        <v>50922</v>
      </c>
      <c r="N235" s="509">
        <f t="shared" si="276"/>
        <v>51288</v>
      </c>
      <c r="O235" s="516">
        <f t="shared" si="276"/>
        <v>51653</v>
      </c>
      <c r="P235" s="615"/>
      <c r="Q235" s="615"/>
      <c r="R235" s="615"/>
      <c r="S235" s="615"/>
      <c r="T235" s="615"/>
      <c r="U235" s="615"/>
      <c r="V235" s="615"/>
      <c r="W235" s="615"/>
      <c r="X235" s="615"/>
      <c r="Y235" s="615"/>
      <c r="Z235" s="615"/>
      <c r="AA235" s="615"/>
      <c r="AB235" s="615"/>
      <c r="AC235" s="615"/>
      <c r="AD235" s="615"/>
      <c r="AE235" s="615"/>
      <c r="AF235" s="615"/>
      <c r="AG235" s="615"/>
      <c r="AH235" s="615"/>
      <c r="AI235" s="615"/>
      <c r="AJ235" s="615"/>
      <c r="AK235" s="615"/>
      <c r="AL235" s="615"/>
      <c r="AM235" s="615"/>
      <c r="AN235" s="615"/>
      <c r="AO235" s="615"/>
      <c r="AP235" s="615"/>
      <c r="AQ235" s="615"/>
      <c r="AR235" s="615"/>
      <c r="AS235" s="615"/>
      <c r="AT235" s="615"/>
      <c r="AU235" s="615"/>
      <c r="AV235" s="615"/>
      <c r="AW235" s="615"/>
      <c r="AX235" s="615"/>
      <c r="AY235" s="615"/>
      <c r="AZ235" s="615"/>
      <c r="BA235" s="615"/>
      <c r="BB235" s="615"/>
      <c r="BC235" s="615"/>
      <c r="BD235" s="615"/>
      <c r="BE235" s="615"/>
      <c r="BF235" s="615"/>
      <c r="BG235" s="615"/>
      <c r="BH235" s="615"/>
      <c r="BI235" s="615"/>
      <c r="BJ235" s="615"/>
      <c r="BK235" s="615"/>
      <c r="BL235" s="615"/>
      <c r="BM235" s="615"/>
      <c r="BN235" s="615"/>
      <c r="BO235" s="615"/>
      <c r="BP235" s="615"/>
      <c r="BQ235" s="615"/>
      <c r="BR235" s="615"/>
      <c r="BS235" s="615"/>
      <c r="BT235" s="615"/>
      <c r="BU235" s="615"/>
      <c r="BV235" s="615"/>
      <c r="BW235" s="615"/>
      <c r="BX235" s="615"/>
      <c r="BY235" s="615"/>
      <c r="BZ235" s="615"/>
      <c r="CA235" s="615"/>
      <c r="CB235" s="615"/>
      <c r="CC235" s="615"/>
      <c r="CD235" s="615"/>
      <c r="CE235" s="615"/>
      <c r="CF235" s="615"/>
      <c r="CG235" s="615"/>
      <c r="CH235" s="615"/>
      <c r="CI235" s="615"/>
      <c r="CJ235" s="615"/>
      <c r="CK235" s="615"/>
      <c r="CL235" s="615"/>
      <c r="CM235" s="615"/>
      <c r="CN235" s="615"/>
      <c r="CO235" s="615"/>
      <c r="CP235" s="615"/>
      <c r="CQ235" s="615"/>
      <c r="CR235" s="615"/>
      <c r="CS235" s="615"/>
      <c r="CT235" s="615"/>
      <c r="CU235" s="615"/>
      <c r="CV235" s="615"/>
      <c r="CW235" s="615"/>
      <c r="CX235" s="615"/>
      <c r="CY235" s="615"/>
      <c r="CZ235" s="212"/>
      <c r="DA235" s="212"/>
      <c r="DB235" s="212"/>
      <c r="DC235" s="212"/>
      <c r="DD235" s="212"/>
      <c r="DE235" s="212"/>
      <c r="DF235" s="212"/>
      <c r="DG235" s="212"/>
      <c r="DH235" s="212"/>
      <c r="DI235" s="212"/>
      <c r="DJ235" s="212"/>
      <c r="DK235" s="212"/>
      <c r="DL235" s="212"/>
      <c r="DM235" s="212"/>
      <c r="DN235" s="212"/>
      <c r="DO235" s="212"/>
      <c r="DP235" s="212"/>
      <c r="DQ235" s="212"/>
      <c r="DR235" s="212"/>
      <c r="DS235" s="212"/>
      <c r="DT235" s="212"/>
      <c r="DU235" s="212"/>
      <c r="DV235" s="212"/>
      <c r="DW235" s="212"/>
      <c r="DX235" s="212"/>
      <c r="DY235" s="212"/>
      <c r="DZ235" s="212"/>
      <c r="EA235" s="212"/>
      <c r="EB235" s="212"/>
      <c r="EC235" s="212"/>
      <c r="ED235" s="212"/>
      <c r="EE235" s="212"/>
      <c r="EF235" s="212"/>
      <c r="EG235" s="212"/>
      <c r="EH235" s="212"/>
      <c r="EI235" s="212"/>
      <c r="EJ235" s="212"/>
      <c r="EK235" s="212"/>
      <c r="EL235" s="212"/>
      <c r="EM235" s="212"/>
      <c r="EN235" s="212"/>
      <c r="EO235" s="212"/>
      <c r="EP235" s="212"/>
      <c r="EQ235" s="212"/>
      <c r="ER235" s="212"/>
      <c r="ES235" s="212"/>
      <c r="ET235" s="212"/>
      <c r="EU235" s="212"/>
      <c r="EV235" s="212"/>
      <c r="EW235" s="212"/>
      <c r="EX235" s="212"/>
      <c r="EY235" s="212"/>
      <c r="EZ235" s="212"/>
      <c r="FA235" s="212"/>
      <c r="FB235" s="212"/>
      <c r="FC235" s="212"/>
      <c r="FD235" s="212"/>
      <c r="FE235" s="212"/>
      <c r="FF235" s="212"/>
      <c r="FG235" s="212"/>
      <c r="FH235" s="212"/>
      <c r="FI235" s="212"/>
      <c r="FJ235" s="212"/>
      <c r="FK235" s="212"/>
      <c r="FL235" s="212"/>
      <c r="FM235" s="212"/>
      <c r="FN235" s="212"/>
      <c r="FO235" s="212"/>
      <c r="FP235" s="212"/>
      <c r="FQ235" s="212"/>
      <c r="FR235" s="212"/>
      <c r="FS235" s="212"/>
      <c r="FT235" s="212"/>
      <c r="FU235" s="212"/>
      <c r="FV235" s="212"/>
      <c r="FW235" s="212"/>
      <c r="FX235" s="212"/>
      <c r="FY235" s="212"/>
      <c r="FZ235" s="212"/>
      <c r="GA235" s="212"/>
      <c r="GB235" s="212"/>
      <c r="GC235" s="212"/>
      <c r="GD235" s="212"/>
      <c r="GE235" s="212"/>
      <c r="GF235" s="212"/>
      <c r="GG235" s="212"/>
      <c r="GH235" s="212"/>
      <c r="GI235" s="212"/>
      <c r="GJ235" s="212"/>
      <c r="GK235" s="212"/>
      <c r="GL235" s="212"/>
      <c r="GM235" s="212"/>
      <c r="GN235" s="212"/>
      <c r="GO235" s="212"/>
      <c r="GP235" s="212"/>
      <c r="GQ235" s="212"/>
      <c r="GR235" s="212"/>
      <c r="GS235" s="212"/>
      <c r="GT235" s="212"/>
      <c r="GU235" s="212"/>
      <c r="GV235" s="212"/>
      <c r="GW235" s="212"/>
      <c r="GX235" s="212"/>
      <c r="GY235" s="212"/>
      <c r="GZ235" s="212"/>
      <c r="HA235" s="212"/>
      <c r="HB235" s="212"/>
      <c r="HC235" s="212"/>
      <c r="HD235" s="212"/>
      <c r="HE235" s="212"/>
      <c r="HF235" s="212"/>
      <c r="HG235" s="212"/>
      <c r="HH235" s="212"/>
      <c r="HI235" s="212"/>
      <c r="HJ235" s="212"/>
      <c r="HK235" s="212"/>
      <c r="HL235" s="212"/>
      <c r="HM235" s="212"/>
      <c r="HN235" s="212"/>
      <c r="HO235" s="212"/>
      <c r="HP235" s="212"/>
      <c r="HQ235" s="212"/>
      <c r="HR235" s="212"/>
      <c r="HS235" s="212"/>
    </row>
    <row r="236" spans="2:227">
      <c r="B236" s="584"/>
      <c r="C236" s="585"/>
      <c r="D236" s="603"/>
      <c r="E236" s="524" t="s">
        <v>532</v>
      </c>
      <c r="F236" s="604"/>
      <c r="G236" s="525"/>
      <c r="H236" s="526">
        <f>YEAR(H235)</f>
        <v>2034</v>
      </c>
      <c r="I236" s="526">
        <f t="shared" ref="I236:O236" si="277">YEAR(I235)</f>
        <v>2035</v>
      </c>
      <c r="J236" s="526">
        <f t="shared" si="277"/>
        <v>2036</v>
      </c>
      <c r="K236" s="526">
        <f t="shared" si="277"/>
        <v>2037</v>
      </c>
      <c r="L236" s="526">
        <f t="shared" si="277"/>
        <v>2038</v>
      </c>
      <c r="M236" s="526">
        <f t="shared" si="277"/>
        <v>2039</v>
      </c>
      <c r="N236" s="526">
        <f t="shared" si="277"/>
        <v>2040</v>
      </c>
      <c r="O236" s="527">
        <f t="shared" si="277"/>
        <v>2041</v>
      </c>
      <c r="P236" s="615"/>
      <c r="Q236" s="615"/>
      <c r="R236" s="615"/>
      <c r="S236" s="615"/>
      <c r="T236" s="615"/>
      <c r="U236" s="615"/>
      <c r="V236" s="615"/>
      <c r="W236" s="615"/>
      <c r="X236" s="615"/>
      <c r="Y236" s="615"/>
      <c r="Z236" s="615"/>
      <c r="AA236" s="615"/>
      <c r="AB236" s="615"/>
      <c r="AC236" s="615"/>
      <c r="AD236" s="615"/>
      <c r="AE236" s="615"/>
      <c r="AF236" s="615"/>
      <c r="AG236" s="615"/>
      <c r="AH236" s="615"/>
      <c r="AI236" s="615"/>
      <c r="AJ236" s="615"/>
      <c r="AK236" s="615"/>
      <c r="AL236" s="615"/>
      <c r="AM236" s="615"/>
      <c r="AN236" s="615"/>
      <c r="AO236" s="615"/>
      <c r="AP236" s="615"/>
      <c r="AQ236" s="615"/>
      <c r="AR236" s="615"/>
      <c r="AS236" s="615"/>
      <c r="AT236" s="615"/>
      <c r="AU236" s="615"/>
      <c r="AV236" s="615"/>
      <c r="AW236" s="615"/>
      <c r="AX236" s="615"/>
      <c r="AY236" s="615"/>
      <c r="AZ236" s="615"/>
      <c r="BA236" s="615"/>
      <c r="BB236" s="615"/>
      <c r="BC236" s="615"/>
      <c r="BD236" s="615"/>
      <c r="BE236" s="615"/>
      <c r="BF236" s="615"/>
      <c r="BG236" s="615"/>
      <c r="BH236" s="615"/>
      <c r="BI236" s="615"/>
      <c r="BJ236" s="615"/>
      <c r="BK236" s="615"/>
      <c r="BL236" s="615"/>
      <c r="BM236" s="615"/>
      <c r="BN236" s="615"/>
      <c r="BO236" s="615"/>
      <c r="BP236" s="615"/>
      <c r="BQ236" s="615"/>
      <c r="BR236" s="615"/>
      <c r="BS236" s="615"/>
      <c r="BT236" s="615"/>
      <c r="BU236" s="615"/>
      <c r="BV236" s="615"/>
      <c r="BW236" s="615"/>
      <c r="BX236" s="615"/>
      <c r="BY236" s="615"/>
      <c r="BZ236" s="615"/>
      <c r="CA236" s="615"/>
      <c r="CB236" s="615"/>
      <c r="CC236" s="615"/>
      <c r="CD236" s="615"/>
      <c r="CE236" s="615"/>
      <c r="CF236" s="615"/>
      <c r="CG236" s="615"/>
      <c r="CH236" s="615"/>
      <c r="CI236" s="615"/>
      <c r="CJ236" s="615"/>
      <c r="CK236" s="615"/>
      <c r="CL236" s="615"/>
      <c r="CM236" s="615"/>
      <c r="CN236" s="615"/>
      <c r="CO236" s="615"/>
      <c r="CP236" s="615"/>
      <c r="CQ236" s="615"/>
      <c r="CR236" s="615"/>
      <c r="CS236" s="615"/>
      <c r="CT236" s="615"/>
      <c r="CU236" s="615"/>
      <c r="CV236" s="615"/>
      <c r="CW236" s="615"/>
      <c r="CX236" s="615"/>
      <c r="CY236" s="615"/>
      <c r="CZ236" s="212"/>
      <c r="DA236" s="212"/>
      <c r="DB236" s="212"/>
      <c r="DC236" s="212"/>
      <c r="DD236" s="212"/>
      <c r="DE236" s="212"/>
      <c r="DF236" s="212"/>
      <c r="DG236" s="212"/>
      <c r="DH236" s="212"/>
      <c r="DI236" s="212"/>
      <c r="DJ236" s="212"/>
      <c r="DK236" s="212"/>
      <c r="DL236" s="212"/>
      <c r="DM236" s="212"/>
      <c r="DN236" s="212"/>
      <c r="DO236" s="212"/>
      <c r="DP236" s="212"/>
      <c r="DQ236" s="212"/>
      <c r="DR236" s="212"/>
      <c r="DS236" s="212"/>
      <c r="DT236" s="212"/>
      <c r="DU236" s="212"/>
      <c r="DV236" s="212"/>
      <c r="DW236" s="212"/>
      <c r="DX236" s="212"/>
      <c r="DY236" s="212"/>
      <c r="DZ236" s="212"/>
      <c r="EA236" s="212"/>
      <c r="EB236" s="212"/>
      <c r="EC236" s="212"/>
      <c r="ED236" s="212"/>
      <c r="EE236" s="212"/>
      <c r="EF236" s="212"/>
      <c r="EG236" s="212"/>
      <c r="EH236" s="212"/>
      <c r="EI236" s="212"/>
      <c r="EJ236" s="212"/>
      <c r="EK236" s="212"/>
      <c r="EL236" s="212"/>
      <c r="EM236" s="212"/>
      <c r="EN236" s="212"/>
      <c r="EO236" s="212"/>
      <c r="EP236" s="212"/>
      <c r="EQ236" s="212"/>
      <c r="ER236" s="212"/>
      <c r="ES236" s="212"/>
      <c r="ET236" s="212"/>
      <c r="EU236" s="212"/>
      <c r="EV236" s="212"/>
      <c r="EW236" s="212"/>
      <c r="EX236" s="212"/>
      <c r="EY236" s="212"/>
      <c r="EZ236" s="212"/>
      <c r="FA236" s="212"/>
      <c r="FB236" s="212"/>
      <c r="FC236" s="212"/>
      <c r="FD236" s="212"/>
      <c r="FE236" s="212"/>
      <c r="FF236" s="212"/>
      <c r="FG236" s="212"/>
      <c r="FH236" s="212"/>
      <c r="FI236" s="212"/>
      <c r="FJ236" s="212"/>
      <c r="FK236" s="212"/>
      <c r="FL236" s="212"/>
      <c r="FM236" s="212"/>
      <c r="FN236" s="212"/>
      <c r="FO236" s="212"/>
      <c r="FP236" s="212"/>
      <c r="FQ236" s="212"/>
      <c r="FR236" s="212"/>
      <c r="FS236" s="212"/>
      <c r="FT236" s="212"/>
      <c r="FU236" s="212"/>
      <c r="FV236" s="212"/>
      <c r="FW236" s="212"/>
      <c r="FX236" s="212"/>
      <c r="FY236" s="212"/>
      <c r="FZ236" s="212"/>
      <c r="GA236" s="212"/>
      <c r="GB236" s="212"/>
      <c r="GC236" s="212"/>
      <c r="GD236" s="212"/>
      <c r="GE236" s="212"/>
      <c r="GF236" s="212"/>
      <c r="GG236" s="212"/>
      <c r="GH236" s="212"/>
      <c r="GI236" s="212"/>
      <c r="GJ236" s="212"/>
      <c r="GK236" s="212"/>
      <c r="GL236" s="212"/>
      <c r="GM236" s="212"/>
      <c r="GN236" s="212"/>
      <c r="GO236" s="212"/>
      <c r="GP236" s="212"/>
      <c r="GQ236" s="212"/>
      <c r="GR236" s="212"/>
      <c r="GS236" s="212"/>
      <c r="GT236" s="212"/>
      <c r="GU236" s="212"/>
      <c r="GV236" s="212"/>
      <c r="GW236" s="212"/>
      <c r="GX236" s="212"/>
      <c r="GY236" s="212"/>
      <c r="GZ236" s="212"/>
      <c r="HA236" s="212"/>
      <c r="HB236" s="212"/>
      <c r="HC236" s="212"/>
      <c r="HD236" s="212"/>
      <c r="HE236" s="212"/>
      <c r="HF236" s="212"/>
      <c r="HG236" s="212"/>
      <c r="HH236" s="212"/>
      <c r="HI236" s="212"/>
      <c r="HJ236" s="212"/>
      <c r="HK236" s="212"/>
      <c r="HL236" s="212"/>
      <c r="HM236" s="212"/>
      <c r="HN236" s="212"/>
      <c r="HO236" s="212"/>
      <c r="HP236" s="212"/>
      <c r="HQ236" s="212"/>
      <c r="HR236" s="212"/>
      <c r="HS236" s="212"/>
    </row>
    <row r="237" spans="2:227">
      <c r="B237" s="584"/>
      <c r="C237" s="585"/>
      <c r="D237" s="603"/>
      <c r="E237" s="605" t="s">
        <v>420</v>
      </c>
      <c r="F237" s="144" t="s">
        <v>535</v>
      </c>
      <c r="G237" s="467"/>
      <c r="H237" s="467">
        <f>$G$183</f>
        <v>5000</v>
      </c>
      <c r="I237" s="467">
        <f>H242</f>
        <v>4454.4537686973</v>
      </c>
      <c r="J237" s="467">
        <f t="shared" ref="J237:O237" si="278">I242</f>
        <v>3887.90400748945</v>
      </c>
      <c r="K237" s="467">
        <f t="shared" si="278"/>
        <v>3299.54208047509</v>
      </c>
      <c r="L237" s="467">
        <f t="shared" si="278"/>
        <v>2688.52821927068</v>
      </c>
      <c r="M237" s="467">
        <f t="shared" si="278"/>
        <v>2053.9903244099</v>
      </c>
      <c r="N237" s="467">
        <f t="shared" si="278"/>
        <v>1395.02272059698</v>
      </c>
      <c r="O237" s="483">
        <f t="shared" si="278"/>
        <v>710.684864037263</v>
      </c>
      <c r="P237" s="615"/>
      <c r="Q237" s="615"/>
      <c r="R237" s="615"/>
      <c r="S237" s="615"/>
      <c r="T237" s="615"/>
      <c r="U237" s="615"/>
      <c r="V237" s="615"/>
      <c r="W237" s="615"/>
      <c r="X237" s="615"/>
      <c r="Y237" s="615"/>
      <c r="Z237" s="615"/>
      <c r="AA237" s="615"/>
      <c r="AB237" s="615"/>
      <c r="AC237" s="615"/>
      <c r="AD237" s="615"/>
      <c r="AE237" s="615"/>
      <c r="AF237" s="615"/>
      <c r="AG237" s="615"/>
      <c r="AH237" s="615"/>
      <c r="AI237" s="615"/>
      <c r="AJ237" s="615"/>
      <c r="AK237" s="615"/>
      <c r="AL237" s="615"/>
      <c r="AM237" s="615"/>
      <c r="AN237" s="615"/>
      <c r="AO237" s="615"/>
      <c r="AP237" s="615"/>
      <c r="AQ237" s="615"/>
      <c r="AR237" s="615"/>
      <c r="AS237" s="615"/>
      <c r="AT237" s="615"/>
      <c r="AU237" s="615"/>
      <c r="AV237" s="615"/>
      <c r="AW237" s="615"/>
      <c r="AX237" s="615"/>
      <c r="AY237" s="615"/>
      <c r="AZ237" s="615"/>
      <c r="BA237" s="615"/>
      <c r="BB237" s="615"/>
      <c r="BC237" s="615"/>
      <c r="BD237" s="615"/>
      <c r="BE237" s="615"/>
      <c r="BF237" s="615"/>
      <c r="BG237" s="615"/>
      <c r="BH237" s="615"/>
      <c r="BI237" s="615"/>
      <c r="BJ237" s="615"/>
      <c r="BK237" s="615"/>
      <c r="BL237" s="615"/>
      <c r="BM237" s="615"/>
      <c r="BN237" s="615"/>
      <c r="BO237" s="615"/>
      <c r="BP237" s="615"/>
      <c r="BQ237" s="615"/>
      <c r="BR237" s="615"/>
      <c r="BS237" s="615"/>
      <c r="BT237" s="615"/>
      <c r="BU237" s="615"/>
      <c r="BV237" s="615"/>
      <c r="BW237" s="615"/>
      <c r="BX237" s="615"/>
      <c r="BY237" s="615"/>
      <c r="BZ237" s="615"/>
      <c r="CA237" s="615"/>
      <c r="CB237" s="615"/>
      <c r="CC237" s="615"/>
      <c r="CD237" s="615"/>
      <c r="CE237" s="615"/>
      <c r="CF237" s="615"/>
      <c r="CG237" s="615"/>
      <c r="CH237" s="615"/>
      <c r="CI237" s="615"/>
      <c r="CJ237" s="615"/>
      <c r="CK237" s="615"/>
      <c r="CL237" s="615"/>
      <c r="CM237" s="615"/>
      <c r="CN237" s="615"/>
      <c r="CO237" s="615"/>
      <c r="CP237" s="615"/>
      <c r="CQ237" s="615"/>
      <c r="CR237" s="615"/>
      <c r="CS237" s="615"/>
      <c r="CT237" s="615"/>
      <c r="CU237" s="615"/>
      <c r="CV237" s="615"/>
      <c r="CW237" s="615"/>
      <c r="CX237" s="615"/>
      <c r="CY237" s="615"/>
      <c r="CZ237" s="212"/>
      <c r="DA237" s="212"/>
      <c r="DB237" s="212"/>
      <c r="DC237" s="212"/>
      <c r="DD237" s="212"/>
      <c r="DE237" s="212"/>
      <c r="DF237" s="212"/>
      <c r="DG237" s="212"/>
      <c r="DH237" s="212"/>
      <c r="DI237" s="212"/>
      <c r="DJ237" s="212"/>
      <c r="DK237" s="212"/>
      <c r="DL237" s="212"/>
      <c r="DM237" s="212"/>
      <c r="DN237" s="212"/>
      <c r="DO237" s="212"/>
      <c r="DP237" s="212"/>
      <c r="DQ237" s="212"/>
      <c r="DR237" s="212"/>
      <c r="DS237" s="212"/>
      <c r="DT237" s="212"/>
      <c r="DU237" s="212"/>
      <c r="DV237" s="212"/>
      <c r="DW237" s="212"/>
      <c r="DX237" s="212"/>
      <c r="DY237" s="212"/>
      <c r="DZ237" s="212"/>
      <c r="EA237" s="212"/>
      <c r="EB237" s="212"/>
      <c r="EC237" s="212"/>
      <c r="ED237" s="212"/>
      <c r="EE237" s="212"/>
      <c r="EF237" s="212"/>
      <c r="EG237" s="212"/>
      <c r="EH237" s="212"/>
      <c r="EI237" s="212"/>
      <c r="EJ237" s="212"/>
      <c r="EK237" s="212"/>
      <c r="EL237" s="212"/>
      <c r="EM237" s="212"/>
      <c r="EN237" s="212"/>
      <c r="EO237" s="212"/>
      <c r="EP237" s="212"/>
      <c r="EQ237" s="212"/>
      <c r="ER237" s="212"/>
      <c r="ES237" s="212"/>
      <c r="ET237" s="212"/>
      <c r="EU237" s="212"/>
      <c r="EV237" s="212"/>
      <c r="EW237" s="212"/>
      <c r="EX237" s="212"/>
      <c r="EY237" s="212"/>
      <c r="EZ237" s="212"/>
      <c r="FA237" s="212"/>
      <c r="FB237" s="212"/>
      <c r="FC237" s="212"/>
      <c r="FD237" s="212"/>
      <c r="FE237" s="212"/>
      <c r="FF237" s="212"/>
      <c r="FG237" s="212"/>
      <c r="FH237" s="212"/>
      <c r="FI237" s="212"/>
      <c r="FJ237" s="212"/>
      <c r="FK237" s="212"/>
      <c r="FL237" s="212"/>
      <c r="FM237" s="212"/>
      <c r="FN237" s="212"/>
      <c r="FO237" s="212"/>
      <c r="FP237" s="212"/>
      <c r="FQ237" s="212"/>
      <c r="FR237" s="212"/>
      <c r="FS237" s="212"/>
      <c r="FT237" s="212"/>
      <c r="FU237" s="212"/>
      <c r="FV237" s="212"/>
      <c r="FW237" s="212"/>
      <c r="FX237" s="212"/>
      <c r="FY237" s="212"/>
      <c r="FZ237" s="212"/>
      <c r="GA237" s="212"/>
      <c r="GB237" s="212"/>
      <c r="GC237" s="212"/>
      <c r="GD237" s="212"/>
      <c r="GE237" s="212"/>
      <c r="GF237" s="212"/>
      <c r="GG237" s="212"/>
      <c r="GH237" s="212"/>
      <c r="GI237" s="212"/>
      <c r="GJ237" s="212"/>
      <c r="GK237" s="212"/>
      <c r="GL237" s="212"/>
      <c r="GM237" s="212"/>
      <c r="GN237" s="212"/>
      <c r="GO237" s="212"/>
      <c r="GP237" s="212"/>
      <c r="GQ237" s="212"/>
      <c r="GR237" s="212"/>
      <c r="GS237" s="212"/>
      <c r="GT237" s="212"/>
      <c r="GU237" s="212"/>
      <c r="GV237" s="212"/>
      <c r="GW237" s="212"/>
      <c r="GX237" s="212"/>
      <c r="GY237" s="212"/>
      <c r="GZ237" s="212"/>
      <c r="HA237" s="212"/>
      <c r="HB237" s="212"/>
      <c r="HC237" s="212"/>
      <c r="HD237" s="212"/>
      <c r="HE237" s="212"/>
      <c r="HF237" s="212"/>
      <c r="HG237" s="212"/>
      <c r="HH237" s="212"/>
      <c r="HI237" s="212"/>
      <c r="HJ237" s="212"/>
      <c r="HK237" s="212"/>
      <c r="HL237" s="212"/>
      <c r="HM237" s="212"/>
      <c r="HN237" s="212"/>
      <c r="HO237" s="212"/>
      <c r="HP237" s="212"/>
      <c r="HQ237" s="212"/>
      <c r="HR237" s="212"/>
      <c r="HS237" s="212"/>
    </row>
    <row r="238" spans="2:227">
      <c r="B238" s="584"/>
      <c r="C238" s="585"/>
      <c r="D238" s="603"/>
      <c r="E238" s="606"/>
      <c r="F238" s="144" t="s">
        <v>536</v>
      </c>
      <c r="G238" s="467"/>
      <c r="H238" s="467">
        <v>0</v>
      </c>
      <c r="I238" s="467">
        <v>0</v>
      </c>
      <c r="J238" s="467">
        <v>0</v>
      </c>
      <c r="K238" s="467">
        <v>0</v>
      </c>
      <c r="L238" s="467">
        <v>0</v>
      </c>
      <c r="M238" s="467">
        <v>0</v>
      </c>
      <c r="N238" s="467">
        <v>0</v>
      </c>
      <c r="O238" s="483">
        <v>0</v>
      </c>
      <c r="P238" s="615"/>
      <c r="Q238" s="615"/>
      <c r="R238" s="615"/>
      <c r="S238" s="615"/>
      <c r="T238" s="615"/>
      <c r="U238" s="615"/>
      <c r="V238" s="615"/>
      <c r="W238" s="615"/>
      <c r="X238" s="615"/>
      <c r="Y238" s="615"/>
      <c r="Z238" s="615"/>
      <c r="AA238" s="615"/>
      <c r="AB238" s="615"/>
      <c r="AC238" s="615"/>
      <c r="AD238" s="615"/>
      <c r="AE238" s="615"/>
      <c r="AF238" s="615"/>
      <c r="AG238" s="615"/>
      <c r="AH238" s="615"/>
      <c r="AI238" s="615"/>
      <c r="AJ238" s="615"/>
      <c r="AK238" s="615"/>
      <c r="AL238" s="615"/>
      <c r="AM238" s="615"/>
      <c r="AN238" s="615"/>
      <c r="AO238" s="615"/>
      <c r="AP238" s="615"/>
      <c r="AQ238" s="615"/>
      <c r="AR238" s="615"/>
      <c r="AS238" s="615"/>
      <c r="AT238" s="615"/>
      <c r="AU238" s="615"/>
      <c r="AV238" s="615"/>
      <c r="AW238" s="615"/>
      <c r="AX238" s="615"/>
      <c r="AY238" s="615"/>
      <c r="AZ238" s="615"/>
      <c r="BA238" s="615"/>
      <c r="BB238" s="615"/>
      <c r="BC238" s="615"/>
      <c r="BD238" s="615"/>
      <c r="BE238" s="615"/>
      <c r="BF238" s="615"/>
      <c r="BG238" s="615"/>
      <c r="BH238" s="615"/>
      <c r="BI238" s="615"/>
      <c r="BJ238" s="615"/>
      <c r="BK238" s="615"/>
      <c r="BL238" s="615"/>
      <c r="BM238" s="615"/>
      <c r="BN238" s="615"/>
      <c r="BO238" s="615"/>
      <c r="BP238" s="615"/>
      <c r="BQ238" s="615"/>
      <c r="BR238" s="615"/>
      <c r="BS238" s="615"/>
      <c r="BT238" s="615"/>
      <c r="BU238" s="615"/>
      <c r="BV238" s="615"/>
      <c r="BW238" s="615"/>
      <c r="BX238" s="615"/>
      <c r="BY238" s="615"/>
      <c r="BZ238" s="615"/>
      <c r="CA238" s="615"/>
      <c r="CB238" s="615"/>
      <c r="CC238" s="615"/>
      <c r="CD238" s="615"/>
      <c r="CE238" s="615"/>
      <c r="CF238" s="615"/>
      <c r="CG238" s="615"/>
      <c r="CH238" s="615"/>
      <c r="CI238" s="615"/>
      <c r="CJ238" s="615"/>
      <c r="CK238" s="615"/>
      <c r="CL238" s="615"/>
      <c r="CM238" s="615"/>
      <c r="CN238" s="615"/>
      <c r="CO238" s="615"/>
      <c r="CP238" s="615"/>
      <c r="CQ238" s="615"/>
      <c r="CR238" s="615"/>
      <c r="CS238" s="615"/>
      <c r="CT238" s="615"/>
      <c r="CU238" s="615"/>
      <c r="CV238" s="615"/>
      <c r="CW238" s="615"/>
      <c r="CX238" s="615"/>
      <c r="CY238" s="615"/>
      <c r="CZ238" s="212"/>
      <c r="DA238" s="212"/>
      <c r="DB238" s="212"/>
      <c r="DC238" s="212"/>
      <c r="DD238" s="212"/>
      <c r="DE238" s="212"/>
      <c r="DF238" s="212"/>
      <c r="DG238" s="212"/>
      <c r="DH238" s="212"/>
      <c r="DI238" s="212"/>
      <c r="DJ238" s="212"/>
      <c r="DK238" s="212"/>
      <c r="DL238" s="212"/>
      <c r="DM238" s="212"/>
      <c r="DN238" s="212"/>
      <c r="DO238" s="212"/>
      <c r="DP238" s="212"/>
      <c r="DQ238" s="212"/>
      <c r="DR238" s="212"/>
      <c r="DS238" s="212"/>
      <c r="DT238" s="212"/>
      <c r="DU238" s="212"/>
      <c r="DV238" s="212"/>
      <c r="DW238" s="212"/>
      <c r="DX238" s="212"/>
      <c r="DY238" s="212"/>
      <c r="DZ238" s="212"/>
      <c r="EA238" s="212"/>
      <c r="EB238" s="212"/>
      <c r="EC238" s="212"/>
      <c r="ED238" s="212"/>
      <c r="EE238" s="212"/>
      <c r="EF238" s="212"/>
      <c r="EG238" s="212"/>
      <c r="EH238" s="212"/>
      <c r="EI238" s="212"/>
      <c r="EJ238" s="212"/>
      <c r="EK238" s="212"/>
      <c r="EL238" s="212"/>
      <c r="EM238" s="212"/>
      <c r="EN238" s="212"/>
      <c r="EO238" s="212"/>
      <c r="EP238" s="212"/>
      <c r="EQ238" s="212"/>
      <c r="ER238" s="212"/>
      <c r="ES238" s="212"/>
      <c r="ET238" s="212"/>
      <c r="EU238" s="212"/>
      <c r="EV238" s="212"/>
      <c r="EW238" s="212"/>
      <c r="EX238" s="212"/>
      <c r="EY238" s="212"/>
      <c r="EZ238" s="212"/>
      <c r="FA238" s="212"/>
      <c r="FB238" s="212"/>
      <c r="FC238" s="212"/>
      <c r="FD238" s="212"/>
      <c r="FE238" s="212"/>
      <c r="FF238" s="212"/>
      <c r="FG238" s="212"/>
      <c r="FH238" s="212"/>
      <c r="FI238" s="212"/>
      <c r="FJ238" s="212"/>
      <c r="FK238" s="212"/>
      <c r="FL238" s="212"/>
      <c r="FM238" s="212"/>
      <c r="FN238" s="212"/>
      <c r="FO238" s="212"/>
      <c r="FP238" s="212"/>
      <c r="FQ238" s="212"/>
      <c r="FR238" s="212"/>
      <c r="FS238" s="212"/>
      <c r="FT238" s="212"/>
      <c r="FU238" s="212"/>
      <c r="FV238" s="212"/>
      <c r="FW238" s="212"/>
      <c r="FX238" s="212"/>
      <c r="FY238" s="212"/>
      <c r="FZ238" s="212"/>
      <c r="GA238" s="212"/>
      <c r="GB238" s="212"/>
      <c r="GC238" s="212"/>
      <c r="GD238" s="212"/>
      <c r="GE238" s="212"/>
      <c r="GF238" s="212"/>
      <c r="GG238" s="212"/>
      <c r="GH238" s="212"/>
      <c r="GI238" s="212"/>
      <c r="GJ238" s="212"/>
      <c r="GK238" s="212"/>
      <c r="GL238" s="212"/>
      <c r="GM238" s="212"/>
      <c r="GN238" s="212"/>
      <c r="GO238" s="212"/>
      <c r="GP238" s="212"/>
      <c r="GQ238" s="212"/>
      <c r="GR238" s="212"/>
      <c r="GS238" s="212"/>
      <c r="GT238" s="212"/>
      <c r="GU238" s="212"/>
      <c r="GV238" s="212"/>
      <c r="GW238" s="212"/>
      <c r="GX238" s="212"/>
      <c r="GY238" s="212"/>
      <c r="GZ238" s="212"/>
      <c r="HA238" s="212"/>
      <c r="HB238" s="212"/>
      <c r="HC238" s="212"/>
      <c r="HD238" s="212"/>
      <c r="HE238" s="212"/>
      <c r="HF238" s="212"/>
      <c r="HG238" s="212"/>
      <c r="HH238" s="212"/>
      <c r="HI238" s="212"/>
      <c r="HJ238" s="212"/>
      <c r="HK238" s="212"/>
      <c r="HL238" s="212"/>
      <c r="HM238" s="212"/>
      <c r="HN238" s="212"/>
      <c r="HO238" s="212"/>
      <c r="HP238" s="212"/>
      <c r="HQ238" s="212"/>
      <c r="HR238" s="212"/>
      <c r="HS238" s="212"/>
    </row>
    <row r="239" spans="2:227">
      <c r="B239" s="584"/>
      <c r="C239" s="585"/>
      <c r="D239" s="603"/>
      <c r="E239" s="606"/>
      <c r="F239" s="144" t="s">
        <v>537</v>
      </c>
      <c r="G239" s="467">
        <f>SUM(H239:O239)</f>
        <v>5904.3698504216</v>
      </c>
      <c r="H239" s="467">
        <f>-PMT($G$188/$N$185,$N$186,$G$183)</f>
        <v>738.046231302701</v>
      </c>
      <c r="I239" s="467">
        <f t="shared" ref="I239:O239" si="279">-PMT($G$188/$N$185,$N$186,$G$183)</f>
        <v>738.046231302701</v>
      </c>
      <c r="J239" s="467">
        <f t="shared" si="279"/>
        <v>738.046231302701</v>
      </c>
      <c r="K239" s="467">
        <f t="shared" si="279"/>
        <v>738.046231302701</v>
      </c>
      <c r="L239" s="467">
        <f t="shared" si="279"/>
        <v>738.046231302701</v>
      </c>
      <c r="M239" s="467">
        <f t="shared" si="279"/>
        <v>738.046231302701</v>
      </c>
      <c r="N239" s="467">
        <f t="shared" si="279"/>
        <v>738.046231302701</v>
      </c>
      <c r="O239" s="483">
        <f t="shared" si="279"/>
        <v>738.046231302701</v>
      </c>
      <c r="P239" s="615"/>
      <c r="Q239" s="615"/>
      <c r="R239" s="615"/>
      <c r="S239" s="615"/>
      <c r="T239" s="615"/>
      <c r="U239" s="615"/>
      <c r="V239" s="615"/>
      <c r="W239" s="615"/>
      <c r="X239" s="615"/>
      <c r="Y239" s="615"/>
      <c r="Z239" s="615"/>
      <c r="AA239" s="615"/>
      <c r="AB239" s="615"/>
      <c r="AC239" s="615"/>
      <c r="AD239" s="615"/>
      <c r="AE239" s="615"/>
      <c r="AF239" s="615"/>
      <c r="AG239" s="615"/>
      <c r="AH239" s="615"/>
      <c r="AI239" s="615"/>
      <c r="AJ239" s="615"/>
      <c r="AK239" s="615"/>
      <c r="AL239" s="615"/>
      <c r="AM239" s="615"/>
      <c r="AN239" s="615"/>
      <c r="AO239" s="615"/>
      <c r="AP239" s="615"/>
      <c r="AQ239" s="615"/>
      <c r="AR239" s="615"/>
      <c r="AS239" s="615"/>
      <c r="AT239" s="615"/>
      <c r="AU239" s="615"/>
      <c r="AV239" s="615"/>
      <c r="AW239" s="615"/>
      <c r="AX239" s="615"/>
      <c r="AY239" s="615"/>
      <c r="AZ239" s="615"/>
      <c r="BA239" s="615"/>
      <c r="BB239" s="615"/>
      <c r="BC239" s="615"/>
      <c r="BD239" s="615"/>
      <c r="BE239" s="615"/>
      <c r="BF239" s="615"/>
      <c r="BG239" s="615"/>
      <c r="BH239" s="615"/>
      <c r="BI239" s="615"/>
      <c r="BJ239" s="615"/>
      <c r="BK239" s="615"/>
      <c r="BL239" s="615"/>
      <c r="BM239" s="615"/>
      <c r="BN239" s="615"/>
      <c r="BO239" s="615"/>
      <c r="BP239" s="615"/>
      <c r="BQ239" s="615"/>
      <c r="BR239" s="615"/>
      <c r="BS239" s="615"/>
      <c r="BT239" s="615"/>
      <c r="BU239" s="615"/>
      <c r="BV239" s="615"/>
      <c r="BW239" s="615"/>
      <c r="BX239" s="615"/>
      <c r="BY239" s="615"/>
      <c r="BZ239" s="615"/>
      <c r="CA239" s="615"/>
      <c r="CB239" s="615"/>
      <c r="CC239" s="615"/>
      <c r="CD239" s="615"/>
      <c r="CE239" s="615"/>
      <c r="CF239" s="615"/>
      <c r="CG239" s="615"/>
      <c r="CH239" s="615"/>
      <c r="CI239" s="615"/>
      <c r="CJ239" s="615"/>
      <c r="CK239" s="615"/>
      <c r="CL239" s="615"/>
      <c r="CM239" s="615"/>
      <c r="CN239" s="615"/>
      <c r="CO239" s="615"/>
      <c r="CP239" s="615"/>
      <c r="CQ239" s="615"/>
      <c r="CR239" s="615"/>
      <c r="CS239" s="615"/>
      <c r="CT239" s="615"/>
      <c r="CU239" s="615"/>
      <c r="CV239" s="615"/>
      <c r="CW239" s="615"/>
      <c r="CX239" s="615"/>
      <c r="CY239" s="615"/>
      <c r="CZ239" s="212"/>
      <c r="DA239" s="212"/>
      <c r="DB239" s="212"/>
      <c r="DC239" s="212"/>
      <c r="DD239" s="212"/>
      <c r="DE239" s="212"/>
      <c r="DF239" s="212"/>
      <c r="DG239" s="212"/>
      <c r="DH239" s="212"/>
      <c r="DI239" s="212"/>
      <c r="DJ239" s="212"/>
      <c r="DK239" s="212"/>
      <c r="DL239" s="212"/>
      <c r="DM239" s="212"/>
      <c r="DN239" s="212"/>
      <c r="DO239" s="212"/>
      <c r="DP239" s="212"/>
      <c r="DQ239" s="212"/>
      <c r="DR239" s="212"/>
      <c r="DS239" s="212"/>
      <c r="DT239" s="212"/>
      <c r="DU239" s="212"/>
      <c r="DV239" s="212"/>
      <c r="DW239" s="212"/>
      <c r="DX239" s="212"/>
      <c r="DY239" s="212"/>
      <c r="DZ239" s="212"/>
      <c r="EA239" s="212"/>
      <c r="EB239" s="212"/>
      <c r="EC239" s="212"/>
      <c r="ED239" s="212"/>
      <c r="EE239" s="212"/>
      <c r="EF239" s="212"/>
      <c r="EG239" s="212"/>
      <c r="EH239" s="212"/>
      <c r="EI239" s="212"/>
      <c r="EJ239" s="212"/>
      <c r="EK239" s="212"/>
      <c r="EL239" s="212"/>
      <c r="EM239" s="212"/>
      <c r="EN239" s="212"/>
      <c r="EO239" s="212"/>
      <c r="EP239" s="212"/>
      <c r="EQ239" s="212"/>
      <c r="ER239" s="212"/>
      <c r="ES239" s="212"/>
      <c r="ET239" s="212"/>
      <c r="EU239" s="212"/>
      <c r="EV239" s="212"/>
      <c r="EW239" s="212"/>
      <c r="EX239" s="212"/>
      <c r="EY239" s="212"/>
      <c r="EZ239" s="212"/>
      <c r="FA239" s="212"/>
      <c r="FB239" s="212"/>
      <c r="FC239" s="212"/>
      <c r="FD239" s="212"/>
      <c r="FE239" s="212"/>
      <c r="FF239" s="212"/>
      <c r="FG239" s="212"/>
      <c r="FH239" s="212"/>
      <c r="FI239" s="212"/>
      <c r="FJ239" s="212"/>
      <c r="FK239" s="212"/>
      <c r="FL239" s="212"/>
      <c r="FM239" s="212"/>
      <c r="FN239" s="212"/>
      <c r="FO239" s="212"/>
      <c r="FP239" s="212"/>
      <c r="FQ239" s="212"/>
      <c r="FR239" s="212"/>
      <c r="FS239" s="212"/>
      <c r="FT239" s="212"/>
      <c r="FU239" s="212"/>
      <c r="FV239" s="212"/>
      <c r="FW239" s="212"/>
      <c r="FX239" s="212"/>
      <c r="FY239" s="212"/>
      <c r="FZ239" s="212"/>
      <c r="GA239" s="212"/>
      <c r="GB239" s="212"/>
      <c r="GC239" s="212"/>
      <c r="GD239" s="212"/>
      <c r="GE239" s="212"/>
      <c r="GF239" s="212"/>
      <c r="GG239" s="212"/>
      <c r="GH239" s="212"/>
      <c r="GI239" s="212"/>
      <c r="GJ239" s="212"/>
      <c r="GK239" s="212"/>
      <c r="GL239" s="212"/>
      <c r="GM239" s="212"/>
      <c r="GN239" s="212"/>
      <c r="GO239" s="212"/>
      <c r="GP239" s="212"/>
      <c r="GQ239" s="212"/>
      <c r="GR239" s="212"/>
      <c r="GS239" s="212"/>
      <c r="GT239" s="212"/>
      <c r="GU239" s="212"/>
      <c r="GV239" s="212"/>
      <c r="GW239" s="212"/>
      <c r="GX239" s="212"/>
      <c r="GY239" s="212"/>
      <c r="GZ239" s="212"/>
      <c r="HA239" s="212"/>
      <c r="HB239" s="212"/>
      <c r="HC239" s="212"/>
      <c r="HD239" s="212"/>
      <c r="HE239" s="212"/>
      <c r="HF239" s="212"/>
      <c r="HG239" s="212"/>
      <c r="HH239" s="212"/>
      <c r="HI239" s="212"/>
      <c r="HJ239" s="212"/>
      <c r="HK239" s="212"/>
      <c r="HL239" s="212"/>
      <c r="HM239" s="212"/>
      <c r="HN239" s="212"/>
      <c r="HO239" s="212"/>
      <c r="HP239" s="212"/>
      <c r="HQ239" s="212"/>
      <c r="HR239" s="212"/>
      <c r="HS239" s="212"/>
    </row>
    <row r="240" spans="2:227">
      <c r="B240" s="584"/>
      <c r="C240" s="585"/>
      <c r="D240" s="603"/>
      <c r="E240" s="606"/>
      <c r="F240" s="145" t="s">
        <v>538</v>
      </c>
      <c r="G240" s="467">
        <f t="shared" ref="G240:G247" si="280">SUM(H240:O240)</f>
        <v>5000</v>
      </c>
      <c r="H240" s="467">
        <f>H239-H241</f>
        <v>545.546231302701</v>
      </c>
      <c r="I240" s="467">
        <f t="shared" ref="I240:O240" si="281">I239-I241</f>
        <v>566.549761207855</v>
      </c>
      <c r="J240" s="467">
        <f t="shared" si="281"/>
        <v>588.361927014357</v>
      </c>
      <c r="K240" s="467">
        <f t="shared" si="281"/>
        <v>611.01386120441</v>
      </c>
      <c r="L240" s="467">
        <f t="shared" si="281"/>
        <v>634.537894860779</v>
      </c>
      <c r="M240" s="467">
        <f t="shared" si="281"/>
        <v>658.967603812919</v>
      </c>
      <c r="N240" s="467">
        <f t="shared" si="281"/>
        <v>684.337856559717</v>
      </c>
      <c r="O240" s="483">
        <f t="shared" si="281"/>
        <v>710.684864037266</v>
      </c>
      <c r="P240" s="615"/>
      <c r="Q240" s="615"/>
      <c r="R240" s="615"/>
      <c r="S240" s="615"/>
      <c r="T240" s="615"/>
      <c r="U240" s="615"/>
      <c r="V240" s="615"/>
      <c r="W240" s="615"/>
      <c r="X240" s="615"/>
      <c r="Y240" s="615"/>
      <c r="Z240" s="615"/>
      <c r="AA240" s="615"/>
      <c r="AB240" s="615"/>
      <c r="AC240" s="615"/>
      <c r="AD240" s="615"/>
      <c r="AE240" s="615"/>
      <c r="AF240" s="615"/>
      <c r="AG240" s="615"/>
      <c r="AH240" s="615"/>
      <c r="AI240" s="615"/>
      <c r="AJ240" s="615"/>
      <c r="AK240" s="615"/>
      <c r="AL240" s="615"/>
      <c r="AM240" s="615"/>
      <c r="AN240" s="615"/>
      <c r="AO240" s="615"/>
      <c r="AP240" s="615"/>
      <c r="AQ240" s="615"/>
      <c r="AR240" s="615"/>
      <c r="AS240" s="615"/>
      <c r="AT240" s="615"/>
      <c r="AU240" s="615"/>
      <c r="AV240" s="615"/>
      <c r="AW240" s="615"/>
      <c r="AX240" s="615"/>
      <c r="AY240" s="615"/>
      <c r="AZ240" s="615"/>
      <c r="BA240" s="615"/>
      <c r="BB240" s="615"/>
      <c r="BC240" s="615"/>
      <c r="BD240" s="615"/>
      <c r="BE240" s="615"/>
      <c r="BF240" s="615"/>
      <c r="BG240" s="615"/>
      <c r="BH240" s="615"/>
      <c r="BI240" s="615"/>
      <c r="BJ240" s="615"/>
      <c r="BK240" s="615"/>
      <c r="BL240" s="615"/>
      <c r="BM240" s="615"/>
      <c r="BN240" s="615"/>
      <c r="BO240" s="615"/>
      <c r="BP240" s="615"/>
      <c r="BQ240" s="615"/>
      <c r="BR240" s="615"/>
      <c r="BS240" s="615"/>
      <c r="BT240" s="615"/>
      <c r="BU240" s="615"/>
      <c r="BV240" s="615"/>
      <c r="BW240" s="615"/>
      <c r="BX240" s="615"/>
      <c r="BY240" s="615"/>
      <c r="BZ240" s="615"/>
      <c r="CA240" s="615"/>
      <c r="CB240" s="615"/>
      <c r="CC240" s="615"/>
      <c r="CD240" s="615"/>
      <c r="CE240" s="615"/>
      <c r="CF240" s="615"/>
      <c r="CG240" s="615"/>
      <c r="CH240" s="615"/>
      <c r="CI240" s="615"/>
      <c r="CJ240" s="615"/>
      <c r="CK240" s="615"/>
      <c r="CL240" s="615"/>
      <c r="CM240" s="615"/>
      <c r="CN240" s="615"/>
      <c r="CO240" s="615"/>
      <c r="CP240" s="615"/>
      <c r="CQ240" s="615"/>
      <c r="CR240" s="615"/>
      <c r="CS240" s="615"/>
      <c r="CT240" s="615"/>
      <c r="CU240" s="615"/>
      <c r="CV240" s="615"/>
      <c r="CW240" s="615"/>
      <c r="CX240" s="615"/>
      <c r="CY240" s="615"/>
      <c r="CZ240" s="212"/>
      <c r="DA240" s="212"/>
      <c r="DB240" s="212"/>
      <c r="DC240" s="212"/>
      <c r="DD240" s="212"/>
      <c r="DE240" s="212"/>
      <c r="DF240" s="212"/>
      <c r="DG240" s="212"/>
      <c r="DH240" s="212"/>
      <c r="DI240" s="212"/>
      <c r="DJ240" s="212"/>
      <c r="DK240" s="212"/>
      <c r="DL240" s="212"/>
      <c r="DM240" s="212"/>
      <c r="DN240" s="212"/>
      <c r="DO240" s="212"/>
      <c r="DP240" s="212"/>
      <c r="DQ240" s="212"/>
      <c r="DR240" s="212"/>
      <c r="DS240" s="212"/>
      <c r="DT240" s="212"/>
      <c r="DU240" s="212"/>
      <c r="DV240" s="212"/>
      <c r="DW240" s="212"/>
      <c r="DX240" s="212"/>
      <c r="DY240" s="212"/>
      <c r="DZ240" s="212"/>
      <c r="EA240" s="212"/>
      <c r="EB240" s="212"/>
      <c r="EC240" s="212"/>
      <c r="ED240" s="212"/>
      <c r="EE240" s="212"/>
      <c r="EF240" s="212"/>
      <c r="EG240" s="212"/>
      <c r="EH240" s="212"/>
      <c r="EI240" s="212"/>
      <c r="EJ240" s="212"/>
      <c r="EK240" s="212"/>
      <c r="EL240" s="212"/>
      <c r="EM240" s="212"/>
      <c r="EN240" s="212"/>
      <c r="EO240" s="212"/>
      <c r="EP240" s="212"/>
      <c r="EQ240" s="212"/>
      <c r="ER240" s="212"/>
      <c r="ES240" s="212"/>
      <c r="ET240" s="212"/>
      <c r="EU240" s="212"/>
      <c r="EV240" s="212"/>
      <c r="EW240" s="212"/>
      <c r="EX240" s="212"/>
      <c r="EY240" s="212"/>
      <c r="EZ240" s="212"/>
      <c r="FA240" s="212"/>
      <c r="FB240" s="212"/>
      <c r="FC240" s="212"/>
      <c r="FD240" s="212"/>
      <c r="FE240" s="212"/>
      <c r="FF240" s="212"/>
      <c r="FG240" s="212"/>
      <c r="FH240" s="212"/>
      <c r="FI240" s="212"/>
      <c r="FJ240" s="212"/>
      <c r="FK240" s="212"/>
      <c r="FL240" s="212"/>
      <c r="FM240" s="212"/>
      <c r="FN240" s="212"/>
      <c r="FO240" s="212"/>
      <c r="FP240" s="212"/>
      <c r="FQ240" s="212"/>
      <c r="FR240" s="212"/>
      <c r="FS240" s="212"/>
      <c r="FT240" s="212"/>
      <c r="FU240" s="212"/>
      <c r="FV240" s="212"/>
      <c r="FW240" s="212"/>
      <c r="FX240" s="212"/>
      <c r="FY240" s="212"/>
      <c r="FZ240" s="212"/>
      <c r="GA240" s="212"/>
      <c r="GB240" s="212"/>
      <c r="GC240" s="212"/>
      <c r="GD240" s="212"/>
      <c r="GE240" s="212"/>
      <c r="GF240" s="212"/>
      <c r="GG240" s="212"/>
      <c r="GH240" s="212"/>
      <c r="GI240" s="212"/>
      <c r="GJ240" s="212"/>
      <c r="GK240" s="212"/>
      <c r="GL240" s="212"/>
      <c r="GM240" s="212"/>
      <c r="GN240" s="212"/>
      <c r="GO240" s="212"/>
      <c r="GP240" s="212"/>
      <c r="GQ240" s="212"/>
      <c r="GR240" s="212"/>
      <c r="GS240" s="212"/>
      <c r="GT240" s="212"/>
      <c r="GU240" s="212"/>
      <c r="GV240" s="212"/>
      <c r="GW240" s="212"/>
      <c r="GX240" s="212"/>
      <c r="GY240" s="212"/>
      <c r="GZ240" s="212"/>
      <c r="HA240" s="212"/>
      <c r="HB240" s="212"/>
      <c r="HC240" s="212"/>
      <c r="HD240" s="212"/>
      <c r="HE240" s="212"/>
      <c r="HF240" s="212"/>
      <c r="HG240" s="212"/>
      <c r="HH240" s="212"/>
      <c r="HI240" s="212"/>
      <c r="HJ240" s="212"/>
      <c r="HK240" s="212"/>
      <c r="HL240" s="212"/>
      <c r="HM240" s="212"/>
      <c r="HN240" s="212"/>
      <c r="HO240" s="212"/>
      <c r="HP240" s="212"/>
      <c r="HQ240" s="212"/>
      <c r="HR240" s="212"/>
      <c r="HS240" s="212"/>
    </row>
    <row r="241" spans="2:227">
      <c r="B241" s="584"/>
      <c r="C241" s="585"/>
      <c r="D241" s="603"/>
      <c r="E241" s="606"/>
      <c r="F241" s="33" t="s">
        <v>539</v>
      </c>
      <c r="G241" s="467">
        <f t="shared" si="280"/>
        <v>904.369850421601</v>
      </c>
      <c r="H241" s="542">
        <f>(H237+H238/2)*($G$188/$N$185)</f>
        <v>192.5</v>
      </c>
      <c r="I241" s="542">
        <f t="shared" ref="I241:O241" si="282">(I237+I238/2)*($G$188/$N$185)</f>
        <v>171.496470094846</v>
      </c>
      <c r="J241" s="542">
        <f t="shared" si="282"/>
        <v>149.684304288344</v>
      </c>
      <c r="K241" s="542">
        <f t="shared" si="282"/>
        <v>127.032370098291</v>
      </c>
      <c r="L241" s="542">
        <f t="shared" si="282"/>
        <v>103.508336441921</v>
      </c>
      <c r="M241" s="542">
        <f t="shared" si="282"/>
        <v>79.0786274897811</v>
      </c>
      <c r="N241" s="542">
        <f t="shared" si="282"/>
        <v>53.7083747429837</v>
      </c>
      <c r="O241" s="543">
        <f t="shared" si="282"/>
        <v>27.3613672654346</v>
      </c>
      <c r="P241" s="615"/>
      <c r="Q241" s="615"/>
      <c r="R241" s="615"/>
      <c r="S241" s="615"/>
      <c r="T241" s="615"/>
      <c r="U241" s="615"/>
      <c r="V241" s="615"/>
      <c r="W241" s="615"/>
      <c r="X241" s="615"/>
      <c r="Y241" s="615"/>
      <c r="Z241" s="615"/>
      <c r="AA241" s="615"/>
      <c r="AB241" s="615"/>
      <c r="AC241" s="615"/>
      <c r="AD241" s="615"/>
      <c r="AE241" s="615"/>
      <c r="AF241" s="615"/>
      <c r="AG241" s="615"/>
      <c r="AH241" s="615"/>
      <c r="AI241" s="615"/>
      <c r="AJ241" s="615"/>
      <c r="AK241" s="615"/>
      <c r="AL241" s="615"/>
      <c r="AM241" s="615"/>
      <c r="AN241" s="615"/>
      <c r="AO241" s="615"/>
      <c r="AP241" s="615"/>
      <c r="AQ241" s="615"/>
      <c r="AR241" s="615"/>
      <c r="AS241" s="615"/>
      <c r="AT241" s="615"/>
      <c r="AU241" s="615"/>
      <c r="AV241" s="615"/>
      <c r="AW241" s="615"/>
      <c r="AX241" s="615"/>
      <c r="AY241" s="615"/>
      <c r="AZ241" s="615"/>
      <c r="BA241" s="615"/>
      <c r="BB241" s="615"/>
      <c r="BC241" s="615"/>
      <c r="BD241" s="615"/>
      <c r="BE241" s="615"/>
      <c r="BF241" s="615"/>
      <c r="BG241" s="615"/>
      <c r="BH241" s="615"/>
      <c r="BI241" s="615"/>
      <c r="BJ241" s="615"/>
      <c r="BK241" s="615"/>
      <c r="BL241" s="615"/>
      <c r="BM241" s="615"/>
      <c r="BN241" s="615"/>
      <c r="BO241" s="615"/>
      <c r="BP241" s="615"/>
      <c r="BQ241" s="615"/>
      <c r="BR241" s="615"/>
      <c r="BS241" s="615"/>
      <c r="BT241" s="615"/>
      <c r="BU241" s="615"/>
      <c r="BV241" s="615"/>
      <c r="BW241" s="615"/>
      <c r="BX241" s="615"/>
      <c r="BY241" s="615"/>
      <c r="BZ241" s="615"/>
      <c r="CA241" s="615"/>
      <c r="CB241" s="615"/>
      <c r="CC241" s="615"/>
      <c r="CD241" s="615"/>
      <c r="CE241" s="615"/>
      <c r="CF241" s="615"/>
      <c r="CG241" s="615"/>
      <c r="CH241" s="615"/>
      <c r="CI241" s="615"/>
      <c r="CJ241" s="615"/>
      <c r="CK241" s="615"/>
      <c r="CL241" s="615"/>
      <c r="CM241" s="615"/>
      <c r="CN241" s="615"/>
      <c r="CO241" s="615"/>
      <c r="CP241" s="615"/>
      <c r="CQ241" s="615"/>
      <c r="CR241" s="615"/>
      <c r="CS241" s="615"/>
      <c r="CT241" s="615"/>
      <c r="CU241" s="615"/>
      <c r="CV241" s="615"/>
      <c r="CW241" s="615"/>
      <c r="CX241" s="615"/>
      <c r="CY241" s="615"/>
      <c r="CZ241" s="212"/>
      <c r="DA241" s="212"/>
      <c r="DB241" s="212"/>
      <c r="DC241" s="212"/>
      <c r="DD241" s="212"/>
      <c r="DE241" s="212"/>
      <c r="DF241" s="212"/>
      <c r="DG241" s="212"/>
      <c r="DH241" s="212"/>
      <c r="DI241" s="212"/>
      <c r="DJ241" s="212"/>
      <c r="DK241" s="212"/>
      <c r="DL241" s="212"/>
      <c r="DM241" s="212"/>
      <c r="DN241" s="212"/>
      <c r="DO241" s="212"/>
      <c r="DP241" s="212"/>
      <c r="DQ241" s="212"/>
      <c r="DR241" s="212"/>
      <c r="DS241" s="212"/>
      <c r="DT241" s="212"/>
      <c r="DU241" s="212"/>
      <c r="DV241" s="212"/>
      <c r="DW241" s="212"/>
      <c r="DX241" s="212"/>
      <c r="DY241" s="212"/>
      <c r="DZ241" s="212"/>
      <c r="EA241" s="212"/>
      <c r="EB241" s="212"/>
      <c r="EC241" s="212"/>
      <c r="ED241" s="212"/>
      <c r="EE241" s="212"/>
      <c r="EF241" s="212"/>
      <c r="EG241" s="212"/>
      <c r="EH241" s="212"/>
      <c r="EI241" s="212"/>
      <c r="EJ241" s="212"/>
      <c r="EK241" s="212"/>
      <c r="EL241" s="212"/>
      <c r="EM241" s="212"/>
      <c r="EN241" s="212"/>
      <c r="EO241" s="212"/>
      <c r="EP241" s="212"/>
      <c r="EQ241" s="212"/>
      <c r="ER241" s="212"/>
      <c r="ES241" s="212"/>
      <c r="ET241" s="212"/>
      <c r="EU241" s="212"/>
      <c r="EV241" s="212"/>
      <c r="EW241" s="212"/>
      <c r="EX241" s="212"/>
      <c r="EY241" s="212"/>
      <c r="EZ241" s="212"/>
      <c r="FA241" s="212"/>
      <c r="FB241" s="212"/>
      <c r="FC241" s="212"/>
      <c r="FD241" s="212"/>
      <c r="FE241" s="212"/>
      <c r="FF241" s="212"/>
      <c r="FG241" s="212"/>
      <c r="FH241" s="212"/>
      <c r="FI241" s="212"/>
      <c r="FJ241" s="212"/>
      <c r="FK241" s="212"/>
      <c r="FL241" s="212"/>
      <c r="FM241" s="212"/>
      <c r="FN241" s="212"/>
      <c r="FO241" s="212"/>
      <c r="FP241" s="212"/>
      <c r="FQ241" s="212"/>
      <c r="FR241" s="212"/>
      <c r="FS241" s="212"/>
      <c r="FT241" s="212"/>
      <c r="FU241" s="212"/>
      <c r="FV241" s="212"/>
      <c r="FW241" s="212"/>
      <c r="FX241" s="212"/>
      <c r="FY241" s="212"/>
      <c r="FZ241" s="212"/>
      <c r="GA241" s="212"/>
      <c r="GB241" s="212"/>
      <c r="GC241" s="212"/>
      <c r="GD241" s="212"/>
      <c r="GE241" s="212"/>
      <c r="GF241" s="212"/>
      <c r="GG241" s="212"/>
      <c r="GH241" s="212"/>
      <c r="GI241" s="212"/>
      <c r="GJ241" s="212"/>
      <c r="GK241" s="212"/>
      <c r="GL241" s="212"/>
      <c r="GM241" s="212"/>
      <c r="GN241" s="212"/>
      <c r="GO241" s="212"/>
      <c r="GP241" s="212"/>
      <c r="GQ241" s="212"/>
      <c r="GR241" s="212"/>
      <c r="GS241" s="212"/>
      <c r="GT241" s="212"/>
      <c r="GU241" s="212"/>
      <c r="GV241" s="212"/>
      <c r="GW241" s="212"/>
      <c r="GX241" s="212"/>
      <c r="GY241" s="212"/>
      <c r="GZ241" s="212"/>
      <c r="HA241" s="212"/>
      <c r="HB241" s="212"/>
      <c r="HC241" s="212"/>
      <c r="HD241" s="212"/>
      <c r="HE241" s="212"/>
      <c r="HF241" s="212"/>
      <c r="HG241" s="212"/>
      <c r="HH241" s="212"/>
      <c r="HI241" s="212"/>
      <c r="HJ241" s="212"/>
      <c r="HK241" s="212"/>
      <c r="HL241" s="212"/>
      <c r="HM241" s="212"/>
      <c r="HN241" s="212"/>
      <c r="HO241" s="212"/>
      <c r="HP241" s="212"/>
      <c r="HQ241" s="212"/>
      <c r="HR241" s="212"/>
      <c r="HS241" s="212"/>
    </row>
    <row r="242" spans="2:227">
      <c r="B242" s="584"/>
      <c r="C242" s="585"/>
      <c r="D242" s="603"/>
      <c r="E242" s="607"/>
      <c r="F242" s="144" t="s">
        <v>540</v>
      </c>
      <c r="G242" s="467">
        <f>O242</f>
        <v>-3.29691829392686e-12</v>
      </c>
      <c r="H242" s="467">
        <f>H237+H238-H240</f>
        <v>4454.4537686973</v>
      </c>
      <c r="I242" s="467">
        <f t="shared" ref="I242:O242" si="283">I237+I238-I240</f>
        <v>3887.90400748945</v>
      </c>
      <c r="J242" s="467">
        <f t="shared" si="283"/>
        <v>3299.54208047509</v>
      </c>
      <c r="K242" s="467">
        <f t="shared" si="283"/>
        <v>2688.52821927068</v>
      </c>
      <c r="L242" s="467">
        <f t="shared" si="283"/>
        <v>2053.9903244099</v>
      </c>
      <c r="M242" s="467">
        <f t="shared" si="283"/>
        <v>1395.02272059698</v>
      </c>
      <c r="N242" s="467">
        <f t="shared" si="283"/>
        <v>710.684864037263</v>
      </c>
      <c r="O242" s="483">
        <f t="shared" si="283"/>
        <v>-3.29691829392686e-12</v>
      </c>
      <c r="P242" s="494"/>
      <c r="Q242" s="494"/>
      <c r="R242" s="494"/>
      <c r="S242" s="494"/>
      <c r="T242" s="494"/>
      <c r="U242" s="494"/>
      <c r="V242" s="494"/>
      <c r="W242" s="494"/>
      <c r="X242" s="494"/>
      <c r="Y242" s="494"/>
      <c r="Z242" s="494"/>
      <c r="AA242" s="494"/>
      <c r="AB242" s="494"/>
      <c r="AC242" s="494"/>
      <c r="AD242" s="494"/>
      <c r="AE242" s="494"/>
      <c r="AF242" s="494"/>
      <c r="AG242" s="494"/>
      <c r="AH242" s="494"/>
      <c r="AI242" s="494"/>
      <c r="AJ242" s="494"/>
      <c r="AK242" s="494"/>
      <c r="AL242" s="494"/>
      <c r="AM242" s="494"/>
      <c r="AN242" s="494"/>
      <c r="AO242" s="494"/>
      <c r="AP242" s="494"/>
      <c r="AQ242" s="494"/>
      <c r="AR242" s="494"/>
      <c r="AS242" s="494"/>
      <c r="AT242" s="494"/>
      <c r="AU242" s="494"/>
      <c r="AV242" s="494"/>
      <c r="AW242" s="494"/>
      <c r="AX242" s="494"/>
      <c r="AY242" s="494"/>
      <c r="AZ242" s="494"/>
      <c r="BA242" s="494"/>
      <c r="BB242" s="494"/>
      <c r="BC242" s="494"/>
      <c r="BD242" s="494"/>
      <c r="BE242" s="494"/>
      <c r="BF242" s="212"/>
      <c r="BG242" s="212"/>
      <c r="BH242" s="212"/>
      <c r="BI242" s="212"/>
      <c r="BJ242" s="212"/>
      <c r="BK242" s="212"/>
      <c r="BL242" s="212"/>
      <c r="BM242" s="212"/>
      <c r="BN242" s="212"/>
      <c r="BO242" s="212"/>
      <c r="BP242" s="212"/>
      <c r="BQ242" s="212"/>
      <c r="BR242" s="212"/>
      <c r="BS242" s="212"/>
      <c r="BT242" s="212"/>
      <c r="BU242" s="212"/>
      <c r="BV242" s="212"/>
      <c r="BW242" s="212"/>
      <c r="BX242" s="212"/>
      <c r="BY242" s="212"/>
      <c r="BZ242" s="212"/>
      <c r="CA242" s="212"/>
      <c r="CB242" s="212"/>
      <c r="CC242" s="212"/>
      <c r="CD242" s="212"/>
      <c r="CE242" s="212"/>
      <c r="CF242" s="212"/>
      <c r="CG242" s="212"/>
      <c r="CH242" s="212"/>
      <c r="CI242" s="212"/>
      <c r="CJ242" s="212"/>
      <c r="CK242" s="212"/>
      <c r="CL242" s="212"/>
      <c r="CM242" s="212"/>
      <c r="CN242" s="212"/>
      <c r="CO242" s="212"/>
      <c r="CP242" s="212"/>
      <c r="CQ242" s="212"/>
      <c r="CR242" s="212"/>
      <c r="CS242" s="212"/>
      <c r="CT242" s="212"/>
      <c r="CU242" s="212"/>
      <c r="CV242" s="212"/>
      <c r="CW242" s="212"/>
      <c r="CX242" s="212"/>
      <c r="CY242" s="212"/>
      <c r="CZ242" s="212"/>
      <c r="DA242" s="212"/>
      <c r="DB242" s="212"/>
      <c r="DC242" s="212"/>
      <c r="DD242" s="212"/>
      <c r="DE242" s="212"/>
      <c r="DF242" s="212"/>
      <c r="DG242" s="212"/>
      <c r="DH242" s="212"/>
      <c r="DI242" s="212"/>
      <c r="DJ242" s="212"/>
      <c r="DK242" s="212"/>
      <c r="DL242" s="212"/>
      <c r="DM242" s="212"/>
      <c r="DN242" s="212"/>
      <c r="DO242" s="212"/>
      <c r="DP242" s="212"/>
      <c r="DQ242" s="212"/>
      <c r="DR242" s="212"/>
      <c r="DS242" s="212"/>
      <c r="DT242" s="212"/>
      <c r="DU242" s="212"/>
      <c r="DV242" s="212"/>
      <c r="DW242" s="212"/>
      <c r="DX242" s="212"/>
      <c r="DY242" s="212"/>
      <c r="DZ242" s="212"/>
      <c r="EA242" s="212"/>
      <c r="EB242" s="212"/>
      <c r="EC242" s="212"/>
      <c r="ED242" s="212"/>
      <c r="EE242" s="212"/>
      <c r="EF242" s="212"/>
      <c r="EG242" s="212"/>
      <c r="EH242" s="212"/>
      <c r="EI242" s="212"/>
      <c r="EJ242" s="212"/>
      <c r="EK242" s="212"/>
      <c r="EL242" s="212"/>
      <c r="EM242" s="212"/>
      <c r="EN242" s="212"/>
      <c r="EO242" s="212"/>
      <c r="EP242" s="212"/>
      <c r="EQ242" s="212"/>
      <c r="ER242" s="212"/>
      <c r="ES242" s="212"/>
      <c r="ET242" s="212"/>
      <c r="EU242" s="212"/>
      <c r="EV242" s="212"/>
      <c r="EW242" s="212"/>
      <c r="EX242" s="212"/>
      <c r="EY242" s="212"/>
      <c r="EZ242" s="212"/>
      <c r="FA242" s="212"/>
      <c r="FB242" s="212"/>
      <c r="FC242" s="212"/>
      <c r="FD242" s="212"/>
      <c r="FE242" s="212"/>
      <c r="FF242" s="212"/>
      <c r="FG242" s="212"/>
      <c r="FH242" s="212"/>
      <c r="FI242" s="212"/>
      <c r="FJ242" s="212"/>
      <c r="FK242" s="212"/>
      <c r="FL242" s="212"/>
      <c r="FM242" s="212"/>
      <c r="FN242" s="212"/>
      <c r="FO242" s="212"/>
      <c r="FP242" s="212"/>
      <c r="FQ242" s="212"/>
      <c r="FR242" s="212"/>
      <c r="FS242" s="212"/>
      <c r="FT242" s="212"/>
      <c r="FU242" s="212"/>
      <c r="FV242" s="212"/>
      <c r="FW242" s="212"/>
      <c r="FX242" s="212"/>
      <c r="FY242" s="212"/>
      <c r="FZ242" s="212"/>
      <c r="GA242" s="212"/>
      <c r="GB242" s="212"/>
      <c r="GC242" s="212"/>
      <c r="GD242" s="212"/>
      <c r="GE242" s="212"/>
      <c r="GF242" s="212"/>
      <c r="GG242" s="212"/>
      <c r="GH242" s="212"/>
      <c r="GI242" s="212"/>
      <c r="GJ242" s="212"/>
      <c r="GK242" s="212"/>
      <c r="GL242" s="212"/>
      <c r="GM242" s="212"/>
      <c r="GN242" s="212"/>
      <c r="GO242" s="212"/>
      <c r="GP242" s="212"/>
      <c r="GQ242" s="212"/>
      <c r="GR242" s="212"/>
      <c r="GS242" s="212"/>
      <c r="GT242" s="212"/>
      <c r="GU242" s="212"/>
      <c r="GV242" s="212"/>
      <c r="GW242" s="212"/>
      <c r="GX242" s="212"/>
      <c r="GY242" s="212"/>
      <c r="GZ242" s="212"/>
      <c r="HA242" s="212"/>
      <c r="HB242" s="212"/>
      <c r="HC242" s="212"/>
      <c r="HD242" s="212"/>
      <c r="HE242" s="212"/>
      <c r="HF242" s="212"/>
      <c r="HG242" s="212"/>
      <c r="HH242" s="212"/>
      <c r="HI242" s="212"/>
      <c r="HJ242" s="212"/>
      <c r="HK242" s="212"/>
      <c r="HL242" s="212"/>
      <c r="HM242" s="212"/>
      <c r="HN242" s="212"/>
      <c r="HO242" s="212"/>
      <c r="HP242" s="212"/>
      <c r="HQ242" s="212"/>
      <c r="HR242" s="212"/>
      <c r="HS242" s="212"/>
    </row>
    <row r="243" spans="2:227">
      <c r="B243" s="584"/>
      <c r="C243" s="585"/>
      <c r="D243" s="603"/>
      <c r="E243" s="605" t="s">
        <v>207</v>
      </c>
      <c r="F243" s="144" t="s">
        <v>535</v>
      </c>
      <c r="G243" s="515"/>
      <c r="H243" s="467">
        <f>$G$183</f>
        <v>5000</v>
      </c>
      <c r="I243" s="466">
        <f>H248</f>
        <v>4375</v>
      </c>
      <c r="J243" s="466">
        <f t="shared" ref="J243:O243" si="284">I248</f>
        <v>3750</v>
      </c>
      <c r="K243" s="466">
        <f t="shared" si="284"/>
        <v>3125</v>
      </c>
      <c r="L243" s="466">
        <f t="shared" si="284"/>
        <v>2500</v>
      </c>
      <c r="M243" s="466">
        <f t="shared" si="284"/>
        <v>1875</v>
      </c>
      <c r="N243" s="466">
        <f t="shared" si="284"/>
        <v>1250</v>
      </c>
      <c r="O243" s="468">
        <f t="shared" si="284"/>
        <v>625</v>
      </c>
      <c r="P243" s="501"/>
      <c r="Q243" s="501"/>
      <c r="R243" s="501"/>
      <c r="S243" s="501"/>
      <c r="T243" s="501"/>
      <c r="U243" s="501"/>
      <c r="V243" s="501"/>
      <c r="W243" s="501"/>
      <c r="X243" s="501"/>
      <c r="Y243" s="501"/>
      <c r="Z243" s="501"/>
      <c r="AA243" s="501"/>
      <c r="AB243" s="501"/>
      <c r="AC243" s="501"/>
      <c r="AD243" s="501"/>
      <c r="AE243" s="501"/>
      <c r="AF243" s="501"/>
      <c r="AG243" s="501"/>
      <c r="AH243" s="501"/>
      <c r="AI243" s="501"/>
      <c r="AJ243" s="501"/>
      <c r="AK243" s="501"/>
      <c r="AL243" s="501"/>
      <c r="AM243" s="501"/>
      <c r="AN243" s="501"/>
      <c r="AO243" s="501"/>
      <c r="AP243" s="501"/>
      <c r="AQ243" s="501"/>
      <c r="AR243" s="501"/>
      <c r="AS243" s="501"/>
      <c r="AT243" s="501"/>
      <c r="AU243" s="501"/>
      <c r="AV243" s="501"/>
      <c r="AW243" s="501"/>
      <c r="AX243" s="501"/>
      <c r="AY243" s="501"/>
      <c r="AZ243" s="501"/>
      <c r="BA243" s="501"/>
      <c r="BB243" s="501"/>
      <c r="BC243" s="501"/>
      <c r="BD243" s="501"/>
      <c r="BE243" s="501"/>
    </row>
    <row r="244" spans="2:227">
      <c r="B244" s="584"/>
      <c r="C244" s="585"/>
      <c r="D244" s="603"/>
      <c r="E244" s="606"/>
      <c r="F244" s="144" t="s">
        <v>536</v>
      </c>
      <c r="G244" s="515"/>
      <c r="H244" s="467">
        <v>0</v>
      </c>
      <c r="I244" s="466">
        <v>0</v>
      </c>
      <c r="J244" s="466">
        <v>0</v>
      </c>
      <c r="K244" s="466">
        <v>0</v>
      </c>
      <c r="L244" s="466">
        <v>0</v>
      </c>
      <c r="M244" s="466">
        <v>0</v>
      </c>
      <c r="N244" s="466">
        <v>0</v>
      </c>
      <c r="O244" s="468">
        <v>0</v>
      </c>
      <c r="P244" s="501"/>
      <c r="Q244" s="501"/>
      <c r="R244" s="501"/>
      <c r="S244" s="501"/>
      <c r="T244" s="501"/>
      <c r="U244" s="501"/>
      <c r="V244" s="501"/>
      <c r="W244" s="501"/>
      <c r="X244" s="501"/>
      <c r="Y244" s="501"/>
      <c r="Z244" s="501"/>
      <c r="AA244" s="501"/>
      <c r="AB244" s="501"/>
      <c r="AC244" s="501"/>
      <c r="AD244" s="501"/>
      <c r="AE244" s="501"/>
      <c r="AF244" s="501"/>
      <c r="AG244" s="501"/>
      <c r="AH244" s="501"/>
      <c r="AI244" s="501"/>
      <c r="AJ244" s="501"/>
      <c r="AK244" s="501"/>
      <c r="AL244" s="501"/>
      <c r="AM244" s="501"/>
      <c r="AN244" s="501"/>
      <c r="AO244" s="501"/>
      <c r="AP244" s="501"/>
      <c r="AQ244" s="501"/>
      <c r="AR244" s="501"/>
      <c r="AS244" s="501"/>
      <c r="AT244" s="501"/>
      <c r="AU244" s="501"/>
      <c r="AV244" s="501"/>
      <c r="AW244" s="501"/>
      <c r="AX244" s="501"/>
      <c r="AY244" s="501"/>
      <c r="AZ244" s="501"/>
      <c r="BA244" s="501"/>
      <c r="BB244" s="501"/>
      <c r="BC244" s="501"/>
      <c r="BD244" s="501"/>
      <c r="BE244" s="501"/>
    </row>
    <row r="245" spans="2:227">
      <c r="B245" s="584"/>
      <c r="C245" s="585"/>
      <c r="D245" s="603"/>
      <c r="E245" s="606"/>
      <c r="F245" s="144" t="s">
        <v>537</v>
      </c>
      <c r="G245" s="467">
        <f t="shared" si="280"/>
        <v>5866.25</v>
      </c>
      <c r="H245" s="467">
        <f>SUM(H246:H247)</f>
        <v>817.5</v>
      </c>
      <c r="I245" s="467">
        <f t="shared" ref="I245:O245" si="285">SUM(I246:I247)</f>
        <v>793.4375</v>
      </c>
      <c r="J245" s="467">
        <f t="shared" si="285"/>
        <v>769.375</v>
      </c>
      <c r="K245" s="467">
        <f t="shared" si="285"/>
        <v>745.3125</v>
      </c>
      <c r="L245" s="467">
        <f t="shared" si="285"/>
        <v>721.25</v>
      </c>
      <c r="M245" s="467">
        <f t="shared" si="285"/>
        <v>697.1875</v>
      </c>
      <c r="N245" s="467">
        <f t="shared" si="285"/>
        <v>673.125</v>
      </c>
      <c r="O245" s="483">
        <f t="shared" si="285"/>
        <v>649.0625</v>
      </c>
      <c r="P245" s="501"/>
      <c r="Q245" s="501"/>
      <c r="R245" s="501"/>
      <c r="S245" s="501"/>
      <c r="T245" s="501"/>
      <c r="U245" s="501"/>
      <c r="V245" s="501"/>
      <c r="W245" s="501"/>
      <c r="X245" s="501"/>
      <c r="Y245" s="501"/>
      <c r="Z245" s="501"/>
      <c r="AA245" s="501"/>
      <c r="AB245" s="501"/>
      <c r="AC245" s="501"/>
      <c r="AD245" s="501"/>
      <c r="AE245" s="501"/>
      <c r="AF245" s="501"/>
      <c r="AG245" s="501"/>
      <c r="AH245" s="501"/>
      <c r="AI245" s="501"/>
      <c r="AJ245" s="501"/>
      <c r="AK245" s="501"/>
      <c r="AL245" s="501"/>
      <c r="AM245" s="501"/>
      <c r="AN245" s="501"/>
      <c r="AO245" s="501"/>
      <c r="AP245" s="501"/>
      <c r="AQ245" s="501"/>
      <c r="AR245" s="501"/>
      <c r="AS245" s="501"/>
      <c r="AT245" s="501"/>
      <c r="AU245" s="501"/>
      <c r="AV245" s="501"/>
      <c r="AW245" s="501"/>
      <c r="AX245" s="501"/>
      <c r="AY245" s="501"/>
      <c r="AZ245" s="501"/>
      <c r="BA245" s="501"/>
      <c r="BB245" s="501"/>
      <c r="BC245" s="501"/>
      <c r="BD245" s="501"/>
      <c r="BE245" s="501"/>
    </row>
    <row r="246" spans="2:227">
      <c r="B246" s="584"/>
      <c r="C246" s="585"/>
      <c r="D246" s="603"/>
      <c r="E246" s="606"/>
      <c r="F246" s="145" t="s">
        <v>538</v>
      </c>
      <c r="G246" s="467">
        <f t="shared" si="280"/>
        <v>5000</v>
      </c>
      <c r="H246" s="467">
        <f>$G$183/$N$186</f>
        <v>625</v>
      </c>
      <c r="I246" s="467">
        <f t="shared" ref="I246:O246" si="286">$G$183/$N$186</f>
        <v>625</v>
      </c>
      <c r="J246" s="467">
        <f t="shared" si="286"/>
        <v>625</v>
      </c>
      <c r="K246" s="467">
        <f t="shared" si="286"/>
        <v>625</v>
      </c>
      <c r="L246" s="467">
        <f t="shared" si="286"/>
        <v>625</v>
      </c>
      <c r="M246" s="467">
        <f t="shared" si="286"/>
        <v>625</v>
      </c>
      <c r="N246" s="467">
        <f t="shared" si="286"/>
        <v>625</v>
      </c>
      <c r="O246" s="483">
        <f t="shared" si="286"/>
        <v>625</v>
      </c>
      <c r="P246" s="501"/>
      <c r="Q246" s="501"/>
      <c r="R246" s="501"/>
      <c r="S246" s="501"/>
      <c r="T246" s="501"/>
      <c r="U246" s="501"/>
      <c r="V246" s="501"/>
      <c r="W246" s="501"/>
      <c r="X246" s="501"/>
      <c r="Y246" s="501"/>
      <c r="Z246" s="501"/>
      <c r="AA246" s="501"/>
      <c r="AB246" s="501"/>
      <c r="AC246" s="501"/>
      <c r="AD246" s="501"/>
      <c r="AE246" s="501"/>
      <c r="AF246" s="501"/>
      <c r="AG246" s="501"/>
      <c r="AH246" s="501"/>
      <c r="AI246" s="501"/>
      <c r="AJ246" s="501"/>
      <c r="AK246" s="501"/>
      <c r="AL246" s="501"/>
      <c r="AM246" s="501"/>
      <c r="AN246" s="501"/>
      <c r="AO246" s="501"/>
      <c r="AP246" s="501"/>
      <c r="AQ246" s="501"/>
      <c r="AR246" s="501"/>
      <c r="AS246" s="501"/>
      <c r="AT246" s="501"/>
      <c r="AU246" s="501"/>
      <c r="AV246" s="501"/>
      <c r="AW246" s="501"/>
      <c r="AX246" s="501"/>
      <c r="AY246" s="501"/>
      <c r="AZ246" s="501"/>
      <c r="BA246" s="501"/>
      <c r="BB246" s="501"/>
      <c r="BC246" s="501"/>
      <c r="BD246" s="501"/>
      <c r="BE246" s="501"/>
    </row>
    <row r="247" spans="2:227">
      <c r="B247" s="584"/>
      <c r="C247" s="585"/>
      <c r="D247" s="603"/>
      <c r="E247" s="606"/>
      <c r="F247" s="33" t="s">
        <v>539</v>
      </c>
      <c r="G247" s="467">
        <f t="shared" si="280"/>
        <v>866.25</v>
      </c>
      <c r="H247" s="542">
        <f>(H243+H244/2)*($G$188/$N$185)</f>
        <v>192.5</v>
      </c>
      <c r="I247" s="542">
        <f t="shared" ref="I247:O247" si="287">(I243+I244/2)*($G$188/$N$185)</f>
        <v>168.4375</v>
      </c>
      <c r="J247" s="542">
        <f t="shared" si="287"/>
        <v>144.375</v>
      </c>
      <c r="K247" s="542">
        <f t="shared" si="287"/>
        <v>120.3125</v>
      </c>
      <c r="L247" s="542">
        <f t="shared" si="287"/>
        <v>96.25</v>
      </c>
      <c r="M247" s="542">
        <f t="shared" si="287"/>
        <v>72.1875</v>
      </c>
      <c r="N247" s="542">
        <f t="shared" si="287"/>
        <v>48.125</v>
      </c>
      <c r="O247" s="543">
        <f t="shared" si="287"/>
        <v>24.0625</v>
      </c>
      <c r="P247" s="501"/>
      <c r="Q247" s="501"/>
      <c r="R247" s="501"/>
      <c r="S247" s="501"/>
      <c r="T247" s="501"/>
      <c r="U247" s="501"/>
      <c r="V247" s="501"/>
      <c r="W247" s="501"/>
      <c r="X247" s="501"/>
      <c r="Y247" s="501"/>
      <c r="Z247" s="501"/>
      <c r="AA247" s="501"/>
      <c r="AB247" s="501"/>
      <c r="AC247" s="501"/>
      <c r="AD247" s="501"/>
      <c r="AE247" s="501"/>
      <c r="AF247" s="501"/>
      <c r="AG247" s="501"/>
      <c r="AH247" s="501"/>
      <c r="AI247" s="501"/>
      <c r="AJ247" s="501"/>
      <c r="AK247" s="501"/>
      <c r="AL247" s="501"/>
      <c r="AM247" s="501"/>
      <c r="AN247" s="501"/>
      <c r="AO247" s="501"/>
      <c r="AP247" s="501"/>
      <c r="AQ247" s="501"/>
      <c r="AR247" s="501"/>
      <c r="AS247" s="501"/>
      <c r="AT247" s="501"/>
      <c r="AU247" s="501"/>
      <c r="AV247" s="501"/>
      <c r="AW247" s="501"/>
      <c r="AX247" s="501"/>
      <c r="AY247" s="501"/>
      <c r="AZ247" s="501"/>
      <c r="BA247" s="501"/>
      <c r="BB247" s="501"/>
      <c r="BC247" s="501"/>
      <c r="BD247" s="501"/>
      <c r="BE247" s="501"/>
    </row>
    <row r="248" ht="17.25" spans="2:227">
      <c r="B248" s="616"/>
      <c r="C248" s="617"/>
      <c r="D248" s="608"/>
      <c r="E248" s="609"/>
      <c r="F248" s="163" t="s">
        <v>540</v>
      </c>
      <c r="G248" s="489">
        <f>O248</f>
        <v>0</v>
      </c>
      <c r="H248" s="489">
        <f>H243+H244-H246</f>
        <v>4375</v>
      </c>
      <c r="I248" s="489">
        <f t="shared" ref="I248:O248" si="288">I243+I244-I246</f>
        <v>3750</v>
      </c>
      <c r="J248" s="489">
        <f t="shared" si="288"/>
        <v>3125</v>
      </c>
      <c r="K248" s="489">
        <f t="shared" si="288"/>
        <v>2500</v>
      </c>
      <c r="L248" s="489">
        <f t="shared" si="288"/>
        <v>1875</v>
      </c>
      <c r="M248" s="489">
        <f t="shared" si="288"/>
        <v>1250</v>
      </c>
      <c r="N248" s="489">
        <f t="shared" si="288"/>
        <v>625</v>
      </c>
      <c r="O248" s="490">
        <f t="shared" si="288"/>
        <v>0</v>
      </c>
      <c r="P248" s="501"/>
      <c r="Q248" s="501"/>
      <c r="R248" s="501"/>
      <c r="S248" s="501"/>
      <c r="T248" s="501"/>
      <c r="U248" s="501"/>
      <c r="V248" s="501"/>
      <c r="W248" s="501"/>
      <c r="X248" s="501"/>
      <c r="Y248" s="501"/>
      <c r="Z248" s="501"/>
      <c r="AA248" s="501"/>
      <c r="AB248" s="501"/>
      <c r="AC248" s="501"/>
      <c r="AD248" s="501"/>
      <c r="AE248" s="501"/>
      <c r="AF248" s="501"/>
      <c r="AG248" s="501"/>
      <c r="AH248" s="501"/>
      <c r="AI248" s="501"/>
      <c r="AJ248" s="501"/>
      <c r="AK248" s="501"/>
      <c r="AL248" s="501"/>
      <c r="AM248" s="501"/>
      <c r="AN248" s="501"/>
      <c r="AO248" s="501"/>
      <c r="AP248" s="501"/>
      <c r="AQ248" s="501"/>
      <c r="AR248" s="501"/>
      <c r="AS248" s="501"/>
      <c r="AT248" s="501"/>
      <c r="AU248" s="501"/>
      <c r="AV248" s="501"/>
      <c r="AW248" s="501"/>
      <c r="AX248" s="501"/>
      <c r="AY248" s="501"/>
      <c r="AZ248" s="501"/>
      <c r="BA248" s="501"/>
      <c r="BB248" s="501"/>
      <c r="BC248" s="501"/>
      <c r="BD248" s="501"/>
      <c r="BE248" s="501"/>
    </row>
    <row r="249" s="212" customFormat="1" spans="2:227">
      <c r="B249" s="618"/>
      <c r="C249" s="619"/>
      <c r="D249" s="620"/>
      <c r="E249" s="620"/>
      <c r="F249" s="620"/>
      <c r="G249" s="620"/>
      <c r="H249" s="494"/>
      <c r="I249" s="494"/>
      <c r="J249" s="494"/>
      <c r="K249" s="494"/>
      <c r="L249" s="494"/>
      <c r="M249" s="494"/>
      <c r="N249" s="494"/>
      <c r="O249" s="494"/>
      <c r="P249" s="494"/>
      <c r="Q249" s="494"/>
      <c r="R249" s="494"/>
      <c r="S249" s="494"/>
      <c r="T249" s="494"/>
      <c r="U249" s="494"/>
      <c r="V249" s="494"/>
      <c r="W249" s="494"/>
      <c r="X249" s="494"/>
      <c r="Y249" s="494"/>
      <c r="Z249" s="494"/>
      <c r="AA249" s="494"/>
      <c r="AB249" s="494"/>
      <c r="AC249" s="494"/>
      <c r="AD249" s="494"/>
      <c r="AE249" s="494"/>
      <c r="AF249" s="494"/>
      <c r="AG249" s="494"/>
      <c r="AH249" s="494"/>
      <c r="AI249" s="494"/>
      <c r="AJ249" s="494"/>
      <c r="AK249" s="494"/>
      <c r="AL249" s="494"/>
      <c r="AM249" s="494"/>
      <c r="AN249" s="494"/>
      <c r="AO249" s="494"/>
      <c r="AP249" s="494"/>
      <c r="AQ249" s="494"/>
      <c r="AR249" s="494"/>
      <c r="AS249" s="494"/>
      <c r="AT249" s="494"/>
      <c r="AU249" s="494"/>
      <c r="AV249" s="494"/>
      <c r="AW249" s="494"/>
      <c r="AX249" s="494"/>
      <c r="AY249" s="494"/>
      <c r="AZ249" s="494"/>
      <c r="BA249" s="494"/>
      <c r="BB249" s="494"/>
      <c r="BC249" s="494"/>
      <c r="BD249" s="494"/>
      <c r="BE249" s="494"/>
    </row>
    <row r="250" ht="19.95" customHeight="1" spans="2:227">
      <c r="B250" s="621" t="s">
        <v>668</v>
      </c>
      <c r="C250" s="563"/>
      <c r="D250" s="563"/>
      <c r="E250" s="563"/>
      <c r="F250" s="622"/>
      <c r="G250" s="622"/>
      <c r="H250" s="622"/>
      <c r="I250" s="622"/>
      <c r="J250" s="622"/>
      <c r="K250" s="622"/>
      <c r="L250" s="622"/>
      <c r="M250" s="622"/>
      <c r="N250" s="622"/>
      <c r="O250" s="622"/>
      <c r="P250" s="622"/>
      <c r="Q250" s="622"/>
      <c r="R250" s="622"/>
      <c r="S250" s="622"/>
      <c r="T250" s="622"/>
      <c r="U250" s="622"/>
      <c r="V250" s="622"/>
      <c r="W250" s="622"/>
      <c r="X250" s="622"/>
      <c r="Y250" s="622"/>
      <c r="Z250" s="622"/>
      <c r="AA250" s="622"/>
      <c r="AB250" s="622"/>
      <c r="AC250" s="622"/>
      <c r="AD250" s="622"/>
      <c r="AE250" s="622"/>
      <c r="AF250" s="622"/>
      <c r="AG250" s="622"/>
      <c r="AH250" s="622"/>
      <c r="AI250" s="622"/>
      <c r="AJ250" s="622"/>
      <c r="AK250" s="622"/>
      <c r="AL250" s="622"/>
      <c r="AM250" s="622"/>
      <c r="AN250" s="622"/>
      <c r="AO250" s="622"/>
      <c r="AP250" s="622"/>
      <c r="AQ250" s="622"/>
      <c r="AR250" s="622"/>
      <c r="AS250" s="622"/>
      <c r="AT250" s="622"/>
      <c r="AU250" s="622"/>
      <c r="AV250" s="622"/>
      <c r="AW250" s="622"/>
      <c r="AX250" s="622"/>
      <c r="AY250" s="622"/>
      <c r="AZ250" s="622"/>
      <c r="BA250" s="622"/>
      <c r="BB250" s="622"/>
      <c r="BC250" s="622"/>
      <c r="BD250" s="622"/>
      <c r="BE250" s="623"/>
    </row>
    <row r="251" spans="2:227">
      <c r="B251" s="566" t="s">
        <v>2</v>
      </c>
      <c r="C251" s="566" t="s">
        <v>430</v>
      </c>
      <c r="D251" s="566" t="s">
        <v>491</v>
      </c>
      <c r="E251" s="566" t="s">
        <v>9</v>
      </c>
      <c r="F251" s="444">
        <f>F3</f>
        <v>45016</v>
      </c>
      <c r="G251" s="575">
        <v>2023</v>
      </c>
      <c r="H251" s="575">
        <v>2024</v>
      </c>
      <c r="I251" s="575">
        <v>2025</v>
      </c>
      <c r="J251" s="575">
        <v>2026</v>
      </c>
      <c r="K251" s="575">
        <v>2027</v>
      </c>
      <c r="L251" s="575">
        <v>2028</v>
      </c>
      <c r="M251" s="446">
        <f>M3</f>
        <v>47361</v>
      </c>
      <c r="N251" s="568">
        <v>2029</v>
      </c>
      <c r="O251" s="446">
        <f>O3</f>
        <v>47695</v>
      </c>
      <c r="P251" s="569">
        <f>P3</f>
        <v>47726</v>
      </c>
      <c r="Q251" s="570">
        <v>2030</v>
      </c>
      <c r="R251" s="570">
        <v>2031</v>
      </c>
      <c r="S251" s="570">
        <v>2032</v>
      </c>
      <c r="T251" s="570">
        <v>2033</v>
      </c>
      <c r="U251" s="570">
        <v>2034</v>
      </c>
      <c r="V251" s="570">
        <v>2035</v>
      </c>
      <c r="W251" s="570">
        <v>2036</v>
      </c>
      <c r="X251" s="570">
        <v>2037</v>
      </c>
      <c r="Y251" s="570">
        <v>2038</v>
      </c>
      <c r="Z251" s="570">
        <v>2039</v>
      </c>
      <c r="AA251" s="570">
        <v>2040</v>
      </c>
      <c r="AB251" s="570">
        <v>2041</v>
      </c>
      <c r="AC251" s="570">
        <v>2042</v>
      </c>
      <c r="AD251" s="570">
        <v>2043</v>
      </c>
      <c r="AE251" s="570">
        <v>2044</v>
      </c>
      <c r="AF251" s="570">
        <v>2045</v>
      </c>
      <c r="AG251" s="570">
        <v>2046</v>
      </c>
      <c r="AH251" s="570">
        <v>2047</v>
      </c>
      <c r="AI251" s="570">
        <v>2048</v>
      </c>
      <c r="AJ251" s="570">
        <v>2049</v>
      </c>
      <c r="AK251" s="570">
        <v>2050</v>
      </c>
      <c r="AL251" s="570">
        <v>2051</v>
      </c>
      <c r="AM251" s="570">
        <v>2052</v>
      </c>
      <c r="AN251" s="570">
        <v>2053</v>
      </c>
      <c r="AO251" s="570">
        <v>2054</v>
      </c>
      <c r="AP251" s="570">
        <v>2055</v>
      </c>
      <c r="AQ251" s="570">
        <v>2056</v>
      </c>
      <c r="AR251" s="570">
        <v>2057</v>
      </c>
      <c r="AS251" s="570">
        <v>2058</v>
      </c>
      <c r="AT251" s="570">
        <v>2059</v>
      </c>
      <c r="AU251" s="570">
        <v>2060</v>
      </c>
      <c r="AV251" s="570">
        <v>2061</v>
      </c>
      <c r="AW251" s="570">
        <v>2062</v>
      </c>
      <c r="AX251" s="570">
        <v>2063</v>
      </c>
      <c r="AY251" s="570">
        <v>2064</v>
      </c>
      <c r="AZ251" s="570">
        <v>2065</v>
      </c>
      <c r="BA251" s="570">
        <v>2066</v>
      </c>
      <c r="BB251" s="570">
        <v>2067</v>
      </c>
      <c r="BC251" s="570">
        <v>2068</v>
      </c>
      <c r="BD251" s="570">
        <v>2069</v>
      </c>
      <c r="BE251" s="570">
        <v>2070</v>
      </c>
    </row>
    <row r="252" spans="2:227">
      <c r="B252" s="566"/>
      <c r="C252" s="566"/>
      <c r="D252" s="566"/>
      <c r="E252" s="566"/>
      <c r="F252" s="18"/>
      <c r="G252" s="18">
        <v>1</v>
      </c>
      <c r="H252" s="18">
        <v>2</v>
      </c>
      <c r="I252" s="18">
        <v>3</v>
      </c>
      <c r="J252" s="18">
        <v>4</v>
      </c>
      <c r="K252" s="18">
        <v>5</v>
      </c>
      <c r="L252" s="18">
        <v>6</v>
      </c>
      <c r="M252" s="19"/>
      <c r="N252" s="19">
        <v>7</v>
      </c>
      <c r="O252" s="19"/>
      <c r="P252" s="208"/>
      <c r="Q252" s="20">
        <v>8</v>
      </c>
      <c r="R252" s="20">
        <v>9</v>
      </c>
      <c r="S252" s="20">
        <v>10</v>
      </c>
      <c r="T252" s="20">
        <v>11</v>
      </c>
      <c r="U252" s="20">
        <v>12</v>
      </c>
      <c r="V252" s="20">
        <v>13</v>
      </c>
      <c r="W252" s="20">
        <v>14</v>
      </c>
      <c r="X252" s="20">
        <v>15</v>
      </c>
      <c r="Y252" s="20">
        <v>16</v>
      </c>
      <c r="Z252" s="20">
        <v>17</v>
      </c>
      <c r="AA252" s="20">
        <v>18</v>
      </c>
      <c r="AB252" s="20">
        <v>19</v>
      </c>
      <c r="AC252" s="20">
        <v>20</v>
      </c>
      <c r="AD252" s="20">
        <v>21</v>
      </c>
      <c r="AE252" s="20">
        <v>22</v>
      </c>
      <c r="AF252" s="20">
        <v>23</v>
      </c>
      <c r="AG252" s="20">
        <v>24</v>
      </c>
      <c r="AH252" s="20">
        <v>25</v>
      </c>
      <c r="AI252" s="20">
        <v>26</v>
      </c>
      <c r="AJ252" s="20">
        <v>27</v>
      </c>
      <c r="AK252" s="20">
        <v>28</v>
      </c>
      <c r="AL252" s="20">
        <v>29</v>
      </c>
      <c r="AM252" s="20">
        <v>30</v>
      </c>
      <c r="AN252" s="20">
        <v>31</v>
      </c>
      <c r="AO252" s="20">
        <v>32</v>
      </c>
      <c r="AP252" s="20">
        <v>33</v>
      </c>
      <c r="AQ252" s="20">
        <v>34</v>
      </c>
      <c r="AR252" s="20">
        <v>35</v>
      </c>
      <c r="AS252" s="20">
        <v>36</v>
      </c>
      <c r="AT252" s="20">
        <v>37</v>
      </c>
      <c r="AU252" s="20">
        <v>38</v>
      </c>
      <c r="AV252" s="20">
        <v>39</v>
      </c>
      <c r="AW252" s="20">
        <v>40</v>
      </c>
      <c r="AX252" s="20">
        <v>41</v>
      </c>
      <c r="AY252" s="20">
        <v>42</v>
      </c>
      <c r="AZ252" s="20">
        <v>43</v>
      </c>
      <c r="BA252" s="20">
        <v>44</v>
      </c>
      <c r="BB252" s="20">
        <v>45</v>
      </c>
      <c r="BC252" s="20">
        <v>46</v>
      </c>
      <c r="BD252" s="20">
        <v>47</v>
      </c>
      <c r="BE252" s="20">
        <v>48</v>
      </c>
    </row>
    <row r="253" spans="2:227">
      <c r="B253" s="29">
        <v>1</v>
      </c>
      <c r="C253" s="144" t="s">
        <v>535</v>
      </c>
      <c r="D253" s="466"/>
      <c r="E253" s="29" t="s">
        <v>130</v>
      </c>
      <c r="F253" s="466">
        <v>0</v>
      </c>
      <c r="G253" s="466">
        <f t="shared" ref="G253:Q253" si="289">F258</f>
        <v>0</v>
      </c>
      <c r="H253" s="466">
        <f t="shared" si="289"/>
        <v>0</v>
      </c>
      <c r="I253" s="466">
        <f t="shared" si="289"/>
        <v>0</v>
      </c>
      <c r="J253" s="466">
        <f t="shared" si="289"/>
        <v>0</v>
      </c>
      <c r="K253" s="466">
        <f t="shared" si="289"/>
        <v>0</v>
      </c>
      <c r="L253" s="466">
        <f t="shared" si="289"/>
        <v>0</v>
      </c>
      <c r="M253" s="466">
        <f t="shared" si="289"/>
        <v>0</v>
      </c>
      <c r="N253" s="466">
        <f t="shared" si="289"/>
        <v>0</v>
      </c>
      <c r="O253" s="466">
        <f t="shared" si="289"/>
        <v>0</v>
      </c>
      <c r="P253" s="571">
        <f t="shared" si="289"/>
        <v>0</v>
      </c>
      <c r="Q253" s="466">
        <f t="shared" si="289"/>
        <v>0</v>
      </c>
      <c r="R253" s="466">
        <f t="shared" ref="Q253:BE253" si="290">Q258</f>
        <v>0</v>
      </c>
      <c r="S253" s="466">
        <f t="shared" si="290"/>
        <v>0</v>
      </c>
      <c r="T253" s="466">
        <f t="shared" si="290"/>
        <v>0</v>
      </c>
      <c r="U253" s="466">
        <f t="shared" si="290"/>
        <v>4687.5</v>
      </c>
      <c r="V253" s="466">
        <f t="shared" si="290"/>
        <v>4062.5</v>
      </c>
      <c r="W253" s="466">
        <f t="shared" si="290"/>
        <v>3437.5</v>
      </c>
      <c r="X253" s="466">
        <f t="shared" si="290"/>
        <v>2812.5</v>
      </c>
      <c r="Y253" s="466">
        <f t="shared" si="290"/>
        <v>2187.5</v>
      </c>
      <c r="Z253" s="466">
        <f t="shared" si="290"/>
        <v>1562.5</v>
      </c>
      <c r="AA253" s="466">
        <f t="shared" si="290"/>
        <v>937.5</v>
      </c>
      <c r="AB253" s="466">
        <f t="shared" si="290"/>
        <v>312.5</v>
      </c>
      <c r="AC253" s="466">
        <f t="shared" si="290"/>
        <v>0</v>
      </c>
      <c r="AD253" s="466">
        <f t="shared" si="290"/>
        <v>0</v>
      </c>
      <c r="AE253" s="466">
        <f t="shared" si="290"/>
        <v>0</v>
      </c>
      <c r="AF253" s="466">
        <f t="shared" si="290"/>
        <v>0</v>
      </c>
      <c r="AG253" s="466">
        <f t="shared" si="290"/>
        <v>0</v>
      </c>
      <c r="AH253" s="466">
        <f t="shared" si="290"/>
        <v>0</v>
      </c>
      <c r="AI253" s="466">
        <f t="shared" si="290"/>
        <v>0</v>
      </c>
      <c r="AJ253" s="466">
        <f t="shared" si="290"/>
        <v>0</v>
      </c>
      <c r="AK253" s="466">
        <f t="shared" si="290"/>
        <v>0</v>
      </c>
      <c r="AL253" s="466">
        <f t="shared" si="290"/>
        <v>0</v>
      </c>
      <c r="AM253" s="466">
        <f t="shared" si="290"/>
        <v>0</v>
      </c>
      <c r="AN253" s="466">
        <f t="shared" si="290"/>
        <v>0</v>
      </c>
      <c r="AO253" s="466">
        <f t="shared" si="290"/>
        <v>0</v>
      </c>
      <c r="AP253" s="466">
        <f t="shared" si="290"/>
        <v>0</v>
      </c>
      <c r="AQ253" s="466">
        <f t="shared" si="290"/>
        <v>0</v>
      </c>
      <c r="AR253" s="466">
        <f t="shared" si="290"/>
        <v>0</v>
      </c>
      <c r="AS253" s="466">
        <f t="shared" si="290"/>
        <v>0</v>
      </c>
      <c r="AT253" s="466">
        <f t="shared" si="290"/>
        <v>0</v>
      </c>
      <c r="AU253" s="466">
        <f t="shared" si="290"/>
        <v>0</v>
      </c>
      <c r="AV253" s="466">
        <f t="shared" si="290"/>
        <v>0</v>
      </c>
      <c r="AW253" s="466">
        <f t="shared" si="290"/>
        <v>0</v>
      </c>
      <c r="AX253" s="466">
        <f t="shared" si="290"/>
        <v>0</v>
      </c>
      <c r="AY253" s="466">
        <f t="shared" si="290"/>
        <v>0</v>
      </c>
      <c r="AZ253" s="466">
        <f t="shared" si="290"/>
        <v>0</v>
      </c>
      <c r="BA253" s="466">
        <f t="shared" si="290"/>
        <v>0</v>
      </c>
      <c r="BB253" s="466">
        <f t="shared" si="290"/>
        <v>0</v>
      </c>
      <c r="BC253" s="466">
        <f t="shared" si="290"/>
        <v>0</v>
      </c>
      <c r="BD253" s="466">
        <f t="shared" si="290"/>
        <v>0</v>
      </c>
      <c r="BE253" s="466">
        <f t="shared" si="290"/>
        <v>0</v>
      </c>
    </row>
    <row r="254" spans="2:227">
      <c r="B254" s="29">
        <v>2</v>
      </c>
      <c r="C254" s="144" t="s">
        <v>536</v>
      </c>
      <c r="D254" s="466">
        <f>SUM(F254:BE254)</f>
        <v>5000</v>
      </c>
      <c r="E254" s="29" t="s">
        <v>130</v>
      </c>
      <c r="F254" s="466">
        <f>IF(F251=$H$184,$G$183,0)</f>
        <v>0</v>
      </c>
      <c r="G254" s="466">
        <f t="shared" ref="G254:AL254" si="291">IF(G251=$H$184,$G$183,0)</f>
        <v>0</v>
      </c>
      <c r="H254" s="466">
        <f t="shared" si="291"/>
        <v>0</v>
      </c>
      <c r="I254" s="466">
        <f t="shared" si="291"/>
        <v>0</v>
      </c>
      <c r="J254" s="466">
        <f t="shared" si="291"/>
        <v>0</v>
      </c>
      <c r="K254" s="466">
        <f t="shared" si="291"/>
        <v>0</v>
      </c>
      <c r="L254" s="466">
        <f t="shared" si="291"/>
        <v>0</v>
      </c>
      <c r="M254" s="466">
        <f t="shared" si="291"/>
        <v>0</v>
      </c>
      <c r="N254" s="466">
        <f t="shared" si="291"/>
        <v>0</v>
      </c>
      <c r="O254" s="466">
        <f t="shared" si="291"/>
        <v>0</v>
      </c>
      <c r="P254" s="571">
        <f t="shared" si="291"/>
        <v>0</v>
      </c>
      <c r="Q254" s="466">
        <f t="shared" si="291"/>
        <v>0</v>
      </c>
      <c r="R254" s="466">
        <f t="shared" si="291"/>
        <v>0</v>
      </c>
      <c r="S254" s="466">
        <f t="shared" si="291"/>
        <v>0</v>
      </c>
      <c r="T254" s="466">
        <f t="shared" si="291"/>
        <v>5000</v>
      </c>
      <c r="U254" s="466">
        <f t="shared" si="291"/>
        <v>0</v>
      </c>
      <c r="V254" s="466">
        <f t="shared" si="291"/>
        <v>0</v>
      </c>
      <c r="W254" s="466">
        <f t="shared" si="291"/>
        <v>0</v>
      </c>
      <c r="X254" s="466">
        <f t="shared" si="291"/>
        <v>0</v>
      </c>
      <c r="Y254" s="466">
        <f t="shared" si="291"/>
        <v>0</v>
      </c>
      <c r="Z254" s="466">
        <f t="shared" si="291"/>
        <v>0</v>
      </c>
      <c r="AA254" s="466">
        <f t="shared" si="291"/>
        <v>0</v>
      </c>
      <c r="AB254" s="466">
        <f t="shared" si="291"/>
        <v>0</v>
      </c>
      <c r="AC254" s="466">
        <f t="shared" si="291"/>
        <v>0</v>
      </c>
      <c r="AD254" s="466">
        <f t="shared" si="291"/>
        <v>0</v>
      </c>
      <c r="AE254" s="466">
        <f t="shared" si="291"/>
        <v>0</v>
      </c>
      <c r="AF254" s="466">
        <f t="shared" si="291"/>
        <v>0</v>
      </c>
      <c r="AG254" s="466">
        <f t="shared" si="291"/>
        <v>0</v>
      </c>
      <c r="AH254" s="466">
        <f t="shared" si="291"/>
        <v>0</v>
      </c>
      <c r="AI254" s="466">
        <f t="shared" si="291"/>
        <v>0</v>
      </c>
      <c r="AJ254" s="466">
        <f t="shared" si="291"/>
        <v>0</v>
      </c>
      <c r="AK254" s="466">
        <f t="shared" si="291"/>
        <v>0</v>
      </c>
      <c r="AL254" s="466">
        <f t="shared" si="291"/>
        <v>0</v>
      </c>
      <c r="AM254" s="466">
        <f t="shared" ref="AM254:BE254" si="292">IF(AM251=$H$184,$G$183,0)</f>
        <v>0</v>
      </c>
      <c r="AN254" s="466">
        <f t="shared" si="292"/>
        <v>0</v>
      </c>
      <c r="AO254" s="466">
        <f t="shared" si="292"/>
        <v>0</v>
      </c>
      <c r="AP254" s="466">
        <f t="shared" si="292"/>
        <v>0</v>
      </c>
      <c r="AQ254" s="466">
        <f t="shared" si="292"/>
        <v>0</v>
      </c>
      <c r="AR254" s="466">
        <f t="shared" si="292"/>
        <v>0</v>
      </c>
      <c r="AS254" s="466">
        <f t="shared" si="292"/>
        <v>0</v>
      </c>
      <c r="AT254" s="466">
        <f t="shared" si="292"/>
        <v>0</v>
      </c>
      <c r="AU254" s="466">
        <f t="shared" si="292"/>
        <v>0</v>
      </c>
      <c r="AV254" s="466">
        <f t="shared" si="292"/>
        <v>0</v>
      </c>
      <c r="AW254" s="466">
        <f t="shared" si="292"/>
        <v>0</v>
      </c>
      <c r="AX254" s="466">
        <f t="shared" si="292"/>
        <v>0</v>
      </c>
      <c r="AY254" s="466">
        <f t="shared" si="292"/>
        <v>0</v>
      </c>
      <c r="AZ254" s="466">
        <f t="shared" si="292"/>
        <v>0</v>
      </c>
      <c r="BA254" s="466">
        <f t="shared" si="292"/>
        <v>0</v>
      </c>
      <c r="BB254" s="466">
        <f t="shared" si="292"/>
        <v>0</v>
      </c>
      <c r="BC254" s="466">
        <f t="shared" si="292"/>
        <v>0</v>
      </c>
      <c r="BD254" s="466">
        <f t="shared" si="292"/>
        <v>0</v>
      </c>
      <c r="BE254" s="466">
        <f t="shared" si="292"/>
        <v>0</v>
      </c>
    </row>
    <row r="255" spans="2:227">
      <c r="B255" s="29">
        <v>3</v>
      </c>
      <c r="C255" s="152" t="s">
        <v>537</v>
      </c>
      <c r="D255" s="466">
        <f>SUM(F255:BE255)</f>
        <v>5818.125</v>
      </c>
      <c r="E255" s="29" t="s">
        <v>130</v>
      </c>
      <c r="F255" s="466">
        <f>SUM(F256:F257)</f>
        <v>0</v>
      </c>
      <c r="G255" s="466">
        <f t="shared" ref="G255:AL255" si="293">SUM(G256:G257)</f>
        <v>0</v>
      </c>
      <c r="H255" s="466">
        <f t="shared" si="293"/>
        <v>0</v>
      </c>
      <c r="I255" s="466">
        <f t="shared" si="293"/>
        <v>0</v>
      </c>
      <c r="J255" s="466">
        <f t="shared" si="293"/>
        <v>0</v>
      </c>
      <c r="K255" s="466">
        <f t="shared" si="293"/>
        <v>0</v>
      </c>
      <c r="L255" s="466">
        <f t="shared" si="293"/>
        <v>0</v>
      </c>
      <c r="M255" s="466">
        <f t="shared" si="293"/>
        <v>0</v>
      </c>
      <c r="N255" s="466">
        <f t="shared" si="293"/>
        <v>0</v>
      </c>
      <c r="O255" s="466">
        <f t="shared" si="293"/>
        <v>0</v>
      </c>
      <c r="P255" s="571">
        <f t="shared" si="293"/>
        <v>0</v>
      </c>
      <c r="Q255" s="466">
        <f t="shared" si="293"/>
        <v>0</v>
      </c>
      <c r="R255" s="466">
        <f t="shared" si="293"/>
        <v>0</v>
      </c>
      <c r="S255" s="466">
        <f t="shared" si="293"/>
        <v>0</v>
      </c>
      <c r="T255" s="466">
        <f t="shared" si="293"/>
        <v>408.75</v>
      </c>
      <c r="U255" s="466">
        <f t="shared" si="293"/>
        <v>799.453125</v>
      </c>
      <c r="V255" s="466">
        <f t="shared" si="293"/>
        <v>775.390625</v>
      </c>
      <c r="W255" s="466">
        <f t="shared" si="293"/>
        <v>751.328125</v>
      </c>
      <c r="X255" s="466">
        <f t="shared" si="293"/>
        <v>727.265625</v>
      </c>
      <c r="Y255" s="466">
        <f t="shared" si="293"/>
        <v>703.203125</v>
      </c>
      <c r="Z255" s="466">
        <f t="shared" si="293"/>
        <v>679.140625</v>
      </c>
      <c r="AA255" s="466">
        <f t="shared" si="293"/>
        <v>655.078125</v>
      </c>
      <c r="AB255" s="466">
        <f t="shared" si="293"/>
        <v>318.515625</v>
      </c>
      <c r="AC255" s="466">
        <f t="shared" si="293"/>
        <v>0</v>
      </c>
      <c r="AD255" s="466">
        <f t="shared" si="293"/>
        <v>0</v>
      </c>
      <c r="AE255" s="466">
        <f t="shared" si="293"/>
        <v>0</v>
      </c>
      <c r="AF255" s="466">
        <f t="shared" si="293"/>
        <v>0</v>
      </c>
      <c r="AG255" s="466">
        <f t="shared" si="293"/>
        <v>0</v>
      </c>
      <c r="AH255" s="466">
        <f t="shared" si="293"/>
        <v>0</v>
      </c>
      <c r="AI255" s="466">
        <f t="shared" si="293"/>
        <v>0</v>
      </c>
      <c r="AJ255" s="466">
        <f t="shared" si="293"/>
        <v>0</v>
      </c>
      <c r="AK255" s="466">
        <f t="shared" si="293"/>
        <v>0</v>
      </c>
      <c r="AL255" s="466">
        <f t="shared" si="293"/>
        <v>0</v>
      </c>
      <c r="AM255" s="466">
        <f t="shared" ref="AM255:BE255" si="294">SUM(AM256:AM257)</f>
        <v>0</v>
      </c>
      <c r="AN255" s="466">
        <f t="shared" si="294"/>
        <v>0</v>
      </c>
      <c r="AO255" s="466">
        <f t="shared" si="294"/>
        <v>0</v>
      </c>
      <c r="AP255" s="466">
        <f t="shared" si="294"/>
        <v>0</v>
      </c>
      <c r="AQ255" s="466">
        <f t="shared" si="294"/>
        <v>0</v>
      </c>
      <c r="AR255" s="466">
        <f t="shared" si="294"/>
        <v>0</v>
      </c>
      <c r="AS255" s="466">
        <f t="shared" si="294"/>
        <v>0</v>
      </c>
      <c r="AT255" s="466">
        <f t="shared" si="294"/>
        <v>0</v>
      </c>
      <c r="AU255" s="466">
        <f t="shared" si="294"/>
        <v>0</v>
      </c>
      <c r="AV255" s="466">
        <f t="shared" si="294"/>
        <v>0</v>
      </c>
      <c r="AW255" s="466">
        <f t="shared" si="294"/>
        <v>0</v>
      </c>
      <c r="AX255" s="466">
        <f t="shared" si="294"/>
        <v>0</v>
      </c>
      <c r="AY255" s="466">
        <f t="shared" si="294"/>
        <v>0</v>
      </c>
      <c r="AZ255" s="466">
        <f t="shared" si="294"/>
        <v>0</v>
      </c>
      <c r="BA255" s="466">
        <f t="shared" si="294"/>
        <v>0</v>
      </c>
      <c r="BB255" s="466">
        <f t="shared" si="294"/>
        <v>0</v>
      </c>
      <c r="BC255" s="466">
        <f t="shared" si="294"/>
        <v>0</v>
      </c>
      <c r="BD255" s="466">
        <f t="shared" si="294"/>
        <v>0</v>
      </c>
      <c r="BE255" s="466">
        <f t="shared" si="294"/>
        <v>0</v>
      </c>
    </row>
    <row r="256" spans="2:227">
      <c r="B256" s="29"/>
      <c r="C256" s="78" t="s">
        <v>559</v>
      </c>
      <c r="D256" s="466">
        <f>SUM(F256:BE256)</f>
        <v>5000</v>
      </c>
      <c r="E256" s="29" t="s">
        <v>130</v>
      </c>
      <c r="F256" s="466">
        <f>IF($G$186="等额本金",IF($G$187="月度",SUMIF($H$191:$CY$191,F251,$H$201:$CY$201),IF($G$187="季度",SUMIF($H$206:$AM$206,F251,$H$216:$AM$216),IF($G$187="半年度",SUMIF($H$221:$W$221,F251,$H$231:$W$231),IF($G$187="年度",SUMIF($H$236:$O$236,F251,$H$246:$O$246),0)))),IF($G$187="月度",SUMIF($H$191:$CY$191,F251,$H$195:$CY$195),IF($G$187="季度",SUMIF($H$206:$AM$206,F251,$H$210:$AM$210),IF($G$187="半年度",SUMIF($H$221:$W$221,F251,$H$225:$W$225),IF($G$187="年度",SUMIF($H$236:$O$236,F251,$H$240:$O$240),0)))))</f>
        <v>0</v>
      </c>
      <c r="G256" s="466">
        <f t="shared" ref="G256:AL256" si="295">IF($G$186="等额本金",IF($G$187="月度",SUMIF($H$191:$CY$191,G251,$H$201:$CY$201),IF($G$187="季度",SUMIF($H$206:$AM$206,G251,$H$216:$AM$216),IF($G$187="半年度",SUMIF($H$221:$W$221,G251,$H$231:$W$231),IF($G$187="年度",SUMIF($H$236:$O$236,G251,$H$246:$O$246),0)))),IF($G$187="月度",SUMIF($H$191:$CY$191,G251,$H$195:$CY$195),IF($G$187="季度",SUMIF($H$206:$AM$206,G251,$H$210:$AM$210),IF($G$187="半年度",SUMIF($H$221:$W$221,G251,$H$225:$W$225),IF($G$187="年度",SUMIF($H$236:$O$236,G251,$H$240:$O$240),0)))))</f>
        <v>0</v>
      </c>
      <c r="H256" s="466">
        <f t="shared" si="295"/>
        <v>0</v>
      </c>
      <c r="I256" s="466">
        <f t="shared" si="295"/>
        <v>0</v>
      </c>
      <c r="J256" s="466">
        <f t="shared" si="295"/>
        <v>0</v>
      </c>
      <c r="K256" s="466">
        <f t="shared" si="295"/>
        <v>0</v>
      </c>
      <c r="L256" s="466">
        <f t="shared" si="295"/>
        <v>0</v>
      </c>
      <c r="M256" s="466">
        <f t="shared" si="295"/>
        <v>0</v>
      </c>
      <c r="N256" s="466">
        <f t="shared" si="295"/>
        <v>0</v>
      </c>
      <c r="O256" s="466">
        <f t="shared" si="295"/>
        <v>0</v>
      </c>
      <c r="P256" s="571">
        <f t="shared" si="295"/>
        <v>0</v>
      </c>
      <c r="Q256" s="466">
        <f t="shared" si="295"/>
        <v>0</v>
      </c>
      <c r="R256" s="466">
        <f t="shared" si="295"/>
        <v>0</v>
      </c>
      <c r="S256" s="466">
        <f t="shared" si="295"/>
        <v>0</v>
      </c>
      <c r="T256" s="466">
        <f t="shared" si="295"/>
        <v>312.5</v>
      </c>
      <c r="U256" s="466">
        <f t="shared" si="295"/>
        <v>625</v>
      </c>
      <c r="V256" s="466">
        <f t="shared" si="295"/>
        <v>625</v>
      </c>
      <c r="W256" s="466">
        <f t="shared" si="295"/>
        <v>625</v>
      </c>
      <c r="X256" s="466">
        <f t="shared" si="295"/>
        <v>625</v>
      </c>
      <c r="Y256" s="466">
        <f t="shared" si="295"/>
        <v>625</v>
      </c>
      <c r="Z256" s="466">
        <f t="shared" si="295"/>
        <v>625</v>
      </c>
      <c r="AA256" s="466">
        <f t="shared" si="295"/>
        <v>625</v>
      </c>
      <c r="AB256" s="466">
        <f t="shared" si="295"/>
        <v>312.5</v>
      </c>
      <c r="AC256" s="466">
        <f t="shared" si="295"/>
        <v>0</v>
      </c>
      <c r="AD256" s="466">
        <f t="shared" si="295"/>
        <v>0</v>
      </c>
      <c r="AE256" s="466">
        <f t="shared" si="295"/>
        <v>0</v>
      </c>
      <c r="AF256" s="466">
        <f t="shared" si="295"/>
        <v>0</v>
      </c>
      <c r="AG256" s="466">
        <f t="shared" si="295"/>
        <v>0</v>
      </c>
      <c r="AH256" s="466">
        <f t="shared" si="295"/>
        <v>0</v>
      </c>
      <c r="AI256" s="466">
        <f t="shared" si="295"/>
        <v>0</v>
      </c>
      <c r="AJ256" s="466">
        <f t="shared" si="295"/>
        <v>0</v>
      </c>
      <c r="AK256" s="466">
        <f t="shared" si="295"/>
        <v>0</v>
      </c>
      <c r="AL256" s="466">
        <f t="shared" si="295"/>
        <v>0</v>
      </c>
      <c r="AM256" s="466">
        <f t="shared" ref="AM256:BE256" si="296">IF($G$186="等额本金",IF($G$187="月度",SUMIF($H$191:$CY$191,AM251,$H$201:$CY$201),IF($G$187="季度",SUMIF($H$206:$AM$206,AM251,$H$216:$AM$216),IF($G$187="半年度",SUMIF($H$221:$W$221,AM251,$H$231:$W$231),IF($G$187="年度",SUMIF($H$236:$O$236,AM251,$H$246:$O$246),0)))),IF($G$187="月度",SUMIF($H$191:$CY$191,AM251,$H$195:$CY$195),IF($G$187="季度",SUMIF($H$206:$AM$206,AM251,$H$210:$AM$210),IF($G$187="半年度",SUMIF($H$221:$W$221,AM251,$H$225:$W$225),IF($G$187="年度",SUMIF($H$236:$O$236,AM251,$H$240:$O$240),0)))))</f>
        <v>0</v>
      </c>
      <c r="AN256" s="466">
        <f t="shared" si="296"/>
        <v>0</v>
      </c>
      <c r="AO256" s="466">
        <f t="shared" si="296"/>
        <v>0</v>
      </c>
      <c r="AP256" s="466">
        <f t="shared" si="296"/>
        <v>0</v>
      </c>
      <c r="AQ256" s="466">
        <f t="shared" si="296"/>
        <v>0</v>
      </c>
      <c r="AR256" s="466">
        <f t="shared" si="296"/>
        <v>0</v>
      </c>
      <c r="AS256" s="466">
        <f t="shared" si="296"/>
        <v>0</v>
      </c>
      <c r="AT256" s="466">
        <f t="shared" si="296"/>
        <v>0</v>
      </c>
      <c r="AU256" s="466">
        <f t="shared" si="296"/>
        <v>0</v>
      </c>
      <c r="AV256" s="466">
        <f t="shared" si="296"/>
        <v>0</v>
      </c>
      <c r="AW256" s="466">
        <f t="shared" si="296"/>
        <v>0</v>
      </c>
      <c r="AX256" s="466">
        <f t="shared" si="296"/>
        <v>0</v>
      </c>
      <c r="AY256" s="466">
        <f t="shared" si="296"/>
        <v>0</v>
      </c>
      <c r="AZ256" s="466">
        <f t="shared" si="296"/>
        <v>0</v>
      </c>
      <c r="BA256" s="466">
        <f t="shared" si="296"/>
        <v>0</v>
      </c>
      <c r="BB256" s="466">
        <f t="shared" si="296"/>
        <v>0</v>
      </c>
      <c r="BC256" s="466">
        <f t="shared" si="296"/>
        <v>0</v>
      </c>
      <c r="BD256" s="466">
        <f t="shared" si="296"/>
        <v>0</v>
      </c>
      <c r="BE256" s="466">
        <f t="shared" si="296"/>
        <v>0</v>
      </c>
    </row>
    <row r="257" spans="2:57">
      <c r="B257" s="29"/>
      <c r="C257" s="576" t="s">
        <v>560</v>
      </c>
      <c r="D257" s="466">
        <f>SUM(F257:BE257)</f>
        <v>818.125</v>
      </c>
      <c r="E257" s="29" t="s">
        <v>130</v>
      </c>
      <c r="F257" s="466">
        <f>IF($G$186="等额本金",IF($G$187="月度",SUMIF($H$191:$CY$191,F251,$H$202:$CY$202),IF($G$187="季度",SUMIF($H$206:$AM$206,F251,$H$217:$AM$217),IF($G$187="半年度",SUMIF($H$221:$W$221,F251,$H$232:$W$232),IF($G$187="年度",SUMIF($H$236:$O$236,F251,$H$247:$O$247),0)))),IF($G$187="月度",SUMIF($H$191:$CY$191,F251,$H$196:$CY$196),IF($G$187="季度",SUMIF($H$206:$AM$206,F251,$H$211:$AM$211),IF($G$187="半年度",SUMIF($H$221:$W$221,F251,$H$226:$W$226),IF($G$187="年度",SUMIF($H$236:$O$236,F251,$H$241:$O$241),0)))))</f>
        <v>0</v>
      </c>
      <c r="G257" s="466">
        <f t="shared" ref="G257:AL257" si="297">IF($G$186="等额本金",IF($G$187="月度",SUMIF($H$191:$CY$191,G251,$H$202:$CY$202),IF($G$187="季度",SUMIF($H$206:$AM$206,G251,$H$217:$AM$217),IF($G$187="半年度",SUMIF($H$221:$W$221,G251,$H$232:$W$232),IF($G$187="年度",SUMIF($H$236:$O$236,G251,$H$247:$O$247),0)))),IF($G$187="月度",SUMIF($H$191:$CY$191,G251,$H$196:$CY$196),IF($G$187="季度",SUMIF($H$206:$AM$206,G251,$H$211:$AM$211),IF($G$187="半年度",SUMIF($H$221:$W$221,G251,$H$226:$W$226),IF($G$187="年度",SUMIF($H$236:$O$236,G251,$H$241:$O$241),0)))))</f>
        <v>0</v>
      </c>
      <c r="H257" s="466">
        <f t="shared" si="297"/>
        <v>0</v>
      </c>
      <c r="I257" s="466">
        <f t="shared" si="297"/>
        <v>0</v>
      </c>
      <c r="J257" s="466">
        <f t="shared" si="297"/>
        <v>0</v>
      </c>
      <c r="K257" s="466">
        <f t="shared" si="297"/>
        <v>0</v>
      </c>
      <c r="L257" s="466">
        <f t="shared" si="297"/>
        <v>0</v>
      </c>
      <c r="M257" s="466">
        <f t="shared" si="297"/>
        <v>0</v>
      </c>
      <c r="N257" s="466">
        <f t="shared" si="297"/>
        <v>0</v>
      </c>
      <c r="O257" s="466">
        <f t="shared" si="297"/>
        <v>0</v>
      </c>
      <c r="P257" s="571">
        <f t="shared" si="297"/>
        <v>0</v>
      </c>
      <c r="Q257" s="466">
        <f t="shared" si="297"/>
        <v>0</v>
      </c>
      <c r="R257" s="466">
        <f t="shared" si="297"/>
        <v>0</v>
      </c>
      <c r="S257" s="466">
        <f t="shared" si="297"/>
        <v>0</v>
      </c>
      <c r="T257" s="466">
        <f t="shared" si="297"/>
        <v>96.25</v>
      </c>
      <c r="U257" s="466">
        <f t="shared" si="297"/>
        <v>174.453125</v>
      </c>
      <c r="V257" s="466">
        <f t="shared" si="297"/>
        <v>150.390625</v>
      </c>
      <c r="W257" s="466">
        <f t="shared" si="297"/>
        <v>126.328125</v>
      </c>
      <c r="X257" s="466">
        <f t="shared" si="297"/>
        <v>102.265625</v>
      </c>
      <c r="Y257" s="466">
        <f t="shared" si="297"/>
        <v>78.203125</v>
      </c>
      <c r="Z257" s="466">
        <f t="shared" si="297"/>
        <v>54.140625</v>
      </c>
      <c r="AA257" s="466">
        <f t="shared" si="297"/>
        <v>30.078125</v>
      </c>
      <c r="AB257" s="466">
        <f t="shared" si="297"/>
        <v>6.015625</v>
      </c>
      <c r="AC257" s="466">
        <f t="shared" si="297"/>
        <v>0</v>
      </c>
      <c r="AD257" s="466">
        <f t="shared" si="297"/>
        <v>0</v>
      </c>
      <c r="AE257" s="466">
        <f t="shared" si="297"/>
        <v>0</v>
      </c>
      <c r="AF257" s="466">
        <f t="shared" si="297"/>
        <v>0</v>
      </c>
      <c r="AG257" s="466">
        <f t="shared" si="297"/>
        <v>0</v>
      </c>
      <c r="AH257" s="466">
        <f t="shared" si="297"/>
        <v>0</v>
      </c>
      <c r="AI257" s="466">
        <f t="shared" si="297"/>
        <v>0</v>
      </c>
      <c r="AJ257" s="466">
        <f t="shared" si="297"/>
        <v>0</v>
      </c>
      <c r="AK257" s="466">
        <f t="shared" si="297"/>
        <v>0</v>
      </c>
      <c r="AL257" s="466">
        <f t="shared" si="297"/>
        <v>0</v>
      </c>
      <c r="AM257" s="466">
        <f t="shared" ref="AM257:BE257" si="298">IF($G$186="等额本金",IF($G$187="月度",SUMIF($H$191:$CY$191,AM251,$H$202:$CY$202),IF($G$187="季度",SUMIF($H$206:$AM$206,AM251,$H$217:$AM$217),IF($G$187="半年度",SUMIF($H$221:$W$221,AM251,$H$232:$W$232),IF($G$187="年度",SUMIF($H$236:$O$236,AM251,$H$247:$O$247),0)))),IF($G$187="月度",SUMIF($H$191:$CY$191,AM251,$H$196:$CY$196),IF($G$187="季度",SUMIF($H$206:$AM$206,AM251,$H$211:$AM$211),IF($G$187="半年度",SUMIF($H$221:$W$221,AM251,$H$226:$W$226),IF($G$187="年度",SUMIF($H$236:$O$236,AM251,$H$241:$O$241),0)))))</f>
        <v>0</v>
      </c>
      <c r="AN257" s="466">
        <f t="shared" si="298"/>
        <v>0</v>
      </c>
      <c r="AO257" s="466">
        <f t="shared" si="298"/>
        <v>0</v>
      </c>
      <c r="AP257" s="466">
        <f t="shared" si="298"/>
        <v>0</v>
      </c>
      <c r="AQ257" s="466">
        <f t="shared" si="298"/>
        <v>0</v>
      </c>
      <c r="AR257" s="466">
        <f t="shared" si="298"/>
        <v>0</v>
      </c>
      <c r="AS257" s="466">
        <f t="shared" si="298"/>
        <v>0</v>
      </c>
      <c r="AT257" s="466">
        <f t="shared" si="298"/>
        <v>0</v>
      </c>
      <c r="AU257" s="466">
        <f t="shared" si="298"/>
        <v>0</v>
      </c>
      <c r="AV257" s="466">
        <f t="shared" si="298"/>
        <v>0</v>
      </c>
      <c r="AW257" s="466">
        <f t="shared" si="298"/>
        <v>0</v>
      </c>
      <c r="AX257" s="466">
        <f t="shared" si="298"/>
        <v>0</v>
      </c>
      <c r="AY257" s="466">
        <f t="shared" si="298"/>
        <v>0</v>
      </c>
      <c r="AZ257" s="466">
        <f t="shared" si="298"/>
        <v>0</v>
      </c>
      <c r="BA257" s="466">
        <f t="shared" si="298"/>
        <v>0</v>
      </c>
      <c r="BB257" s="466">
        <f t="shared" si="298"/>
        <v>0</v>
      </c>
      <c r="BC257" s="466">
        <f t="shared" si="298"/>
        <v>0</v>
      </c>
      <c r="BD257" s="466">
        <f t="shared" si="298"/>
        <v>0</v>
      </c>
      <c r="BE257" s="466">
        <f t="shared" si="298"/>
        <v>0</v>
      </c>
    </row>
    <row r="258" spans="2:57">
      <c r="B258" s="29">
        <v>4</v>
      </c>
      <c r="C258" s="144" t="s">
        <v>540</v>
      </c>
      <c r="D258" s="467">
        <f>BE258</f>
        <v>0</v>
      </c>
      <c r="E258" s="29" t="s">
        <v>130</v>
      </c>
      <c r="F258" s="466">
        <f>F253+F254-F256</f>
        <v>0</v>
      </c>
      <c r="G258" s="466">
        <f>G253+G254-G256</f>
        <v>0</v>
      </c>
      <c r="H258" s="466">
        <f t="shared" ref="H258:AM258" si="299">H253+H254-H256</f>
        <v>0</v>
      </c>
      <c r="I258" s="466">
        <f t="shared" si="299"/>
        <v>0</v>
      </c>
      <c r="J258" s="466">
        <f t="shared" si="299"/>
        <v>0</v>
      </c>
      <c r="K258" s="466">
        <f t="shared" si="299"/>
        <v>0</v>
      </c>
      <c r="L258" s="466">
        <f t="shared" si="299"/>
        <v>0</v>
      </c>
      <c r="M258" s="466">
        <f t="shared" si="299"/>
        <v>0</v>
      </c>
      <c r="N258" s="466">
        <f t="shared" si="299"/>
        <v>0</v>
      </c>
      <c r="O258" s="466">
        <f t="shared" si="299"/>
        <v>0</v>
      </c>
      <c r="P258" s="571">
        <f t="shared" si="299"/>
        <v>0</v>
      </c>
      <c r="Q258" s="466">
        <f t="shared" si="299"/>
        <v>0</v>
      </c>
      <c r="R258" s="466">
        <f t="shared" si="299"/>
        <v>0</v>
      </c>
      <c r="S258" s="466">
        <f t="shared" si="299"/>
        <v>0</v>
      </c>
      <c r="T258" s="466">
        <f t="shared" si="299"/>
        <v>4687.5</v>
      </c>
      <c r="U258" s="466">
        <f t="shared" si="299"/>
        <v>4062.5</v>
      </c>
      <c r="V258" s="466">
        <f t="shared" si="299"/>
        <v>3437.5</v>
      </c>
      <c r="W258" s="466">
        <f t="shared" si="299"/>
        <v>2812.5</v>
      </c>
      <c r="X258" s="466">
        <f t="shared" si="299"/>
        <v>2187.5</v>
      </c>
      <c r="Y258" s="466">
        <f t="shared" si="299"/>
        <v>1562.5</v>
      </c>
      <c r="Z258" s="466">
        <f t="shared" si="299"/>
        <v>937.5</v>
      </c>
      <c r="AA258" s="466">
        <f t="shared" si="299"/>
        <v>312.5</v>
      </c>
      <c r="AB258" s="466">
        <f t="shared" si="299"/>
        <v>0</v>
      </c>
      <c r="AC258" s="466">
        <f t="shared" si="299"/>
        <v>0</v>
      </c>
      <c r="AD258" s="466">
        <f t="shared" si="299"/>
        <v>0</v>
      </c>
      <c r="AE258" s="466">
        <f t="shared" si="299"/>
        <v>0</v>
      </c>
      <c r="AF258" s="466">
        <f t="shared" si="299"/>
        <v>0</v>
      </c>
      <c r="AG258" s="466">
        <f t="shared" si="299"/>
        <v>0</v>
      </c>
      <c r="AH258" s="466">
        <f t="shared" si="299"/>
        <v>0</v>
      </c>
      <c r="AI258" s="466">
        <f t="shared" si="299"/>
        <v>0</v>
      </c>
      <c r="AJ258" s="466">
        <f t="shared" si="299"/>
        <v>0</v>
      </c>
      <c r="AK258" s="466">
        <f t="shared" si="299"/>
        <v>0</v>
      </c>
      <c r="AL258" s="466">
        <f t="shared" si="299"/>
        <v>0</v>
      </c>
      <c r="AM258" s="466">
        <f t="shared" si="299"/>
        <v>0</v>
      </c>
      <c r="AN258" s="466">
        <f t="shared" ref="AN258:BE258" si="300">AN253+AN254-AN256</f>
        <v>0</v>
      </c>
      <c r="AO258" s="466">
        <f t="shared" si="300"/>
        <v>0</v>
      </c>
      <c r="AP258" s="466">
        <f t="shared" si="300"/>
        <v>0</v>
      </c>
      <c r="AQ258" s="466">
        <f t="shared" si="300"/>
        <v>0</v>
      </c>
      <c r="AR258" s="466">
        <f t="shared" si="300"/>
        <v>0</v>
      </c>
      <c r="AS258" s="466">
        <f t="shared" si="300"/>
        <v>0</v>
      </c>
      <c r="AT258" s="466">
        <f t="shared" si="300"/>
        <v>0</v>
      </c>
      <c r="AU258" s="466">
        <f t="shared" si="300"/>
        <v>0</v>
      </c>
      <c r="AV258" s="466">
        <f t="shared" si="300"/>
        <v>0</v>
      </c>
      <c r="AW258" s="466">
        <f t="shared" si="300"/>
        <v>0</v>
      </c>
      <c r="AX258" s="466">
        <f t="shared" si="300"/>
        <v>0</v>
      </c>
      <c r="AY258" s="466">
        <f t="shared" si="300"/>
        <v>0</v>
      </c>
      <c r="AZ258" s="466">
        <f t="shared" si="300"/>
        <v>0</v>
      </c>
      <c r="BA258" s="466">
        <f t="shared" si="300"/>
        <v>0</v>
      </c>
      <c r="BB258" s="466">
        <f t="shared" si="300"/>
        <v>0</v>
      </c>
      <c r="BC258" s="466">
        <f t="shared" si="300"/>
        <v>0</v>
      </c>
      <c r="BD258" s="466">
        <f t="shared" si="300"/>
        <v>0</v>
      </c>
      <c r="BE258" s="466">
        <f t="shared" si="300"/>
        <v>0</v>
      </c>
    </row>
    <row r="259" spans="2:57">
      <c r="B259" s="7"/>
      <c r="D259" s="572"/>
      <c r="E259" s="7"/>
      <c r="F259" s="501"/>
      <c r="G259" s="501"/>
      <c r="H259" s="501"/>
      <c r="I259" s="501"/>
      <c r="J259" s="501"/>
      <c r="K259" s="501"/>
      <c r="L259" s="501"/>
      <c r="M259" s="501"/>
      <c r="N259" s="501"/>
      <c r="O259" s="501"/>
      <c r="P259" s="501"/>
      <c r="Q259" s="501"/>
      <c r="R259" s="501"/>
      <c r="S259" s="501"/>
      <c r="T259" s="501"/>
      <c r="U259" s="501"/>
      <c r="V259" s="501"/>
      <c r="W259" s="501"/>
      <c r="X259" s="501"/>
      <c r="Y259" s="501"/>
      <c r="Z259" s="501"/>
      <c r="AA259" s="501"/>
      <c r="AB259" s="501"/>
      <c r="AC259" s="501"/>
      <c r="AD259" s="501"/>
      <c r="AE259" s="501"/>
      <c r="AF259" s="501"/>
      <c r="AG259" s="501"/>
      <c r="AH259" s="501"/>
      <c r="AI259" s="501"/>
      <c r="AJ259" s="501"/>
      <c r="AK259" s="501"/>
      <c r="AL259" s="501"/>
      <c r="AM259" s="501"/>
      <c r="AN259" s="501"/>
      <c r="AO259" s="501"/>
      <c r="AP259" s="501"/>
      <c r="AQ259" s="501"/>
      <c r="AR259" s="501"/>
      <c r="AS259" s="501"/>
      <c r="AT259" s="501"/>
      <c r="AU259" s="501"/>
      <c r="AV259" s="501"/>
      <c r="AW259" s="501"/>
      <c r="AX259" s="501"/>
      <c r="AY259" s="501"/>
      <c r="AZ259" s="501"/>
      <c r="BA259" s="501"/>
      <c r="BB259" s="501"/>
      <c r="BC259" s="501"/>
      <c r="BD259" s="501"/>
      <c r="BE259" s="501"/>
    </row>
    <row r="260" ht="19.95" customHeight="1" spans="2:57">
      <c r="B260" s="621" t="s">
        <v>669</v>
      </c>
      <c r="C260" s="563"/>
      <c r="D260" s="563"/>
      <c r="E260" s="563"/>
      <c r="F260" s="622"/>
      <c r="G260" s="622"/>
      <c r="H260" s="622"/>
      <c r="I260" s="622"/>
      <c r="J260" s="622"/>
      <c r="K260" s="622"/>
      <c r="L260" s="622"/>
      <c r="M260" s="622"/>
      <c r="N260" s="622"/>
      <c r="O260" s="622"/>
      <c r="P260" s="622"/>
      <c r="Q260" s="622"/>
      <c r="R260" s="622"/>
      <c r="S260" s="622"/>
      <c r="T260" s="622"/>
      <c r="U260" s="622"/>
      <c r="V260" s="622"/>
      <c r="W260" s="622"/>
      <c r="X260" s="622"/>
      <c r="Y260" s="622"/>
      <c r="Z260" s="622"/>
      <c r="AA260" s="622"/>
      <c r="AB260" s="622"/>
      <c r="AC260" s="622"/>
      <c r="AD260" s="622"/>
      <c r="AE260" s="622"/>
      <c r="AF260" s="622"/>
      <c r="AG260" s="622"/>
      <c r="AH260" s="622"/>
      <c r="AI260" s="622"/>
      <c r="AJ260" s="622"/>
      <c r="AK260" s="622"/>
      <c r="AL260" s="622"/>
      <c r="AM260" s="622"/>
      <c r="AN260" s="622"/>
      <c r="AO260" s="622"/>
      <c r="AP260" s="622"/>
      <c r="AQ260" s="622"/>
      <c r="AR260" s="622"/>
      <c r="AS260" s="622"/>
      <c r="AT260" s="622"/>
      <c r="AU260" s="622"/>
      <c r="AV260" s="622"/>
      <c r="AW260" s="622"/>
      <c r="AX260" s="622"/>
      <c r="AY260" s="622"/>
      <c r="AZ260" s="622"/>
      <c r="BA260" s="622"/>
      <c r="BB260" s="622"/>
      <c r="BC260" s="622"/>
      <c r="BD260" s="622"/>
      <c r="BE260" s="623"/>
    </row>
    <row r="261" spans="2:57">
      <c r="B261" s="566" t="s">
        <v>2</v>
      </c>
      <c r="C261" s="566" t="s">
        <v>430</v>
      </c>
      <c r="D261" s="566" t="s">
        <v>491</v>
      </c>
      <c r="E261" s="566" t="s">
        <v>9</v>
      </c>
      <c r="F261" s="444">
        <f>F3</f>
        <v>45016</v>
      </c>
      <c r="G261" s="575">
        <v>2023</v>
      </c>
      <c r="H261" s="575">
        <v>2024</v>
      </c>
      <c r="I261" s="575">
        <v>2025</v>
      </c>
      <c r="J261" s="575">
        <v>2026</v>
      </c>
      <c r="K261" s="575">
        <v>2027</v>
      </c>
      <c r="L261" s="575">
        <v>2028</v>
      </c>
      <c r="M261" s="446">
        <f>M3</f>
        <v>47361</v>
      </c>
      <c r="N261" s="568">
        <v>2029</v>
      </c>
      <c r="O261" s="446">
        <f>O3</f>
        <v>47695</v>
      </c>
      <c r="P261" s="447">
        <f>P3</f>
        <v>47726</v>
      </c>
      <c r="Q261" s="570">
        <v>2030</v>
      </c>
      <c r="R261" s="570">
        <v>2031</v>
      </c>
      <c r="S261" s="570">
        <v>2032</v>
      </c>
      <c r="T261" s="570">
        <v>2033</v>
      </c>
      <c r="U261" s="570">
        <v>2034</v>
      </c>
      <c r="V261" s="570">
        <v>2035</v>
      </c>
      <c r="W261" s="570">
        <v>2036</v>
      </c>
      <c r="X261" s="570">
        <v>2037</v>
      </c>
      <c r="Y261" s="570">
        <v>2038</v>
      </c>
      <c r="Z261" s="570">
        <v>2039</v>
      </c>
      <c r="AA261" s="570">
        <v>2040</v>
      </c>
      <c r="AB261" s="570">
        <v>2041</v>
      </c>
      <c r="AC261" s="570">
        <v>2042</v>
      </c>
      <c r="AD261" s="570">
        <v>2043</v>
      </c>
      <c r="AE261" s="570">
        <v>2044</v>
      </c>
      <c r="AF261" s="570">
        <v>2045</v>
      </c>
      <c r="AG261" s="570">
        <v>2046</v>
      </c>
      <c r="AH261" s="570">
        <v>2047</v>
      </c>
      <c r="AI261" s="570">
        <v>2048</v>
      </c>
      <c r="AJ261" s="570">
        <v>2049</v>
      </c>
      <c r="AK261" s="570">
        <v>2050</v>
      </c>
      <c r="AL261" s="570">
        <v>2051</v>
      </c>
      <c r="AM261" s="570">
        <v>2052</v>
      </c>
      <c r="AN261" s="570">
        <v>2053</v>
      </c>
      <c r="AO261" s="570">
        <v>2054</v>
      </c>
      <c r="AP261" s="570">
        <v>2055</v>
      </c>
      <c r="AQ261" s="570">
        <v>2056</v>
      </c>
      <c r="AR261" s="570">
        <v>2057</v>
      </c>
      <c r="AS261" s="570">
        <v>2058</v>
      </c>
      <c r="AT261" s="570">
        <v>2059</v>
      </c>
      <c r="AU261" s="570">
        <v>2060</v>
      </c>
      <c r="AV261" s="570">
        <v>2061</v>
      </c>
      <c r="AW261" s="570">
        <v>2062</v>
      </c>
      <c r="AX261" s="570">
        <v>2063</v>
      </c>
      <c r="AY261" s="570">
        <v>2064</v>
      </c>
      <c r="AZ261" s="570">
        <v>2065</v>
      </c>
      <c r="BA261" s="570">
        <v>2066</v>
      </c>
      <c r="BB261" s="570">
        <v>2067</v>
      </c>
      <c r="BC261" s="570">
        <v>2068</v>
      </c>
      <c r="BD261" s="570">
        <v>2069</v>
      </c>
      <c r="BE261" s="570">
        <v>2070</v>
      </c>
    </row>
    <row r="262" spans="2:57">
      <c r="B262" s="566"/>
      <c r="C262" s="566"/>
      <c r="D262" s="566"/>
      <c r="E262" s="566"/>
      <c r="F262" s="18"/>
      <c r="G262" s="18">
        <v>1</v>
      </c>
      <c r="H262" s="18">
        <v>2</v>
      </c>
      <c r="I262" s="18">
        <v>3</v>
      </c>
      <c r="J262" s="18">
        <v>4</v>
      </c>
      <c r="K262" s="18">
        <v>5</v>
      </c>
      <c r="L262" s="18">
        <v>6</v>
      </c>
      <c r="M262" s="19"/>
      <c r="N262" s="19">
        <v>7</v>
      </c>
      <c r="O262" s="19"/>
      <c r="P262" s="624"/>
      <c r="Q262" s="20">
        <v>8</v>
      </c>
      <c r="R262" s="20">
        <v>9</v>
      </c>
      <c r="S262" s="20">
        <v>10</v>
      </c>
      <c r="T262" s="20">
        <v>11</v>
      </c>
      <c r="U262" s="20">
        <v>12</v>
      </c>
      <c r="V262" s="20">
        <v>13</v>
      </c>
      <c r="W262" s="20">
        <v>14</v>
      </c>
      <c r="X262" s="20">
        <v>15</v>
      </c>
      <c r="Y262" s="20">
        <v>16</v>
      </c>
      <c r="Z262" s="20">
        <v>17</v>
      </c>
      <c r="AA262" s="20">
        <v>18</v>
      </c>
      <c r="AB262" s="20">
        <v>19</v>
      </c>
      <c r="AC262" s="20">
        <v>20</v>
      </c>
      <c r="AD262" s="20">
        <v>21</v>
      </c>
      <c r="AE262" s="20">
        <v>22</v>
      </c>
      <c r="AF262" s="20">
        <v>23</v>
      </c>
      <c r="AG262" s="20">
        <v>24</v>
      </c>
      <c r="AH262" s="20">
        <v>25</v>
      </c>
      <c r="AI262" s="20">
        <v>26</v>
      </c>
      <c r="AJ262" s="20">
        <v>27</v>
      </c>
      <c r="AK262" s="20">
        <v>28</v>
      </c>
      <c r="AL262" s="20">
        <v>29</v>
      </c>
      <c r="AM262" s="20">
        <v>30</v>
      </c>
      <c r="AN262" s="20">
        <v>31</v>
      </c>
      <c r="AO262" s="20">
        <v>32</v>
      </c>
      <c r="AP262" s="20">
        <v>33</v>
      </c>
      <c r="AQ262" s="20">
        <v>34</v>
      </c>
      <c r="AR262" s="20">
        <v>35</v>
      </c>
      <c r="AS262" s="20">
        <v>36</v>
      </c>
      <c r="AT262" s="20">
        <v>37</v>
      </c>
      <c r="AU262" s="20">
        <v>38</v>
      </c>
      <c r="AV262" s="20">
        <v>39</v>
      </c>
      <c r="AW262" s="20">
        <v>40</v>
      </c>
      <c r="AX262" s="20">
        <v>41</v>
      </c>
      <c r="AY262" s="20">
        <v>42</v>
      </c>
      <c r="AZ262" s="20">
        <v>43</v>
      </c>
      <c r="BA262" s="20">
        <v>44</v>
      </c>
      <c r="BB262" s="20">
        <v>45</v>
      </c>
      <c r="BC262" s="20">
        <v>46</v>
      </c>
      <c r="BD262" s="20">
        <v>47</v>
      </c>
      <c r="BE262" s="20">
        <v>48</v>
      </c>
    </row>
    <row r="263" spans="2:57">
      <c r="B263" s="29">
        <v>1</v>
      </c>
      <c r="C263" s="144" t="s">
        <v>535</v>
      </c>
      <c r="D263" s="466"/>
      <c r="E263" s="29" t="s">
        <v>130</v>
      </c>
      <c r="F263" s="466"/>
      <c r="G263" s="466"/>
      <c r="H263" s="466"/>
      <c r="I263" s="466"/>
      <c r="J263" s="466"/>
      <c r="K263" s="466"/>
      <c r="L263" s="466"/>
      <c r="M263" s="466"/>
      <c r="N263" s="466"/>
      <c r="O263" s="466"/>
      <c r="P263" s="466"/>
      <c r="Q263" s="466"/>
      <c r="R263" s="466"/>
      <c r="S263" s="466"/>
      <c r="T263" s="466"/>
      <c r="U263" s="466"/>
      <c r="V263" s="466"/>
      <c r="W263" s="466"/>
      <c r="X263" s="466"/>
      <c r="Y263" s="466"/>
      <c r="Z263" s="466"/>
      <c r="AA263" s="466"/>
      <c r="AB263" s="466"/>
      <c r="AC263" s="466"/>
      <c r="AD263" s="466"/>
      <c r="AE263" s="466"/>
      <c r="AF263" s="466"/>
      <c r="AG263" s="466"/>
      <c r="AH263" s="466"/>
      <c r="AI263" s="466"/>
      <c r="AJ263" s="466"/>
      <c r="AK263" s="466"/>
      <c r="AL263" s="466"/>
      <c r="AM263" s="466"/>
      <c r="AN263" s="466"/>
      <c r="AO263" s="466"/>
      <c r="AP263" s="466"/>
      <c r="AQ263" s="466"/>
      <c r="AR263" s="466"/>
      <c r="AS263" s="466"/>
      <c r="AT263" s="466"/>
      <c r="AU263" s="466"/>
      <c r="AV263" s="466"/>
      <c r="AW263" s="466"/>
      <c r="AX263" s="466"/>
      <c r="AY263" s="466"/>
      <c r="AZ263" s="466"/>
      <c r="BA263" s="466"/>
      <c r="BB263" s="466"/>
      <c r="BC263" s="466"/>
      <c r="BD263" s="466"/>
      <c r="BE263" s="466"/>
    </row>
    <row r="264" spans="2:57">
      <c r="B264" s="29">
        <v>2</v>
      </c>
      <c r="C264" s="144" t="s">
        <v>536</v>
      </c>
      <c r="D264" s="466">
        <f>SUM(F264:BE264)</f>
        <v>0</v>
      </c>
      <c r="E264" s="29" t="s">
        <v>130</v>
      </c>
      <c r="F264" s="466"/>
      <c r="G264" s="466"/>
      <c r="H264" s="466"/>
      <c r="I264" s="466"/>
      <c r="J264" s="466"/>
      <c r="K264" s="466"/>
      <c r="L264" s="466"/>
      <c r="M264" s="466"/>
      <c r="N264" s="466"/>
      <c r="O264" s="466"/>
      <c r="P264" s="466"/>
      <c r="Q264" s="466"/>
      <c r="R264" s="466"/>
      <c r="S264" s="466"/>
      <c r="T264" s="466"/>
      <c r="U264" s="466"/>
      <c r="V264" s="466"/>
      <c r="W264" s="466"/>
      <c r="X264" s="466"/>
      <c r="Y264" s="466"/>
      <c r="Z264" s="466"/>
      <c r="AA264" s="466"/>
      <c r="AB264" s="466"/>
      <c r="AC264" s="466"/>
      <c r="AD264" s="466"/>
      <c r="AE264" s="466"/>
      <c r="AF264" s="466"/>
      <c r="AG264" s="466"/>
      <c r="AH264" s="466"/>
      <c r="AI264" s="466"/>
      <c r="AJ264" s="466"/>
      <c r="AK264" s="466"/>
      <c r="AL264" s="466"/>
      <c r="AM264" s="466"/>
      <c r="AN264" s="466"/>
      <c r="AO264" s="466"/>
      <c r="AP264" s="466"/>
      <c r="AQ264" s="466"/>
      <c r="AR264" s="466"/>
      <c r="AS264" s="466"/>
      <c r="AT264" s="466"/>
      <c r="AU264" s="466"/>
      <c r="AV264" s="466"/>
      <c r="AW264" s="466"/>
      <c r="AX264" s="466"/>
      <c r="AY264" s="466"/>
      <c r="AZ264" s="466"/>
      <c r="BA264" s="466"/>
      <c r="BB264" s="466"/>
      <c r="BC264" s="466"/>
      <c r="BD264" s="466"/>
      <c r="BE264" s="466"/>
    </row>
    <row r="265" spans="2:57">
      <c r="B265" s="29">
        <v>3</v>
      </c>
      <c r="C265" s="144" t="s">
        <v>537</v>
      </c>
      <c r="D265" s="466">
        <f>SUM(F265:BE265)</f>
        <v>0</v>
      </c>
      <c r="E265" s="29" t="s">
        <v>130</v>
      </c>
      <c r="F265" s="466"/>
      <c r="G265" s="466"/>
      <c r="H265" s="466"/>
      <c r="I265" s="466"/>
      <c r="J265" s="466"/>
      <c r="K265" s="466"/>
      <c r="L265" s="466"/>
      <c r="M265" s="466"/>
      <c r="N265" s="466"/>
      <c r="O265" s="466"/>
      <c r="P265" s="466"/>
      <c r="Q265" s="466"/>
      <c r="R265" s="466"/>
      <c r="S265" s="466"/>
      <c r="T265" s="466"/>
      <c r="U265" s="466"/>
      <c r="V265" s="466"/>
      <c r="W265" s="466"/>
      <c r="X265" s="466"/>
      <c r="Y265" s="466"/>
      <c r="Z265" s="466"/>
      <c r="AA265" s="466"/>
      <c r="AB265" s="466"/>
      <c r="AC265" s="466"/>
      <c r="AD265" s="466"/>
      <c r="AE265" s="466"/>
      <c r="AF265" s="466"/>
      <c r="AG265" s="466"/>
      <c r="AH265" s="466"/>
      <c r="AI265" s="466"/>
      <c r="AJ265" s="466"/>
      <c r="AK265" s="466"/>
      <c r="AL265" s="466"/>
      <c r="AM265" s="466"/>
      <c r="AN265" s="466"/>
      <c r="AO265" s="466"/>
      <c r="AP265" s="466"/>
      <c r="AQ265" s="466"/>
      <c r="AR265" s="466"/>
      <c r="AS265" s="466"/>
      <c r="AT265" s="466"/>
      <c r="AU265" s="466"/>
      <c r="AV265" s="466"/>
      <c r="AW265" s="466"/>
      <c r="AX265" s="466"/>
      <c r="AY265" s="466"/>
      <c r="AZ265" s="466"/>
      <c r="BA265" s="466"/>
      <c r="BB265" s="466"/>
      <c r="BC265" s="466"/>
      <c r="BD265" s="466"/>
      <c r="BE265" s="466"/>
    </row>
    <row r="266" spans="2:57">
      <c r="B266" s="29"/>
      <c r="C266" s="145" t="s">
        <v>538</v>
      </c>
      <c r="D266" s="466">
        <f>SUM(F266:BE266)</f>
        <v>0</v>
      </c>
      <c r="E266" s="29" t="s">
        <v>130</v>
      </c>
      <c r="F266" s="466"/>
      <c r="G266" s="466"/>
      <c r="H266" s="466"/>
      <c r="I266" s="466"/>
      <c r="J266" s="466"/>
      <c r="K266" s="466"/>
      <c r="L266" s="466"/>
      <c r="M266" s="466"/>
      <c r="N266" s="466"/>
      <c r="O266" s="466"/>
      <c r="P266" s="466"/>
      <c r="Q266" s="466"/>
      <c r="R266" s="466"/>
      <c r="S266" s="466"/>
      <c r="T266" s="466"/>
      <c r="U266" s="466"/>
      <c r="V266" s="466"/>
      <c r="W266" s="466"/>
      <c r="X266" s="466"/>
      <c r="Y266" s="466"/>
      <c r="Z266" s="466"/>
      <c r="AA266" s="466"/>
      <c r="AB266" s="466"/>
      <c r="AC266" s="466"/>
      <c r="AD266" s="466"/>
      <c r="AE266" s="466"/>
      <c r="AF266" s="466"/>
      <c r="AG266" s="466"/>
      <c r="AH266" s="466"/>
      <c r="AI266" s="466"/>
      <c r="AJ266" s="466"/>
      <c r="AK266" s="466"/>
      <c r="AL266" s="466"/>
      <c r="AM266" s="466"/>
      <c r="AN266" s="466"/>
      <c r="AO266" s="466"/>
      <c r="AP266" s="466"/>
      <c r="AQ266" s="466"/>
      <c r="AR266" s="466"/>
      <c r="AS266" s="466"/>
      <c r="AT266" s="466"/>
      <c r="AU266" s="466"/>
      <c r="AV266" s="466"/>
      <c r="AW266" s="466"/>
      <c r="AX266" s="466"/>
      <c r="AY266" s="466"/>
      <c r="AZ266" s="466"/>
      <c r="BA266" s="466"/>
      <c r="BB266" s="466"/>
      <c r="BC266" s="466"/>
      <c r="BD266" s="466"/>
      <c r="BE266" s="466"/>
    </row>
    <row r="267" spans="2:57">
      <c r="B267" s="29"/>
      <c r="C267" s="33" t="s">
        <v>539</v>
      </c>
      <c r="D267" s="466">
        <f>SUM(F267:BE267)</f>
        <v>0</v>
      </c>
      <c r="E267" s="29" t="s">
        <v>130</v>
      </c>
      <c r="F267" s="466"/>
      <c r="G267" s="466"/>
      <c r="H267" s="466"/>
      <c r="I267" s="466"/>
      <c r="J267" s="466"/>
      <c r="K267" s="466"/>
      <c r="L267" s="466"/>
      <c r="M267" s="466"/>
      <c r="N267" s="466"/>
      <c r="O267" s="466"/>
      <c r="P267" s="466"/>
      <c r="Q267" s="466"/>
      <c r="R267" s="466"/>
      <c r="S267" s="466"/>
      <c r="T267" s="466"/>
      <c r="U267" s="466"/>
      <c r="V267" s="466"/>
      <c r="W267" s="466"/>
      <c r="X267" s="466"/>
      <c r="Y267" s="466"/>
      <c r="Z267" s="466"/>
      <c r="AA267" s="466"/>
      <c r="AB267" s="466"/>
      <c r="AC267" s="466"/>
      <c r="AD267" s="466"/>
      <c r="AE267" s="466"/>
      <c r="AF267" s="466"/>
      <c r="AG267" s="466"/>
      <c r="AH267" s="466"/>
      <c r="AI267" s="466"/>
      <c r="AJ267" s="466"/>
      <c r="AK267" s="466"/>
      <c r="AL267" s="466"/>
      <c r="AM267" s="466"/>
      <c r="AN267" s="466"/>
      <c r="AO267" s="466"/>
      <c r="AP267" s="466"/>
      <c r="AQ267" s="466"/>
      <c r="AR267" s="466"/>
      <c r="AS267" s="466"/>
      <c r="AT267" s="466"/>
      <c r="AU267" s="466"/>
      <c r="AV267" s="466"/>
      <c r="AW267" s="466"/>
      <c r="AX267" s="466"/>
      <c r="AY267" s="466"/>
      <c r="AZ267" s="466"/>
      <c r="BA267" s="466"/>
      <c r="BB267" s="466"/>
      <c r="BC267" s="466"/>
      <c r="BD267" s="466"/>
      <c r="BE267" s="466"/>
    </row>
    <row r="268" spans="2:57">
      <c r="B268" s="29">
        <v>4</v>
      </c>
      <c r="C268" s="144" t="s">
        <v>540</v>
      </c>
      <c r="D268" s="467">
        <f>BE268</f>
        <v>0</v>
      </c>
      <c r="E268" s="29" t="s">
        <v>130</v>
      </c>
      <c r="F268" s="466"/>
      <c r="G268" s="466"/>
      <c r="H268" s="466"/>
      <c r="I268" s="466"/>
      <c r="J268" s="466"/>
      <c r="K268" s="466"/>
      <c r="L268" s="466"/>
      <c r="M268" s="466"/>
      <c r="N268" s="466"/>
      <c r="O268" s="466"/>
      <c r="P268" s="466"/>
      <c r="Q268" s="466"/>
      <c r="R268" s="466"/>
      <c r="S268" s="466"/>
      <c r="T268" s="466"/>
      <c r="U268" s="466"/>
      <c r="V268" s="466"/>
      <c r="W268" s="466"/>
      <c r="X268" s="466"/>
      <c r="Y268" s="466"/>
      <c r="Z268" s="466"/>
      <c r="AA268" s="466"/>
      <c r="AB268" s="466"/>
      <c r="AC268" s="466"/>
      <c r="AD268" s="466"/>
      <c r="AE268" s="466"/>
      <c r="AF268" s="466"/>
      <c r="AG268" s="466"/>
      <c r="AH268" s="466"/>
      <c r="AI268" s="466"/>
      <c r="AJ268" s="466"/>
      <c r="AK268" s="466"/>
      <c r="AL268" s="466"/>
      <c r="AM268" s="466"/>
      <c r="AN268" s="466"/>
      <c r="AO268" s="466"/>
      <c r="AP268" s="466"/>
      <c r="AQ268" s="466"/>
      <c r="AR268" s="466"/>
      <c r="AS268" s="466"/>
      <c r="AT268" s="466"/>
      <c r="AU268" s="466"/>
      <c r="AV268" s="466"/>
      <c r="AW268" s="466"/>
      <c r="AX268" s="466"/>
      <c r="AY268" s="466"/>
      <c r="AZ268" s="466"/>
      <c r="BA268" s="466"/>
      <c r="BB268" s="466"/>
      <c r="BC268" s="466"/>
      <c r="BD268" s="466"/>
      <c r="BE268" s="466"/>
    </row>
    <row r="269" spans="2:57">
      <c r="B269" s="233"/>
      <c r="C269" s="212"/>
      <c r="D269" s="615"/>
      <c r="E269" s="233"/>
      <c r="F269" s="233"/>
      <c r="G269" s="494"/>
      <c r="H269" s="494"/>
      <c r="I269" s="494"/>
      <c r="J269" s="494"/>
      <c r="K269" s="494"/>
      <c r="L269" s="494"/>
      <c r="M269" s="494"/>
      <c r="N269" s="494"/>
      <c r="O269" s="494"/>
      <c r="P269" s="494"/>
      <c r="Q269" s="494"/>
      <c r="R269" s="494"/>
      <c r="S269" s="494"/>
      <c r="T269" s="494"/>
      <c r="U269" s="494"/>
      <c r="V269" s="494"/>
      <c r="W269" s="494"/>
      <c r="X269" s="494"/>
      <c r="Y269" s="494"/>
      <c r="Z269" s="494"/>
      <c r="AA269" s="494"/>
      <c r="AB269" s="494"/>
      <c r="AC269" s="494"/>
      <c r="AD269" s="494"/>
      <c r="AE269" s="494"/>
      <c r="AF269" s="494"/>
      <c r="AG269" s="494"/>
      <c r="AH269" s="494"/>
      <c r="AI269" s="494"/>
      <c r="AJ269" s="494"/>
      <c r="AK269" s="494"/>
      <c r="AL269" s="494"/>
      <c r="AM269" s="494"/>
      <c r="AN269" s="494"/>
      <c r="AO269" s="494"/>
      <c r="AP269" s="494"/>
      <c r="AQ269" s="494"/>
      <c r="AR269" s="494"/>
      <c r="AS269" s="494"/>
      <c r="AT269" s="494"/>
      <c r="AU269" s="494"/>
      <c r="AV269" s="494"/>
      <c r="AW269" s="494"/>
      <c r="AX269" s="494"/>
      <c r="AY269" s="494"/>
      <c r="AZ269" s="494"/>
      <c r="BA269" s="494"/>
      <c r="BB269" s="494"/>
      <c r="BC269" s="494"/>
      <c r="BD269" s="494"/>
      <c r="BE269" s="494"/>
    </row>
    <row r="270" spans="2:57">
      <c r="B270" s="562" t="s">
        <v>670</v>
      </c>
      <c r="C270" s="563"/>
      <c r="D270" s="563"/>
      <c r="E270" s="563"/>
      <c r="F270" s="563"/>
      <c r="G270" s="563"/>
      <c r="H270" s="563"/>
      <c r="I270" s="563"/>
      <c r="J270" s="563"/>
      <c r="K270" s="563"/>
      <c r="L270" s="563"/>
      <c r="M270" s="563"/>
      <c r="N270" s="625">
        <f>时间序列!C15</f>
        <v>11</v>
      </c>
      <c r="O270" s="563"/>
      <c r="P270" s="563"/>
      <c r="Q270" s="625">
        <f>时间序列!D15</f>
        <v>12</v>
      </c>
      <c r="R270" s="625">
        <f>时间序列!E15</f>
        <v>12</v>
      </c>
      <c r="S270" s="625">
        <f>时间序列!F15</f>
        <v>12</v>
      </c>
      <c r="T270" s="625">
        <f>时间序列!G15</f>
        <v>12</v>
      </c>
      <c r="U270" s="625">
        <f>时间序列!H15</f>
        <v>12</v>
      </c>
      <c r="V270" s="625">
        <f>时间序列!I15</f>
        <v>12</v>
      </c>
      <c r="W270" s="625">
        <f>时间序列!J15</f>
        <v>12</v>
      </c>
      <c r="X270" s="625">
        <f>时间序列!K15</f>
        <v>12</v>
      </c>
      <c r="Y270" s="625">
        <f>时间序列!L15</f>
        <v>12</v>
      </c>
      <c r="Z270" s="625">
        <f>时间序列!M15</f>
        <v>12</v>
      </c>
      <c r="AA270" s="625">
        <f>时间序列!N15</f>
        <v>12</v>
      </c>
      <c r="AB270" s="625">
        <f>时间序列!O15</f>
        <v>12</v>
      </c>
      <c r="AC270" s="625">
        <f>时间序列!P15</f>
        <v>12</v>
      </c>
      <c r="AD270" s="625">
        <f>时间序列!Q15</f>
        <v>12</v>
      </c>
      <c r="AE270" s="625">
        <f>时间序列!R15</f>
        <v>12</v>
      </c>
      <c r="AF270" s="625">
        <f>时间序列!S15</f>
        <v>12</v>
      </c>
      <c r="AG270" s="625">
        <f>时间序列!T15</f>
        <v>12</v>
      </c>
      <c r="AH270" s="625">
        <f>时间序列!U15</f>
        <v>12</v>
      </c>
      <c r="AI270" s="625">
        <f>时间序列!V15</f>
        <v>12</v>
      </c>
      <c r="AJ270" s="625">
        <f>时间序列!W15</f>
        <v>12</v>
      </c>
      <c r="AK270" s="625">
        <f>时间序列!X15</f>
        <v>12</v>
      </c>
      <c r="AL270" s="625">
        <f>时间序列!Y15</f>
        <v>12</v>
      </c>
      <c r="AM270" s="625">
        <f>时间序列!Z15</f>
        <v>12</v>
      </c>
      <c r="AN270" s="625">
        <f>时间序列!AA15</f>
        <v>12</v>
      </c>
      <c r="AO270" s="625">
        <f>时间序列!AB15</f>
        <v>12</v>
      </c>
      <c r="AP270" s="625">
        <f>时间序列!AC15</f>
        <v>12</v>
      </c>
      <c r="AQ270" s="625">
        <f>时间序列!AD15</f>
        <v>12</v>
      </c>
      <c r="AR270" s="625">
        <f>时间序列!AE15</f>
        <v>12</v>
      </c>
      <c r="AS270" s="625">
        <f>时间序列!AF15</f>
        <v>12</v>
      </c>
      <c r="AT270" s="625">
        <f>时间序列!AG15</f>
        <v>12</v>
      </c>
      <c r="AU270" s="625">
        <f>时间序列!AH15</f>
        <v>12</v>
      </c>
      <c r="AV270" s="625">
        <f>时间序列!AI15</f>
        <v>12</v>
      </c>
      <c r="AW270" s="625">
        <f>时间序列!AJ15</f>
        <v>12</v>
      </c>
      <c r="AX270" s="625">
        <f>时间序列!AK15</f>
        <v>12</v>
      </c>
      <c r="AY270" s="625">
        <f>时间序列!AL15</f>
        <v>12</v>
      </c>
      <c r="AZ270" s="625">
        <f>时间序列!AM15</f>
        <v>12</v>
      </c>
      <c r="BA270" s="625">
        <f>时间序列!AN15</f>
        <v>12</v>
      </c>
      <c r="BB270" s="625">
        <f>时间序列!AO15</f>
        <v>12</v>
      </c>
      <c r="BC270" s="625">
        <f>时间序列!AP15</f>
        <v>12</v>
      </c>
      <c r="BD270" s="625">
        <f>时间序列!AQ15</f>
        <v>12</v>
      </c>
      <c r="BE270" s="626">
        <f>时间序列!AR15</f>
        <v>7</v>
      </c>
    </row>
    <row r="271" spans="2:57">
      <c r="B271" s="566" t="s">
        <v>2</v>
      </c>
      <c r="C271" s="566" t="s">
        <v>430</v>
      </c>
      <c r="D271" s="566" t="s">
        <v>491</v>
      </c>
      <c r="E271" s="566" t="s">
        <v>9</v>
      </c>
      <c r="F271" s="444">
        <f>F3</f>
        <v>45016</v>
      </c>
      <c r="G271" s="567">
        <v>2023</v>
      </c>
      <c r="H271" s="567">
        <v>2024</v>
      </c>
      <c r="I271" s="567">
        <v>2025</v>
      </c>
      <c r="J271" s="567">
        <v>2026</v>
      </c>
      <c r="K271" s="567">
        <v>2027</v>
      </c>
      <c r="L271" s="567">
        <v>2028</v>
      </c>
      <c r="M271" s="446">
        <f>M3</f>
        <v>47361</v>
      </c>
      <c r="N271" s="568">
        <v>2029</v>
      </c>
      <c r="O271" s="446">
        <f>O3</f>
        <v>47695</v>
      </c>
      <c r="P271" s="569">
        <f>P3</f>
        <v>47726</v>
      </c>
      <c r="Q271" s="570">
        <v>2030</v>
      </c>
      <c r="R271" s="570">
        <v>2031</v>
      </c>
      <c r="S271" s="570">
        <v>2032</v>
      </c>
      <c r="T271" s="570">
        <v>2033</v>
      </c>
      <c r="U271" s="570">
        <v>2034</v>
      </c>
      <c r="V271" s="570">
        <v>2035</v>
      </c>
      <c r="W271" s="570">
        <v>2036</v>
      </c>
      <c r="X271" s="570">
        <v>2037</v>
      </c>
      <c r="Y271" s="570">
        <v>2038</v>
      </c>
      <c r="Z271" s="570">
        <v>2039</v>
      </c>
      <c r="AA271" s="570">
        <v>2040</v>
      </c>
      <c r="AB271" s="570">
        <v>2041</v>
      </c>
      <c r="AC271" s="570">
        <v>2042</v>
      </c>
      <c r="AD271" s="570">
        <v>2043</v>
      </c>
      <c r="AE271" s="570">
        <v>2044</v>
      </c>
      <c r="AF271" s="570">
        <v>2045</v>
      </c>
      <c r="AG271" s="570">
        <v>2046</v>
      </c>
      <c r="AH271" s="570">
        <v>2047</v>
      </c>
      <c r="AI271" s="570">
        <v>2048</v>
      </c>
      <c r="AJ271" s="570">
        <v>2049</v>
      </c>
      <c r="AK271" s="570">
        <v>2050</v>
      </c>
      <c r="AL271" s="570">
        <v>2051</v>
      </c>
      <c r="AM271" s="570">
        <v>2052</v>
      </c>
      <c r="AN271" s="570">
        <v>2053</v>
      </c>
      <c r="AO271" s="570">
        <v>2054</v>
      </c>
      <c r="AP271" s="570">
        <v>2055</v>
      </c>
      <c r="AQ271" s="570">
        <v>2056</v>
      </c>
      <c r="AR271" s="570">
        <v>2057</v>
      </c>
      <c r="AS271" s="570">
        <v>2058</v>
      </c>
      <c r="AT271" s="570">
        <v>2059</v>
      </c>
      <c r="AU271" s="570">
        <v>2060</v>
      </c>
      <c r="AV271" s="570">
        <v>2061</v>
      </c>
      <c r="AW271" s="570">
        <v>2062</v>
      </c>
      <c r="AX271" s="570">
        <v>2063</v>
      </c>
      <c r="AY271" s="570">
        <v>2064</v>
      </c>
      <c r="AZ271" s="570">
        <v>2065</v>
      </c>
      <c r="BA271" s="570">
        <v>2066</v>
      </c>
      <c r="BB271" s="570">
        <v>2067</v>
      </c>
      <c r="BC271" s="570">
        <v>2068</v>
      </c>
      <c r="BD271" s="570">
        <v>2069</v>
      </c>
      <c r="BE271" s="570">
        <v>2070</v>
      </c>
    </row>
    <row r="272" spans="2:57">
      <c r="B272" s="566"/>
      <c r="C272" s="566"/>
      <c r="D272" s="566"/>
      <c r="E272" s="566"/>
      <c r="F272" s="18"/>
      <c r="G272" s="18">
        <v>1</v>
      </c>
      <c r="H272" s="18">
        <v>2</v>
      </c>
      <c r="I272" s="18">
        <v>3</v>
      </c>
      <c r="J272" s="18">
        <v>4</v>
      </c>
      <c r="K272" s="18">
        <v>5</v>
      </c>
      <c r="L272" s="18">
        <v>6</v>
      </c>
      <c r="M272" s="19"/>
      <c r="N272" s="19">
        <v>7</v>
      </c>
      <c r="O272" s="19"/>
      <c r="P272" s="208"/>
      <c r="Q272" s="20">
        <v>8</v>
      </c>
      <c r="R272" s="20">
        <v>9</v>
      </c>
      <c r="S272" s="20">
        <v>10</v>
      </c>
      <c r="T272" s="20">
        <v>11</v>
      </c>
      <c r="U272" s="20">
        <v>12</v>
      </c>
      <c r="V272" s="20">
        <v>13</v>
      </c>
      <c r="W272" s="20">
        <v>14</v>
      </c>
      <c r="X272" s="20">
        <v>15</v>
      </c>
      <c r="Y272" s="20">
        <v>16</v>
      </c>
      <c r="Z272" s="20">
        <v>17</v>
      </c>
      <c r="AA272" s="20">
        <v>18</v>
      </c>
      <c r="AB272" s="20">
        <v>19</v>
      </c>
      <c r="AC272" s="20">
        <v>20</v>
      </c>
      <c r="AD272" s="20">
        <v>21</v>
      </c>
      <c r="AE272" s="20">
        <v>22</v>
      </c>
      <c r="AF272" s="20">
        <v>23</v>
      </c>
      <c r="AG272" s="20">
        <v>24</v>
      </c>
      <c r="AH272" s="20">
        <v>25</v>
      </c>
      <c r="AI272" s="20">
        <v>26</v>
      </c>
      <c r="AJ272" s="20">
        <v>27</v>
      </c>
      <c r="AK272" s="20">
        <v>28</v>
      </c>
      <c r="AL272" s="20">
        <v>29</v>
      </c>
      <c r="AM272" s="20">
        <v>30</v>
      </c>
      <c r="AN272" s="20">
        <v>31</v>
      </c>
      <c r="AO272" s="20">
        <v>32</v>
      </c>
      <c r="AP272" s="20">
        <v>33</v>
      </c>
      <c r="AQ272" s="20">
        <v>34</v>
      </c>
      <c r="AR272" s="20">
        <v>35</v>
      </c>
      <c r="AS272" s="20">
        <v>36</v>
      </c>
      <c r="AT272" s="20">
        <v>37</v>
      </c>
      <c r="AU272" s="20">
        <v>38</v>
      </c>
      <c r="AV272" s="20">
        <v>39</v>
      </c>
      <c r="AW272" s="20">
        <v>40</v>
      </c>
      <c r="AX272" s="20">
        <v>41</v>
      </c>
      <c r="AY272" s="20">
        <v>42</v>
      </c>
      <c r="AZ272" s="20">
        <v>43</v>
      </c>
      <c r="BA272" s="20">
        <v>44</v>
      </c>
      <c r="BB272" s="20">
        <v>45</v>
      </c>
      <c r="BC272" s="20">
        <v>46</v>
      </c>
      <c r="BD272" s="20">
        <v>47</v>
      </c>
      <c r="BE272" s="20">
        <v>48</v>
      </c>
    </row>
    <row r="273" spans="2:57">
      <c r="B273" s="29">
        <v>1</v>
      </c>
      <c r="C273" s="144" t="s">
        <v>535</v>
      </c>
      <c r="D273" s="466"/>
      <c r="E273" s="29" t="s">
        <v>130</v>
      </c>
      <c r="F273" s="466">
        <v>0</v>
      </c>
      <c r="G273" s="466">
        <f>F278</f>
        <v>0</v>
      </c>
      <c r="H273" s="466">
        <f t="shared" ref="H273" si="301">G278</f>
        <v>0</v>
      </c>
      <c r="I273" s="466">
        <f t="shared" ref="I273" si="302">H278</f>
        <v>0</v>
      </c>
      <c r="J273" s="466">
        <f t="shared" ref="J273" si="303">I278</f>
        <v>0</v>
      </c>
      <c r="K273" s="466">
        <f t="shared" ref="K273" si="304">J278</f>
        <v>0</v>
      </c>
      <c r="L273" s="466">
        <f t="shared" ref="L273:N273" si="305">K278</f>
        <v>0</v>
      </c>
      <c r="M273" s="466">
        <f t="shared" si="305"/>
        <v>0</v>
      </c>
      <c r="N273" s="466">
        <f t="shared" si="305"/>
        <v>0</v>
      </c>
      <c r="O273" s="466">
        <f t="shared" ref="O273:Q273" si="306">N278</f>
        <v>0</v>
      </c>
      <c r="P273" s="571">
        <f t="shared" si="306"/>
        <v>0</v>
      </c>
      <c r="Q273" s="466">
        <f t="shared" si="306"/>
        <v>0</v>
      </c>
      <c r="R273" s="466">
        <f t="shared" ref="R273" si="307">Q278</f>
        <v>0</v>
      </c>
      <c r="S273" s="466">
        <f t="shared" ref="S273" si="308">R278</f>
        <v>0</v>
      </c>
      <c r="T273" s="466">
        <f t="shared" ref="T273" si="309">S278</f>
        <v>0</v>
      </c>
      <c r="U273" s="466">
        <f t="shared" ref="U273" si="310">T278</f>
        <v>0</v>
      </c>
      <c r="V273" s="466">
        <f t="shared" ref="V273" si="311">U278</f>
        <v>0</v>
      </c>
      <c r="W273" s="466">
        <f t="shared" ref="W273" si="312">V278</f>
        <v>0</v>
      </c>
      <c r="X273" s="466">
        <f t="shared" ref="X273" si="313">W278</f>
        <v>0</v>
      </c>
      <c r="Y273" s="466">
        <f t="shared" ref="Y273" si="314">X278</f>
        <v>0</v>
      </c>
      <c r="Z273" s="466">
        <f t="shared" ref="Z273" si="315">Y278</f>
        <v>0</v>
      </c>
      <c r="AA273" s="466">
        <f t="shared" ref="AA273" si="316">Z278</f>
        <v>0</v>
      </c>
      <c r="AB273" s="466">
        <f t="shared" ref="AB273" si="317">AA278</f>
        <v>0</v>
      </c>
      <c r="AC273" s="466">
        <f t="shared" ref="AC273" si="318">AB278</f>
        <v>0</v>
      </c>
      <c r="AD273" s="466">
        <f t="shared" ref="AD273" si="319">AC278</f>
        <v>0</v>
      </c>
      <c r="AE273" s="466">
        <f t="shared" ref="AE273" si="320">AD278</f>
        <v>0</v>
      </c>
      <c r="AF273" s="466">
        <f t="shared" ref="AF273" si="321">AE278</f>
        <v>0</v>
      </c>
      <c r="AG273" s="466">
        <f t="shared" ref="AG273" si="322">AF278</f>
        <v>0</v>
      </c>
      <c r="AH273" s="466">
        <f t="shared" ref="AH273" si="323">AG278</f>
        <v>0</v>
      </c>
      <c r="AI273" s="466">
        <f t="shared" ref="AI273" si="324">AH278</f>
        <v>0</v>
      </c>
      <c r="AJ273" s="466">
        <f t="shared" ref="AJ273" si="325">AI278</f>
        <v>0</v>
      </c>
      <c r="AK273" s="466">
        <f t="shared" ref="AK273" si="326">AJ278</f>
        <v>0</v>
      </c>
      <c r="AL273" s="466">
        <f t="shared" ref="AL273" si="327">AK278</f>
        <v>0</v>
      </c>
      <c r="AM273" s="466">
        <f t="shared" ref="AM273" si="328">AL278</f>
        <v>0</v>
      </c>
      <c r="AN273" s="466">
        <f t="shared" ref="AN273" si="329">AM278</f>
        <v>0</v>
      </c>
      <c r="AO273" s="466">
        <f t="shared" ref="AO273" si="330">AN278</f>
        <v>0</v>
      </c>
      <c r="AP273" s="466">
        <f t="shared" ref="AP273" si="331">AO278</f>
        <v>0</v>
      </c>
      <c r="AQ273" s="466">
        <f t="shared" ref="AQ273" si="332">AP278</f>
        <v>0</v>
      </c>
      <c r="AR273" s="466">
        <f t="shared" ref="AR273" si="333">AQ278</f>
        <v>0</v>
      </c>
      <c r="AS273" s="466">
        <f t="shared" ref="AS273" si="334">AR278</f>
        <v>0</v>
      </c>
      <c r="AT273" s="466">
        <f t="shared" ref="AT273" si="335">AS278</f>
        <v>0</v>
      </c>
      <c r="AU273" s="466">
        <f t="shared" ref="AU273" si="336">AT278</f>
        <v>0</v>
      </c>
      <c r="AV273" s="466">
        <f t="shared" ref="AV273" si="337">AU278</f>
        <v>0</v>
      </c>
      <c r="AW273" s="466">
        <f t="shared" ref="AW273" si="338">AV278</f>
        <v>0</v>
      </c>
      <c r="AX273" s="466">
        <f t="shared" ref="AX273" si="339">AW278</f>
        <v>0</v>
      </c>
      <c r="AY273" s="466">
        <f t="shared" ref="AY273" si="340">AX278</f>
        <v>0</v>
      </c>
      <c r="AZ273" s="466">
        <f t="shared" ref="AZ273" si="341">AY278</f>
        <v>0</v>
      </c>
      <c r="BA273" s="466">
        <f t="shared" ref="BA273" si="342">AZ278</f>
        <v>0</v>
      </c>
      <c r="BB273" s="466">
        <f t="shared" ref="BB273" si="343">BA278</f>
        <v>0</v>
      </c>
      <c r="BC273" s="466">
        <f t="shared" ref="BC273" si="344">BB278</f>
        <v>0</v>
      </c>
      <c r="BD273" s="466">
        <f t="shared" ref="BD273" si="345">BC278</f>
        <v>0</v>
      </c>
      <c r="BE273" s="466">
        <f t="shared" ref="BE273" si="346">BD278</f>
        <v>0</v>
      </c>
    </row>
    <row r="274" s="4" customFormat="1" spans="2:57">
      <c r="B274" s="50">
        <v>2</v>
      </c>
      <c r="C274" s="75" t="s">
        <v>536</v>
      </c>
      <c r="D274" s="467">
        <f>SUM(F274:BE274)</f>
        <v>184715.688021938</v>
      </c>
      <c r="E274" s="50" t="s">
        <v>130</v>
      </c>
      <c r="F274" s="467">
        <v>0</v>
      </c>
      <c r="G274" s="467">
        <f>IF(G272-参数输入表!$I$25&lt;0,0,IF(参数输入表!$I$220="扩大指标估算法",参数输入表!$I$218*(1-参数输入表!$I$239),'表1-资金筹措及还本付息表'!F320-G40))</f>
        <v>0</v>
      </c>
      <c r="H274" s="467">
        <f>IF(H272-参数输入表!$I$25&lt;0,0,IF(参数输入表!$I$220="扩大指标估算法",参数输入表!$I$218*(1-参数输入表!$I$239),'表1-资金筹措及还本付息表'!G320-H40))</f>
        <v>0</v>
      </c>
      <c r="I274" s="467">
        <f>IF(I272-参数输入表!$I$25&lt;0,0,IF(参数输入表!$I$220="扩大指标估算法",参数输入表!$I$218*(1-参数输入表!$I$239),'表1-资金筹措及还本付息表'!H320-I40))</f>
        <v>0</v>
      </c>
      <c r="J274" s="467">
        <f>IF(J272-参数输入表!$I$25&lt;0,0,IF(参数输入表!$I$220="扩大指标估算法",参数输入表!$I$218*(1-参数输入表!$I$239),'表1-资金筹措及还本付息表'!I320-J40))</f>
        <v>0</v>
      </c>
      <c r="K274" s="467">
        <f>IF(K272-参数输入表!$I$25&lt;0,0,IF(参数输入表!$I$220="扩大指标估算法",参数输入表!$I$218*(1-参数输入表!$I$239),'表1-资金筹措及还本付息表'!J320-K40))</f>
        <v>0</v>
      </c>
      <c r="L274" s="467">
        <f>IF(L272-参数输入表!$I$25&lt;0,0,IF(参数输入表!$I$220="扩大指标估算法",参数输入表!$I$218*(1-参数输入表!$I$239),'表1-资金筹措及还本付息表'!K320-L40))</f>
        <v>0</v>
      </c>
      <c r="M274" s="467">
        <v>0</v>
      </c>
      <c r="N274" s="467">
        <f>IF(N272-参数输入表!$I$25&lt;0,0,IF(参数输入表!$I$220="扩大指标估算法",参数输入表!$I$218*(1-参数输入表!$I$239),'表1-资金筹措及还本付息表'!L320-N40))</f>
        <v>0</v>
      </c>
      <c r="O274" s="467">
        <v>0</v>
      </c>
      <c r="P274" s="571">
        <v>0</v>
      </c>
      <c r="Q274" s="571">
        <f>IF(Q272-参数输入表!$I$25&lt;0,0,IF(参数输入表!$I$220="扩大指标估算法",参数输入表!$I$218*(1-参数输入表!$I$239),M320-Q40))</f>
        <v>4505.26068346191</v>
      </c>
      <c r="R274" s="571">
        <f>$Q$274</f>
        <v>4505.26068346191</v>
      </c>
      <c r="S274" s="571">
        <f t="shared" ref="S274:AB274" si="347">$Q$274</f>
        <v>4505.26068346191</v>
      </c>
      <c r="T274" s="571">
        <f t="shared" si="347"/>
        <v>4505.26068346191</v>
      </c>
      <c r="U274" s="571">
        <f t="shared" si="347"/>
        <v>4505.26068346191</v>
      </c>
      <c r="V274" s="571">
        <f t="shared" si="347"/>
        <v>4505.26068346191</v>
      </c>
      <c r="W274" s="571">
        <f t="shared" si="347"/>
        <v>4505.26068346191</v>
      </c>
      <c r="X274" s="571">
        <f t="shared" si="347"/>
        <v>4505.26068346191</v>
      </c>
      <c r="Y274" s="571">
        <f t="shared" si="347"/>
        <v>4505.26068346191</v>
      </c>
      <c r="Z274" s="571">
        <f t="shared" si="347"/>
        <v>4505.26068346191</v>
      </c>
      <c r="AA274" s="571">
        <f t="shared" si="347"/>
        <v>4505.26068346191</v>
      </c>
      <c r="AB274" s="571">
        <f t="shared" si="347"/>
        <v>4505.26068346191</v>
      </c>
      <c r="AC274" s="571">
        <f t="shared" ref="AC274:AL274" si="348">$Q$274</f>
        <v>4505.26068346191</v>
      </c>
      <c r="AD274" s="571">
        <f t="shared" si="348"/>
        <v>4505.26068346191</v>
      </c>
      <c r="AE274" s="571">
        <f t="shared" si="348"/>
        <v>4505.26068346191</v>
      </c>
      <c r="AF274" s="571">
        <f t="shared" si="348"/>
        <v>4505.26068346191</v>
      </c>
      <c r="AG274" s="571">
        <f t="shared" si="348"/>
        <v>4505.26068346191</v>
      </c>
      <c r="AH274" s="571">
        <f t="shared" si="348"/>
        <v>4505.26068346191</v>
      </c>
      <c r="AI274" s="571">
        <f t="shared" si="348"/>
        <v>4505.26068346191</v>
      </c>
      <c r="AJ274" s="571">
        <f t="shared" si="348"/>
        <v>4505.26068346191</v>
      </c>
      <c r="AK274" s="571">
        <f t="shared" si="348"/>
        <v>4505.26068346191</v>
      </c>
      <c r="AL274" s="571">
        <f t="shared" si="348"/>
        <v>4505.26068346191</v>
      </c>
      <c r="AM274" s="571">
        <f t="shared" ref="AM274:AV274" si="349">$Q$274</f>
        <v>4505.26068346191</v>
      </c>
      <c r="AN274" s="571">
        <f t="shared" si="349"/>
        <v>4505.26068346191</v>
      </c>
      <c r="AO274" s="571">
        <f t="shared" si="349"/>
        <v>4505.26068346191</v>
      </c>
      <c r="AP274" s="571">
        <f t="shared" si="349"/>
        <v>4505.26068346191</v>
      </c>
      <c r="AQ274" s="571">
        <f t="shared" si="349"/>
        <v>4505.26068346191</v>
      </c>
      <c r="AR274" s="571">
        <f t="shared" si="349"/>
        <v>4505.26068346191</v>
      </c>
      <c r="AS274" s="571">
        <f t="shared" si="349"/>
        <v>4505.26068346191</v>
      </c>
      <c r="AT274" s="571">
        <f t="shared" si="349"/>
        <v>4505.26068346191</v>
      </c>
      <c r="AU274" s="571">
        <f t="shared" si="349"/>
        <v>4505.26068346191</v>
      </c>
      <c r="AV274" s="571">
        <f t="shared" si="349"/>
        <v>4505.26068346191</v>
      </c>
      <c r="AW274" s="571">
        <f t="shared" ref="AW274:BE274" si="350">$Q$274</f>
        <v>4505.26068346191</v>
      </c>
      <c r="AX274" s="571">
        <f t="shared" si="350"/>
        <v>4505.26068346191</v>
      </c>
      <c r="AY274" s="571">
        <f t="shared" si="350"/>
        <v>4505.26068346191</v>
      </c>
      <c r="AZ274" s="571">
        <f t="shared" si="350"/>
        <v>4505.26068346191</v>
      </c>
      <c r="BA274" s="571">
        <f t="shared" si="350"/>
        <v>4505.26068346191</v>
      </c>
      <c r="BB274" s="571">
        <f t="shared" si="350"/>
        <v>4505.26068346191</v>
      </c>
      <c r="BC274" s="571">
        <f t="shared" si="350"/>
        <v>4505.26068346191</v>
      </c>
      <c r="BD274" s="571">
        <f t="shared" si="350"/>
        <v>4505.26068346191</v>
      </c>
      <c r="BE274" s="571">
        <f t="shared" si="350"/>
        <v>4505.26068346191</v>
      </c>
    </row>
    <row r="275" s="4" customFormat="1" spans="2:57">
      <c r="B275" s="50">
        <v>3</v>
      </c>
      <c r="C275" s="75" t="s">
        <v>537</v>
      </c>
      <c r="D275" s="467">
        <f>SUM(F275:BE275)</f>
        <v>191389.293128511</v>
      </c>
      <c r="E275" s="50" t="s">
        <v>130</v>
      </c>
      <c r="F275" s="467">
        <f t="shared" ref="F275:Q275" si="351">SUM(F276:F277)</f>
        <v>0</v>
      </c>
      <c r="G275" s="467">
        <f t="shared" si="351"/>
        <v>0</v>
      </c>
      <c r="H275" s="467">
        <f t="shared" si="351"/>
        <v>0</v>
      </c>
      <c r="I275" s="467">
        <f t="shared" si="351"/>
        <v>0</v>
      </c>
      <c r="J275" s="467">
        <f t="shared" si="351"/>
        <v>0</v>
      </c>
      <c r="K275" s="467">
        <f t="shared" si="351"/>
        <v>0</v>
      </c>
      <c r="L275" s="467">
        <f t="shared" si="351"/>
        <v>0</v>
      </c>
      <c r="M275" s="467">
        <f t="shared" si="351"/>
        <v>0</v>
      </c>
      <c r="N275" s="467">
        <f t="shared" si="351"/>
        <v>0</v>
      </c>
      <c r="O275" s="467">
        <f t="shared" si="351"/>
        <v>0</v>
      </c>
      <c r="P275" s="571">
        <f t="shared" si="351"/>
        <v>0</v>
      </c>
      <c r="Q275" s="467">
        <f t="shared" si="351"/>
        <v>4669.70269840826</v>
      </c>
      <c r="R275" s="467">
        <f t="shared" ref="R275:BE275" si="352">SUM(R276:R277)</f>
        <v>4669.70269840826</v>
      </c>
      <c r="S275" s="467">
        <f t="shared" si="352"/>
        <v>4669.70269840826</v>
      </c>
      <c r="T275" s="467">
        <f t="shared" si="352"/>
        <v>4669.70269840826</v>
      </c>
      <c r="U275" s="467">
        <f t="shared" si="352"/>
        <v>4669.70269840826</v>
      </c>
      <c r="V275" s="467">
        <f t="shared" si="352"/>
        <v>4669.70269840826</v>
      </c>
      <c r="W275" s="467">
        <f t="shared" si="352"/>
        <v>4669.70269840826</v>
      </c>
      <c r="X275" s="467">
        <f t="shared" si="352"/>
        <v>4669.70269840826</v>
      </c>
      <c r="Y275" s="467">
        <f t="shared" si="352"/>
        <v>4669.70269840826</v>
      </c>
      <c r="Z275" s="467">
        <f t="shared" si="352"/>
        <v>4669.70269840826</v>
      </c>
      <c r="AA275" s="467">
        <f t="shared" si="352"/>
        <v>4669.70269840826</v>
      </c>
      <c r="AB275" s="467">
        <f t="shared" si="352"/>
        <v>4669.70269840826</v>
      </c>
      <c r="AC275" s="467">
        <f t="shared" si="352"/>
        <v>4669.70269840826</v>
      </c>
      <c r="AD275" s="467">
        <f t="shared" si="352"/>
        <v>4669.70269840826</v>
      </c>
      <c r="AE275" s="467">
        <f t="shared" si="352"/>
        <v>4669.70269840826</v>
      </c>
      <c r="AF275" s="467">
        <f t="shared" si="352"/>
        <v>4669.70269840826</v>
      </c>
      <c r="AG275" s="467">
        <f t="shared" si="352"/>
        <v>4669.70269840826</v>
      </c>
      <c r="AH275" s="467">
        <f t="shared" si="352"/>
        <v>4669.70269840826</v>
      </c>
      <c r="AI275" s="467">
        <f t="shared" si="352"/>
        <v>4669.70269840826</v>
      </c>
      <c r="AJ275" s="467">
        <f t="shared" si="352"/>
        <v>4669.70269840826</v>
      </c>
      <c r="AK275" s="467">
        <f t="shared" si="352"/>
        <v>4669.70269840826</v>
      </c>
      <c r="AL275" s="467">
        <f t="shared" si="352"/>
        <v>4669.70269840826</v>
      </c>
      <c r="AM275" s="467">
        <f t="shared" si="352"/>
        <v>4669.70269840826</v>
      </c>
      <c r="AN275" s="467">
        <f t="shared" si="352"/>
        <v>4669.70269840826</v>
      </c>
      <c r="AO275" s="467">
        <f t="shared" si="352"/>
        <v>4669.70269840826</v>
      </c>
      <c r="AP275" s="467">
        <f t="shared" si="352"/>
        <v>4669.70269840826</v>
      </c>
      <c r="AQ275" s="467">
        <f t="shared" si="352"/>
        <v>4669.70269840826</v>
      </c>
      <c r="AR275" s="467">
        <f t="shared" si="352"/>
        <v>4669.70269840826</v>
      </c>
      <c r="AS275" s="467">
        <f t="shared" si="352"/>
        <v>4669.70269840826</v>
      </c>
      <c r="AT275" s="467">
        <f t="shared" si="352"/>
        <v>4669.70269840826</v>
      </c>
      <c r="AU275" s="467">
        <f t="shared" si="352"/>
        <v>4669.70269840826</v>
      </c>
      <c r="AV275" s="467">
        <f t="shared" si="352"/>
        <v>4669.70269840826</v>
      </c>
      <c r="AW275" s="467">
        <f t="shared" si="352"/>
        <v>4669.70269840826</v>
      </c>
      <c r="AX275" s="467">
        <f t="shared" si="352"/>
        <v>4669.70269840826</v>
      </c>
      <c r="AY275" s="467">
        <f t="shared" si="352"/>
        <v>4669.70269840826</v>
      </c>
      <c r="AZ275" s="467">
        <f t="shared" si="352"/>
        <v>4669.70269840826</v>
      </c>
      <c r="BA275" s="467">
        <f t="shared" si="352"/>
        <v>4669.70269840826</v>
      </c>
      <c r="BB275" s="467">
        <f t="shared" si="352"/>
        <v>4669.70269840826</v>
      </c>
      <c r="BC275" s="467">
        <f t="shared" si="352"/>
        <v>4669.70269840826</v>
      </c>
      <c r="BD275" s="467">
        <f t="shared" si="352"/>
        <v>4669.70269840826</v>
      </c>
      <c r="BE275" s="467">
        <f t="shared" si="352"/>
        <v>4601.18519218062</v>
      </c>
    </row>
    <row r="276" s="4" customFormat="1" spans="2:57">
      <c r="B276" s="50"/>
      <c r="C276" s="74" t="s">
        <v>559</v>
      </c>
      <c r="D276" s="467">
        <f>SUM(F276:BE276)</f>
        <v>184715.688021938</v>
      </c>
      <c r="E276" s="50" t="s">
        <v>130</v>
      </c>
      <c r="F276" s="467">
        <f t="shared" ref="F276:Q276" si="353">F274</f>
        <v>0</v>
      </c>
      <c r="G276" s="467">
        <f t="shared" si="353"/>
        <v>0</v>
      </c>
      <c r="H276" s="467">
        <f t="shared" si="353"/>
        <v>0</v>
      </c>
      <c r="I276" s="467">
        <f t="shared" si="353"/>
        <v>0</v>
      </c>
      <c r="J276" s="467">
        <f t="shared" si="353"/>
        <v>0</v>
      </c>
      <c r="K276" s="467">
        <f t="shared" si="353"/>
        <v>0</v>
      </c>
      <c r="L276" s="467">
        <f t="shared" si="353"/>
        <v>0</v>
      </c>
      <c r="M276" s="467">
        <f t="shared" si="353"/>
        <v>0</v>
      </c>
      <c r="N276" s="467">
        <f t="shared" si="353"/>
        <v>0</v>
      </c>
      <c r="O276" s="467">
        <f t="shared" si="353"/>
        <v>0</v>
      </c>
      <c r="P276" s="571">
        <f t="shared" si="353"/>
        <v>0</v>
      </c>
      <c r="Q276" s="467">
        <f t="shared" si="353"/>
        <v>4505.26068346191</v>
      </c>
      <c r="R276" s="467">
        <f t="shared" ref="R276:BE276" si="354">R274</f>
        <v>4505.26068346191</v>
      </c>
      <c r="S276" s="467">
        <f t="shared" si="354"/>
        <v>4505.26068346191</v>
      </c>
      <c r="T276" s="467">
        <f t="shared" si="354"/>
        <v>4505.26068346191</v>
      </c>
      <c r="U276" s="467">
        <f t="shared" si="354"/>
        <v>4505.26068346191</v>
      </c>
      <c r="V276" s="467">
        <f t="shared" si="354"/>
        <v>4505.26068346191</v>
      </c>
      <c r="W276" s="467">
        <f t="shared" si="354"/>
        <v>4505.26068346191</v>
      </c>
      <c r="X276" s="467">
        <f t="shared" si="354"/>
        <v>4505.26068346191</v>
      </c>
      <c r="Y276" s="467">
        <f t="shared" si="354"/>
        <v>4505.26068346191</v>
      </c>
      <c r="Z276" s="467">
        <f t="shared" si="354"/>
        <v>4505.26068346191</v>
      </c>
      <c r="AA276" s="467">
        <f t="shared" si="354"/>
        <v>4505.26068346191</v>
      </c>
      <c r="AB276" s="467">
        <f t="shared" si="354"/>
        <v>4505.26068346191</v>
      </c>
      <c r="AC276" s="467">
        <f t="shared" si="354"/>
        <v>4505.26068346191</v>
      </c>
      <c r="AD276" s="467">
        <f t="shared" si="354"/>
        <v>4505.26068346191</v>
      </c>
      <c r="AE276" s="467">
        <f t="shared" si="354"/>
        <v>4505.26068346191</v>
      </c>
      <c r="AF276" s="467">
        <f t="shared" si="354"/>
        <v>4505.26068346191</v>
      </c>
      <c r="AG276" s="467">
        <f t="shared" si="354"/>
        <v>4505.26068346191</v>
      </c>
      <c r="AH276" s="467">
        <f t="shared" si="354"/>
        <v>4505.26068346191</v>
      </c>
      <c r="AI276" s="467">
        <f t="shared" si="354"/>
        <v>4505.26068346191</v>
      </c>
      <c r="AJ276" s="467">
        <f t="shared" si="354"/>
        <v>4505.26068346191</v>
      </c>
      <c r="AK276" s="467">
        <f t="shared" si="354"/>
        <v>4505.26068346191</v>
      </c>
      <c r="AL276" s="467">
        <f t="shared" si="354"/>
        <v>4505.26068346191</v>
      </c>
      <c r="AM276" s="467">
        <f t="shared" si="354"/>
        <v>4505.26068346191</v>
      </c>
      <c r="AN276" s="467">
        <f t="shared" si="354"/>
        <v>4505.26068346191</v>
      </c>
      <c r="AO276" s="467">
        <f t="shared" si="354"/>
        <v>4505.26068346191</v>
      </c>
      <c r="AP276" s="467">
        <f t="shared" si="354"/>
        <v>4505.26068346191</v>
      </c>
      <c r="AQ276" s="467">
        <f t="shared" si="354"/>
        <v>4505.26068346191</v>
      </c>
      <c r="AR276" s="467">
        <f t="shared" si="354"/>
        <v>4505.26068346191</v>
      </c>
      <c r="AS276" s="467">
        <f t="shared" si="354"/>
        <v>4505.26068346191</v>
      </c>
      <c r="AT276" s="467">
        <f t="shared" si="354"/>
        <v>4505.26068346191</v>
      </c>
      <c r="AU276" s="467">
        <f t="shared" si="354"/>
        <v>4505.26068346191</v>
      </c>
      <c r="AV276" s="467">
        <f t="shared" si="354"/>
        <v>4505.26068346191</v>
      </c>
      <c r="AW276" s="467">
        <f t="shared" si="354"/>
        <v>4505.26068346191</v>
      </c>
      <c r="AX276" s="467">
        <f t="shared" si="354"/>
        <v>4505.26068346191</v>
      </c>
      <c r="AY276" s="467">
        <f t="shared" si="354"/>
        <v>4505.26068346191</v>
      </c>
      <c r="AZ276" s="467">
        <f t="shared" si="354"/>
        <v>4505.26068346191</v>
      </c>
      <c r="BA276" s="467">
        <f t="shared" si="354"/>
        <v>4505.26068346191</v>
      </c>
      <c r="BB276" s="467">
        <f t="shared" si="354"/>
        <v>4505.26068346191</v>
      </c>
      <c r="BC276" s="467">
        <f t="shared" si="354"/>
        <v>4505.26068346191</v>
      </c>
      <c r="BD276" s="467">
        <f t="shared" si="354"/>
        <v>4505.26068346191</v>
      </c>
      <c r="BE276" s="467">
        <f t="shared" si="354"/>
        <v>4505.26068346191</v>
      </c>
    </row>
    <row r="277" s="4" customFormat="1" spans="2:57">
      <c r="B277" s="50"/>
      <c r="C277" s="86" t="s">
        <v>560</v>
      </c>
      <c r="D277" s="467">
        <f>SUM(F277:BE277)</f>
        <v>6673.60510657309</v>
      </c>
      <c r="E277" s="50" t="s">
        <v>130</v>
      </c>
      <c r="F277" s="472">
        <f>(F273+F274)*参数输入表!$I$253*F270/12</f>
        <v>0</v>
      </c>
      <c r="G277" s="472">
        <f>(G273+G274)*参数输入表!$I$253*G270/12</f>
        <v>0</v>
      </c>
      <c r="H277" s="472">
        <f>(H273+H274)*参数输入表!$I$253*H270/12</f>
        <v>0</v>
      </c>
      <c r="I277" s="472">
        <f>(I273+I274)*参数输入表!$I$253*I270/12</f>
        <v>0</v>
      </c>
      <c r="J277" s="472">
        <f>(J273+J274)*参数输入表!$I$253*J270/12</f>
        <v>0</v>
      </c>
      <c r="K277" s="472">
        <f>(K273+K274)*参数输入表!$I$253*K270/12</f>
        <v>0</v>
      </c>
      <c r="L277" s="472">
        <f>(L273+L274)*参数输入表!$I$253*L270/12</f>
        <v>0</v>
      </c>
      <c r="M277" s="472">
        <f>(M273+M274)*参数输入表!$I$253*M270/12</f>
        <v>0</v>
      </c>
      <c r="N277" s="472">
        <f>(N273+N274)*参数输入表!$I$253*N270/12</f>
        <v>0</v>
      </c>
      <c r="O277" s="472">
        <f>(O273+O274)*参数输入表!$I$253*O270/12</f>
        <v>0</v>
      </c>
      <c r="P277" s="627">
        <f>(P273+P274)*参数输入表!$I$253*P270/12</f>
        <v>0</v>
      </c>
      <c r="Q277" s="472">
        <f>(Q273+Q274)*参数输入表!$I$253*Q270/12</f>
        <v>164.44201494636</v>
      </c>
      <c r="R277" s="472">
        <f>(R273+R274)*参数输入表!$I$253*R270/12</f>
        <v>164.44201494636</v>
      </c>
      <c r="S277" s="472">
        <f>(S273+S274)*参数输入表!$I$253*S270/12</f>
        <v>164.44201494636</v>
      </c>
      <c r="T277" s="472">
        <f>(T273+T274)*参数输入表!$I$253*T270/12</f>
        <v>164.44201494636</v>
      </c>
      <c r="U277" s="472">
        <f>(U273+U274)*参数输入表!$I$253*U270/12</f>
        <v>164.44201494636</v>
      </c>
      <c r="V277" s="472">
        <f>(V273+V274)*参数输入表!$I$253*V270/12</f>
        <v>164.44201494636</v>
      </c>
      <c r="W277" s="472">
        <f>(W273+W274)*参数输入表!$I$253*W270/12</f>
        <v>164.44201494636</v>
      </c>
      <c r="X277" s="472">
        <f>(X273+X274)*参数输入表!$I$253*X270/12</f>
        <v>164.44201494636</v>
      </c>
      <c r="Y277" s="472">
        <f>(Y273+Y274)*参数输入表!$I$253*Y270/12</f>
        <v>164.44201494636</v>
      </c>
      <c r="Z277" s="472">
        <f>(Z273+Z274)*参数输入表!$I$253*Z270/12</f>
        <v>164.44201494636</v>
      </c>
      <c r="AA277" s="472">
        <f>(AA273+AA274)*参数输入表!$I$253*AA270/12</f>
        <v>164.44201494636</v>
      </c>
      <c r="AB277" s="472">
        <f>(AB273+AB274)*参数输入表!$I$253*AB270/12</f>
        <v>164.44201494636</v>
      </c>
      <c r="AC277" s="472">
        <f>(AC273+AC274)*参数输入表!$I$253*AC270/12</f>
        <v>164.44201494636</v>
      </c>
      <c r="AD277" s="472">
        <f>(AD273+AD274)*参数输入表!$I$253*AD270/12</f>
        <v>164.44201494636</v>
      </c>
      <c r="AE277" s="472">
        <f>(AE273+AE274)*参数输入表!$I$253*AE270/12</f>
        <v>164.44201494636</v>
      </c>
      <c r="AF277" s="472">
        <f>(AF273+AF274)*参数输入表!$I$253*AF270/12</f>
        <v>164.44201494636</v>
      </c>
      <c r="AG277" s="472">
        <f>(AG273+AG274)*参数输入表!$I$253*AG270/12</f>
        <v>164.44201494636</v>
      </c>
      <c r="AH277" s="472">
        <f>(AH273+AH274)*参数输入表!$I$253*AH270/12</f>
        <v>164.44201494636</v>
      </c>
      <c r="AI277" s="472">
        <f>(AI273+AI274)*参数输入表!$I$253*AI270/12</f>
        <v>164.44201494636</v>
      </c>
      <c r="AJ277" s="472">
        <f>(AJ273+AJ274)*参数输入表!$I$253*AJ270/12</f>
        <v>164.44201494636</v>
      </c>
      <c r="AK277" s="472">
        <f>(AK273+AK274)*参数输入表!$I$253*AK270/12</f>
        <v>164.44201494636</v>
      </c>
      <c r="AL277" s="472">
        <f>(AL273+AL274)*参数输入表!$I$253*AL270/12</f>
        <v>164.44201494636</v>
      </c>
      <c r="AM277" s="472">
        <f>(AM273+AM274)*参数输入表!$I$253*AM270/12</f>
        <v>164.44201494636</v>
      </c>
      <c r="AN277" s="472">
        <f>(AN273+AN274)*参数输入表!$I$253*AN270/12</f>
        <v>164.44201494636</v>
      </c>
      <c r="AO277" s="472">
        <f>(AO273+AO274)*参数输入表!$I$253*AO270/12</f>
        <v>164.44201494636</v>
      </c>
      <c r="AP277" s="472">
        <f>(AP273+AP274)*参数输入表!$I$253*AP270/12</f>
        <v>164.44201494636</v>
      </c>
      <c r="AQ277" s="472">
        <f>(AQ273+AQ274)*参数输入表!$I$253*AQ270/12</f>
        <v>164.44201494636</v>
      </c>
      <c r="AR277" s="472">
        <f>(AR273+AR274)*参数输入表!$I$253*AR270/12</f>
        <v>164.44201494636</v>
      </c>
      <c r="AS277" s="472">
        <f>(AS273+AS274)*参数输入表!$I$253*AS270/12</f>
        <v>164.44201494636</v>
      </c>
      <c r="AT277" s="472">
        <f>(AT273+AT274)*参数输入表!$I$253*AT270/12</f>
        <v>164.44201494636</v>
      </c>
      <c r="AU277" s="472">
        <f>(AU273+AU274)*参数输入表!$I$253*AU270/12</f>
        <v>164.44201494636</v>
      </c>
      <c r="AV277" s="472">
        <f>(AV273+AV274)*参数输入表!$I$253*AV270/12</f>
        <v>164.44201494636</v>
      </c>
      <c r="AW277" s="472">
        <f>(AW273+AW274)*参数输入表!$I$253*AW270/12</f>
        <v>164.44201494636</v>
      </c>
      <c r="AX277" s="472">
        <f>(AX273+AX274)*参数输入表!$I$253*AX270/12</f>
        <v>164.44201494636</v>
      </c>
      <c r="AY277" s="472">
        <f>(AY273+AY274)*参数输入表!$I$253*AY270/12</f>
        <v>164.44201494636</v>
      </c>
      <c r="AZ277" s="472">
        <f>(AZ273+AZ274)*参数输入表!$I$253*AZ270/12</f>
        <v>164.44201494636</v>
      </c>
      <c r="BA277" s="472">
        <f>(BA273+BA274)*参数输入表!$I$253*BA270/12</f>
        <v>164.44201494636</v>
      </c>
      <c r="BB277" s="472">
        <f>(BB273+BB274)*参数输入表!$I$253*BB270/12</f>
        <v>164.44201494636</v>
      </c>
      <c r="BC277" s="472">
        <f>(BC273+BC274)*参数输入表!$I$253*BC270/12</f>
        <v>164.44201494636</v>
      </c>
      <c r="BD277" s="472">
        <f>(BD273+BD274)*参数输入表!$I$253*BD270/12</f>
        <v>164.44201494636</v>
      </c>
      <c r="BE277" s="472">
        <f>(BE273+BE274)*参数输入表!$I$253*BE270/12</f>
        <v>95.9245087187097</v>
      </c>
    </row>
    <row r="278" spans="2:57">
      <c r="B278" s="29">
        <v>4</v>
      </c>
      <c r="C278" s="144" t="s">
        <v>540</v>
      </c>
      <c r="D278" s="467">
        <f>BE278</f>
        <v>0</v>
      </c>
      <c r="E278" s="29" t="s">
        <v>130</v>
      </c>
      <c r="F278" s="466">
        <f t="shared" ref="F278:Q278" si="355">F273+F274-F276</f>
        <v>0</v>
      </c>
      <c r="G278" s="466">
        <f t="shared" si="355"/>
        <v>0</v>
      </c>
      <c r="H278" s="466">
        <f t="shared" si="355"/>
        <v>0</v>
      </c>
      <c r="I278" s="466">
        <f t="shared" si="355"/>
        <v>0</v>
      </c>
      <c r="J278" s="466">
        <f t="shared" si="355"/>
        <v>0</v>
      </c>
      <c r="K278" s="466">
        <f t="shared" si="355"/>
        <v>0</v>
      </c>
      <c r="L278" s="466">
        <f t="shared" si="355"/>
        <v>0</v>
      </c>
      <c r="M278" s="466">
        <f t="shared" si="355"/>
        <v>0</v>
      </c>
      <c r="N278" s="466">
        <f t="shared" si="355"/>
        <v>0</v>
      </c>
      <c r="O278" s="466">
        <f t="shared" si="355"/>
        <v>0</v>
      </c>
      <c r="P278" s="571">
        <f t="shared" si="355"/>
        <v>0</v>
      </c>
      <c r="Q278" s="466">
        <f t="shared" si="355"/>
        <v>0</v>
      </c>
      <c r="R278" s="466">
        <f t="shared" ref="R278:BE278" si="356">R273+R274-R276</f>
        <v>0</v>
      </c>
      <c r="S278" s="466">
        <f t="shared" si="356"/>
        <v>0</v>
      </c>
      <c r="T278" s="466">
        <f t="shared" si="356"/>
        <v>0</v>
      </c>
      <c r="U278" s="466">
        <f t="shared" si="356"/>
        <v>0</v>
      </c>
      <c r="V278" s="466">
        <f t="shared" si="356"/>
        <v>0</v>
      </c>
      <c r="W278" s="466">
        <f t="shared" si="356"/>
        <v>0</v>
      </c>
      <c r="X278" s="466">
        <f t="shared" si="356"/>
        <v>0</v>
      </c>
      <c r="Y278" s="466">
        <f t="shared" si="356"/>
        <v>0</v>
      </c>
      <c r="Z278" s="466">
        <f t="shared" si="356"/>
        <v>0</v>
      </c>
      <c r="AA278" s="466">
        <f t="shared" si="356"/>
        <v>0</v>
      </c>
      <c r="AB278" s="466">
        <f t="shared" si="356"/>
        <v>0</v>
      </c>
      <c r="AC278" s="466">
        <f t="shared" si="356"/>
        <v>0</v>
      </c>
      <c r="AD278" s="466">
        <f t="shared" si="356"/>
        <v>0</v>
      </c>
      <c r="AE278" s="466">
        <f t="shared" si="356"/>
        <v>0</v>
      </c>
      <c r="AF278" s="466">
        <f t="shared" si="356"/>
        <v>0</v>
      </c>
      <c r="AG278" s="466">
        <f t="shared" si="356"/>
        <v>0</v>
      </c>
      <c r="AH278" s="466">
        <f t="shared" si="356"/>
        <v>0</v>
      </c>
      <c r="AI278" s="466">
        <f t="shared" si="356"/>
        <v>0</v>
      </c>
      <c r="AJ278" s="466">
        <f t="shared" si="356"/>
        <v>0</v>
      </c>
      <c r="AK278" s="466">
        <f t="shared" si="356"/>
        <v>0</v>
      </c>
      <c r="AL278" s="466">
        <f t="shared" si="356"/>
        <v>0</v>
      </c>
      <c r="AM278" s="466">
        <f t="shared" si="356"/>
        <v>0</v>
      </c>
      <c r="AN278" s="466">
        <f t="shared" si="356"/>
        <v>0</v>
      </c>
      <c r="AO278" s="466">
        <f t="shared" si="356"/>
        <v>0</v>
      </c>
      <c r="AP278" s="466">
        <f t="shared" si="356"/>
        <v>0</v>
      </c>
      <c r="AQ278" s="466">
        <f t="shared" si="356"/>
        <v>0</v>
      </c>
      <c r="AR278" s="466">
        <f t="shared" si="356"/>
        <v>0</v>
      </c>
      <c r="AS278" s="466">
        <f t="shared" si="356"/>
        <v>0</v>
      </c>
      <c r="AT278" s="466">
        <f t="shared" si="356"/>
        <v>0</v>
      </c>
      <c r="AU278" s="466">
        <f t="shared" si="356"/>
        <v>0</v>
      </c>
      <c r="AV278" s="466">
        <f t="shared" si="356"/>
        <v>0</v>
      </c>
      <c r="AW278" s="466">
        <f t="shared" si="356"/>
        <v>0</v>
      </c>
      <c r="AX278" s="466">
        <f t="shared" si="356"/>
        <v>0</v>
      </c>
      <c r="AY278" s="466">
        <f t="shared" si="356"/>
        <v>0</v>
      </c>
      <c r="AZ278" s="466">
        <f t="shared" si="356"/>
        <v>0</v>
      </c>
      <c r="BA278" s="466">
        <f t="shared" si="356"/>
        <v>0</v>
      </c>
      <c r="BB278" s="466">
        <f t="shared" si="356"/>
        <v>0</v>
      </c>
      <c r="BC278" s="466">
        <f t="shared" si="356"/>
        <v>0</v>
      </c>
      <c r="BD278" s="466">
        <f t="shared" si="356"/>
        <v>0</v>
      </c>
      <c r="BE278" s="466">
        <f t="shared" si="356"/>
        <v>0</v>
      </c>
    </row>
    <row r="280" spans="2:57">
      <c r="B280" s="562" t="s">
        <v>671</v>
      </c>
      <c r="C280" s="563"/>
      <c r="D280" s="563"/>
      <c r="E280" s="563"/>
      <c r="F280" s="563"/>
      <c r="G280" s="625">
        <f>时间序列!C8</f>
        <v>11</v>
      </c>
      <c r="H280" s="625">
        <f>时间序列!D8</f>
        <v>12</v>
      </c>
      <c r="I280" s="625">
        <f>时间序列!E8</f>
        <v>12</v>
      </c>
      <c r="J280" s="625">
        <f>时间序列!F8</f>
        <v>12</v>
      </c>
      <c r="K280" s="625">
        <f>时间序列!G8</f>
        <v>12</v>
      </c>
      <c r="L280" s="625">
        <f>时间序列!H8</f>
        <v>12</v>
      </c>
      <c r="M280" s="625"/>
      <c r="N280" s="625">
        <f>时间序列!I8</f>
        <v>12</v>
      </c>
      <c r="O280" s="625"/>
      <c r="P280" s="625"/>
      <c r="Q280" s="625">
        <f>时间序列!J8</f>
        <v>12</v>
      </c>
      <c r="R280" s="625">
        <f>时间序列!K8</f>
        <v>12</v>
      </c>
      <c r="S280" s="625">
        <f>时间序列!L8</f>
        <v>12</v>
      </c>
      <c r="T280" s="625">
        <f>时间序列!M8</f>
        <v>12</v>
      </c>
      <c r="U280" s="625">
        <f>时间序列!N8</f>
        <v>12</v>
      </c>
      <c r="V280" s="625">
        <f>时间序列!O8</f>
        <v>12</v>
      </c>
      <c r="W280" s="625">
        <f>时间序列!P8</f>
        <v>12</v>
      </c>
      <c r="X280" s="625">
        <f>时间序列!Q8</f>
        <v>12</v>
      </c>
      <c r="Y280" s="625">
        <f>时间序列!R8</f>
        <v>12</v>
      </c>
      <c r="Z280" s="625">
        <f>时间序列!S8</f>
        <v>12</v>
      </c>
      <c r="AA280" s="625">
        <f>时间序列!T8</f>
        <v>12</v>
      </c>
      <c r="AB280" s="625">
        <f>时间序列!U8</f>
        <v>12</v>
      </c>
      <c r="AC280" s="625">
        <f>时间序列!V8</f>
        <v>12</v>
      </c>
      <c r="AD280" s="625">
        <f>时间序列!W8</f>
        <v>12</v>
      </c>
      <c r="AE280" s="625">
        <f>时间序列!X8</f>
        <v>12</v>
      </c>
      <c r="AF280" s="625">
        <f>时间序列!Y8</f>
        <v>12</v>
      </c>
      <c r="AG280" s="625">
        <f>时间序列!Z8</f>
        <v>12</v>
      </c>
      <c r="AH280" s="625">
        <f>时间序列!AA8</f>
        <v>12</v>
      </c>
      <c r="AI280" s="625">
        <f>时间序列!AB8</f>
        <v>12</v>
      </c>
      <c r="AJ280" s="625">
        <f>时间序列!AC8</f>
        <v>12</v>
      </c>
      <c r="AK280" s="625">
        <f>时间序列!AD8</f>
        <v>12</v>
      </c>
      <c r="AL280" s="625">
        <f>时间序列!AE8</f>
        <v>12</v>
      </c>
      <c r="AM280" s="625">
        <f>时间序列!AF8</f>
        <v>12</v>
      </c>
      <c r="AN280" s="625">
        <f>时间序列!AG8</f>
        <v>12</v>
      </c>
      <c r="AO280" s="625">
        <f>时间序列!AH8</f>
        <v>12</v>
      </c>
      <c r="AP280" s="625">
        <f>时间序列!AI8</f>
        <v>12</v>
      </c>
      <c r="AQ280" s="625">
        <f>时间序列!AJ8</f>
        <v>12</v>
      </c>
      <c r="AR280" s="625">
        <f>时间序列!AK8</f>
        <v>12</v>
      </c>
      <c r="AS280" s="625">
        <f>时间序列!AL8</f>
        <v>12</v>
      </c>
      <c r="AT280" s="625">
        <f>时间序列!AM8</f>
        <v>12</v>
      </c>
      <c r="AU280" s="625">
        <f>时间序列!AN8</f>
        <v>12</v>
      </c>
      <c r="AV280" s="625">
        <f>时间序列!AO8</f>
        <v>12</v>
      </c>
      <c r="AW280" s="625">
        <f>时间序列!AP8</f>
        <v>12</v>
      </c>
      <c r="AX280" s="625">
        <f>时间序列!AQ8</f>
        <v>12</v>
      </c>
      <c r="AY280" s="625">
        <f>时间序列!AR8</f>
        <v>12</v>
      </c>
      <c r="AZ280" s="625">
        <f>时间序列!AS8</f>
        <v>12</v>
      </c>
      <c r="BA280" s="625">
        <f>时间序列!AT8</f>
        <v>12</v>
      </c>
      <c r="BB280" s="625">
        <f>时间序列!AU8</f>
        <v>12</v>
      </c>
      <c r="BC280" s="625">
        <f>时间序列!AV8</f>
        <v>12</v>
      </c>
      <c r="BD280" s="625">
        <f>时间序列!AW8</f>
        <v>12</v>
      </c>
      <c r="BE280" s="626">
        <f>时间序列!AX8</f>
        <v>7</v>
      </c>
    </row>
    <row r="281" spans="2:57">
      <c r="B281" s="566" t="s">
        <v>2</v>
      </c>
      <c r="C281" s="566" t="s">
        <v>430</v>
      </c>
      <c r="D281" s="566" t="s">
        <v>491</v>
      </c>
      <c r="E281" s="566" t="s">
        <v>9</v>
      </c>
      <c r="F281" s="444">
        <f>F3</f>
        <v>45016</v>
      </c>
      <c r="G281" s="567">
        <v>2023</v>
      </c>
      <c r="H281" s="567">
        <v>2024</v>
      </c>
      <c r="I281" s="567">
        <v>2025</v>
      </c>
      <c r="J281" s="567">
        <v>2026</v>
      </c>
      <c r="K281" s="567">
        <v>2027</v>
      </c>
      <c r="L281" s="567">
        <v>2028</v>
      </c>
      <c r="M281" s="446">
        <f>M3</f>
        <v>47361</v>
      </c>
      <c r="N281" s="568">
        <v>2029</v>
      </c>
      <c r="O281" s="446">
        <f>O3</f>
        <v>47695</v>
      </c>
      <c r="P281" s="569">
        <f>P3</f>
        <v>47726</v>
      </c>
      <c r="Q281" s="570">
        <v>2030</v>
      </c>
      <c r="R281" s="570">
        <v>2031</v>
      </c>
      <c r="S281" s="570">
        <v>2032</v>
      </c>
      <c r="T281" s="570">
        <v>2033</v>
      </c>
      <c r="U281" s="570">
        <v>2034</v>
      </c>
      <c r="V281" s="570">
        <v>2035</v>
      </c>
      <c r="W281" s="570">
        <v>2036</v>
      </c>
      <c r="X281" s="570">
        <v>2037</v>
      </c>
      <c r="Y281" s="570">
        <v>2038</v>
      </c>
      <c r="Z281" s="570">
        <v>2039</v>
      </c>
      <c r="AA281" s="570">
        <v>2040</v>
      </c>
      <c r="AB281" s="570">
        <v>2041</v>
      </c>
      <c r="AC281" s="570">
        <v>2042</v>
      </c>
      <c r="AD281" s="570">
        <v>2043</v>
      </c>
      <c r="AE281" s="570">
        <v>2044</v>
      </c>
      <c r="AF281" s="570">
        <v>2045</v>
      </c>
      <c r="AG281" s="570">
        <v>2046</v>
      </c>
      <c r="AH281" s="570">
        <v>2047</v>
      </c>
      <c r="AI281" s="570">
        <v>2048</v>
      </c>
      <c r="AJ281" s="570">
        <v>2049</v>
      </c>
      <c r="AK281" s="570">
        <v>2050</v>
      </c>
      <c r="AL281" s="570">
        <v>2051</v>
      </c>
      <c r="AM281" s="570">
        <v>2052</v>
      </c>
      <c r="AN281" s="570">
        <v>2053</v>
      </c>
      <c r="AO281" s="570">
        <v>2054</v>
      </c>
      <c r="AP281" s="570">
        <v>2055</v>
      </c>
      <c r="AQ281" s="570">
        <v>2056</v>
      </c>
      <c r="AR281" s="570">
        <v>2057</v>
      </c>
      <c r="AS281" s="570">
        <v>2058</v>
      </c>
      <c r="AT281" s="570">
        <v>2059</v>
      </c>
      <c r="AU281" s="570">
        <v>2060</v>
      </c>
      <c r="AV281" s="570">
        <v>2061</v>
      </c>
      <c r="AW281" s="570">
        <v>2062</v>
      </c>
      <c r="AX281" s="570">
        <v>2063</v>
      </c>
      <c r="AY281" s="570">
        <v>2064</v>
      </c>
      <c r="AZ281" s="570">
        <v>2065</v>
      </c>
      <c r="BA281" s="570">
        <v>2066</v>
      </c>
      <c r="BB281" s="570">
        <v>2067</v>
      </c>
      <c r="BC281" s="570">
        <v>2068</v>
      </c>
      <c r="BD281" s="570">
        <v>2069</v>
      </c>
      <c r="BE281" s="570">
        <v>2070</v>
      </c>
    </row>
    <row r="282" spans="2:57">
      <c r="B282" s="566"/>
      <c r="C282" s="566"/>
      <c r="D282" s="566"/>
      <c r="E282" s="566"/>
      <c r="F282" s="18"/>
      <c r="G282" s="18">
        <v>1</v>
      </c>
      <c r="H282" s="18">
        <v>2</v>
      </c>
      <c r="I282" s="18">
        <v>3</v>
      </c>
      <c r="J282" s="18">
        <v>4</v>
      </c>
      <c r="K282" s="18">
        <v>5</v>
      </c>
      <c r="L282" s="18">
        <v>6</v>
      </c>
      <c r="M282" s="19"/>
      <c r="N282" s="19">
        <v>7</v>
      </c>
      <c r="O282" s="19"/>
      <c r="P282" s="208"/>
      <c r="Q282" s="20">
        <v>8</v>
      </c>
      <c r="R282" s="20">
        <v>9</v>
      </c>
      <c r="S282" s="20">
        <v>10</v>
      </c>
      <c r="T282" s="20">
        <v>11</v>
      </c>
      <c r="U282" s="20">
        <v>12</v>
      </c>
      <c r="V282" s="20">
        <v>13</v>
      </c>
      <c r="W282" s="20">
        <v>14</v>
      </c>
      <c r="X282" s="20">
        <v>15</v>
      </c>
      <c r="Y282" s="20">
        <v>16</v>
      </c>
      <c r="Z282" s="20">
        <v>17</v>
      </c>
      <c r="AA282" s="20">
        <v>18</v>
      </c>
      <c r="AB282" s="20">
        <v>19</v>
      </c>
      <c r="AC282" s="20">
        <v>20</v>
      </c>
      <c r="AD282" s="20">
        <v>21</v>
      </c>
      <c r="AE282" s="20">
        <v>22</v>
      </c>
      <c r="AF282" s="20">
        <v>23</v>
      </c>
      <c r="AG282" s="20">
        <v>24</v>
      </c>
      <c r="AH282" s="20">
        <v>25</v>
      </c>
      <c r="AI282" s="20">
        <v>26</v>
      </c>
      <c r="AJ282" s="20">
        <v>27</v>
      </c>
      <c r="AK282" s="20">
        <v>28</v>
      </c>
      <c r="AL282" s="20">
        <v>29</v>
      </c>
      <c r="AM282" s="20">
        <v>30</v>
      </c>
      <c r="AN282" s="20">
        <v>31</v>
      </c>
      <c r="AO282" s="20">
        <v>32</v>
      </c>
      <c r="AP282" s="20">
        <v>33</v>
      </c>
      <c r="AQ282" s="20">
        <v>34</v>
      </c>
      <c r="AR282" s="20">
        <v>35</v>
      </c>
      <c r="AS282" s="20">
        <v>36</v>
      </c>
      <c r="AT282" s="20">
        <v>37</v>
      </c>
      <c r="AU282" s="20">
        <v>38</v>
      </c>
      <c r="AV282" s="20">
        <v>39</v>
      </c>
      <c r="AW282" s="20">
        <v>40</v>
      </c>
      <c r="AX282" s="20">
        <v>41</v>
      </c>
      <c r="AY282" s="20">
        <v>42</v>
      </c>
      <c r="AZ282" s="20">
        <v>43</v>
      </c>
      <c r="BA282" s="20">
        <v>44</v>
      </c>
      <c r="BB282" s="20">
        <v>45</v>
      </c>
      <c r="BC282" s="20">
        <v>46</v>
      </c>
      <c r="BD282" s="20">
        <v>47</v>
      </c>
      <c r="BE282" s="20">
        <v>48</v>
      </c>
    </row>
    <row r="283" spans="2:57">
      <c r="B283" s="29">
        <v>1</v>
      </c>
      <c r="C283" s="144" t="s">
        <v>535</v>
      </c>
      <c r="D283" s="466"/>
      <c r="E283" s="29" t="s">
        <v>130</v>
      </c>
      <c r="F283" s="466">
        <v>0</v>
      </c>
      <c r="G283" s="466">
        <f>F288</f>
        <v>0</v>
      </c>
      <c r="H283" s="466">
        <f ca="1">G288</f>
        <v>0</v>
      </c>
      <c r="I283" s="466">
        <f ca="1" t="shared" ref="I283" si="357">H288</f>
        <v>0</v>
      </c>
      <c r="J283" s="466">
        <f ca="1" t="shared" ref="J283" si="358">I288</f>
        <v>0</v>
      </c>
      <c r="K283" s="466">
        <f ca="1" t="shared" ref="K283" si="359">J288</f>
        <v>0</v>
      </c>
      <c r="L283" s="466">
        <f ca="1" t="shared" ref="L283:Q283" si="360">K288</f>
        <v>0</v>
      </c>
      <c r="M283" s="466">
        <f ca="1" t="shared" si="360"/>
        <v>0</v>
      </c>
      <c r="N283" s="466">
        <f ca="1" t="shared" si="360"/>
        <v>0</v>
      </c>
      <c r="O283" s="466">
        <f ca="1" t="shared" si="360"/>
        <v>0</v>
      </c>
      <c r="P283" s="571">
        <f ca="1" t="shared" si="360"/>
        <v>0</v>
      </c>
      <c r="Q283" s="466">
        <f ca="1" t="shared" si="360"/>
        <v>0</v>
      </c>
      <c r="R283" s="466">
        <f ca="1" t="shared" ref="R283" si="361">Q288</f>
        <v>3182.81821293866</v>
      </c>
      <c r="S283" s="466">
        <f ca="1" t="shared" ref="S283" si="362">R288</f>
        <v>22923.905552244</v>
      </c>
      <c r="T283" s="466">
        <f ca="1" t="shared" ref="T283:AP283" si="363">S288</f>
        <v>24909.7899948503</v>
      </c>
      <c r="U283" s="466">
        <f ca="1" t="shared" si="363"/>
        <v>23155.3751878034</v>
      </c>
      <c r="V283" s="466">
        <f ca="1" t="shared" si="363"/>
        <v>27121.7772056511</v>
      </c>
      <c r="W283" s="466">
        <f ca="1" t="shared" si="363"/>
        <v>31203.4287691616</v>
      </c>
      <c r="X283" s="466">
        <f ca="1" t="shared" si="363"/>
        <v>39923.4542146461</v>
      </c>
      <c r="Y283" s="466">
        <f ca="1" t="shared" si="363"/>
        <v>56102.7634062394</v>
      </c>
      <c r="Z283" s="466">
        <f ca="1" t="shared" si="363"/>
        <v>72011.0168176142</v>
      </c>
      <c r="AA283" s="466">
        <f ca="1" t="shared" si="363"/>
        <v>87779.1385322782</v>
      </c>
      <c r="AB283" s="466">
        <f ca="1" t="shared" si="363"/>
        <v>103458.355613537</v>
      </c>
      <c r="AC283" s="466">
        <f ca="1" t="shared" si="363"/>
        <v>120433.560095366</v>
      </c>
      <c r="AD283" s="466">
        <f ca="1" t="shared" si="363"/>
        <v>152594.37084634</v>
      </c>
      <c r="AE283" s="466">
        <f ca="1" t="shared" si="363"/>
        <v>166468.883599019</v>
      </c>
      <c r="AF283" s="466">
        <f ca="1" t="shared" si="363"/>
        <v>180060.495206611</v>
      </c>
      <c r="AG283" s="466">
        <f ca="1" t="shared" si="363"/>
        <v>181281.086327384</v>
      </c>
      <c r="AH283" s="466">
        <f ca="1" t="shared" si="363"/>
        <v>146395.103050747</v>
      </c>
      <c r="AI283" s="466">
        <f ca="1" t="shared" si="363"/>
        <v>110696.128210073</v>
      </c>
      <c r="AJ283" s="466">
        <f ca="1" t="shared" si="363"/>
        <v>76002.8781047201</v>
      </c>
      <c r="AK283" s="466">
        <f ca="1" t="shared" si="363"/>
        <v>44490.1253468619</v>
      </c>
      <c r="AL283" s="466">
        <f ca="1" t="shared" si="363"/>
        <v>12192.8242371059</v>
      </c>
      <c r="AM283" s="466">
        <f ca="1" t="shared" si="363"/>
        <v>0</v>
      </c>
      <c r="AN283" s="466">
        <f ca="1" t="shared" si="363"/>
        <v>0</v>
      </c>
      <c r="AO283" s="466">
        <f ca="1" t="shared" si="363"/>
        <v>0</v>
      </c>
      <c r="AP283" s="466">
        <f ca="1" t="shared" si="363"/>
        <v>0</v>
      </c>
      <c r="AQ283" s="466">
        <f ca="1" t="shared" ref="AQ283" si="364">AP288</f>
        <v>0</v>
      </c>
      <c r="AR283" s="466">
        <f ca="1" t="shared" ref="AR283" si="365">AQ288</f>
        <v>0</v>
      </c>
      <c r="AS283" s="466">
        <f ca="1" t="shared" ref="AS283" si="366">AR288</f>
        <v>0</v>
      </c>
      <c r="AT283" s="466">
        <f ca="1" t="shared" ref="AT283" si="367">AS288</f>
        <v>0</v>
      </c>
      <c r="AU283" s="466">
        <f ca="1" t="shared" ref="AU283" si="368">AT288</f>
        <v>0</v>
      </c>
      <c r="AV283" s="466">
        <f ca="1" t="shared" ref="AV283" si="369">AU288</f>
        <v>0</v>
      </c>
      <c r="AW283" s="466">
        <f ca="1" t="shared" ref="AW283" si="370">AV288</f>
        <v>0</v>
      </c>
      <c r="AX283" s="466">
        <f ca="1" t="shared" ref="AX283" si="371">AW288</f>
        <v>0</v>
      </c>
      <c r="AY283" s="466">
        <f ca="1" t="shared" ref="AY283" si="372">AX288</f>
        <v>0</v>
      </c>
      <c r="AZ283" s="466">
        <f ca="1" t="shared" ref="AZ283" si="373">AY288</f>
        <v>0</v>
      </c>
      <c r="BA283" s="466">
        <f ca="1" t="shared" ref="BA283" si="374">AZ288</f>
        <v>0</v>
      </c>
      <c r="BB283" s="466">
        <f ca="1" t="shared" ref="BB283" si="375">BA288</f>
        <v>0</v>
      </c>
      <c r="BC283" s="466">
        <f ca="1" t="shared" ref="BC283" si="376">BB288</f>
        <v>0</v>
      </c>
      <c r="BD283" s="466">
        <f ca="1" t="shared" ref="BD283" si="377">BC288</f>
        <v>0</v>
      </c>
      <c r="BE283" s="466">
        <f ca="1" t="shared" ref="BE283" si="378">BD288</f>
        <v>0</v>
      </c>
    </row>
    <row r="284" s="4" customFormat="1" spans="2:57">
      <c r="B284" s="50">
        <v>2</v>
      </c>
      <c r="C284" s="75" t="s">
        <v>536</v>
      </c>
      <c r="D284" s="467">
        <f ca="1">SUM(F284:BE284)</f>
        <v>1682387.27853119</v>
      </c>
      <c r="E284" s="50" t="s">
        <v>130</v>
      </c>
      <c r="F284" s="467">
        <v>0</v>
      </c>
      <c r="G284" s="467">
        <f ca="1">'表9-现金流量表-财务计划'!F76</f>
        <v>0</v>
      </c>
      <c r="H284" s="467">
        <f ca="1">'表9-现金流量表-财务计划'!G76</f>
        <v>0</v>
      </c>
      <c r="I284" s="467">
        <f ca="1">'表9-现金流量表-财务计划'!H76</f>
        <v>0</v>
      </c>
      <c r="J284" s="467">
        <f ca="1">'表9-现金流量表-财务计划'!I76</f>
        <v>0</v>
      </c>
      <c r="K284" s="467">
        <f ca="1">'表9-现金流量表-财务计划'!J76</f>
        <v>0</v>
      </c>
      <c r="L284" s="467">
        <f ca="1">'表9-现金流量表-财务计划'!K76</f>
        <v>0</v>
      </c>
      <c r="M284" s="467">
        <v>0</v>
      </c>
      <c r="N284" s="467">
        <f ca="1">'表9-现金流量表-财务计划'!L76</f>
        <v>0</v>
      </c>
      <c r="O284" s="467">
        <v>0</v>
      </c>
      <c r="P284" s="571">
        <v>0</v>
      </c>
      <c r="Q284" s="467">
        <f ca="1">'表9-现金流量表-财务计划'!M76</f>
        <v>3182.81821293866</v>
      </c>
      <c r="R284" s="467">
        <f ca="1">'表9-现金流量表-财务计划'!N76</f>
        <v>22923.905552244</v>
      </c>
      <c r="S284" s="467">
        <f ca="1">'表9-现金流量表-财务计划'!O76</f>
        <v>24909.7899948503</v>
      </c>
      <c r="T284" s="467">
        <f ca="1">'表9-现金流量表-财务计划'!P76</f>
        <v>23155.3751878034</v>
      </c>
      <c r="U284" s="467">
        <f ca="1">'表9-现金流量表-财务计划'!Q76</f>
        <v>27121.7772056511</v>
      </c>
      <c r="V284" s="467">
        <f ca="1">'表9-现金流量表-财务计划'!R76</f>
        <v>31203.4287691616</v>
      </c>
      <c r="W284" s="467">
        <f ca="1">'表9-现金流量表-财务计划'!S76</f>
        <v>39923.4542146461</v>
      </c>
      <c r="X284" s="467">
        <f ca="1">'表9-现金流量表-财务计划'!T76</f>
        <v>56102.7634062394</v>
      </c>
      <c r="Y284" s="467">
        <f ca="1">'表9-现金流量表-财务计划'!U76</f>
        <v>72011.0168176142</v>
      </c>
      <c r="Z284" s="467">
        <f ca="1">'表9-现金流量表-财务计划'!V76</f>
        <v>87779.1385322782</v>
      </c>
      <c r="AA284" s="467">
        <f ca="1">'表9-现金流量表-财务计划'!W76</f>
        <v>103458.355613537</v>
      </c>
      <c r="AB284" s="467">
        <f ca="1">'表9-现金流量表-财务计划'!X76</f>
        <v>120433.560095366</v>
      </c>
      <c r="AC284" s="467">
        <f ca="1">'表9-现金流量表-财务计划'!Y76</f>
        <v>152594.37084634</v>
      </c>
      <c r="AD284" s="467">
        <f ca="1">'表9-现金流量表-财务计划'!Z76</f>
        <v>166468.88359902</v>
      </c>
      <c r="AE284" s="467">
        <f ca="1">'表9-现金流量表-财务计划'!AA76</f>
        <v>180060.495206611</v>
      </c>
      <c r="AF284" s="467">
        <f ca="1">'表9-现金流量表-财务计划'!AB76</f>
        <v>181281.086327384</v>
      </c>
      <c r="AG284" s="467">
        <f ca="1">'表9-现金流量表-财务计划'!AC76</f>
        <v>146395.103050747</v>
      </c>
      <c r="AH284" s="467">
        <f ca="1">'表9-现金流量表-财务计划'!AD76</f>
        <v>110696.128210073</v>
      </c>
      <c r="AI284" s="467">
        <f ca="1">'表9-现金流量表-财务计划'!AE76</f>
        <v>76002.8781047201</v>
      </c>
      <c r="AJ284" s="467">
        <f ca="1">'表9-现金流量表-财务计划'!AF76</f>
        <v>44490.1253468619</v>
      </c>
      <c r="AK284" s="467">
        <f ca="1">'表9-现金流量表-财务计划'!AG76</f>
        <v>12192.8242371059</v>
      </c>
      <c r="AL284" s="467">
        <f ca="1">'表9-现金流量表-财务计划'!AH76</f>
        <v>0</v>
      </c>
      <c r="AM284" s="467">
        <f ca="1">'表9-现金流量表-财务计划'!AI76</f>
        <v>0</v>
      </c>
      <c r="AN284" s="467">
        <f ca="1">'表9-现金流量表-财务计划'!AJ76</f>
        <v>0</v>
      </c>
      <c r="AO284" s="467">
        <f ca="1">'表9-现金流量表-财务计划'!AK76</f>
        <v>0</v>
      </c>
      <c r="AP284" s="467">
        <f ca="1">'表9-现金流量表-财务计划'!AL76</f>
        <v>0</v>
      </c>
      <c r="AQ284" s="467">
        <f ca="1">'表9-现金流量表-财务计划'!AM76</f>
        <v>0</v>
      </c>
      <c r="AR284" s="467">
        <f ca="1">'表9-现金流量表-财务计划'!AN76</f>
        <v>0</v>
      </c>
      <c r="AS284" s="467">
        <f ca="1">'表9-现金流量表-财务计划'!AO76</f>
        <v>0</v>
      </c>
      <c r="AT284" s="467">
        <f ca="1">'表9-现金流量表-财务计划'!AP76</f>
        <v>0</v>
      </c>
      <c r="AU284" s="467">
        <f ca="1">'表9-现金流量表-财务计划'!AQ76</f>
        <v>0</v>
      </c>
      <c r="AV284" s="467">
        <f ca="1">'表9-现金流量表-财务计划'!AR76</f>
        <v>0</v>
      </c>
      <c r="AW284" s="467">
        <f ca="1">'表9-现金流量表-财务计划'!AS76</f>
        <v>0</v>
      </c>
      <c r="AX284" s="467">
        <f ca="1">'表9-现金流量表-财务计划'!AT76</f>
        <v>0</v>
      </c>
      <c r="AY284" s="467">
        <f ca="1">'表9-现金流量表-财务计划'!AU76</f>
        <v>0</v>
      </c>
      <c r="AZ284" s="467">
        <f ca="1">'表9-现金流量表-财务计划'!AV76</f>
        <v>0</v>
      </c>
      <c r="BA284" s="467">
        <f ca="1">'表9-现金流量表-财务计划'!AW76</f>
        <v>0</v>
      </c>
      <c r="BB284" s="467">
        <f ca="1">'表9-现金流量表-财务计划'!AX76</f>
        <v>0</v>
      </c>
      <c r="BC284" s="467">
        <f ca="1">'表9-现金流量表-财务计划'!AY76</f>
        <v>0</v>
      </c>
      <c r="BD284" s="467">
        <f ca="1">'表9-现金流量表-财务计划'!AZ76</f>
        <v>0</v>
      </c>
      <c r="BE284" s="467">
        <f ca="1">'表9-现金流量表-财务计划'!BA76</f>
        <v>0</v>
      </c>
    </row>
    <row r="285" s="4" customFormat="1" spans="2:57">
      <c r="B285" s="50">
        <v>3</v>
      </c>
      <c r="C285" s="75" t="s">
        <v>537</v>
      </c>
      <c r="D285" s="467">
        <f ca="1">SUM(F285:BE285)</f>
        <v>1805201.54986397</v>
      </c>
      <c r="E285" s="50" t="s">
        <v>130</v>
      </c>
      <c r="F285" s="467">
        <f>SUM(F286:F287)</f>
        <v>0</v>
      </c>
      <c r="G285" s="467">
        <f ca="1" t="shared" ref="G285:R285" si="379">SUM(G286:G287)</f>
        <v>0</v>
      </c>
      <c r="H285" s="467">
        <f ca="1" t="shared" si="379"/>
        <v>0</v>
      </c>
      <c r="I285" s="467">
        <f ca="1" t="shared" si="379"/>
        <v>0</v>
      </c>
      <c r="J285" s="467">
        <f ca="1" t="shared" si="379"/>
        <v>0</v>
      </c>
      <c r="K285" s="467">
        <f ca="1" t="shared" si="379"/>
        <v>0</v>
      </c>
      <c r="L285" s="467">
        <f ca="1" t="shared" si="379"/>
        <v>0</v>
      </c>
      <c r="M285" s="467">
        <f ca="1" t="shared" si="379"/>
        <v>0</v>
      </c>
      <c r="N285" s="467">
        <f ca="1" t="shared" si="379"/>
        <v>0</v>
      </c>
      <c r="O285" s="467">
        <f ca="1" t="shared" si="379"/>
        <v>0</v>
      </c>
      <c r="P285" s="571">
        <f ca="1" t="shared" si="379"/>
        <v>0</v>
      </c>
      <c r="Q285" s="467">
        <f ca="1" t="shared" si="379"/>
        <v>116.172864772261</v>
      </c>
      <c r="R285" s="467">
        <f ca="1" t="shared" si="379"/>
        <v>4135.71363036782</v>
      </c>
      <c r="S285" s="467">
        <f ca="1" t="shared" ref="S285:AP285" si="380">SUM(S286:S287)</f>
        <v>24669.8354397129</v>
      </c>
      <c r="T285" s="467">
        <f ca="1" t="shared" si="380"/>
        <v>26664.1685240172</v>
      </c>
      <c r="U285" s="467">
        <f ca="1" t="shared" si="380"/>
        <v>24990.4912501645</v>
      </c>
      <c r="V285" s="467">
        <f ca="1" t="shared" si="380"/>
        <v>29250.6472237317</v>
      </c>
      <c r="W285" s="467">
        <f ca="1" t="shared" si="380"/>
        <v>33799.5599980705</v>
      </c>
      <c r="X285" s="467">
        <f ca="1" t="shared" si="380"/>
        <v>43428.4111578085</v>
      </c>
      <c r="Y285" s="467">
        <f ca="1" t="shared" si="380"/>
        <v>60778.91638441</v>
      </c>
      <c r="Z285" s="467">
        <f ca="1" t="shared" si="380"/>
        <v>77843.3574878853</v>
      </c>
      <c r="AA285" s="467">
        <f ca="1" t="shared" si="380"/>
        <v>94759.3070686005</v>
      </c>
      <c r="AB285" s="467">
        <f ca="1" t="shared" si="380"/>
        <v>111630.410536912</v>
      </c>
      <c r="AC285" s="467">
        <f ca="1" t="shared" si="380"/>
        <v>130399.079574738</v>
      </c>
      <c r="AD285" s="467">
        <f ca="1" t="shared" si="380"/>
        <v>164240.179633596</v>
      </c>
      <c r="AE285" s="467">
        <f ca="1" t="shared" si="380"/>
        <v>179117.205925425</v>
      </c>
      <c r="AF285" s="467">
        <f ca="1" t="shared" si="380"/>
        <v>193249.462932602</v>
      </c>
      <c r="AG285" s="467">
        <f ca="1" t="shared" si="380"/>
        <v>193241.267239686</v>
      </c>
      <c r="AH285" s="467">
        <f ca="1" t="shared" si="380"/>
        <v>155778.932991767</v>
      </c>
      <c r="AI285" s="467">
        <f ca="1" t="shared" si="380"/>
        <v>117510.641940563</v>
      </c>
      <c r="AJ285" s="467">
        <f ca="1" t="shared" si="380"/>
        <v>80400.8727307029</v>
      </c>
      <c r="AK285" s="467">
        <f ca="1" t="shared" si="380"/>
        <v>46559.0530066767</v>
      </c>
      <c r="AL285" s="467">
        <f ca="1" t="shared" si="380"/>
        <v>12637.8623217603</v>
      </c>
      <c r="AM285" s="467">
        <f ca="1" t="shared" si="380"/>
        <v>0</v>
      </c>
      <c r="AN285" s="467">
        <f ca="1" t="shared" si="380"/>
        <v>0</v>
      </c>
      <c r="AO285" s="467">
        <f ca="1" t="shared" si="380"/>
        <v>0</v>
      </c>
      <c r="AP285" s="467">
        <f ca="1" t="shared" si="380"/>
        <v>0</v>
      </c>
      <c r="AQ285" s="467">
        <f ca="1" t="shared" ref="AQ285:BE285" si="381">SUM(AQ286:AQ287)</f>
        <v>0</v>
      </c>
      <c r="AR285" s="467">
        <f ca="1" t="shared" si="381"/>
        <v>0</v>
      </c>
      <c r="AS285" s="467">
        <f ca="1" t="shared" si="381"/>
        <v>0</v>
      </c>
      <c r="AT285" s="467">
        <f ca="1" t="shared" si="381"/>
        <v>0</v>
      </c>
      <c r="AU285" s="467">
        <f ca="1" t="shared" si="381"/>
        <v>0</v>
      </c>
      <c r="AV285" s="467">
        <f ca="1" t="shared" si="381"/>
        <v>0</v>
      </c>
      <c r="AW285" s="467">
        <f ca="1" t="shared" si="381"/>
        <v>0</v>
      </c>
      <c r="AX285" s="467">
        <f ca="1" t="shared" si="381"/>
        <v>0</v>
      </c>
      <c r="AY285" s="467">
        <f ca="1" t="shared" si="381"/>
        <v>0</v>
      </c>
      <c r="AZ285" s="467">
        <f ca="1" t="shared" si="381"/>
        <v>0</v>
      </c>
      <c r="BA285" s="467">
        <f ca="1" t="shared" si="381"/>
        <v>0</v>
      </c>
      <c r="BB285" s="467">
        <f ca="1" t="shared" si="381"/>
        <v>0</v>
      </c>
      <c r="BC285" s="467">
        <f ca="1" t="shared" si="381"/>
        <v>0</v>
      </c>
      <c r="BD285" s="467">
        <f ca="1" t="shared" si="381"/>
        <v>0</v>
      </c>
      <c r="BE285" s="467">
        <f ca="1" t="shared" si="381"/>
        <v>0</v>
      </c>
    </row>
    <row r="286" s="4" customFormat="1" ht="16.05" customHeight="1" spans="2:57">
      <c r="B286" s="50"/>
      <c r="C286" s="74" t="s">
        <v>559</v>
      </c>
      <c r="D286" s="467">
        <f ca="1">SUM(F286:BE286)</f>
        <v>1682387.27853119</v>
      </c>
      <c r="E286" s="50" t="s">
        <v>130</v>
      </c>
      <c r="F286" s="467">
        <v>0</v>
      </c>
      <c r="G286" s="467">
        <v>0</v>
      </c>
      <c r="H286" s="467">
        <f ca="1">G284</f>
        <v>0</v>
      </c>
      <c r="I286" s="467">
        <f ca="1">H284</f>
        <v>0</v>
      </c>
      <c r="J286" s="467">
        <f ca="1">I284</f>
        <v>0</v>
      </c>
      <c r="K286" s="467">
        <f ca="1">J284</f>
        <v>0</v>
      </c>
      <c r="L286" s="467">
        <f ca="1">K284</f>
        <v>0</v>
      </c>
      <c r="M286" s="467">
        <v>0</v>
      </c>
      <c r="N286" s="467">
        <f ca="1">L284</f>
        <v>0</v>
      </c>
      <c r="O286" s="467">
        <v>0</v>
      </c>
      <c r="P286" s="571">
        <v>0</v>
      </c>
      <c r="Q286" s="467">
        <f ca="1">N284</f>
        <v>0</v>
      </c>
      <c r="R286" s="467">
        <f ca="1">Q284</f>
        <v>3182.81821293866</v>
      </c>
      <c r="S286" s="467">
        <f ca="1" t="shared" ref="S286:BE286" si="382">R284</f>
        <v>22923.905552244</v>
      </c>
      <c r="T286" s="467">
        <f ca="1" t="shared" si="382"/>
        <v>24909.7899948503</v>
      </c>
      <c r="U286" s="467">
        <f ca="1" t="shared" si="382"/>
        <v>23155.3751878034</v>
      </c>
      <c r="V286" s="467">
        <f ca="1" t="shared" si="382"/>
        <v>27121.7772056511</v>
      </c>
      <c r="W286" s="467">
        <f ca="1" t="shared" si="382"/>
        <v>31203.4287691616</v>
      </c>
      <c r="X286" s="467">
        <f ca="1" t="shared" si="382"/>
        <v>39923.4542146461</v>
      </c>
      <c r="Y286" s="467">
        <f ca="1" t="shared" si="382"/>
        <v>56102.7634062394</v>
      </c>
      <c r="Z286" s="467">
        <f ca="1" t="shared" si="382"/>
        <v>72011.0168176142</v>
      </c>
      <c r="AA286" s="467">
        <f ca="1" t="shared" si="382"/>
        <v>87779.1385322782</v>
      </c>
      <c r="AB286" s="467">
        <f ca="1" t="shared" si="382"/>
        <v>103458.355613537</v>
      </c>
      <c r="AC286" s="467">
        <f ca="1" t="shared" si="382"/>
        <v>120433.560095366</v>
      </c>
      <c r="AD286" s="467">
        <f ca="1" t="shared" si="382"/>
        <v>152594.37084634</v>
      </c>
      <c r="AE286" s="467">
        <f ca="1" t="shared" si="382"/>
        <v>166468.88359902</v>
      </c>
      <c r="AF286" s="467">
        <f ca="1" t="shared" si="382"/>
        <v>180060.495206611</v>
      </c>
      <c r="AG286" s="467">
        <f ca="1" t="shared" si="382"/>
        <v>181281.086327384</v>
      </c>
      <c r="AH286" s="467">
        <f ca="1" t="shared" si="382"/>
        <v>146395.103050747</v>
      </c>
      <c r="AI286" s="467">
        <f ca="1" t="shared" si="382"/>
        <v>110696.128210073</v>
      </c>
      <c r="AJ286" s="467">
        <f ca="1" t="shared" si="382"/>
        <v>76002.8781047201</v>
      </c>
      <c r="AK286" s="467">
        <f ca="1" t="shared" si="382"/>
        <v>44490.1253468619</v>
      </c>
      <c r="AL286" s="467">
        <f ca="1" t="shared" si="382"/>
        <v>12192.8242371059</v>
      </c>
      <c r="AM286" s="467">
        <f ca="1" t="shared" si="382"/>
        <v>0</v>
      </c>
      <c r="AN286" s="467">
        <f ca="1" t="shared" si="382"/>
        <v>0</v>
      </c>
      <c r="AO286" s="467">
        <f ca="1" t="shared" si="382"/>
        <v>0</v>
      </c>
      <c r="AP286" s="467">
        <f ca="1" t="shared" si="382"/>
        <v>0</v>
      </c>
      <c r="AQ286" s="467">
        <f ca="1" t="shared" si="382"/>
        <v>0</v>
      </c>
      <c r="AR286" s="467">
        <f ca="1" t="shared" si="382"/>
        <v>0</v>
      </c>
      <c r="AS286" s="467">
        <f ca="1" t="shared" si="382"/>
        <v>0</v>
      </c>
      <c r="AT286" s="467">
        <f ca="1" t="shared" si="382"/>
        <v>0</v>
      </c>
      <c r="AU286" s="467">
        <f ca="1" t="shared" si="382"/>
        <v>0</v>
      </c>
      <c r="AV286" s="467">
        <f ca="1" t="shared" si="382"/>
        <v>0</v>
      </c>
      <c r="AW286" s="467">
        <f ca="1" t="shared" si="382"/>
        <v>0</v>
      </c>
      <c r="AX286" s="467">
        <f ca="1" t="shared" si="382"/>
        <v>0</v>
      </c>
      <c r="AY286" s="467">
        <f ca="1" t="shared" si="382"/>
        <v>0</v>
      </c>
      <c r="AZ286" s="467">
        <f ca="1" t="shared" si="382"/>
        <v>0</v>
      </c>
      <c r="BA286" s="467">
        <f ca="1" t="shared" si="382"/>
        <v>0</v>
      </c>
      <c r="BB286" s="467">
        <f ca="1" t="shared" si="382"/>
        <v>0</v>
      </c>
      <c r="BC286" s="467">
        <f ca="1" t="shared" si="382"/>
        <v>0</v>
      </c>
      <c r="BD286" s="467">
        <f ca="1" t="shared" si="382"/>
        <v>0</v>
      </c>
      <c r="BE286" s="467">
        <f ca="1" t="shared" si="382"/>
        <v>0</v>
      </c>
    </row>
    <row r="287" s="4" customFormat="1" spans="2:57">
      <c r="B287" s="50"/>
      <c r="C287" s="86" t="s">
        <v>560</v>
      </c>
      <c r="D287" s="467">
        <f ca="1">SUM(F287:BE287)</f>
        <v>122814.271332777</v>
      </c>
      <c r="E287" s="50" t="s">
        <v>130</v>
      </c>
      <c r="F287" s="467">
        <f>(F283+F284)*参数输入表!$I$253*F280/12</f>
        <v>0</v>
      </c>
      <c r="G287" s="467">
        <f ca="1">(G283+G284)*参数输入表!$I$253*G280/12</f>
        <v>0</v>
      </c>
      <c r="H287" s="467">
        <f ca="1">(H283+H284)*参数输入表!$I$253*H280/12</f>
        <v>0</v>
      </c>
      <c r="I287" s="467">
        <f ca="1">(I283+I284)*参数输入表!$I$253*I280/12</f>
        <v>0</v>
      </c>
      <c r="J287" s="467">
        <f ca="1">(J283+J284)*参数输入表!$I$253*J280/12</f>
        <v>0</v>
      </c>
      <c r="K287" s="467">
        <f ca="1">(K283+K284)*参数输入表!$I$253*K280/12</f>
        <v>0</v>
      </c>
      <c r="L287" s="467">
        <f ca="1">(L283+L284)*参数输入表!$I$253*L280/12</f>
        <v>0</v>
      </c>
      <c r="M287" s="467">
        <f ca="1">(M283+M284)*参数输入表!$I$253*M280/12</f>
        <v>0</v>
      </c>
      <c r="N287" s="467">
        <f ca="1">(N283+N284)*参数输入表!$I$253*N280/12</f>
        <v>0</v>
      </c>
      <c r="O287" s="467">
        <f ca="1">(O283+O284)*参数输入表!$I$253*O280/12</f>
        <v>0</v>
      </c>
      <c r="P287" s="571">
        <f ca="1">(P283+P284)*参数输入表!$I$253*P280/12</f>
        <v>0</v>
      </c>
      <c r="Q287" s="467">
        <f ca="1">(Q283+Q284)*参数输入表!$I$253*Q280/12</f>
        <v>116.172864772261</v>
      </c>
      <c r="R287" s="467">
        <f ca="1">(R283+R284)*参数输入表!$I$253*R280/12</f>
        <v>952.895417429166</v>
      </c>
      <c r="S287" s="467">
        <f ca="1">(S283+S284)*参数输入表!$I$253*S280/12</f>
        <v>1745.92988746894</v>
      </c>
      <c r="T287" s="467">
        <f ca="1">(T283+T284)*参数输入表!$I$253*T280/12</f>
        <v>1754.37852916686</v>
      </c>
      <c r="U287" s="467">
        <f ca="1">(U283+U284)*参数输入表!$I$253*U280/12</f>
        <v>1835.11606236109</v>
      </c>
      <c r="V287" s="467">
        <f ca="1">(V283+V284)*参数输入表!$I$253*V280/12</f>
        <v>2128.87001808066</v>
      </c>
      <c r="W287" s="467">
        <f ca="1">(W283+W284)*参数输入表!$I$253*W280/12</f>
        <v>2596.13122890898</v>
      </c>
      <c r="X287" s="467">
        <f ca="1">(X283+X284)*参数输入表!$I$253*X280/12</f>
        <v>3504.95694316232</v>
      </c>
      <c r="Y287" s="467">
        <f ca="1">(Y283+Y284)*参数输入表!$I$253*Y280/12</f>
        <v>4676.15297817065</v>
      </c>
      <c r="Z287" s="467">
        <f ca="1">(Z283+Z284)*参数输入表!$I$253*Z280/12</f>
        <v>5832.34067027107</v>
      </c>
      <c r="AA287" s="467">
        <f ca="1">(AA283+AA284)*参数输入表!$I$253*AA280/12</f>
        <v>6980.16853632225</v>
      </c>
      <c r="AB287" s="467">
        <f ca="1">(AB283+AB284)*参数输入表!$I$253*AB280/12</f>
        <v>8172.05492337494</v>
      </c>
      <c r="AC287" s="467">
        <f ca="1">(AC283+AC284)*参数输入表!$I$253*AC280/12</f>
        <v>9965.51947937225</v>
      </c>
      <c r="AD287" s="467">
        <f ca="1">(AD283+AD284)*参数输入表!$I$253*AD280/12</f>
        <v>11645.8087872556</v>
      </c>
      <c r="AE287" s="467">
        <f ca="1">(AE283+AE284)*参数输入表!$I$253*AE280/12</f>
        <v>12648.3223264055</v>
      </c>
      <c r="AF287" s="467">
        <f ca="1">(AF283+AF284)*参数输入表!$I$253*AF280/12</f>
        <v>13188.9677259908</v>
      </c>
      <c r="AG287" s="467">
        <f ca="1">(AG283+AG284)*参数输入表!$I$253*AG280/12</f>
        <v>11960.1809123018</v>
      </c>
      <c r="AH287" s="467">
        <f ca="1">(AH283+AH284)*参数输入表!$I$253*AH280/12</f>
        <v>9383.82994101994</v>
      </c>
      <c r="AI287" s="467">
        <f ca="1">(AI283+AI284)*参数输入表!$I$253*AI280/12</f>
        <v>6814.51373048996</v>
      </c>
      <c r="AJ287" s="467">
        <f ca="1">(AJ283+AJ284)*参数输入表!$I$253*AJ280/12</f>
        <v>4397.99462598274</v>
      </c>
      <c r="AK287" s="467">
        <f ca="1">(AK283+AK284)*参数输入表!$I$253*AK280/12</f>
        <v>2068.92765981482</v>
      </c>
      <c r="AL287" s="467">
        <f ca="1">(AL283+AL284)*参数输入表!$I$253*AL280/12</f>
        <v>445.038084654365</v>
      </c>
      <c r="AM287" s="467">
        <f ca="1">(AM283+AM284)*参数输入表!$I$253*AM280/12</f>
        <v>0</v>
      </c>
      <c r="AN287" s="467">
        <f ca="1">(AN283+AN284)*参数输入表!$I$253*AN280/12</f>
        <v>0</v>
      </c>
      <c r="AO287" s="467">
        <f ca="1">(AO283+AO284)*参数输入表!$I$253*AO280/12</f>
        <v>0</v>
      </c>
      <c r="AP287" s="467">
        <f ca="1">(AP283+AP284)*参数输入表!$I$253*AP280/12</f>
        <v>0</v>
      </c>
      <c r="AQ287" s="467">
        <f ca="1">(AQ283+AQ284)*参数输入表!$I$253*AQ280/12</f>
        <v>0</v>
      </c>
      <c r="AR287" s="467">
        <f ca="1">(AR283+AR284)*参数输入表!$I$253*AR280/12</f>
        <v>0</v>
      </c>
      <c r="AS287" s="467">
        <f ca="1">(AS283+AS284)*参数输入表!$I$253*AS280/12</f>
        <v>0</v>
      </c>
      <c r="AT287" s="467">
        <f ca="1">(AT283+AT284)*参数输入表!$I$253*AT280/12</f>
        <v>0</v>
      </c>
      <c r="AU287" s="467">
        <f ca="1">(AU283+AU284)*参数输入表!$I$253*AU280/12</f>
        <v>0</v>
      </c>
      <c r="AV287" s="467">
        <f ca="1">(AV283+AV284)*参数输入表!$I$253*AV280/12</f>
        <v>0</v>
      </c>
      <c r="AW287" s="467">
        <f ca="1">(AW283+AW284)*参数输入表!$I$253*AW280/12</f>
        <v>0</v>
      </c>
      <c r="AX287" s="467">
        <f ca="1">(AX283+AX284)*参数输入表!$I$253*AX280/12</f>
        <v>0</v>
      </c>
      <c r="AY287" s="467">
        <f ca="1">(AY283+AY284)*参数输入表!$I$253*AY280/12</f>
        <v>0</v>
      </c>
      <c r="AZ287" s="467">
        <f ca="1">(AZ283+AZ284)*参数输入表!$I$253*AZ280/12</f>
        <v>0</v>
      </c>
      <c r="BA287" s="467">
        <f ca="1">(BA283+BA284)*参数输入表!$I$253*BA280/12</f>
        <v>0</v>
      </c>
      <c r="BB287" s="467">
        <f ca="1">(BB283+BB284)*参数输入表!$I$253*BB280/12</f>
        <v>0</v>
      </c>
      <c r="BC287" s="467">
        <f ca="1">(BC283+BC284)*参数输入表!$I$253*BC280/12</f>
        <v>0</v>
      </c>
      <c r="BD287" s="467">
        <f ca="1">(BD283+BD284)*参数输入表!$I$253*BD280/12</f>
        <v>0</v>
      </c>
      <c r="BE287" s="467">
        <f ca="1">(BE283+BE284)*参数输入表!$I$253*BE280/12</f>
        <v>0</v>
      </c>
    </row>
    <row r="288" spans="2:57">
      <c r="B288" s="29">
        <v>4</v>
      </c>
      <c r="C288" s="144" t="s">
        <v>540</v>
      </c>
      <c r="D288" s="467">
        <f ca="1">BE288</f>
        <v>0</v>
      </c>
      <c r="E288" s="29" t="s">
        <v>130</v>
      </c>
      <c r="F288" s="466">
        <f t="shared" ref="F288:Q288" si="383">F283+F284-F286</f>
        <v>0</v>
      </c>
      <c r="G288" s="466">
        <f ca="1" t="shared" si="383"/>
        <v>0</v>
      </c>
      <c r="H288" s="466">
        <f ca="1" t="shared" si="383"/>
        <v>0</v>
      </c>
      <c r="I288" s="466">
        <f ca="1" t="shared" si="383"/>
        <v>0</v>
      </c>
      <c r="J288" s="466">
        <f ca="1" t="shared" si="383"/>
        <v>0</v>
      </c>
      <c r="K288" s="466">
        <f ca="1" t="shared" si="383"/>
        <v>0</v>
      </c>
      <c r="L288" s="466">
        <f ca="1" t="shared" si="383"/>
        <v>0</v>
      </c>
      <c r="M288" s="466">
        <f ca="1" t="shared" si="383"/>
        <v>0</v>
      </c>
      <c r="N288" s="466">
        <f ca="1" t="shared" si="383"/>
        <v>0</v>
      </c>
      <c r="O288" s="466">
        <f ca="1" t="shared" si="383"/>
        <v>0</v>
      </c>
      <c r="P288" s="571">
        <f ca="1" t="shared" si="383"/>
        <v>0</v>
      </c>
      <c r="Q288" s="466">
        <f ca="1" t="shared" si="383"/>
        <v>3182.81821293866</v>
      </c>
      <c r="R288" s="466">
        <f ca="1" t="shared" ref="R288:AP288" si="384">R283+R284-R286</f>
        <v>22923.905552244</v>
      </c>
      <c r="S288" s="466">
        <f ca="1" t="shared" si="384"/>
        <v>24909.7899948503</v>
      </c>
      <c r="T288" s="466">
        <f ca="1" t="shared" si="384"/>
        <v>23155.3751878034</v>
      </c>
      <c r="U288" s="466">
        <f ca="1" t="shared" si="384"/>
        <v>27121.7772056511</v>
      </c>
      <c r="V288" s="466">
        <f ca="1" t="shared" si="384"/>
        <v>31203.4287691616</v>
      </c>
      <c r="W288" s="466">
        <f ca="1" t="shared" si="384"/>
        <v>39923.4542146461</v>
      </c>
      <c r="X288" s="466">
        <f ca="1" t="shared" si="384"/>
        <v>56102.7634062394</v>
      </c>
      <c r="Y288" s="466">
        <f ca="1" t="shared" si="384"/>
        <v>72011.0168176142</v>
      </c>
      <c r="Z288" s="466">
        <f ca="1" t="shared" si="384"/>
        <v>87779.1385322782</v>
      </c>
      <c r="AA288" s="466">
        <f ca="1" t="shared" si="384"/>
        <v>103458.355613537</v>
      </c>
      <c r="AB288" s="466">
        <f ca="1" t="shared" si="384"/>
        <v>120433.560095366</v>
      </c>
      <c r="AC288" s="466">
        <f ca="1" t="shared" si="384"/>
        <v>152594.37084634</v>
      </c>
      <c r="AD288" s="466">
        <f ca="1" t="shared" si="384"/>
        <v>166468.883599019</v>
      </c>
      <c r="AE288" s="466">
        <f ca="1" t="shared" si="384"/>
        <v>180060.495206611</v>
      </c>
      <c r="AF288" s="466">
        <f ca="1" t="shared" si="384"/>
        <v>181281.086327384</v>
      </c>
      <c r="AG288" s="466">
        <f ca="1" t="shared" si="384"/>
        <v>146395.103050747</v>
      </c>
      <c r="AH288" s="466">
        <f ca="1" t="shared" si="384"/>
        <v>110696.128210073</v>
      </c>
      <c r="AI288" s="466">
        <f ca="1" t="shared" si="384"/>
        <v>76002.8781047201</v>
      </c>
      <c r="AJ288" s="466">
        <f ca="1" t="shared" si="384"/>
        <v>44490.1253468619</v>
      </c>
      <c r="AK288" s="466">
        <f ca="1" t="shared" si="384"/>
        <v>12192.8242371059</v>
      </c>
      <c r="AL288" s="466">
        <f ca="1" t="shared" si="384"/>
        <v>0</v>
      </c>
      <c r="AM288" s="466">
        <f ca="1" t="shared" si="384"/>
        <v>0</v>
      </c>
      <c r="AN288" s="466">
        <f ca="1" t="shared" si="384"/>
        <v>0</v>
      </c>
      <c r="AO288" s="466">
        <f ca="1" t="shared" si="384"/>
        <v>0</v>
      </c>
      <c r="AP288" s="466">
        <f ca="1" t="shared" si="384"/>
        <v>0</v>
      </c>
      <c r="AQ288" s="466">
        <f ca="1" t="shared" ref="AQ288:BE288" si="385">AQ283+AQ284-AQ286</f>
        <v>0</v>
      </c>
      <c r="AR288" s="466">
        <f ca="1" t="shared" si="385"/>
        <v>0</v>
      </c>
      <c r="AS288" s="466">
        <f ca="1" t="shared" si="385"/>
        <v>0</v>
      </c>
      <c r="AT288" s="466">
        <f ca="1" t="shared" si="385"/>
        <v>0</v>
      </c>
      <c r="AU288" s="466">
        <f ca="1" t="shared" si="385"/>
        <v>0</v>
      </c>
      <c r="AV288" s="466">
        <f ca="1" t="shared" si="385"/>
        <v>0</v>
      </c>
      <c r="AW288" s="466">
        <f ca="1" t="shared" si="385"/>
        <v>0</v>
      </c>
      <c r="AX288" s="466">
        <f ca="1" t="shared" si="385"/>
        <v>0</v>
      </c>
      <c r="AY288" s="466">
        <f ca="1" t="shared" si="385"/>
        <v>0</v>
      </c>
      <c r="AZ288" s="466">
        <f ca="1" t="shared" si="385"/>
        <v>0</v>
      </c>
      <c r="BA288" s="466">
        <f ca="1" t="shared" si="385"/>
        <v>0</v>
      </c>
      <c r="BB288" s="466">
        <f ca="1" t="shared" si="385"/>
        <v>0</v>
      </c>
      <c r="BC288" s="466">
        <f ca="1" t="shared" si="385"/>
        <v>0</v>
      </c>
      <c r="BD288" s="466">
        <f ca="1" t="shared" si="385"/>
        <v>0</v>
      </c>
      <c r="BE288" s="466">
        <f ca="1" t="shared" si="385"/>
        <v>0</v>
      </c>
    </row>
    <row r="290" spans="2:57">
      <c r="B290" s="562" t="s">
        <v>672</v>
      </c>
      <c r="C290" s="563"/>
      <c r="D290" s="563"/>
      <c r="E290" s="563"/>
      <c r="F290" s="563"/>
      <c r="G290" s="563"/>
      <c r="H290" s="563"/>
      <c r="I290" s="563"/>
      <c r="J290" s="563"/>
      <c r="K290" s="563"/>
      <c r="L290" s="563"/>
      <c r="M290" s="563"/>
      <c r="N290" s="563"/>
      <c r="O290" s="563"/>
      <c r="P290" s="563"/>
      <c r="Q290" s="563"/>
      <c r="R290" s="563"/>
      <c r="S290" s="563"/>
      <c r="T290" s="563"/>
      <c r="U290" s="563"/>
      <c r="V290" s="563"/>
      <c r="W290" s="563"/>
      <c r="X290" s="563"/>
      <c r="Y290" s="563"/>
      <c r="Z290" s="563"/>
      <c r="AA290" s="563"/>
      <c r="AB290" s="563"/>
      <c r="AC290" s="563"/>
      <c r="AD290" s="563"/>
      <c r="AE290" s="563"/>
      <c r="AF290" s="563"/>
      <c r="AG290" s="563"/>
      <c r="AH290" s="563"/>
      <c r="AI290" s="563"/>
      <c r="AJ290" s="563"/>
      <c r="AK290" s="563"/>
      <c r="AL290" s="563"/>
      <c r="AM290" s="563"/>
      <c r="AN290" s="563"/>
      <c r="AO290" s="563"/>
      <c r="AP290" s="563"/>
      <c r="AQ290" s="563"/>
      <c r="AR290" s="563"/>
      <c r="AS290" s="563"/>
      <c r="AT290" s="563"/>
      <c r="AU290" s="563"/>
      <c r="AV290" s="563"/>
      <c r="AW290" s="563"/>
      <c r="AX290" s="563"/>
      <c r="AY290" s="563"/>
      <c r="AZ290" s="563"/>
      <c r="BA290" s="563"/>
      <c r="BB290" s="563"/>
      <c r="BC290" s="563"/>
      <c r="BD290" s="563"/>
      <c r="BE290" s="565"/>
    </row>
    <row r="291" spans="2:57">
      <c r="B291" s="566" t="s">
        <v>2</v>
      </c>
      <c r="C291" s="566" t="s">
        <v>430</v>
      </c>
      <c r="D291" s="566" t="s">
        <v>491</v>
      </c>
      <c r="E291" s="566" t="s">
        <v>9</v>
      </c>
      <c r="F291" s="444">
        <f>F3</f>
        <v>45016</v>
      </c>
      <c r="G291" s="567">
        <v>2023</v>
      </c>
      <c r="H291" s="567">
        <v>2024</v>
      </c>
      <c r="I291" s="567">
        <v>2025</v>
      </c>
      <c r="J291" s="567">
        <v>2026</v>
      </c>
      <c r="K291" s="567">
        <v>2027</v>
      </c>
      <c r="L291" s="567">
        <v>2028</v>
      </c>
      <c r="M291" s="446">
        <f>M3</f>
        <v>47361</v>
      </c>
      <c r="N291" s="568">
        <v>2029</v>
      </c>
      <c r="O291" s="446">
        <f>O3</f>
        <v>47695</v>
      </c>
      <c r="P291" s="569">
        <f>P3</f>
        <v>47726</v>
      </c>
      <c r="Q291" s="570">
        <v>2030</v>
      </c>
      <c r="R291" s="570">
        <v>2031</v>
      </c>
      <c r="S291" s="570">
        <v>2032</v>
      </c>
      <c r="T291" s="570">
        <v>2033</v>
      </c>
      <c r="U291" s="570">
        <v>2034</v>
      </c>
      <c r="V291" s="570">
        <v>2035</v>
      </c>
      <c r="W291" s="570">
        <v>2036</v>
      </c>
      <c r="X291" s="570">
        <v>2037</v>
      </c>
      <c r="Y291" s="570">
        <v>2038</v>
      </c>
      <c r="Z291" s="570">
        <v>2039</v>
      </c>
      <c r="AA291" s="570">
        <v>2040</v>
      </c>
      <c r="AB291" s="570">
        <v>2041</v>
      </c>
      <c r="AC291" s="570">
        <v>2042</v>
      </c>
      <c r="AD291" s="570">
        <v>2043</v>
      </c>
      <c r="AE291" s="570">
        <v>2044</v>
      </c>
      <c r="AF291" s="570">
        <v>2045</v>
      </c>
      <c r="AG291" s="570">
        <v>2046</v>
      </c>
      <c r="AH291" s="570">
        <v>2047</v>
      </c>
      <c r="AI291" s="570">
        <v>2048</v>
      </c>
      <c r="AJ291" s="570">
        <v>2049</v>
      </c>
      <c r="AK291" s="570">
        <v>2050</v>
      </c>
      <c r="AL291" s="570">
        <v>2051</v>
      </c>
      <c r="AM291" s="570">
        <v>2052</v>
      </c>
      <c r="AN291" s="570">
        <v>2053</v>
      </c>
      <c r="AO291" s="570">
        <v>2054</v>
      </c>
      <c r="AP291" s="570">
        <v>2055</v>
      </c>
      <c r="AQ291" s="570">
        <v>2056</v>
      </c>
      <c r="AR291" s="570">
        <v>2057</v>
      </c>
      <c r="AS291" s="570">
        <v>2058</v>
      </c>
      <c r="AT291" s="570">
        <v>2059</v>
      </c>
      <c r="AU291" s="570">
        <v>2060</v>
      </c>
      <c r="AV291" s="570">
        <v>2061</v>
      </c>
      <c r="AW291" s="570">
        <v>2062</v>
      </c>
      <c r="AX291" s="570">
        <v>2063</v>
      </c>
      <c r="AY291" s="570">
        <v>2064</v>
      </c>
      <c r="AZ291" s="570">
        <v>2065</v>
      </c>
      <c r="BA291" s="570">
        <v>2066</v>
      </c>
      <c r="BB291" s="570">
        <v>2067</v>
      </c>
      <c r="BC291" s="570">
        <v>2068</v>
      </c>
      <c r="BD291" s="570">
        <v>2069</v>
      </c>
      <c r="BE291" s="570">
        <v>2070</v>
      </c>
    </row>
    <row r="292" spans="2:57">
      <c r="B292" s="566"/>
      <c r="C292" s="566"/>
      <c r="D292" s="566"/>
      <c r="E292" s="566"/>
      <c r="F292" s="18"/>
      <c r="G292" s="18">
        <v>1</v>
      </c>
      <c r="H292" s="18">
        <v>2</v>
      </c>
      <c r="I292" s="18">
        <v>3</v>
      </c>
      <c r="J292" s="18">
        <v>4</v>
      </c>
      <c r="K292" s="18">
        <v>5</v>
      </c>
      <c r="L292" s="18">
        <v>6</v>
      </c>
      <c r="M292" s="19"/>
      <c r="N292" s="19">
        <v>7</v>
      </c>
      <c r="O292" s="19"/>
      <c r="P292" s="208"/>
      <c r="Q292" s="20">
        <v>8</v>
      </c>
      <c r="R292" s="20">
        <v>9</v>
      </c>
      <c r="S292" s="20">
        <v>10</v>
      </c>
      <c r="T292" s="20">
        <v>11</v>
      </c>
      <c r="U292" s="20">
        <v>12</v>
      </c>
      <c r="V292" s="20">
        <v>13</v>
      </c>
      <c r="W292" s="20">
        <v>14</v>
      </c>
      <c r="X292" s="20">
        <v>15</v>
      </c>
      <c r="Y292" s="20">
        <v>16</v>
      </c>
      <c r="Z292" s="20">
        <v>17</v>
      </c>
      <c r="AA292" s="20">
        <v>18</v>
      </c>
      <c r="AB292" s="20">
        <v>19</v>
      </c>
      <c r="AC292" s="20">
        <v>20</v>
      </c>
      <c r="AD292" s="20">
        <v>21</v>
      </c>
      <c r="AE292" s="20">
        <v>22</v>
      </c>
      <c r="AF292" s="20">
        <v>23</v>
      </c>
      <c r="AG292" s="20">
        <v>24</v>
      </c>
      <c r="AH292" s="20">
        <v>25</v>
      </c>
      <c r="AI292" s="20">
        <v>26</v>
      </c>
      <c r="AJ292" s="20">
        <v>27</v>
      </c>
      <c r="AK292" s="20">
        <v>28</v>
      </c>
      <c r="AL292" s="20">
        <v>29</v>
      </c>
      <c r="AM292" s="20">
        <v>30</v>
      </c>
      <c r="AN292" s="20">
        <v>31</v>
      </c>
      <c r="AO292" s="20">
        <v>32</v>
      </c>
      <c r="AP292" s="20">
        <v>33</v>
      </c>
      <c r="AQ292" s="20">
        <v>34</v>
      </c>
      <c r="AR292" s="20">
        <v>35</v>
      </c>
      <c r="AS292" s="20">
        <v>36</v>
      </c>
      <c r="AT292" s="20">
        <v>37</v>
      </c>
      <c r="AU292" s="20">
        <v>38</v>
      </c>
      <c r="AV292" s="20">
        <v>39</v>
      </c>
      <c r="AW292" s="20">
        <v>40</v>
      </c>
      <c r="AX292" s="20">
        <v>41</v>
      </c>
      <c r="AY292" s="20">
        <v>42</v>
      </c>
      <c r="AZ292" s="20">
        <v>43</v>
      </c>
      <c r="BA292" s="20">
        <v>44</v>
      </c>
      <c r="BB292" s="20">
        <v>45</v>
      </c>
      <c r="BC292" s="20">
        <v>46</v>
      </c>
      <c r="BD292" s="20">
        <v>47</v>
      </c>
      <c r="BE292" s="20">
        <v>48</v>
      </c>
    </row>
    <row r="293" spans="2:57">
      <c r="B293" s="29">
        <v>1</v>
      </c>
      <c r="C293" s="144" t="s">
        <v>535</v>
      </c>
      <c r="D293" s="466"/>
      <c r="E293" s="29" t="s">
        <v>130</v>
      </c>
      <c r="F293" s="466">
        <f t="shared" ref="F293:P293" si="386">F165+F273+F283</f>
        <v>0</v>
      </c>
      <c r="G293" s="466">
        <f ca="1" t="shared" si="386"/>
        <v>21197.0400822516</v>
      </c>
      <c r="H293" s="466">
        <f ca="1" t="shared" si="386"/>
        <v>71633.4875937017</v>
      </c>
      <c r="I293" s="466">
        <f ca="1" t="shared" si="386"/>
        <v>143560.689450587</v>
      </c>
      <c r="J293" s="466">
        <f ca="1" t="shared" si="386"/>
        <v>227206.218790986</v>
      </c>
      <c r="K293" s="466">
        <f ca="1" t="shared" si="386"/>
        <v>320943.151995775</v>
      </c>
      <c r="L293" s="466">
        <f ca="1" t="shared" si="386"/>
        <v>446801.809180491</v>
      </c>
      <c r="M293" s="466">
        <f ca="1" t="shared" si="386"/>
        <v>567118.553113378</v>
      </c>
      <c r="N293" s="466">
        <f ca="1" t="shared" si="386"/>
        <v>632532.195156247</v>
      </c>
      <c r="O293" s="466">
        <f ca="1" t="shared" si="386"/>
        <v>674623.632860075</v>
      </c>
      <c r="P293" s="571">
        <f ca="1" t="shared" si="386"/>
        <v>725209.263168492</v>
      </c>
      <c r="Q293" s="466">
        <f ca="1" t="shared" ref="Q293:AL293" si="387">Q165+Q273+Q283</f>
        <v>725209.263168492</v>
      </c>
      <c r="R293" s="466">
        <f ca="1" t="shared" si="387"/>
        <v>716305.260328623</v>
      </c>
      <c r="S293" s="466">
        <f ca="1" t="shared" si="387"/>
        <v>687699.063456696</v>
      </c>
      <c r="T293" s="466">
        <f ca="1" t="shared" si="387"/>
        <v>641337.663688069</v>
      </c>
      <c r="U293" s="466">
        <f ca="1" t="shared" si="387"/>
        <v>595923.464669789</v>
      </c>
      <c r="V293" s="466">
        <f ca="1" t="shared" si="387"/>
        <v>550917.582476404</v>
      </c>
      <c r="W293" s="466">
        <f ca="1" t="shared" si="387"/>
        <v>506026.949828682</v>
      </c>
      <c r="X293" s="466">
        <f ca="1" t="shared" si="387"/>
        <v>465774.691062934</v>
      </c>
      <c r="Y293" s="466">
        <f ca="1" t="shared" si="387"/>
        <v>432981.716043294</v>
      </c>
      <c r="Z293" s="466">
        <f ca="1" t="shared" si="387"/>
        <v>399917.685243436</v>
      </c>
      <c r="AA293" s="466">
        <f ca="1" t="shared" si="387"/>
        <v>366713.522746867</v>
      </c>
      <c r="AB293" s="466">
        <f ca="1" t="shared" si="387"/>
        <v>333420.455616893</v>
      </c>
      <c r="AC293" s="466">
        <f ca="1" t="shared" si="387"/>
        <v>301735.875887489</v>
      </c>
      <c r="AD293" s="466">
        <f ca="1" t="shared" si="387"/>
        <v>285549.402427231</v>
      </c>
      <c r="AE293" s="466">
        <f ca="1" t="shared" si="387"/>
        <v>251076.630968677</v>
      </c>
      <c r="AF293" s="466">
        <f ca="1" t="shared" si="387"/>
        <v>216320.958365036</v>
      </c>
      <c r="AG293" s="466">
        <f ca="1" t="shared" si="387"/>
        <v>181281.086327385</v>
      </c>
      <c r="AH293" s="466">
        <f ca="1" t="shared" si="387"/>
        <v>146395.103050747</v>
      </c>
      <c r="AI293" s="466">
        <f ca="1" t="shared" si="387"/>
        <v>110696.128210074</v>
      </c>
      <c r="AJ293" s="466">
        <f ca="1" t="shared" si="387"/>
        <v>76002.8781047205</v>
      </c>
      <c r="AK293" s="466">
        <f ca="1" t="shared" si="387"/>
        <v>44490.1253468623</v>
      </c>
      <c r="AL293" s="466">
        <f ca="1" t="shared" si="387"/>
        <v>12192.8242371063</v>
      </c>
      <c r="AM293" s="466">
        <f ca="1" t="shared" ref="AM293:BE293" si="388">AM165+AM273+AM283</f>
        <v>4.14729584008455e-10</v>
      </c>
      <c r="AN293" s="466">
        <f ca="1" t="shared" si="388"/>
        <v>4.14729584008455e-10</v>
      </c>
      <c r="AO293" s="466">
        <f ca="1" t="shared" si="388"/>
        <v>4.14729584008455e-10</v>
      </c>
      <c r="AP293" s="466">
        <f ca="1" t="shared" si="388"/>
        <v>4.14729584008455e-10</v>
      </c>
      <c r="AQ293" s="466">
        <f ca="1" t="shared" si="388"/>
        <v>4.14729584008455e-10</v>
      </c>
      <c r="AR293" s="466">
        <f ca="1" t="shared" si="388"/>
        <v>4.14729584008455e-10</v>
      </c>
      <c r="AS293" s="466">
        <f ca="1" t="shared" si="388"/>
        <v>4.14729584008455e-10</v>
      </c>
      <c r="AT293" s="466">
        <f ca="1" t="shared" si="388"/>
        <v>4.14729584008455e-10</v>
      </c>
      <c r="AU293" s="466">
        <f ca="1" t="shared" si="388"/>
        <v>4.14729584008455e-10</v>
      </c>
      <c r="AV293" s="466">
        <f ca="1" t="shared" si="388"/>
        <v>4.14729584008455e-10</v>
      </c>
      <c r="AW293" s="466">
        <f ca="1" t="shared" si="388"/>
        <v>4.14729584008455e-10</v>
      </c>
      <c r="AX293" s="466">
        <f ca="1" t="shared" si="388"/>
        <v>4.14729584008455e-10</v>
      </c>
      <c r="AY293" s="466">
        <f ca="1" t="shared" si="388"/>
        <v>4.14729584008455e-10</v>
      </c>
      <c r="AZ293" s="466">
        <f ca="1" t="shared" si="388"/>
        <v>4.14729584008455e-10</v>
      </c>
      <c r="BA293" s="466">
        <f ca="1" t="shared" si="388"/>
        <v>4.14729584008455e-10</v>
      </c>
      <c r="BB293" s="466">
        <f ca="1" t="shared" si="388"/>
        <v>4.14729584008455e-10</v>
      </c>
      <c r="BC293" s="466">
        <f ca="1" t="shared" si="388"/>
        <v>4.14729584008455e-10</v>
      </c>
      <c r="BD293" s="466">
        <f ca="1" t="shared" si="388"/>
        <v>4.14729584008455e-10</v>
      </c>
      <c r="BE293" s="466">
        <f ca="1" t="shared" si="388"/>
        <v>4.14729584008455e-10</v>
      </c>
    </row>
    <row r="294" spans="2:57">
      <c r="B294" s="29">
        <v>2</v>
      </c>
      <c r="C294" s="144" t="s">
        <v>536</v>
      </c>
      <c r="D294" s="466">
        <f ca="1">SUM(F294:BE294)</f>
        <v>2597312.22972163</v>
      </c>
      <c r="E294" s="29" t="s">
        <v>130</v>
      </c>
      <c r="F294" s="466">
        <f ca="1" t="shared" ref="F294:P294" si="389">F166+F274+F284</f>
        <v>21197.0400822516</v>
      </c>
      <c r="G294" s="466">
        <f ca="1" t="shared" si="389"/>
        <v>50436.4475114501</v>
      </c>
      <c r="H294" s="466">
        <f ca="1" t="shared" si="389"/>
        <v>71927.2018568849</v>
      </c>
      <c r="I294" s="466">
        <f ca="1" t="shared" si="389"/>
        <v>83645.5293403997</v>
      </c>
      <c r="J294" s="466">
        <f ca="1" t="shared" si="389"/>
        <v>93736.9332047887</v>
      </c>
      <c r="K294" s="466">
        <f ca="1" t="shared" si="389"/>
        <v>125858.657184717</v>
      </c>
      <c r="L294" s="466">
        <f ca="1" t="shared" si="389"/>
        <v>120316.743932887</v>
      </c>
      <c r="M294" s="466">
        <f ca="1" t="shared" si="389"/>
        <v>65413.6420428689</v>
      </c>
      <c r="N294" s="466">
        <f ca="1" t="shared" si="389"/>
        <v>42091.4377038279</v>
      </c>
      <c r="O294" s="466">
        <f ca="1" t="shared" si="389"/>
        <v>50585.6303084173</v>
      </c>
      <c r="P294" s="571">
        <f ca="1" t="shared" si="389"/>
        <v>0</v>
      </c>
      <c r="Q294" s="466">
        <f ca="1" t="shared" ref="Q294:AL294" si="390">Q166+Q274+Q284</f>
        <v>7688.07889640056</v>
      </c>
      <c r="R294" s="466">
        <f ca="1" t="shared" si="390"/>
        <v>27429.1662357059</v>
      </c>
      <c r="S294" s="466">
        <f ca="1" t="shared" si="390"/>
        <v>29415.0506783122</v>
      </c>
      <c r="T294" s="466">
        <f ca="1" t="shared" si="390"/>
        <v>32660.6358712653</v>
      </c>
      <c r="U294" s="466">
        <f ca="1" t="shared" si="390"/>
        <v>31627.037889113</v>
      </c>
      <c r="V294" s="466">
        <f ca="1" t="shared" si="390"/>
        <v>35708.6894526235</v>
      </c>
      <c r="W294" s="466">
        <f ca="1" t="shared" si="390"/>
        <v>44428.714898108</v>
      </c>
      <c r="X294" s="466">
        <f ca="1" t="shared" si="390"/>
        <v>60608.0240897013</v>
      </c>
      <c r="Y294" s="466">
        <f ca="1" t="shared" si="390"/>
        <v>76516.2775010761</v>
      </c>
      <c r="Z294" s="466">
        <f ca="1" t="shared" si="390"/>
        <v>92284.3992157401</v>
      </c>
      <c r="AA294" s="466">
        <f ca="1" t="shared" si="390"/>
        <v>107963.616296999</v>
      </c>
      <c r="AB294" s="466">
        <f ca="1" t="shared" si="390"/>
        <v>124938.820778828</v>
      </c>
      <c r="AC294" s="466">
        <f ca="1" t="shared" si="390"/>
        <v>157099.631529802</v>
      </c>
      <c r="AD294" s="466">
        <f ca="1" t="shared" si="390"/>
        <v>170974.144282481</v>
      </c>
      <c r="AE294" s="466">
        <f ca="1" t="shared" si="390"/>
        <v>184565.755890073</v>
      </c>
      <c r="AF294" s="466">
        <f ca="1" t="shared" si="390"/>
        <v>185786.347010846</v>
      </c>
      <c r="AG294" s="466">
        <f ca="1" t="shared" si="390"/>
        <v>150900.363734209</v>
      </c>
      <c r="AH294" s="466">
        <f ca="1" t="shared" si="390"/>
        <v>115201.388893535</v>
      </c>
      <c r="AI294" s="466">
        <f ca="1" t="shared" si="390"/>
        <v>80508.138788182</v>
      </c>
      <c r="AJ294" s="466">
        <f ca="1" t="shared" si="390"/>
        <v>48995.3860303238</v>
      </c>
      <c r="AK294" s="466">
        <f ca="1" t="shared" si="390"/>
        <v>16698.0849205678</v>
      </c>
      <c r="AL294" s="466">
        <f ca="1" t="shared" si="390"/>
        <v>4505.2606834619</v>
      </c>
      <c r="AM294" s="466">
        <f ca="1" t="shared" ref="AM294:BE294" si="391">AM166+AM274+AM284</f>
        <v>4505.2606834619</v>
      </c>
      <c r="AN294" s="466">
        <f ca="1" t="shared" si="391"/>
        <v>4505.2606834619</v>
      </c>
      <c r="AO294" s="466">
        <f ca="1" t="shared" si="391"/>
        <v>4505.2606834619</v>
      </c>
      <c r="AP294" s="466">
        <f ca="1" t="shared" si="391"/>
        <v>4505.2606834619</v>
      </c>
      <c r="AQ294" s="466">
        <f ca="1" t="shared" si="391"/>
        <v>4505.2606834619</v>
      </c>
      <c r="AR294" s="466">
        <f ca="1" t="shared" si="391"/>
        <v>4505.2606834619</v>
      </c>
      <c r="AS294" s="466">
        <f ca="1" t="shared" si="391"/>
        <v>4505.2606834619</v>
      </c>
      <c r="AT294" s="466">
        <f ca="1" t="shared" si="391"/>
        <v>4505.2606834619</v>
      </c>
      <c r="AU294" s="466">
        <f ca="1" t="shared" si="391"/>
        <v>4505.2606834619</v>
      </c>
      <c r="AV294" s="466">
        <f ca="1" t="shared" si="391"/>
        <v>4505.2606834619</v>
      </c>
      <c r="AW294" s="466">
        <f ca="1" t="shared" si="391"/>
        <v>4505.2606834619</v>
      </c>
      <c r="AX294" s="466">
        <f ca="1" t="shared" si="391"/>
        <v>4505.2606834619</v>
      </c>
      <c r="AY294" s="466">
        <f ca="1" t="shared" si="391"/>
        <v>4505.2606834619</v>
      </c>
      <c r="AZ294" s="466">
        <f ca="1" t="shared" si="391"/>
        <v>4505.2606834619</v>
      </c>
      <c r="BA294" s="466">
        <f ca="1" t="shared" si="391"/>
        <v>4505.2606834619</v>
      </c>
      <c r="BB294" s="466">
        <f ca="1" t="shared" si="391"/>
        <v>4505.2606834619</v>
      </c>
      <c r="BC294" s="466">
        <f ca="1" t="shared" si="391"/>
        <v>4505.2606834619</v>
      </c>
      <c r="BD294" s="466">
        <f ca="1" t="shared" si="391"/>
        <v>4505.2606834619</v>
      </c>
      <c r="BE294" s="466">
        <f ca="1" t="shared" si="391"/>
        <v>4505.2606834619</v>
      </c>
    </row>
    <row r="295" spans="2:57">
      <c r="B295" s="29">
        <v>3</v>
      </c>
      <c r="C295" s="144" t="s">
        <v>537</v>
      </c>
      <c r="D295" s="466">
        <f ca="1">SUM(F295:BD295)</f>
        <v>2963393.69965651</v>
      </c>
      <c r="E295" s="29" t="s">
        <v>130</v>
      </c>
      <c r="F295" s="466">
        <f ca="1" t="shared" ref="F295:P295" si="392">F167+F275+F285</f>
        <v>0</v>
      </c>
      <c r="G295" s="466">
        <f ca="1" t="shared" si="392"/>
        <v>0</v>
      </c>
      <c r="H295" s="466">
        <f ca="1" t="shared" si="392"/>
        <v>0</v>
      </c>
      <c r="I295" s="466">
        <f ca="1" t="shared" si="392"/>
        <v>0</v>
      </c>
      <c r="J295" s="466">
        <f ca="1" t="shared" si="392"/>
        <v>0</v>
      </c>
      <c r="K295" s="466">
        <f ca="1" t="shared" si="392"/>
        <v>0</v>
      </c>
      <c r="L295" s="466">
        <f ca="1" t="shared" si="392"/>
        <v>0</v>
      </c>
      <c r="M295" s="466">
        <f ca="1" t="shared" si="392"/>
        <v>0</v>
      </c>
      <c r="N295" s="466">
        <f ca="1" t="shared" si="392"/>
        <v>0</v>
      </c>
      <c r="O295" s="466">
        <f ca="1" t="shared" si="392"/>
        <v>0</v>
      </c>
      <c r="P295" s="571">
        <f ca="1" t="shared" si="392"/>
        <v>2598.66652635376</v>
      </c>
      <c r="Q295" s="466">
        <f ca="1" t="shared" ref="Q295:AL295" si="393">Q167+Q275+Q285</f>
        <v>24668.69619505</v>
      </c>
      <c r="R295" s="466">
        <f ca="1" t="shared" si="393"/>
        <v>87037.3655930772</v>
      </c>
      <c r="S295" s="466">
        <f ca="1" t="shared" si="393"/>
        <v>105492.554181339</v>
      </c>
      <c r="T295" s="466">
        <f ca="1" t="shared" si="393"/>
        <v>105816.704044561</v>
      </c>
      <c r="U295" s="466">
        <f ca="1" t="shared" si="393"/>
        <v>102454.796674625</v>
      </c>
      <c r="V295" s="466">
        <f ca="1" t="shared" si="393"/>
        <v>104611.956927109</v>
      </c>
      <c r="W295" s="466">
        <f ca="1" t="shared" si="393"/>
        <v>107057.873980365</v>
      </c>
      <c r="X295" s="466">
        <f ca="1" t="shared" si="393"/>
        <v>114583.72941902</v>
      </c>
      <c r="Y295" s="466">
        <f ca="1" t="shared" si="393"/>
        <v>129831.238924538</v>
      </c>
      <c r="Z295" s="466">
        <f ca="1" t="shared" si="393"/>
        <v>144792.684306931</v>
      </c>
      <c r="AA295" s="466">
        <f ca="1" t="shared" si="393"/>
        <v>159605.638166563</v>
      </c>
      <c r="AB295" s="466">
        <f ca="1" t="shared" si="393"/>
        <v>174061.245913791</v>
      </c>
      <c r="AC295" s="466">
        <f ca="1" t="shared" si="393"/>
        <v>190432.466105534</v>
      </c>
      <c r="AD295" s="466">
        <f ca="1" t="shared" si="393"/>
        <v>222194.632943309</v>
      </c>
      <c r="AE295" s="466">
        <f ca="1" t="shared" si="393"/>
        <v>234992.726014055</v>
      </c>
      <c r="AF295" s="466">
        <f ca="1" t="shared" si="393"/>
        <v>234959.228747341</v>
      </c>
      <c r="AG295" s="466">
        <f ca="1" t="shared" si="393"/>
        <v>197910.969938094</v>
      </c>
      <c r="AH295" s="466">
        <f ca="1" t="shared" si="393"/>
        <v>160448.635690175</v>
      </c>
      <c r="AI295" s="466">
        <f ca="1" t="shared" si="393"/>
        <v>122180.344638972</v>
      </c>
      <c r="AJ295" s="466">
        <f ca="1" t="shared" si="393"/>
        <v>85070.5754291111</v>
      </c>
      <c r="AK295" s="466">
        <f ca="1" t="shared" si="393"/>
        <v>51228.755705085</v>
      </c>
      <c r="AL295" s="466">
        <f ca="1" t="shared" si="393"/>
        <v>17307.5650201685</v>
      </c>
      <c r="AM295" s="466">
        <f ca="1" t="shared" ref="AM295:BE295" si="394">AM167+AM275+AM285</f>
        <v>4669.70269840826</v>
      </c>
      <c r="AN295" s="466">
        <f ca="1" t="shared" si="394"/>
        <v>4669.70269840826</v>
      </c>
      <c r="AO295" s="466">
        <f ca="1" t="shared" si="394"/>
        <v>4669.70269840826</v>
      </c>
      <c r="AP295" s="466">
        <f ca="1" t="shared" si="394"/>
        <v>4669.70269840826</v>
      </c>
      <c r="AQ295" s="466">
        <f ca="1" t="shared" si="394"/>
        <v>4669.70269840826</v>
      </c>
      <c r="AR295" s="466">
        <f ca="1" t="shared" si="394"/>
        <v>4669.70269840826</v>
      </c>
      <c r="AS295" s="466">
        <f ca="1" t="shared" si="394"/>
        <v>4669.70269840826</v>
      </c>
      <c r="AT295" s="466">
        <f ca="1" t="shared" si="394"/>
        <v>4669.70269840826</v>
      </c>
      <c r="AU295" s="466">
        <f ca="1" t="shared" si="394"/>
        <v>4669.70269840826</v>
      </c>
      <c r="AV295" s="466">
        <f ca="1" t="shared" si="394"/>
        <v>4669.70269840826</v>
      </c>
      <c r="AW295" s="466">
        <f ca="1" t="shared" si="394"/>
        <v>4669.70269840826</v>
      </c>
      <c r="AX295" s="466">
        <f ca="1" t="shared" si="394"/>
        <v>4669.70269840826</v>
      </c>
      <c r="AY295" s="466">
        <f ca="1" t="shared" si="394"/>
        <v>4669.70269840826</v>
      </c>
      <c r="AZ295" s="466">
        <f ca="1" t="shared" si="394"/>
        <v>4669.70269840826</v>
      </c>
      <c r="BA295" s="466">
        <f ca="1" t="shared" si="394"/>
        <v>4669.70269840826</v>
      </c>
      <c r="BB295" s="466">
        <f ca="1" t="shared" si="394"/>
        <v>4669.70269840826</v>
      </c>
      <c r="BC295" s="466">
        <f ca="1" t="shared" si="394"/>
        <v>4669.70269840826</v>
      </c>
      <c r="BD295" s="466">
        <f ca="1" t="shared" si="394"/>
        <v>4669.70269840826</v>
      </c>
      <c r="BE295" s="466">
        <f ca="1" t="shared" si="394"/>
        <v>4601.18519218061</v>
      </c>
    </row>
    <row r="296" spans="2:57">
      <c r="B296" s="29"/>
      <c r="C296" s="145" t="s">
        <v>559</v>
      </c>
      <c r="D296" s="466">
        <f ca="1">SUM(F296:BE296)</f>
        <v>2597312.22972163</v>
      </c>
      <c r="E296" s="29" t="s">
        <v>130</v>
      </c>
      <c r="F296" s="466">
        <f ca="1" t="shared" ref="F296:P296" si="395">F168+F276+F286</f>
        <v>0</v>
      </c>
      <c r="G296" s="466">
        <f ca="1" t="shared" si="395"/>
        <v>0</v>
      </c>
      <c r="H296" s="466">
        <f ca="1" t="shared" si="395"/>
        <v>0</v>
      </c>
      <c r="I296" s="466">
        <f ca="1" t="shared" si="395"/>
        <v>0</v>
      </c>
      <c r="J296" s="466">
        <f ca="1" t="shared" si="395"/>
        <v>0</v>
      </c>
      <c r="K296" s="466">
        <f ca="1" t="shared" si="395"/>
        <v>0</v>
      </c>
      <c r="L296" s="466">
        <f ca="1" t="shared" si="395"/>
        <v>0</v>
      </c>
      <c r="M296" s="466">
        <f ca="1" t="shared" si="395"/>
        <v>0</v>
      </c>
      <c r="N296" s="466">
        <f ca="1" t="shared" si="395"/>
        <v>0</v>
      </c>
      <c r="O296" s="466">
        <f ca="1" t="shared" si="395"/>
        <v>0</v>
      </c>
      <c r="P296" s="571">
        <f ca="1" t="shared" si="395"/>
        <v>0</v>
      </c>
      <c r="Q296" s="466">
        <f ca="1" t="shared" ref="Q296:AL296" si="396">Q168+Q276+Q286</f>
        <v>16592.0817362701</v>
      </c>
      <c r="R296" s="466">
        <f ca="1" t="shared" si="396"/>
        <v>56035.3631076334</v>
      </c>
      <c r="S296" s="466">
        <f ca="1" t="shared" si="396"/>
        <v>75776.4504469387</v>
      </c>
      <c r="T296" s="466">
        <f ca="1" t="shared" si="396"/>
        <v>78074.834889545</v>
      </c>
      <c r="U296" s="466">
        <f ca="1" t="shared" si="396"/>
        <v>76632.9200824981</v>
      </c>
      <c r="V296" s="466">
        <f ca="1" t="shared" si="396"/>
        <v>80599.3221003458</v>
      </c>
      <c r="W296" s="466">
        <f ca="1" t="shared" si="396"/>
        <v>84680.9736638563</v>
      </c>
      <c r="X296" s="466">
        <f ca="1" t="shared" si="396"/>
        <v>93400.9991093409</v>
      </c>
      <c r="Y296" s="466">
        <f ca="1" t="shared" si="396"/>
        <v>109580.308300934</v>
      </c>
      <c r="Z296" s="466">
        <f ca="1" t="shared" si="396"/>
        <v>125488.561712309</v>
      </c>
      <c r="AA296" s="466">
        <f ca="1" t="shared" si="396"/>
        <v>141256.683426973</v>
      </c>
      <c r="AB296" s="466">
        <f ca="1" t="shared" si="396"/>
        <v>156623.400508232</v>
      </c>
      <c r="AC296" s="466">
        <f ca="1" t="shared" si="396"/>
        <v>173286.10499006</v>
      </c>
      <c r="AD296" s="466">
        <f ca="1" t="shared" si="396"/>
        <v>205446.915741035</v>
      </c>
      <c r="AE296" s="466">
        <f ca="1" t="shared" si="396"/>
        <v>219321.428493714</v>
      </c>
      <c r="AF296" s="466">
        <f ca="1" t="shared" si="396"/>
        <v>220826.219048497</v>
      </c>
      <c r="AG296" s="466">
        <f ca="1" t="shared" si="396"/>
        <v>185786.347010846</v>
      </c>
      <c r="AH296" s="466">
        <f ca="1" t="shared" si="396"/>
        <v>150900.363734209</v>
      </c>
      <c r="AI296" s="466">
        <f ca="1" t="shared" si="396"/>
        <v>115201.388893535</v>
      </c>
      <c r="AJ296" s="466">
        <f ca="1" t="shared" si="396"/>
        <v>80508.138788182</v>
      </c>
      <c r="AK296" s="466">
        <f ca="1" t="shared" si="396"/>
        <v>48995.3860303238</v>
      </c>
      <c r="AL296" s="466">
        <f ca="1" t="shared" si="396"/>
        <v>16698.0849205678</v>
      </c>
      <c r="AM296" s="466">
        <f ca="1" t="shared" ref="AM296:BE296" si="397">AM168+AM276+AM286</f>
        <v>4505.2606834619</v>
      </c>
      <c r="AN296" s="466">
        <f ca="1" t="shared" si="397"/>
        <v>4505.2606834619</v>
      </c>
      <c r="AO296" s="466">
        <f ca="1" t="shared" si="397"/>
        <v>4505.2606834619</v>
      </c>
      <c r="AP296" s="466">
        <f ca="1" t="shared" si="397"/>
        <v>4505.2606834619</v>
      </c>
      <c r="AQ296" s="466">
        <f ca="1" t="shared" si="397"/>
        <v>4505.2606834619</v>
      </c>
      <c r="AR296" s="466">
        <f ca="1" t="shared" si="397"/>
        <v>4505.2606834619</v>
      </c>
      <c r="AS296" s="466">
        <f ca="1" t="shared" si="397"/>
        <v>4505.2606834619</v>
      </c>
      <c r="AT296" s="466">
        <f ca="1" t="shared" si="397"/>
        <v>4505.2606834619</v>
      </c>
      <c r="AU296" s="466">
        <f ca="1" t="shared" si="397"/>
        <v>4505.2606834619</v>
      </c>
      <c r="AV296" s="466">
        <f ca="1" t="shared" si="397"/>
        <v>4505.2606834619</v>
      </c>
      <c r="AW296" s="466">
        <f ca="1" t="shared" si="397"/>
        <v>4505.2606834619</v>
      </c>
      <c r="AX296" s="466">
        <f ca="1" t="shared" si="397"/>
        <v>4505.2606834619</v>
      </c>
      <c r="AY296" s="466">
        <f ca="1" t="shared" si="397"/>
        <v>4505.2606834619</v>
      </c>
      <c r="AZ296" s="466">
        <f ca="1" t="shared" si="397"/>
        <v>4505.2606834619</v>
      </c>
      <c r="BA296" s="466">
        <f ca="1" t="shared" si="397"/>
        <v>4505.2606834619</v>
      </c>
      <c r="BB296" s="466">
        <f ca="1" t="shared" si="397"/>
        <v>4505.2606834619</v>
      </c>
      <c r="BC296" s="466">
        <f ca="1" t="shared" si="397"/>
        <v>4505.2606834619</v>
      </c>
      <c r="BD296" s="466">
        <f ca="1" t="shared" si="397"/>
        <v>4505.2606834619</v>
      </c>
      <c r="BE296" s="466">
        <f ca="1" t="shared" si="397"/>
        <v>4505.2606834619</v>
      </c>
    </row>
    <row r="297" spans="2:57">
      <c r="B297" s="29"/>
      <c r="C297" s="146" t="s">
        <v>560</v>
      </c>
      <c r="D297" s="466">
        <f ca="1">SUM(F297:BE297)</f>
        <v>370682.655127073</v>
      </c>
      <c r="E297" s="29" t="s">
        <v>130</v>
      </c>
      <c r="F297" s="466">
        <f ca="1" t="shared" ref="F297:P297" si="398">F169+F277+F287</f>
        <v>0</v>
      </c>
      <c r="G297" s="466">
        <f ca="1" t="shared" si="398"/>
        <v>0</v>
      </c>
      <c r="H297" s="466">
        <f ca="1" t="shared" si="398"/>
        <v>0</v>
      </c>
      <c r="I297" s="466">
        <f ca="1" t="shared" si="398"/>
        <v>0</v>
      </c>
      <c r="J297" s="466">
        <f ca="1" t="shared" si="398"/>
        <v>0</v>
      </c>
      <c r="K297" s="466">
        <f ca="1" t="shared" si="398"/>
        <v>0</v>
      </c>
      <c r="L297" s="466">
        <f ca="1" t="shared" si="398"/>
        <v>0</v>
      </c>
      <c r="M297" s="466">
        <f ca="1" t="shared" si="398"/>
        <v>0</v>
      </c>
      <c r="N297" s="466">
        <f ca="1" t="shared" si="398"/>
        <v>0</v>
      </c>
      <c r="O297" s="466">
        <f ca="1" t="shared" si="398"/>
        <v>0</v>
      </c>
      <c r="P297" s="571">
        <f ca="1" t="shared" si="398"/>
        <v>2598.66652635376</v>
      </c>
      <c r="Q297" s="466">
        <f ca="1" t="shared" ref="Q297:AL297" si="399">Q169+Q277+Q287</f>
        <v>8076.61445877991</v>
      </c>
      <c r="R297" s="466">
        <f ca="1" t="shared" si="399"/>
        <v>31002.0024854438</v>
      </c>
      <c r="S297" s="466">
        <f ca="1" t="shared" si="399"/>
        <v>29716.1037344006</v>
      </c>
      <c r="T297" s="466">
        <f ca="1" t="shared" si="399"/>
        <v>27741.8691550155</v>
      </c>
      <c r="U297" s="466">
        <f ca="1" t="shared" si="399"/>
        <v>25821.8765921267</v>
      </c>
      <c r="V297" s="466">
        <f ca="1" t="shared" si="399"/>
        <v>24012.6348267633</v>
      </c>
      <c r="W297" s="466">
        <f ca="1" t="shared" si="399"/>
        <v>22376.9003165086</v>
      </c>
      <c r="X297" s="466">
        <f ca="1" t="shared" si="399"/>
        <v>21182.7303096789</v>
      </c>
      <c r="Y297" s="466">
        <f ca="1" t="shared" si="399"/>
        <v>20250.9306236042</v>
      </c>
      <c r="Z297" s="466">
        <f ca="1" t="shared" si="399"/>
        <v>19304.1225946216</v>
      </c>
      <c r="AA297" s="466">
        <f ca="1" t="shared" si="399"/>
        <v>18348.9547395898</v>
      </c>
      <c r="AB297" s="466">
        <f ca="1" t="shared" si="399"/>
        <v>17437.8454055595</v>
      </c>
      <c r="AC297" s="466">
        <f ca="1" t="shared" si="399"/>
        <v>17146.3611154738</v>
      </c>
      <c r="AD297" s="466">
        <f ca="1" t="shared" si="399"/>
        <v>16747.7172022741</v>
      </c>
      <c r="AE297" s="466">
        <f ca="1" t="shared" si="399"/>
        <v>15671.297520341</v>
      </c>
      <c r="AF297" s="466">
        <f ca="1" t="shared" si="399"/>
        <v>14133.0096988433</v>
      </c>
      <c r="AG297" s="466">
        <f ca="1" t="shared" si="399"/>
        <v>12124.6229272481</v>
      </c>
      <c r="AH297" s="466">
        <f ca="1" t="shared" si="399"/>
        <v>9548.2719559663</v>
      </c>
      <c r="AI297" s="466">
        <f ca="1" t="shared" si="399"/>
        <v>6978.95574543632</v>
      </c>
      <c r="AJ297" s="466">
        <f ca="1" t="shared" si="399"/>
        <v>4562.4366409291</v>
      </c>
      <c r="AK297" s="466">
        <f ca="1" t="shared" si="399"/>
        <v>2233.36967476118</v>
      </c>
      <c r="AL297" s="466">
        <f ca="1" t="shared" si="399"/>
        <v>609.480099600724</v>
      </c>
      <c r="AM297" s="466">
        <f ca="1" t="shared" ref="AM297:BE297" si="400">AM169+AM277+AM287</f>
        <v>164.442014946359</v>
      </c>
      <c r="AN297" s="466">
        <f ca="1" t="shared" si="400"/>
        <v>164.442014946359</v>
      </c>
      <c r="AO297" s="466">
        <f ca="1" t="shared" si="400"/>
        <v>164.442014946359</v>
      </c>
      <c r="AP297" s="466">
        <f ca="1" t="shared" si="400"/>
        <v>164.442014946359</v>
      </c>
      <c r="AQ297" s="466">
        <f ca="1" t="shared" si="400"/>
        <v>164.442014946359</v>
      </c>
      <c r="AR297" s="466">
        <f ca="1" t="shared" si="400"/>
        <v>164.442014946359</v>
      </c>
      <c r="AS297" s="466">
        <f ca="1" t="shared" si="400"/>
        <v>164.442014946359</v>
      </c>
      <c r="AT297" s="466">
        <f ca="1" t="shared" si="400"/>
        <v>164.442014946359</v>
      </c>
      <c r="AU297" s="466">
        <f ca="1" t="shared" si="400"/>
        <v>164.442014946359</v>
      </c>
      <c r="AV297" s="466">
        <f ca="1" t="shared" si="400"/>
        <v>164.442014946359</v>
      </c>
      <c r="AW297" s="466">
        <f ca="1" t="shared" si="400"/>
        <v>164.442014946359</v>
      </c>
      <c r="AX297" s="466">
        <f ca="1" t="shared" si="400"/>
        <v>164.442014946359</v>
      </c>
      <c r="AY297" s="466">
        <f ca="1" t="shared" si="400"/>
        <v>164.442014946359</v>
      </c>
      <c r="AZ297" s="466">
        <f ca="1" t="shared" si="400"/>
        <v>164.442014946359</v>
      </c>
      <c r="BA297" s="466">
        <f ca="1" t="shared" si="400"/>
        <v>164.442014946359</v>
      </c>
      <c r="BB297" s="466">
        <f ca="1" t="shared" si="400"/>
        <v>164.442014946359</v>
      </c>
      <c r="BC297" s="466">
        <f ca="1" t="shared" si="400"/>
        <v>164.442014946359</v>
      </c>
      <c r="BD297" s="466">
        <f ca="1" t="shared" si="400"/>
        <v>164.442014946359</v>
      </c>
      <c r="BE297" s="466">
        <f ca="1" t="shared" si="400"/>
        <v>95.9245087187097</v>
      </c>
    </row>
    <row r="298" spans="2:57">
      <c r="B298" s="29">
        <v>4</v>
      </c>
      <c r="C298" s="144" t="s">
        <v>540</v>
      </c>
      <c r="D298" s="467">
        <f ca="1">AP298</f>
        <v>4.14729584008455e-10</v>
      </c>
      <c r="E298" s="29" t="s">
        <v>130</v>
      </c>
      <c r="F298" s="466">
        <f ca="1" t="shared" ref="F298:P298" si="401">F170+F278+F288</f>
        <v>21197.0400822516</v>
      </c>
      <c r="G298" s="466">
        <f ca="1" t="shared" si="401"/>
        <v>71633.4875937017</v>
      </c>
      <c r="H298" s="466">
        <f ca="1" t="shared" si="401"/>
        <v>143560.689450587</v>
      </c>
      <c r="I298" s="466">
        <f ca="1" t="shared" si="401"/>
        <v>227206.218790986</v>
      </c>
      <c r="J298" s="466">
        <f ca="1" t="shared" si="401"/>
        <v>320943.151995775</v>
      </c>
      <c r="K298" s="466">
        <f ca="1" t="shared" si="401"/>
        <v>446801.809180491</v>
      </c>
      <c r="L298" s="466">
        <f ca="1" t="shared" si="401"/>
        <v>567118.553113378</v>
      </c>
      <c r="M298" s="466">
        <f ca="1" t="shared" si="401"/>
        <v>632532.195156247</v>
      </c>
      <c r="N298" s="466">
        <f ca="1" t="shared" si="401"/>
        <v>674623.632860075</v>
      </c>
      <c r="O298" s="466">
        <f ca="1" t="shared" si="401"/>
        <v>725209.263168492</v>
      </c>
      <c r="P298" s="571">
        <f ca="1" t="shared" si="401"/>
        <v>725209.263168492</v>
      </c>
      <c r="Q298" s="466">
        <f ca="1" t="shared" ref="Q298:AL298" si="402">Q170+Q278+Q288</f>
        <v>716305.260328623</v>
      </c>
      <c r="R298" s="466">
        <f ca="1" t="shared" si="402"/>
        <v>687699.063456696</v>
      </c>
      <c r="S298" s="466">
        <f ca="1" t="shared" si="402"/>
        <v>641337.663688069</v>
      </c>
      <c r="T298" s="466">
        <f ca="1" t="shared" si="402"/>
        <v>595923.464669789</v>
      </c>
      <c r="U298" s="466">
        <f ca="1" t="shared" si="402"/>
        <v>550917.582476404</v>
      </c>
      <c r="V298" s="466">
        <f ca="1" t="shared" si="402"/>
        <v>506026.949828682</v>
      </c>
      <c r="W298" s="466">
        <f ca="1" t="shared" si="402"/>
        <v>465774.691062934</v>
      </c>
      <c r="X298" s="466">
        <f ca="1" t="shared" si="402"/>
        <v>432981.716043294</v>
      </c>
      <c r="Y298" s="466">
        <f ca="1" t="shared" si="402"/>
        <v>399917.685243436</v>
      </c>
      <c r="Z298" s="466">
        <f ca="1" t="shared" si="402"/>
        <v>366713.522746867</v>
      </c>
      <c r="AA298" s="466">
        <f ca="1" t="shared" si="402"/>
        <v>333420.455616893</v>
      </c>
      <c r="AB298" s="466">
        <f ca="1" t="shared" si="402"/>
        <v>301735.875887489</v>
      </c>
      <c r="AC298" s="466">
        <f ca="1" t="shared" si="402"/>
        <v>285549.402427231</v>
      </c>
      <c r="AD298" s="466">
        <f ca="1" t="shared" si="402"/>
        <v>251076.630968677</v>
      </c>
      <c r="AE298" s="466">
        <f ca="1" t="shared" si="402"/>
        <v>216320.958365036</v>
      </c>
      <c r="AF298" s="466">
        <f ca="1" t="shared" si="402"/>
        <v>181281.086327385</v>
      </c>
      <c r="AG298" s="466">
        <f ca="1" t="shared" si="402"/>
        <v>146395.103050747</v>
      </c>
      <c r="AH298" s="466">
        <f ca="1" t="shared" si="402"/>
        <v>110696.128210074</v>
      </c>
      <c r="AI298" s="466">
        <f ca="1" t="shared" si="402"/>
        <v>76002.8781047205</v>
      </c>
      <c r="AJ298" s="466">
        <f ca="1" t="shared" si="402"/>
        <v>44490.1253468623</v>
      </c>
      <c r="AK298" s="466">
        <f ca="1" t="shared" si="402"/>
        <v>12192.8242371063</v>
      </c>
      <c r="AL298" s="466">
        <f ca="1" t="shared" si="402"/>
        <v>4.14729584008455e-10</v>
      </c>
      <c r="AM298" s="466">
        <f ca="1" t="shared" ref="AM298:BE298" si="403">AM170+AM278+AM288</f>
        <v>4.14729584008455e-10</v>
      </c>
      <c r="AN298" s="466">
        <f ca="1" t="shared" si="403"/>
        <v>4.14729584008455e-10</v>
      </c>
      <c r="AO298" s="466">
        <f ca="1" t="shared" si="403"/>
        <v>4.14729584008455e-10</v>
      </c>
      <c r="AP298" s="466">
        <f ca="1" t="shared" si="403"/>
        <v>4.14729584008455e-10</v>
      </c>
      <c r="AQ298" s="466">
        <f ca="1" t="shared" si="403"/>
        <v>4.14729584008455e-10</v>
      </c>
      <c r="AR298" s="466">
        <f ca="1" t="shared" si="403"/>
        <v>4.14729584008455e-10</v>
      </c>
      <c r="AS298" s="466">
        <f ca="1" t="shared" si="403"/>
        <v>4.14729584008455e-10</v>
      </c>
      <c r="AT298" s="466">
        <f ca="1" t="shared" si="403"/>
        <v>4.14729584008455e-10</v>
      </c>
      <c r="AU298" s="466">
        <f ca="1" t="shared" si="403"/>
        <v>4.14729584008455e-10</v>
      </c>
      <c r="AV298" s="466">
        <f ca="1" t="shared" si="403"/>
        <v>4.14729584008455e-10</v>
      </c>
      <c r="AW298" s="466">
        <f ca="1" t="shared" si="403"/>
        <v>4.14729584008455e-10</v>
      </c>
      <c r="AX298" s="466">
        <f ca="1" t="shared" si="403"/>
        <v>4.14729584008455e-10</v>
      </c>
      <c r="AY298" s="466">
        <f ca="1" t="shared" si="403"/>
        <v>4.14729584008455e-10</v>
      </c>
      <c r="AZ298" s="466">
        <f ca="1" t="shared" si="403"/>
        <v>4.14729584008455e-10</v>
      </c>
      <c r="BA298" s="466">
        <f ca="1" t="shared" si="403"/>
        <v>4.14729584008455e-10</v>
      </c>
      <c r="BB298" s="466">
        <f ca="1" t="shared" si="403"/>
        <v>4.14729584008455e-10</v>
      </c>
      <c r="BC298" s="466">
        <f ca="1" t="shared" si="403"/>
        <v>4.14729584008455e-10</v>
      </c>
      <c r="BD298" s="466">
        <f ca="1" t="shared" si="403"/>
        <v>4.14729584008455e-10</v>
      </c>
      <c r="BE298" s="466">
        <f ca="1" t="shared" si="403"/>
        <v>4.14729584008455e-10</v>
      </c>
    </row>
    <row r="300" hidden="1" spans="2:57">
      <c r="B300" s="562" t="s">
        <v>673</v>
      </c>
      <c r="C300" s="563"/>
      <c r="D300" s="563"/>
      <c r="E300" s="563"/>
      <c r="F300" s="563"/>
      <c r="G300" s="563"/>
      <c r="H300" s="563"/>
      <c r="I300" s="563"/>
      <c r="J300" s="563"/>
      <c r="K300" s="563"/>
      <c r="L300" s="563"/>
      <c r="M300" s="563"/>
      <c r="N300" s="563"/>
      <c r="O300" s="563"/>
      <c r="P300" s="563"/>
      <c r="Q300" s="563"/>
      <c r="R300" s="563"/>
      <c r="S300" s="563"/>
      <c r="T300" s="563"/>
      <c r="U300" s="563"/>
      <c r="V300" s="563"/>
      <c r="W300" s="563"/>
      <c r="X300" s="563"/>
      <c r="Y300" s="563"/>
      <c r="Z300" s="563"/>
      <c r="AA300" s="563"/>
      <c r="AB300" s="563"/>
      <c r="AC300" s="563"/>
      <c r="AD300" s="563"/>
      <c r="AE300" s="563"/>
      <c r="AF300" s="563"/>
      <c r="AG300" s="563"/>
      <c r="AH300" s="563"/>
      <c r="AI300" s="563"/>
      <c r="AJ300" s="563"/>
      <c r="AK300" s="563"/>
      <c r="AL300" s="563"/>
      <c r="AM300" s="563"/>
      <c r="AN300" s="563"/>
      <c r="AO300" s="563"/>
      <c r="AP300" s="563"/>
      <c r="AQ300" s="563"/>
      <c r="AR300" s="563"/>
      <c r="AS300" s="563"/>
      <c r="AT300" s="563"/>
      <c r="AU300" s="563"/>
      <c r="AV300" s="563"/>
      <c r="AW300" s="563"/>
      <c r="AX300" s="563"/>
      <c r="AY300" s="563"/>
      <c r="AZ300" s="563"/>
      <c r="BA300" s="563"/>
      <c r="BB300" s="563"/>
      <c r="BC300" s="563"/>
      <c r="BD300" s="563"/>
      <c r="BE300" s="565"/>
    </row>
    <row r="301" hidden="1" spans="2:57">
      <c r="B301" s="566" t="s">
        <v>2</v>
      </c>
      <c r="C301" s="566" t="s">
        <v>430</v>
      </c>
      <c r="D301" s="566" t="s">
        <v>491</v>
      </c>
      <c r="E301" s="566" t="s">
        <v>9</v>
      </c>
      <c r="F301" s="566"/>
      <c r="G301" s="18">
        <v>2023</v>
      </c>
      <c r="H301" s="18">
        <v>2024</v>
      </c>
      <c r="I301" s="18">
        <v>2025</v>
      </c>
      <c r="J301" s="18">
        <v>2026</v>
      </c>
      <c r="K301" s="18">
        <v>2027</v>
      </c>
      <c r="L301" s="18">
        <v>2028</v>
      </c>
      <c r="M301" s="18"/>
      <c r="N301" s="628">
        <v>2029</v>
      </c>
      <c r="O301" s="628">
        <v>2030</v>
      </c>
      <c r="P301" s="628"/>
      <c r="Q301" s="628"/>
      <c r="R301" s="20">
        <v>2031</v>
      </c>
      <c r="S301" s="20">
        <v>2032</v>
      </c>
      <c r="T301" s="20">
        <v>2033</v>
      </c>
      <c r="U301" s="20">
        <v>2034</v>
      </c>
      <c r="V301" s="20">
        <v>2035</v>
      </c>
      <c r="W301" s="20">
        <v>2036</v>
      </c>
      <c r="X301" s="20">
        <v>2037</v>
      </c>
      <c r="Y301" s="20">
        <v>2038</v>
      </c>
      <c r="Z301" s="20">
        <v>2039</v>
      </c>
      <c r="AA301" s="20">
        <v>2040</v>
      </c>
      <c r="AB301" s="20">
        <v>2041</v>
      </c>
      <c r="AC301" s="20">
        <v>2042</v>
      </c>
      <c r="AD301" s="20">
        <v>2043</v>
      </c>
      <c r="AE301" s="20">
        <v>2044</v>
      </c>
      <c r="AF301" s="20">
        <v>2045</v>
      </c>
      <c r="AG301" s="20">
        <v>2046</v>
      </c>
      <c r="AH301" s="20">
        <v>2047</v>
      </c>
      <c r="AI301" s="20">
        <v>2048</v>
      </c>
      <c r="AJ301" s="20">
        <v>2049</v>
      </c>
      <c r="AK301" s="20">
        <v>2050</v>
      </c>
      <c r="AL301" s="20">
        <v>2051</v>
      </c>
      <c r="AM301" s="20">
        <v>2052</v>
      </c>
      <c r="AN301" s="20">
        <v>2053</v>
      </c>
      <c r="AO301" s="20">
        <v>2054</v>
      </c>
      <c r="AP301" s="20">
        <v>2055</v>
      </c>
      <c r="AQ301" s="20">
        <v>2056</v>
      </c>
      <c r="AR301" s="20">
        <v>2057</v>
      </c>
      <c r="AS301" s="20">
        <v>2058</v>
      </c>
      <c r="AT301" s="20">
        <v>2059</v>
      </c>
      <c r="AU301" s="20">
        <v>2060</v>
      </c>
      <c r="AV301" s="20">
        <v>2061</v>
      </c>
      <c r="AW301" s="20">
        <v>2062</v>
      </c>
      <c r="AX301" s="20">
        <v>2063</v>
      </c>
      <c r="AY301" s="20">
        <v>2064</v>
      </c>
      <c r="AZ301" s="20">
        <v>2065</v>
      </c>
      <c r="BA301" s="20">
        <v>2066</v>
      </c>
      <c r="BB301" s="20">
        <v>2067</v>
      </c>
      <c r="BC301" s="20">
        <v>2068</v>
      </c>
      <c r="BD301" s="20">
        <v>2069</v>
      </c>
      <c r="BE301" s="20">
        <v>2070</v>
      </c>
    </row>
    <row r="302" hidden="1" spans="2:57">
      <c r="B302" s="566"/>
      <c r="C302" s="566"/>
      <c r="D302" s="566"/>
      <c r="E302" s="566"/>
      <c r="F302" s="566"/>
      <c r="G302" s="18">
        <v>1</v>
      </c>
      <c r="H302" s="18">
        <v>2</v>
      </c>
      <c r="I302" s="18">
        <v>3</v>
      </c>
      <c r="J302" s="18">
        <v>4</v>
      </c>
      <c r="K302" s="18">
        <v>5</v>
      </c>
      <c r="L302" s="18">
        <v>6</v>
      </c>
      <c r="M302" s="18"/>
      <c r="N302" s="628">
        <v>7</v>
      </c>
      <c r="O302" s="628">
        <v>8</v>
      </c>
      <c r="P302" s="628"/>
      <c r="Q302" s="628"/>
      <c r="R302" s="20">
        <v>9</v>
      </c>
      <c r="S302" s="20">
        <v>10</v>
      </c>
      <c r="T302" s="20">
        <v>11</v>
      </c>
      <c r="U302" s="20">
        <v>12</v>
      </c>
      <c r="V302" s="20">
        <v>13</v>
      </c>
      <c r="W302" s="20">
        <v>14</v>
      </c>
      <c r="X302" s="20">
        <v>15</v>
      </c>
      <c r="Y302" s="20">
        <v>16</v>
      </c>
      <c r="Z302" s="20">
        <v>17</v>
      </c>
      <c r="AA302" s="20">
        <v>18</v>
      </c>
      <c r="AB302" s="20">
        <v>19</v>
      </c>
      <c r="AC302" s="20">
        <v>20</v>
      </c>
      <c r="AD302" s="20">
        <v>21</v>
      </c>
      <c r="AE302" s="20">
        <v>22</v>
      </c>
      <c r="AF302" s="20">
        <v>23</v>
      </c>
      <c r="AG302" s="20">
        <v>24</v>
      </c>
      <c r="AH302" s="20">
        <v>25</v>
      </c>
      <c r="AI302" s="20">
        <v>26</v>
      </c>
      <c r="AJ302" s="20">
        <v>27</v>
      </c>
      <c r="AK302" s="20">
        <v>28</v>
      </c>
      <c r="AL302" s="20">
        <v>29</v>
      </c>
      <c r="AM302" s="20">
        <v>30</v>
      </c>
      <c r="AN302" s="20">
        <v>31</v>
      </c>
      <c r="AO302" s="20">
        <v>32</v>
      </c>
      <c r="AP302" s="20">
        <v>33</v>
      </c>
      <c r="AQ302" s="20">
        <v>34</v>
      </c>
      <c r="AR302" s="20">
        <v>35</v>
      </c>
      <c r="AS302" s="20">
        <v>36</v>
      </c>
      <c r="AT302" s="20">
        <v>37</v>
      </c>
      <c r="AU302" s="20">
        <v>38</v>
      </c>
      <c r="AV302" s="20">
        <v>39</v>
      </c>
      <c r="AW302" s="20">
        <v>40</v>
      </c>
      <c r="AX302" s="20">
        <v>41</v>
      </c>
      <c r="AY302" s="20">
        <v>42</v>
      </c>
      <c r="AZ302" s="20">
        <v>43</v>
      </c>
      <c r="BA302" s="20">
        <v>44</v>
      </c>
      <c r="BB302" s="20">
        <v>45</v>
      </c>
      <c r="BC302" s="20">
        <v>46</v>
      </c>
      <c r="BD302" s="20">
        <v>47</v>
      </c>
      <c r="BE302" s="20">
        <v>48</v>
      </c>
    </row>
    <row r="303" hidden="1" spans="2:57">
      <c r="B303" s="29">
        <v>1</v>
      </c>
      <c r="C303" s="144" t="s">
        <v>535</v>
      </c>
      <c r="D303" s="466"/>
      <c r="E303" s="29" t="s">
        <v>130</v>
      </c>
      <c r="F303" s="29"/>
      <c r="G303" s="466" t="e">
        <f>#REF!+G273+G283</f>
        <v>#REF!</v>
      </c>
      <c r="H303" s="466" t="e">
        <f ca="1">#REF!+H273+H283</f>
        <v>#REF!</v>
      </c>
      <c r="I303" s="466" t="e">
        <f ca="1">#REF!+I273+I283</f>
        <v>#REF!</v>
      </c>
      <c r="J303" s="466" t="e">
        <f ca="1">#REF!+J273+J283</f>
        <v>#REF!</v>
      </c>
      <c r="K303" s="466" t="e">
        <f ca="1">#REF!+K273+K283</f>
        <v>#REF!</v>
      </c>
      <c r="L303" s="466" t="e">
        <f ca="1">#REF!+L273+L283</f>
        <v>#REF!</v>
      </c>
      <c r="M303" s="466"/>
      <c r="N303" s="466" t="e">
        <f ca="1">#REF!+N273+N283</f>
        <v>#REF!</v>
      </c>
      <c r="O303" s="466" t="e">
        <f ca="1">#REF!+O273+O283</f>
        <v>#REF!</v>
      </c>
      <c r="P303" s="466"/>
      <c r="Q303" s="466"/>
      <c r="R303" s="466" t="e">
        <f ca="1">#REF!+R273+R283</f>
        <v>#REF!</v>
      </c>
      <c r="S303" s="466" t="e">
        <f ca="1">#REF!+S273+S283</f>
        <v>#REF!</v>
      </c>
      <c r="T303" s="466" t="e">
        <f ca="1">#REF!+T273+T283</f>
        <v>#REF!</v>
      </c>
      <c r="U303" s="466" t="e">
        <f ca="1">#REF!+U273+U283</f>
        <v>#REF!</v>
      </c>
      <c r="V303" s="466" t="e">
        <f ca="1">#REF!+V273+V283</f>
        <v>#REF!</v>
      </c>
      <c r="W303" s="466" t="e">
        <f ca="1">#REF!+W273+W283</f>
        <v>#REF!</v>
      </c>
      <c r="X303" s="466" t="e">
        <f ca="1">#REF!+X273+X283</f>
        <v>#REF!</v>
      </c>
      <c r="Y303" s="466" t="e">
        <f ca="1">#REF!+Y273+Y283</f>
        <v>#REF!</v>
      </c>
      <c r="Z303" s="466" t="e">
        <f ca="1">#REF!+Z273+Z283</f>
        <v>#REF!</v>
      </c>
      <c r="AA303" s="466" t="e">
        <f ca="1">#REF!+AA273+AA283</f>
        <v>#REF!</v>
      </c>
      <c r="AB303" s="466" t="e">
        <f ca="1">#REF!+AB273+AB283</f>
        <v>#REF!</v>
      </c>
      <c r="AC303" s="466" t="e">
        <f ca="1">#REF!+AC273+AC283</f>
        <v>#REF!</v>
      </c>
      <c r="AD303" s="466" t="e">
        <f ca="1">#REF!+AD273+AD283</f>
        <v>#REF!</v>
      </c>
      <c r="AE303" s="466" t="e">
        <f ca="1">#REF!+AE273+AE283</f>
        <v>#REF!</v>
      </c>
      <c r="AF303" s="466" t="e">
        <f ca="1">#REF!+AF273+AF283</f>
        <v>#REF!</v>
      </c>
      <c r="AG303" s="466" t="e">
        <f ca="1">#REF!+AG273+AG283</f>
        <v>#REF!</v>
      </c>
      <c r="AH303" s="466" t="e">
        <f ca="1">#REF!+AH273+AH283</f>
        <v>#REF!</v>
      </c>
      <c r="AI303" s="466" t="e">
        <f ca="1">#REF!+AI273+AI283</f>
        <v>#REF!</v>
      </c>
      <c r="AJ303" s="466" t="e">
        <f ca="1">#REF!+AJ273+AJ283</f>
        <v>#REF!</v>
      </c>
      <c r="AK303" s="466" t="e">
        <f ca="1">#REF!+AK273+AK283</f>
        <v>#REF!</v>
      </c>
      <c r="AL303" s="466" t="e">
        <f ca="1">#REF!+AL273+AL283</f>
        <v>#REF!</v>
      </c>
      <c r="AM303" s="466" t="e">
        <f ca="1">#REF!+AM273+AM283</f>
        <v>#REF!</v>
      </c>
      <c r="AN303" s="466" t="e">
        <f ca="1">#REF!+AN273+AN283</f>
        <v>#REF!</v>
      </c>
      <c r="AO303" s="466" t="e">
        <f ca="1">#REF!+AO273+AO283</f>
        <v>#REF!</v>
      </c>
      <c r="AP303" s="466" t="e">
        <f ca="1">#REF!+AP273+AP283</f>
        <v>#REF!</v>
      </c>
      <c r="AQ303" s="466" t="e">
        <f ca="1">#REF!+AQ273+AQ283</f>
        <v>#REF!</v>
      </c>
      <c r="AR303" s="466" t="e">
        <f ca="1">#REF!+AR273+AR283</f>
        <v>#REF!</v>
      </c>
      <c r="AS303" s="466" t="e">
        <f ca="1">#REF!+AS273+AS283</f>
        <v>#REF!</v>
      </c>
      <c r="AT303" s="466" t="e">
        <f ca="1">#REF!+AT273+AT283</f>
        <v>#REF!</v>
      </c>
      <c r="AU303" s="466" t="e">
        <f ca="1">#REF!+AU273+AU283</f>
        <v>#REF!</v>
      </c>
      <c r="AV303" s="466" t="e">
        <f ca="1">#REF!+AV273+AV283</f>
        <v>#REF!</v>
      </c>
      <c r="AW303" s="466" t="e">
        <f ca="1">#REF!+AW273+AW283</f>
        <v>#REF!</v>
      </c>
      <c r="AX303" s="466" t="e">
        <f ca="1">#REF!+AX273+AX283</f>
        <v>#REF!</v>
      </c>
      <c r="AY303" s="466" t="e">
        <f ca="1">#REF!+AY273+AY283</f>
        <v>#REF!</v>
      </c>
      <c r="AZ303" s="466" t="e">
        <f ca="1">#REF!+AZ273+AZ283</f>
        <v>#REF!</v>
      </c>
      <c r="BA303" s="466" t="e">
        <f ca="1">#REF!+BA273+BA283</f>
        <v>#REF!</v>
      </c>
      <c r="BB303" s="466" t="e">
        <f ca="1">#REF!+BB273+BB283</f>
        <v>#REF!</v>
      </c>
      <c r="BC303" s="466" t="e">
        <f ca="1">#REF!+BC273+BC283</f>
        <v>#REF!</v>
      </c>
      <c r="BD303" s="466" t="e">
        <f ca="1">#REF!+BD273+BD283</f>
        <v>#REF!</v>
      </c>
      <c r="BE303" s="466" t="e">
        <f ca="1">#REF!+BE273+BE283</f>
        <v>#REF!</v>
      </c>
    </row>
    <row r="304" hidden="1" spans="2:57">
      <c r="B304" s="29">
        <v>2</v>
      </c>
      <c r="C304" s="144" t="s">
        <v>536</v>
      </c>
      <c r="D304" s="466" t="e">
        <f ca="1">SUM(G304:BE304)</f>
        <v>#REF!</v>
      </c>
      <c r="E304" s="29" t="s">
        <v>130</v>
      </c>
      <c r="F304" s="29"/>
      <c r="G304" s="466" t="e">
        <f ca="1">#REF!+G274+G284</f>
        <v>#REF!</v>
      </c>
      <c r="H304" s="466" t="e">
        <f ca="1">#REF!+H274+H284</f>
        <v>#REF!</v>
      </c>
      <c r="I304" s="466" t="e">
        <f ca="1">#REF!+I274+I284</f>
        <v>#REF!</v>
      </c>
      <c r="J304" s="466" t="e">
        <f ca="1">#REF!+J274+J284</f>
        <v>#REF!</v>
      </c>
      <c r="K304" s="466" t="e">
        <f ca="1">#REF!+K274+K284</f>
        <v>#REF!</v>
      </c>
      <c r="L304" s="466" t="e">
        <f ca="1">#REF!+L274+L284</f>
        <v>#REF!</v>
      </c>
      <c r="M304" s="466"/>
      <c r="N304" s="466" t="e">
        <f ca="1">#REF!+N274+N284</f>
        <v>#REF!</v>
      </c>
      <c r="O304" s="466" t="e">
        <f>#REF!+O274+O284</f>
        <v>#REF!</v>
      </c>
      <c r="P304" s="466"/>
      <c r="Q304" s="466"/>
      <c r="R304" s="466" t="e">
        <f ca="1">#REF!+R274+R284</f>
        <v>#REF!</v>
      </c>
      <c r="S304" s="466" t="e">
        <f ca="1">#REF!+S274+S284</f>
        <v>#REF!</v>
      </c>
      <c r="T304" s="466" t="e">
        <f ca="1">#REF!+T274+T284</f>
        <v>#REF!</v>
      </c>
      <c r="U304" s="466" t="e">
        <f ca="1">#REF!+U274+U284</f>
        <v>#REF!</v>
      </c>
      <c r="V304" s="466" t="e">
        <f ca="1">#REF!+V274+V284</f>
        <v>#REF!</v>
      </c>
      <c r="W304" s="466" t="e">
        <f ca="1">#REF!+W274+W284</f>
        <v>#REF!</v>
      </c>
      <c r="X304" s="466" t="e">
        <f ca="1">#REF!+X274+X284</f>
        <v>#REF!</v>
      </c>
      <c r="Y304" s="466" t="e">
        <f ca="1">#REF!+Y274+Y284</f>
        <v>#REF!</v>
      </c>
      <c r="Z304" s="466" t="e">
        <f ca="1">#REF!+Z274+Z284</f>
        <v>#REF!</v>
      </c>
      <c r="AA304" s="466" t="e">
        <f ca="1">#REF!+AA274+AA284</f>
        <v>#REF!</v>
      </c>
      <c r="AB304" s="466" t="e">
        <f ca="1">#REF!+AB274+AB284</f>
        <v>#REF!</v>
      </c>
      <c r="AC304" s="466" t="e">
        <f ca="1">#REF!+AC274+AC284</f>
        <v>#REF!</v>
      </c>
      <c r="AD304" s="466" t="e">
        <f ca="1">#REF!+AD274+AD284</f>
        <v>#REF!</v>
      </c>
      <c r="AE304" s="466" t="e">
        <f ca="1">#REF!+AE274+AE284</f>
        <v>#REF!</v>
      </c>
      <c r="AF304" s="466" t="e">
        <f ca="1">#REF!+AF274+AF284</f>
        <v>#REF!</v>
      </c>
      <c r="AG304" s="466" t="e">
        <f ca="1">#REF!+AG274+AG284</f>
        <v>#REF!</v>
      </c>
      <c r="AH304" s="466" t="e">
        <f ca="1">#REF!+AH274+AH284</f>
        <v>#REF!</v>
      </c>
      <c r="AI304" s="466" t="e">
        <f ca="1">#REF!+AI274+AI284</f>
        <v>#REF!</v>
      </c>
      <c r="AJ304" s="466" t="e">
        <f ca="1">#REF!+AJ274+AJ284</f>
        <v>#REF!</v>
      </c>
      <c r="AK304" s="466" t="e">
        <f ca="1">#REF!+AK274+AK284</f>
        <v>#REF!</v>
      </c>
      <c r="AL304" s="466" t="e">
        <f ca="1">#REF!+AL274+AL284</f>
        <v>#REF!</v>
      </c>
      <c r="AM304" s="466" t="e">
        <f ca="1">#REF!+AM274+AM284</f>
        <v>#REF!</v>
      </c>
      <c r="AN304" s="466" t="e">
        <f ca="1">#REF!+AN274+AN284</f>
        <v>#REF!</v>
      </c>
      <c r="AO304" s="466" t="e">
        <f ca="1">#REF!+AO274+AO284</f>
        <v>#REF!</v>
      </c>
      <c r="AP304" s="466" t="e">
        <f ca="1">#REF!+AP274+AP284</f>
        <v>#REF!</v>
      </c>
      <c r="AQ304" s="466" t="e">
        <f ca="1">#REF!+AQ274+AQ284</f>
        <v>#REF!</v>
      </c>
      <c r="AR304" s="466" t="e">
        <f ca="1">#REF!+AR274+AR284</f>
        <v>#REF!</v>
      </c>
      <c r="AS304" s="466" t="e">
        <f ca="1">#REF!+AS274+AS284</f>
        <v>#REF!</v>
      </c>
      <c r="AT304" s="466" t="e">
        <f ca="1">#REF!+AT274+AT284</f>
        <v>#REF!</v>
      </c>
      <c r="AU304" s="466" t="e">
        <f ca="1">#REF!+AU274+AU284</f>
        <v>#REF!</v>
      </c>
      <c r="AV304" s="466" t="e">
        <f ca="1">#REF!+AV274+AV284</f>
        <v>#REF!</v>
      </c>
      <c r="AW304" s="466" t="e">
        <f ca="1">#REF!+AW274+AW284</f>
        <v>#REF!</v>
      </c>
      <c r="AX304" s="466" t="e">
        <f ca="1">#REF!+AX274+AX284</f>
        <v>#REF!</v>
      </c>
      <c r="AY304" s="466" t="e">
        <f ca="1">#REF!+AY274+AY284</f>
        <v>#REF!</v>
      </c>
      <c r="AZ304" s="466" t="e">
        <f ca="1">#REF!+AZ274+AZ284</f>
        <v>#REF!</v>
      </c>
      <c r="BA304" s="466" t="e">
        <f ca="1">#REF!+BA274+BA284</f>
        <v>#REF!</v>
      </c>
      <c r="BB304" s="466" t="e">
        <f ca="1">#REF!+BB274+BB284</f>
        <v>#REF!</v>
      </c>
      <c r="BC304" s="466" t="e">
        <f ca="1">#REF!+BC274+BC284</f>
        <v>#REF!</v>
      </c>
      <c r="BD304" s="466" t="e">
        <f ca="1">#REF!+BD274+BD284</f>
        <v>#REF!</v>
      </c>
      <c r="BE304" s="466" t="e">
        <f ca="1">#REF!+BE274+BE284</f>
        <v>#REF!</v>
      </c>
    </row>
    <row r="305" hidden="1" spans="2:57">
      <c r="B305" s="29">
        <v>3</v>
      </c>
      <c r="C305" s="144" t="s">
        <v>537</v>
      </c>
      <c r="D305" s="466" t="e">
        <f ca="1">SUM(G305:BE305)</f>
        <v>#REF!</v>
      </c>
      <c r="E305" s="29" t="s">
        <v>130</v>
      </c>
      <c r="F305" s="29"/>
      <c r="G305" s="466" t="e">
        <f ca="1">#REF!+G275+G285</f>
        <v>#REF!</v>
      </c>
      <c r="H305" s="466" t="e">
        <f ca="1">#REF!+H275+H285</f>
        <v>#REF!</v>
      </c>
      <c r="I305" s="466" t="e">
        <f ca="1">#REF!+I275+I285</f>
        <v>#REF!</v>
      </c>
      <c r="J305" s="466" t="e">
        <f ca="1">#REF!+J275+J285</f>
        <v>#REF!</v>
      </c>
      <c r="K305" s="466" t="e">
        <f ca="1">#REF!+K275+K285</f>
        <v>#REF!</v>
      </c>
      <c r="L305" s="466" t="e">
        <f ca="1">#REF!+L275+L285</f>
        <v>#REF!</v>
      </c>
      <c r="M305" s="466"/>
      <c r="N305" s="466" t="e">
        <f ca="1">#REF!+N275+N285</f>
        <v>#REF!</v>
      </c>
      <c r="O305" s="466" t="e">
        <f ca="1">#REF!+O275+O285</f>
        <v>#REF!</v>
      </c>
      <c r="P305" s="466"/>
      <c r="Q305" s="466"/>
      <c r="R305" s="466" t="e">
        <f ca="1">#REF!+R275+R285</f>
        <v>#REF!</v>
      </c>
      <c r="S305" s="466" t="e">
        <f ca="1">#REF!+S275+S285</f>
        <v>#REF!</v>
      </c>
      <c r="T305" s="466" t="e">
        <f ca="1">#REF!+T275+T285</f>
        <v>#REF!</v>
      </c>
      <c r="U305" s="466" t="e">
        <f ca="1">#REF!+U275+U285</f>
        <v>#REF!</v>
      </c>
      <c r="V305" s="466" t="e">
        <f ca="1">#REF!+V275+V285</f>
        <v>#REF!</v>
      </c>
      <c r="W305" s="466" t="e">
        <f ca="1">#REF!+W275+W285</f>
        <v>#REF!</v>
      </c>
      <c r="X305" s="466" t="e">
        <f ca="1">#REF!+X275+X285</f>
        <v>#REF!</v>
      </c>
      <c r="Y305" s="466" t="e">
        <f ca="1">#REF!+Y275+Y285</f>
        <v>#REF!</v>
      </c>
      <c r="Z305" s="466" t="e">
        <f ca="1">#REF!+Z275+Z285</f>
        <v>#REF!</v>
      </c>
      <c r="AA305" s="466" t="e">
        <f ca="1">#REF!+AA275+AA285</f>
        <v>#REF!</v>
      </c>
      <c r="AB305" s="466" t="e">
        <f ca="1">#REF!+AB275+AB285</f>
        <v>#REF!</v>
      </c>
      <c r="AC305" s="466" t="e">
        <f ca="1">#REF!+AC275+AC285</f>
        <v>#REF!</v>
      </c>
      <c r="AD305" s="466" t="e">
        <f ca="1">#REF!+AD275+AD285</f>
        <v>#REF!</v>
      </c>
      <c r="AE305" s="466" t="e">
        <f ca="1">#REF!+AE275+AE285</f>
        <v>#REF!</v>
      </c>
      <c r="AF305" s="466" t="e">
        <f ca="1">#REF!+AF275+AF285</f>
        <v>#REF!</v>
      </c>
      <c r="AG305" s="466" t="e">
        <f ca="1">#REF!+AG275+AG285</f>
        <v>#REF!</v>
      </c>
      <c r="AH305" s="466" t="e">
        <f ca="1">#REF!+AH275+AH285</f>
        <v>#REF!</v>
      </c>
      <c r="AI305" s="466" t="e">
        <f ca="1">#REF!+AI275+AI285</f>
        <v>#REF!</v>
      </c>
      <c r="AJ305" s="466" t="e">
        <f ca="1">#REF!+AJ275+AJ285</f>
        <v>#REF!</v>
      </c>
      <c r="AK305" s="466" t="e">
        <f ca="1">#REF!+AK275+AK285</f>
        <v>#REF!</v>
      </c>
      <c r="AL305" s="466" t="e">
        <f ca="1">#REF!+AL275+AL285</f>
        <v>#REF!</v>
      </c>
      <c r="AM305" s="466" t="e">
        <f ca="1">#REF!+AM275+AM285</f>
        <v>#REF!</v>
      </c>
      <c r="AN305" s="466" t="e">
        <f ca="1">#REF!+AN275+AN285</f>
        <v>#REF!</v>
      </c>
      <c r="AO305" s="466" t="e">
        <f ca="1">#REF!+AO275+AO285</f>
        <v>#REF!</v>
      </c>
      <c r="AP305" s="466" t="e">
        <f ca="1">#REF!+AP275+AP285</f>
        <v>#REF!</v>
      </c>
      <c r="AQ305" s="466" t="e">
        <f ca="1">#REF!+AQ275+AQ285</f>
        <v>#REF!</v>
      </c>
      <c r="AR305" s="466" t="e">
        <f ca="1">#REF!+AR275+AR285</f>
        <v>#REF!</v>
      </c>
      <c r="AS305" s="466" t="e">
        <f ca="1">#REF!+AS275+AS285</f>
        <v>#REF!</v>
      </c>
      <c r="AT305" s="466" t="e">
        <f ca="1">#REF!+AT275+AT285</f>
        <v>#REF!</v>
      </c>
      <c r="AU305" s="466" t="e">
        <f ca="1">#REF!+AU275+AU285</f>
        <v>#REF!</v>
      </c>
      <c r="AV305" s="466" t="e">
        <f ca="1">#REF!+AV275+AV285</f>
        <v>#REF!</v>
      </c>
      <c r="AW305" s="466" t="e">
        <f ca="1">#REF!+AW275+AW285</f>
        <v>#REF!</v>
      </c>
      <c r="AX305" s="466" t="e">
        <f ca="1">#REF!+AX275+AX285</f>
        <v>#REF!</v>
      </c>
      <c r="AY305" s="466" t="e">
        <f ca="1">#REF!+AY275+AY285</f>
        <v>#REF!</v>
      </c>
      <c r="AZ305" s="466" t="e">
        <f ca="1">#REF!+AZ275+AZ285</f>
        <v>#REF!</v>
      </c>
      <c r="BA305" s="466" t="e">
        <f ca="1">#REF!+BA275+BA285</f>
        <v>#REF!</v>
      </c>
      <c r="BB305" s="466" t="e">
        <f ca="1">#REF!+BB275+BB285</f>
        <v>#REF!</v>
      </c>
      <c r="BC305" s="466" t="e">
        <f ca="1">#REF!+BC275+BC285</f>
        <v>#REF!</v>
      </c>
      <c r="BD305" s="466" t="e">
        <f ca="1">#REF!+BD275+BD285</f>
        <v>#REF!</v>
      </c>
      <c r="BE305" s="466" t="e">
        <f ca="1">#REF!+BE275+BE285</f>
        <v>#REF!</v>
      </c>
    </row>
    <row r="306" hidden="1" spans="2:57">
      <c r="B306" s="29"/>
      <c r="C306" s="145" t="s">
        <v>538</v>
      </c>
      <c r="D306" s="466" t="e">
        <f ca="1">SUM(G306:BE306)</f>
        <v>#REF!</v>
      </c>
      <c r="E306" s="29" t="s">
        <v>130</v>
      </c>
      <c r="F306" s="29"/>
      <c r="G306" s="466" t="e">
        <f>#REF!+G276+G286</f>
        <v>#REF!</v>
      </c>
      <c r="H306" s="466" t="e">
        <f ca="1">#REF!+H276+H286</f>
        <v>#REF!</v>
      </c>
      <c r="I306" s="466" t="e">
        <f ca="1">#REF!+I276+I286</f>
        <v>#REF!</v>
      </c>
      <c r="J306" s="466" t="e">
        <f ca="1">#REF!+J276+J286</f>
        <v>#REF!</v>
      </c>
      <c r="K306" s="466" t="e">
        <f ca="1">#REF!+K276+K286</f>
        <v>#REF!</v>
      </c>
      <c r="L306" s="466" t="e">
        <f ca="1">#REF!+L276+L286</f>
        <v>#REF!</v>
      </c>
      <c r="M306" s="466"/>
      <c r="N306" s="466" t="e">
        <f ca="1">#REF!+N276+N286</f>
        <v>#REF!</v>
      </c>
      <c r="O306" s="466" t="e">
        <f>#REF!+O276+O286</f>
        <v>#REF!</v>
      </c>
      <c r="P306" s="466"/>
      <c r="Q306" s="466"/>
      <c r="R306" s="466" t="e">
        <f ca="1">#REF!+R276+R286</f>
        <v>#REF!</v>
      </c>
      <c r="S306" s="466" t="e">
        <f ca="1">#REF!+S276+S286</f>
        <v>#REF!</v>
      </c>
      <c r="T306" s="466" t="e">
        <f ca="1">#REF!+T276+T286</f>
        <v>#REF!</v>
      </c>
      <c r="U306" s="466" t="e">
        <f ca="1">#REF!+U276+U286</f>
        <v>#REF!</v>
      </c>
      <c r="V306" s="466" t="e">
        <f ca="1">#REF!+V276+V286</f>
        <v>#REF!</v>
      </c>
      <c r="W306" s="466" t="e">
        <f ca="1">#REF!+W276+W286</f>
        <v>#REF!</v>
      </c>
      <c r="X306" s="466" t="e">
        <f ca="1">#REF!+X276+X286</f>
        <v>#REF!</v>
      </c>
      <c r="Y306" s="466" t="e">
        <f ca="1">#REF!+Y276+Y286</f>
        <v>#REF!</v>
      </c>
      <c r="Z306" s="466" t="e">
        <f ca="1">#REF!+Z276+Z286</f>
        <v>#REF!</v>
      </c>
      <c r="AA306" s="466" t="e">
        <f ca="1">#REF!+AA276+AA286</f>
        <v>#REF!</v>
      </c>
      <c r="AB306" s="466" t="e">
        <f ca="1">#REF!+AB276+AB286</f>
        <v>#REF!</v>
      </c>
      <c r="AC306" s="466" t="e">
        <f ca="1">#REF!+AC276+AC286</f>
        <v>#REF!</v>
      </c>
      <c r="AD306" s="466" t="e">
        <f ca="1">#REF!+AD276+AD286</f>
        <v>#REF!</v>
      </c>
      <c r="AE306" s="466" t="e">
        <f ca="1">#REF!+AE276+AE286</f>
        <v>#REF!</v>
      </c>
      <c r="AF306" s="466" t="e">
        <f ca="1">#REF!+AF276+AF286</f>
        <v>#REF!</v>
      </c>
      <c r="AG306" s="466" t="e">
        <f ca="1">#REF!+AG276+AG286</f>
        <v>#REF!</v>
      </c>
      <c r="AH306" s="466" t="e">
        <f ca="1">#REF!+AH276+AH286</f>
        <v>#REF!</v>
      </c>
      <c r="AI306" s="466" t="e">
        <f ca="1">#REF!+AI276+AI286</f>
        <v>#REF!</v>
      </c>
      <c r="AJ306" s="466" t="e">
        <f ca="1">#REF!+AJ276+AJ286</f>
        <v>#REF!</v>
      </c>
      <c r="AK306" s="466" t="e">
        <f ca="1">#REF!+AK276+AK286</f>
        <v>#REF!</v>
      </c>
      <c r="AL306" s="466" t="e">
        <f ca="1">#REF!+AL276+AL286</f>
        <v>#REF!</v>
      </c>
      <c r="AM306" s="466" t="e">
        <f ca="1">#REF!+AM276+AM286</f>
        <v>#REF!</v>
      </c>
      <c r="AN306" s="466" t="e">
        <f ca="1">#REF!+AN276+AN286</f>
        <v>#REF!</v>
      </c>
      <c r="AO306" s="466" t="e">
        <f ca="1">#REF!+AO276+AO286</f>
        <v>#REF!</v>
      </c>
      <c r="AP306" s="466" t="e">
        <f ca="1">#REF!+AP276+AP286</f>
        <v>#REF!</v>
      </c>
      <c r="AQ306" s="466" t="e">
        <f ca="1">#REF!+AQ276+AQ286</f>
        <v>#REF!</v>
      </c>
      <c r="AR306" s="466" t="e">
        <f ca="1">#REF!+AR276+AR286</f>
        <v>#REF!</v>
      </c>
      <c r="AS306" s="466" t="e">
        <f ca="1">#REF!+AS276+AS286</f>
        <v>#REF!</v>
      </c>
      <c r="AT306" s="466" t="e">
        <f ca="1">#REF!+AT276+AT286</f>
        <v>#REF!</v>
      </c>
      <c r="AU306" s="466" t="e">
        <f ca="1">#REF!+AU276+AU286</f>
        <v>#REF!</v>
      </c>
      <c r="AV306" s="466" t="e">
        <f ca="1">#REF!+AV276+AV286</f>
        <v>#REF!</v>
      </c>
      <c r="AW306" s="466" t="e">
        <f ca="1">#REF!+AW276+AW286</f>
        <v>#REF!</v>
      </c>
      <c r="AX306" s="466" t="e">
        <f ca="1">#REF!+AX276+AX286</f>
        <v>#REF!</v>
      </c>
      <c r="AY306" s="466" t="e">
        <f ca="1">#REF!+AY276+AY286</f>
        <v>#REF!</v>
      </c>
      <c r="AZ306" s="466" t="e">
        <f ca="1">#REF!+AZ276+AZ286</f>
        <v>#REF!</v>
      </c>
      <c r="BA306" s="466" t="e">
        <f ca="1">#REF!+BA276+BA286</f>
        <v>#REF!</v>
      </c>
      <c r="BB306" s="466" t="e">
        <f ca="1">#REF!+BB276+BB286</f>
        <v>#REF!</v>
      </c>
      <c r="BC306" s="466" t="e">
        <f ca="1">#REF!+BC276+BC286</f>
        <v>#REF!</v>
      </c>
      <c r="BD306" s="466" t="e">
        <f ca="1">#REF!+BD276+BD286</f>
        <v>#REF!</v>
      </c>
      <c r="BE306" s="466" t="e">
        <f ca="1">#REF!+BE276+BE286</f>
        <v>#REF!</v>
      </c>
    </row>
    <row r="307" hidden="1" spans="2:57">
      <c r="B307" s="29"/>
      <c r="C307" s="33" t="s">
        <v>539</v>
      </c>
      <c r="D307" s="466" t="e">
        <f ca="1">SUM(G307:BE307)</f>
        <v>#REF!</v>
      </c>
      <c r="E307" s="29" t="s">
        <v>130</v>
      </c>
      <c r="F307" s="29"/>
      <c r="G307" s="466" t="e">
        <f ca="1">#REF!+G277+G287</f>
        <v>#REF!</v>
      </c>
      <c r="H307" s="466" t="e">
        <f ca="1">#REF!+H277+H287</f>
        <v>#REF!</v>
      </c>
      <c r="I307" s="466" t="e">
        <f ca="1">#REF!+I277+I287</f>
        <v>#REF!</v>
      </c>
      <c r="J307" s="466" t="e">
        <f ca="1">#REF!+J277+J287</f>
        <v>#REF!</v>
      </c>
      <c r="K307" s="466" t="e">
        <f ca="1">#REF!+K277+K287</f>
        <v>#REF!</v>
      </c>
      <c r="L307" s="466" t="e">
        <f ca="1">#REF!+L277+L287</f>
        <v>#REF!</v>
      </c>
      <c r="M307" s="466"/>
      <c r="N307" s="466" t="e">
        <f ca="1">#REF!+N277+N287</f>
        <v>#REF!</v>
      </c>
      <c r="O307" s="466" t="e">
        <f ca="1">#REF!+O277+O287</f>
        <v>#REF!</v>
      </c>
      <c r="P307" s="466"/>
      <c r="Q307" s="466"/>
      <c r="R307" s="466" t="e">
        <f ca="1">#REF!+R277+R287</f>
        <v>#REF!</v>
      </c>
      <c r="S307" s="466" t="e">
        <f ca="1">#REF!+S277+S287</f>
        <v>#REF!</v>
      </c>
      <c r="T307" s="466" t="e">
        <f ca="1">#REF!+T277+T287</f>
        <v>#REF!</v>
      </c>
      <c r="U307" s="466" t="e">
        <f ca="1">#REF!+U277+U287</f>
        <v>#REF!</v>
      </c>
      <c r="V307" s="466" t="e">
        <f ca="1">#REF!+V277+V287</f>
        <v>#REF!</v>
      </c>
      <c r="W307" s="466" t="e">
        <f ca="1">#REF!+W277+W287</f>
        <v>#REF!</v>
      </c>
      <c r="X307" s="466" t="e">
        <f ca="1">#REF!+X277+X287</f>
        <v>#REF!</v>
      </c>
      <c r="Y307" s="466" t="e">
        <f ca="1">#REF!+Y277+Y287</f>
        <v>#REF!</v>
      </c>
      <c r="Z307" s="466" t="e">
        <f ca="1">#REF!+Z277+Z287</f>
        <v>#REF!</v>
      </c>
      <c r="AA307" s="466" t="e">
        <f ca="1">#REF!+AA277+AA287</f>
        <v>#REF!</v>
      </c>
      <c r="AB307" s="466" t="e">
        <f ca="1">#REF!+AB277+AB287</f>
        <v>#REF!</v>
      </c>
      <c r="AC307" s="466" t="e">
        <f ca="1">#REF!+AC277+AC287</f>
        <v>#REF!</v>
      </c>
      <c r="AD307" s="466" t="e">
        <f ca="1">#REF!+AD277+AD287</f>
        <v>#REF!</v>
      </c>
      <c r="AE307" s="466" t="e">
        <f ca="1">#REF!+AE277+AE287</f>
        <v>#REF!</v>
      </c>
      <c r="AF307" s="466" t="e">
        <f ca="1">#REF!+AF277+AF287</f>
        <v>#REF!</v>
      </c>
      <c r="AG307" s="466" t="e">
        <f ca="1">#REF!+AG277+AG287</f>
        <v>#REF!</v>
      </c>
      <c r="AH307" s="466" t="e">
        <f ca="1">#REF!+AH277+AH287</f>
        <v>#REF!</v>
      </c>
      <c r="AI307" s="466" t="e">
        <f ca="1">#REF!+AI277+AI287</f>
        <v>#REF!</v>
      </c>
      <c r="AJ307" s="466" t="e">
        <f ca="1">#REF!+AJ277+AJ287</f>
        <v>#REF!</v>
      </c>
      <c r="AK307" s="466" t="e">
        <f ca="1">#REF!+AK277+AK287</f>
        <v>#REF!</v>
      </c>
      <c r="AL307" s="466" t="e">
        <f ca="1">#REF!+AL277+AL287</f>
        <v>#REF!</v>
      </c>
      <c r="AM307" s="466" t="e">
        <f ca="1">#REF!+AM277+AM287</f>
        <v>#REF!</v>
      </c>
      <c r="AN307" s="466" t="e">
        <f ca="1">#REF!+AN277+AN287</f>
        <v>#REF!</v>
      </c>
      <c r="AO307" s="466" t="e">
        <f ca="1">#REF!+AO277+AO287</f>
        <v>#REF!</v>
      </c>
      <c r="AP307" s="466" t="e">
        <f ca="1">#REF!+AP277+AP287</f>
        <v>#REF!</v>
      </c>
      <c r="AQ307" s="466" t="e">
        <f ca="1">#REF!+AQ277+AQ287</f>
        <v>#REF!</v>
      </c>
      <c r="AR307" s="466" t="e">
        <f ca="1">#REF!+AR277+AR287</f>
        <v>#REF!</v>
      </c>
      <c r="AS307" s="466" t="e">
        <f ca="1">#REF!+AS277+AS287</f>
        <v>#REF!</v>
      </c>
      <c r="AT307" s="466" t="e">
        <f ca="1">#REF!+AT277+AT287</f>
        <v>#REF!</v>
      </c>
      <c r="AU307" s="466" t="e">
        <f ca="1">#REF!+AU277+AU287</f>
        <v>#REF!</v>
      </c>
      <c r="AV307" s="466" t="e">
        <f ca="1">#REF!+AV277+AV287</f>
        <v>#REF!</v>
      </c>
      <c r="AW307" s="466" t="e">
        <f ca="1">#REF!+AW277+AW287</f>
        <v>#REF!</v>
      </c>
      <c r="AX307" s="466" t="e">
        <f ca="1">#REF!+AX277+AX287</f>
        <v>#REF!</v>
      </c>
      <c r="AY307" s="466" t="e">
        <f ca="1">#REF!+AY277+AY287</f>
        <v>#REF!</v>
      </c>
      <c r="AZ307" s="466" t="e">
        <f ca="1">#REF!+AZ277+AZ287</f>
        <v>#REF!</v>
      </c>
      <c r="BA307" s="466" t="e">
        <f ca="1">#REF!+BA277+BA287</f>
        <v>#REF!</v>
      </c>
      <c r="BB307" s="466" t="e">
        <f ca="1">#REF!+BB277+BB287</f>
        <v>#REF!</v>
      </c>
      <c r="BC307" s="466" t="e">
        <f ca="1">#REF!+BC277+BC287</f>
        <v>#REF!</v>
      </c>
      <c r="BD307" s="466" t="e">
        <f ca="1">#REF!+BD277+BD287</f>
        <v>#REF!</v>
      </c>
      <c r="BE307" s="466" t="e">
        <f ca="1">#REF!+BE277+BE287</f>
        <v>#REF!</v>
      </c>
    </row>
    <row r="308" hidden="1" spans="2:57">
      <c r="B308" s="29">
        <v>4</v>
      </c>
      <c r="C308" s="144" t="s">
        <v>540</v>
      </c>
      <c r="D308" s="571" t="e">
        <f ca="1">AP308</f>
        <v>#REF!</v>
      </c>
      <c r="E308" s="29" t="s">
        <v>130</v>
      </c>
      <c r="F308" s="29"/>
      <c r="G308" s="466" t="e">
        <f ca="1">#REF!+G278+G288</f>
        <v>#REF!</v>
      </c>
      <c r="H308" s="466" t="e">
        <f ca="1">#REF!+H278+H288</f>
        <v>#REF!</v>
      </c>
      <c r="I308" s="466" t="e">
        <f ca="1">#REF!+I278+I288</f>
        <v>#REF!</v>
      </c>
      <c r="J308" s="466" t="e">
        <f ca="1">#REF!+J278+J288</f>
        <v>#REF!</v>
      </c>
      <c r="K308" s="466" t="e">
        <f ca="1">#REF!+K278+K288</f>
        <v>#REF!</v>
      </c>
      <c r="L308" s="466" t="e">
        <f ca="1">#REF!+L278+L288</f>
        <v>#REF!</v>
      </c>
      <c r="M308" s="466"/>
      <c r="N308" s="466" t="e">
        <f ca="1">#REF!+N278+N288</f>
        <v>#REF!</v>
      </c>
      <c r="O308" s="466" t="e">
        <f ca="1">#REF!+O278+O288</f>
        <v>#REF!</v>
      </c>
      <c r="P308" s="466"/>
      <c r="Q308" s="466"/>
      <c r="R308" s="466" t="e">
        <f ca="1">#REF!+R278+R288</f>
        <v>#REF!</v>
      </c>
      <c r="S308" s="466" t="e">
        <f ca="1">#REF!+S278+S288</f>
        <v>#REF!</v>
      </c>
      <c r="T308" s="466" t="e">
        <f ca="1">#REF!+T278+T288</f>
        <v>#REF!</v>
      </c>
      <c r="U308" s="466" t="e">
        <f ca="1">#REF!+U278+U288</f>
        <v>#REF!</v>
      </c>
      <c r="V308" s="466" t="e">
        <f ca="1">#REF!+V278+V288</f>
        <v>#REF!</v>
      </c>
      <c r="W308" s="466" t="e">
        <f ca="1">#REF!+W278+W288</f>
        <v>#REF!</v>
      </c>
      <c r="X308" s="466" t="e">
        <f ca="1">#REF!+X278+X288</f>
        <v>#REF!</v>
      </c>
      <c r="Y308" s="466" t="e">
        <f ca="1">#REF!+Y278+Y288</f>
        <v>#REF!</v>
      </c>
      <c r="Z308" s="466" t="e">
        <f ca="1">#REF!+Z278+Z288</f>
        <v>#REF!</v>
      </c>
      <c r="AA308" s="466" t="e">
        <f ca="1">#REF!+AA278+AA288</f>
        <v>#REF!</v>
      </c>
      <c r="AB308" s="466" t="e">
        <f ca="1">#REF!+AB278+AB288</f>
        <v>#REF!</v>
      </c>
      <c r="AC308" s="466" t="e">
        <f ca="1">#REF!+AC278+AC288</f>
        <v>#REF!</v>
      </c>
      <c r="AD308" s="466" t="e">
        <f ca="1">#REF!+AD278+AD288</f>
        <v>#REF!</v>
      </c>
      <c r="AE308" s="466" t="e">
        <f ca="1">#REF!+AE278+AE288</f>
        <v>#REF!</v>
      </c>
      <c r="AF308" s="466" t="e">
        <f ca="1">#REF!+AF278+AF288</f>
        <v>#REF!</v>
      </c>
      <c r="AG308" s="466" t="e">
        <f ca="1">#REF!+AG278+AG288</f>
        <v>#REF!</v>
      </c>
      <c r="AH308" s="466" t="e">
        <f ca="1">#REF!+AH278+AH288</f>
        <v>#REF!</v>
      </c>
      <c r="AI308" s="466" t="e">
        <f ca="1">#REF!+AI278+AI288</f>
        <v>#REF!</v>
      </c>
      <c r="AJ308" s="466" t="e">
        <f ca="1">#REF!+AJ278+AJ288</f>
        <v>#REF!</v>
      </c>
      <c r="AK308" s="466" t="e">
        <f ca="1">#REF!+AK278+AK288</f>
        <v>#REF!</v>
      </c>
      <c r="AL308" s="466" t="e">
        <f ca="1">#REF!+AL278+AL288</f>
        <v>#REF!</v>
      </c>
      <c r="AM308" s="466" t="e">
        <f ca="1">#REF!+AM278+AM288</f>
        <v>#REF!</v>
      </c>
      <c r="AN308" s="466" t="e">
        <f ca="1">#REF!+AN278+AN288</f>
        <v>#REF!</v>
      </c>
      <c r="AO308" s="466" t="e">
        <f ca="1">#REF!+AO278+AO288</f>
        <v>#REF!</v>
      </c>
      <c r="AP308" s="466" t="e">
        <f ca="1">#REF!+AP278+AP288</f>
        <v>#REF!</v>
      </c>
      <c r="AQ308" s="466" t="e">
        <f ca="1">#REF!+AQ278+AQ288</f>
        <v>#REF!</v>
      </c>
      <c r="AR308" s="466" t="e">
        <f ca="1">#REF!+AR278+AR288</f>
        <v>#REF!</v>
      </c>
      <c r="AS308" s="466" t="e">
        <f ca="1">#REF!+AS278+AS288</f>
        <v>#REF!</v>
      </c>
      <c r="AT308" s="466" t="e">
        <f ca="1">#REF!+AT278+AT288</f>
        <v>#REF!</v>
      </c>
      <c r="AU308" s="466" t="e">
        <f ca="1">#REF!+AU278+AU288</f>
        <v>#REF!</v>
      </c>
      <c r="AV308" s="466" t="e">
        <f ca="1">#REF!+AV278+AV288</f>
        <v>#REF!</v>
      </c>
      <c r="AW308" s="466" t="e">
        <f ca="1">#REF!+AW278+AW288</f>
        <v>#REF!</v>
      </c>
      <c r="AX308" s="466" t="e">
        <f ca="1">#REF!+AX278+AX288</f>
        <v>#REF!</v>
      </c>
      <c r="AY308" s="466" t="e">
        <f ca="1">#REF!+AY278+AY288</f>
        <v>#REF!</v>
      </c>
      <c r="AZ308" s="466" t="e">
        <f ca="1">#REF!+AZ278+AZ288</f>
        <v>#REF!</v>
      </c>
      <c r="BA308" s="466" t="e">
        <f ca="1">#REF!+BA278+BA288</f>
        <v>#REF!</v>
      </c>
      <c r="BB308" s="466" t="e">
        <f ca="1">#REF!+BB278+BB288</f>
        <v>#REF!</v>
      </c>
      <c r="BC308" s="466" t="e">
        <f ca="1">#REF!+BC278+BC288</f>
        <v>#REF!</v>
      </c>
      <c r="BD308" s="466" t="e">
        <f ca="1">#REF!+BD278+BD288</f>
        <v>#REF!</v>
      </c>
      <c r="BE308" s="466" t="e">
        <f ca="1">#REF!+BE278+BE288</f>
        <v>#REF!</v>
      </c>
    </row>
    <row r="309" spans="2:57">
      <c r="C309" s="2"/>
    </row>
    <row r="310" ht="17.25" spans="2:57">
      <c r="B310" s="142" t="s">
        <v>674</v>
      </c>
    </row>
    <row r="311" spans="2:57">
      <c r="B311" s="240" t="s">
        <v>2</v>
      </c>
      <c r="C311" s="241" t="s">
        <v>430</v>
      </c>
      <c r="D311" s="241" t="s">
        <v>491</v>
      </c>
      <c r="E311" s="241" t="s">
        <v>9</v>
      </c>
      <c r="F311" s="242">
        <v>2023</v>
      </c>
      <c r="G311" s="242">
        <v>2024</v>
      </c>
      <c r="H311" s="242">
        <v>2025</v>
      </c>
      <c r="I311" s="242">
        <v>2026</v>
      </c>
      <c r="J311" s="242">
        <v>2027</v>
      </c>
      <c r="K311" s="242">
        <v>2028</v>
      </c>
      <c r="L311" s="242">
        <v>2029</v>
      </c>
      <c r="M311" s="242">
        <v>2030</v>
      </c>
      <c r="N311" s="242">
        <v>2031</v>
      </c>
      <c r="O311" s="242">
        <v>2032</v>
      </c>
      <c r="P311" s="242">
        <v>2033</v>
      </c>
      <c r="Q311" s="242">
        <v>2034</v>
      </c>
      <c r="R311" s="242">
        <v>2035</v>
      </c>
      <c r="S311" s="242">
        <v>2036</v>
      </c>
      <c r="T311" s="242">
        <v>2037</v>
      </c>
      <c r="U311" s="242">
        <v>2038</v>
      </c>
      <c r="V311" s="242">
        <v>2039</v>
      </c>
      <c r="W311" s="242">
        <v>2040</v>
      </c>
      <c r="X311" s="242">
        <v>2041</v>
      </c>
      <c r="Y311" s="242">
        <v>2042</v>
      </c>
      <c r="Z311" s="242">
        <v>2043</v>
      </c>
      <c r="AA311" s="242">
        <v>2044</v>
      </c>
      <c r="AB311" s="242">
        <v>2045</v>
      </c>
      <c r="AC311" s="242">
        <v>2046</v>
      </c>
      <c r="AD311" s="242">
        <v>2047</v>
      </c>
      <c r="AE311" s="242">
        <v>2048</v>
      </c>
      <c r="AF311" s="242">
        <v>2049</v>
      </c>
      <c r="AG311" s="242">
        <v>2050</v>
      </c>
      <c r="AH311" s="242">
        <v>2051</v>
      </c>
      <c r="AI311" s="242">
        <v>2052</v>
      </c>
      <c r="AJ311" s="242">
        <v>2053</v>
      </c>
      <c r="AK311" s="242">
        <v>2054</v>
      </c>
      <c r="AL311" s="242">
        <v>2055</v>
      </c>
      <c r="AM311" s="242">
        <v>2056</v>
      </c>
      <c r="AN311" s="242">
        <v>2057</v>
      </c>
      <c r="AO311" s="242">
        <v>2058</v>
      </c>
      <c r="AP311" s="242">
        <v>2059</v>
      </c>
      <c r="AQ311" s="242">
        <v>2060</v>
      </c>
      <c r="AR311" s="242">
        <v>2061</v>
      </c>
      <c r="AS311" s="242">
        <v>2062</v>
      </c>
      <c r="AT311" s="242">
        <v>2063</v>
      </c>
      <c r="AU311" s="242">
        <v>2064</v>
      </c>
      <c r="AV311" s="242">
        <v>2065</v>
      </c>
      <c r="AW311" s="242">
        <v>2066</v>
      </c>
      <c r="AX311" s="242">
        <v>2067</v>
      </c>
      <c r="AY311" s="242">
        <v>2068</v>
      </c>
      <c r="AZ311" s="242">
        <v>2069</v>
      </c>
      <c r="BA311" s="243">
        <v>2070</v>
      </c>
    </row>
    <row r="312" spans="2:57">
      <c r="B312" s="244"/>
      <c r="C312" s="245"/>
      <c r="D312" s="245"/>
      <c r="E312" s="245"/>
      <c r="F312" s="246">
        <v>1</v>
      </c>
      <c r="G312" s="246">
        <v>2</v>
      </c>
      <c r="H312" s="246">
        <v>3</v>
      </c>
      <c r="I312" s="246">
        <v>4</v>
      </c>
      <c r="J312" s="246">
        <v>5</v>
      </c>
      <c r="K312" s="246">
        <v>6</v>
      </c>
      <c r="L312" s="246">
        <v>7</v>
      </c>
      <c r="M312" s="246">
        <v>8</v>
      </c>
      <c r="N312" s="246">
        <v>9</v>
      </c>
      <c r="O312" s="246">
        <v>10</v>
      </c>
      <c r="P312" s="246">
        <v>11</v>
      </c>
      <c r="Q312" s="246">
        <v>12</v>
      </c>
      <c r="R312" s="246">
        <v>13</v>
      </c>
      <c r="S312" s="246">
        <v>14</v>
      </c>
      <c r="T312" s="246">
        <v>15</v>
      </c>
      <c r="U312" s="246">
        <v>16</v>
      </c>
      <c r="V312" s="246">
        <v>17</v>
      </c>
      <c r="W312" s="246">
        <v>18</v>
      </c>
      <c r="X312" s="246">
        <v>19</v>
      </c>
      <c r="Y312" s="246">
        <v>20</v>
      </c>
      <c r="Z312" s="246">
        <v>21</v>
      </c>
      <c r="AA312" s="246">
        <v>22</v>
      </c>
      <c r="AB312" s="246">
        <v>23</v>
      </c>
      <c r="AC312" s="246">
        <v>24</v>
      </c>
      <c r="AD312" s="246">
        <v>25</v>
      </c>
      <c r="AE312" s="246">
        <v>26</v>
      </c>
      <c r="AF312" s="246">
        <v>27</v>
      </c>
      <c r="AG312" s="246">
        <v>28</v>
      </c>
      <c r="AH312" s="246">
        <v>29</v>
      </c>
      <c r="AI312" s="246">
        <v>30</v>
      </c>
      <c r="AJ312" s="246">
        <v>31</v>
      </c>
      <c r="AK312" s="246">
        <v>32</v>
      </c>
      <c r="AL312" s="246">
        <v>33</v>
      </c>
      <c r="AM312" s="246">
        <v>34</v>
      </c>
      <c r="AN312" s="246">
        <v>35</v>
      </c>
      <c r="AO312" s="246">
        <v>36</v>
      </c>
      <c r="AP312" s="246">
        <v>37</v>
      </c>
      <c r="AQ312" s="246">
        <v>38</v>
      </c>
      <c r="AR312" s="246">
        <v>39</v>
      </c>
      <c r="AS312" s="246">
        <v>40</v>
      </c>
      <c r="AT312" s="246">
        <v>41</v>
      </c>
      <c r="AU312" s="246">
        <v>42</v>
      </c>
      <c r="AV312" s="246">
        <v>43</v>
      </c>
      <c r="AW312" s="246">
        <v>44</v>
      </c>
      <c r="AX312" s="246">
        <v>45</v>
      </c>
      <c r="AY312" s="246">
        <v>46</v>
      </c>
      <c r="AZ312" s="246">
        <v>47</v>
      </c>
      <c r="BA312" s="247">
        <v>48</v>
      </c>
    </row>
    <row r="313" spans="2:57">
      <c r="B313" s="629" t="s">
        <v>675</v>
      </c>
      <c r="C313" s="630" t="s">
        <v>676</v>
      </c>
      <c r="D313" s="631"/>
      <c r="E313" s="632" t="s">
        <v>130</v>
      </c>
      <c r="F313" s="633">
        <f t="shared" ref="F313:S313" si="404">F314+F315+F316</f>
        <v>0</v>
      </c>
      <c r="G313" s="633">
        <f t="shared" si="404"/>
        <v>0</v>
      </c>
      <c r="H313" s="633">
        <f t="shared" si="404"/>
        <v>0</v>
      </c>
      <c r="I313" s="633">
        <f t="shared" si="404"/>
        <v>0</v>
      </c>
      <c r="J313" s="633">
        <f t="shared" si="404"/>
        <v>0</v>
      </c>
      <c r="K313" s="633">
        <f t="shared" si="404"/>
        <v>0</v>
      </c>
      <c r="L313" s="633">
        <f t="shared" si="404"/>
        <v>0</v>
      </c>
      <c r="M313" s="633">
        <f t="shared" si="404"/>
        <v>10602.7533573265</v>
      </c>
      <c r="N313" s="633">
        <f t="shared" si="404"/>
        <v>10602.7533573265</v>
      </c>
      <c r="O313" s="633">
        <f t="shared" si="404"/>
        <v>10602.7533573265</v>
      </c>
      <c r="P313" s="633">
        <f t="shared" si="404"/>
        <v>10602.7533573265</v>
      </c>
      <c r="Q313" s="633">
        <f t="shared" si="404"/>
        <v>10602.7533573265</v>
      </c>
      <c r="R313" s="633">
        <f t="shared" si="404"/>
        <v>10602.7533573265</v>
      </c>
      <c r="S313" s="633">
        <f t="shared" si="404"/>
        <v>10602.7533573265</v>
      </c>
      <c r="T313" s="633">
        <f t="shared" ref="T313:BA313" si="405">T314+T315+T316</f>
        <v>10602.7533573265</v>
      </c>
      <c r="U313" s="633">
        <f t="shared" si="405"/>
        <v>10602.7533573265</v>
      </c>
      <c r="V313" s="633">
        <f t="shared" si="405"/>
        <v>10602.7533573265</v>
      </c>
      <c r="W313" s="633">
        <f t="shared" si="405"/>
        <v>10602.7533573265</v>
      </c>
      <c r="X313" s="633">
        <f t="shared" si="405"/>
        <v>10602.7533573265</v>
      </c>
      <c r="Y313" s="633">
        <f t="shared" si="405"/>
        <v>10602.7533573265</v>
      </c>
      <c r="Z313" s="633">
        <f t="shared" si="405"/>
        <v>10602.7533573265</v>
      </c>
      <c r="AA313" s="633">
        <f t="shared" si="405"/>
        <v>10602.7533573265</v>
      </c>
      <c r="AB313" s="633">
        <f t="shared" si="405"/>
        <v>10602.7533573265</v>
      </c>
      <c r="AC313" s="633">
        <f t="shared" si="405"/>
        <v>10602.7533573265</v>
      </c>
      <c r="AD313" s="633">
        <f t="shared" si="405"/>
        <v>10602.7533573265</v>
      </c>
      <c r="AE313" s="633">
        <f t="shared" si="405"/>
        <v>10602.7533573265</v>
      </c>
      <c r="AF313" s="633">
        <f t="shared" si="405"/>
        <v>10602.7533573265</v>
      </c>
      <c r="AG313" s="633">
        <f t="shared" si="405"/>
        <v>10602.7533573265</v>
      </c>
      <c r="AH313" s="633">
        <f t="shared" si="405"/>
        <v>10602.7533573265</v>
      </c>
      <c r="AI313" s="633">
        <f t="shared" si="405"/>
        <v>10602.7533573265</v>
      </c>
      <c r="AJ313" s="633">
        <f t="shared" si="405"/>
        <v>10602.7533573265</v>
      </c>
      <c r="AK313" s="633">
        <f t="shared" si="405"/>
        <v>10602.7533573265</v>
      </c>
      <c r="AL313" s="633">
        <f t="shared" si="405"/>
        <v>10602.7533573265</v>
      </c>
      <c r="AM313" s="633">
        <f t="shared" si="405"/>
        <v>10602.7533573265</v>
      </c>
      <c r="AN313" s="633">
        <f t="shared" si="405"/>
        <v>10602.7533573265</v>
      </c>
      <c r="AO313" s="633">
        <f t="shared" si="405"/>
        <v>10602.7533573265</v>
      </c>
      <c r="AP313" s="633">
        <f t="shared" si="405"/>
        <v>10602.7533573265</v>
      </c>
      <c r="AQ313" s="633">
        <f t="shared" si="405"/>
        <v>10602.7533573265</v>
      </c>
      <c r="AR313" s="633">
        <f t="shared" si="405"/>
        <v>10602.7533573265</v>
      </c>
      <c r="AS313" s="633">
        <f t="shared" si="405"/>
        <v>10602.7533573265</v>
      </c>
      <c r="AT313" s="633">
        <f t="shared" si="405"/>
        <v>10602.7533573265</v>
      </c>
      <c r="AU313" s="633">
        <f t="shared" si="405"/>
        <v>10602.7533573265</v>
      </c>
      <c r="AV313" s="633">
        <f t="shared" si="405"/>
        <v>10602.7533573265</v>
      </c>
      <c r="AW313" s="633">
        <f t="shared" si="405"/>
        <v>10602.7533573265</v>
      </c>
      <c r="AX313" s="633">
        <f t="shared" si="405"/>
        <v>10602.7533573265</v>
      </c>
      <c r="AY313" s="633">
        <f t="shared" si="405"/>
        <v>10602.7533573265</v>
      </c>
      <c r="AZ313" s="633">
        <f t="shared" si="405"/>
        <v>10602.7533573265</v>
      </c>
      <c r="BA313" s="634">
        <f t="shared" si="405"/>
        <v>10602.7533573265</v>
      </c>
    </row>
    <row r="314" spans="2:57">
      <c r="B314" s="635">
        <v>1.1</v>
      </c>
      <c r="C314" s="636" t="s">
        <v>220</v>
      </c>
      <c r="D314" s="631"/>
      <c r="E314" s="632" t="s">
        <v>130</v>
      </c>
      <c r="F314" s="637">
        <f>IF(参数输入表!$I$220="扩大指标估算法",0,IF(F312-参数输入表!$I$25&lt;0,0,参数输入表!$I$361/(360/参数输入表!$I$362)))</f>
        <v>0</v>
      </c>
      <c r="G314" s="637">
        <f>IF(参数输入表!$I$220="扩大指标估算法",0,IF(G312-参数输入表!$I$25&lt;0,0,参数输入表!$I$361/(360/参数输入表!$I$362)))</f>
        <v>0</v>
      </c>
      <c r="H314" s="637">
        <f>IF(参数输入表!$I$220="扩大指标估算法",0,IF(H312-参数输入表!$I$25&lt;0,0,参数输入表!$I$361/(360/参数输入表!$I$362)))</f>
        <v>0</v>
      </c>
      <c r="I314" s="637">
        <f>IF(参数输入表!$I$220="扩大指标估算法",0,IF(I312-参数输入表!$I$25&lt;0,0,参数输入表!$I$361/(360/参数输入表!$I$362)))</f>
        <v>0</v>
      </c>
      <c r="J314" s="637">
        <f>IF(参数输入表!$I$220="扩大指标估算法",0,IF(J312-参数输入表!$I$25&lt;0,0,参数输入表!$I$361/(360/参数输入表!$I$362)))</f>
        <v>0</v>
      </c>
      <c r="K314" s="637">
        <f>IF(参数输入表!$I$220="扩大指标估算法",0,IF(K312-参数输入表!$I$25&lt;0,0,参数输入表!$I$361/(360/参数输入表!$I$362)))</f>
        <v>0</v>
      </c>
      <c r="L314" s="637">
        <f>IF(参数输入表!$I$220="扩大指标估算法",0,IF(L312-参数输入表!$I$25&lt;0,0,参数输入表!$I$361/(360/参数输入表!$I$362)))</f>
        <v>0</v>
      </c>
      <c r="M314" s="637">
        <f>IF(参数输入表!$I$220="扩大指标估算法",0,IF(M312-参数输入表!$I$25&lt;0,0,参数输入表!$I$361/(360/参数输入表!$I$362)))</f>
        <v>5602.75335732653</v>
      </c>
      <c r="N314" s="637">
        <f>IF(参数输入表!$I$220="扩大指标估算法",0,IF(N312-参数输入表!$I$25&lt;0,0,参数输入表!$I$361/(360/参数输入表!$I$362)))</f>
        <v>5602.75335732653</v>
      </c>
      <c r="O314" s="637">
        <f>IF(参数输入表!$I$220="扩大指标估算法",0,IF(O312-参数输入表!$I$25&lt;0,0,参数输入表!$I$361/(360/参数输入表!$I$362)))</f>
        <v>5602.75335732653</v>
      </c>
      <c r="P314" s="637">
        <f>IF(参数输入表!$I$220="扩大指标估算法",0,IF(P312-参数输入表!$I$25&lt;0,0,参数输入表!$I$361/(360/参数输入表!$I$362)))</f>
        <v>5602.75335732653</v>
      </c>
      <c r="Q314" s="637">
        <f>IF(参数输入表!$I$220="扩大指标估算法",0,IF(Q312-参数输入表!$I$25&lt;0,0,参数输入表!$I$361/(360/参数输入表!$I$362)))</f>
        <v>5602.75335732653</v>
      </c>
      <c r="R314" s="637">
        <f>IF(参数输入表!$I$220="扩大指标估算法",0,IF(R312-参数输入表!$I$25&lt;0,0,参数输入表!$I$361/(360/参数输入表!$I$362)))</f>
        <v>5602.75335732653</v>
      </c>
      <c r="S314" s="637">
        <f>IF(参数输入表!$I$220="扩大指标估算法",0,IF(S312-参数输入表!$I$25&lt;0,0,参数输入表!$I$361/(360/参数输入表!$I$362)))</f>
        <v>5602.75335732653</v>
      </c>
      <c r="T314" s="637">
        <f>IF(参数输入表!$I$220="扩大指标估算法",0,IF(T312-参数输入表!$I$25&lt;0,0,参数输入表!$I$361/(360/参数输入表!$I$362)))</f>
        <v>5602.75335732653</v>
      </c>
      <c r="U314" s="637">
        <f>IF(参数输入表!$I$220="扩大指标估算法",0,IF(U312-参数输入表!$I$25&lt;0,0,参数输入表!$I$361/(360/参数输入表!$I$362)))</f>
        <v>5602.75335732653</v>
      </c>
      <c r="V314" s="637">
        <f>IF(参数输入表!$I$220="扩大指标估算法",0,IF(V312-参数输入表!$I$25&lt;0,0,参数输入表!$I$361/(360/参数输入表!$I$362)))</f>
        <v>5602.75335732653</v>
      </c>
      <c r="W314" s="637">
        <f>IF(参数输入表!$I$220="扩大指标估算法",0,IF(W312-参数输入表!$I$25&lt;0,0,参数输入表!$I$361/(360/参数输入表!$I$362)))</f>
        <v>5602.75335732653</v>
      </c>
      <c r="X314" s="637">
        <f>IF(参数输入表!$I$220="扩大指标估算法",0,IF(X312-参数输入表!$I$25&lt;0,0,参数输入表!$I$361/(360/参数输入表!$I$362)))</f>
        <v>5602.75335732653</v>
      </c>
      <c r="Y314" s="637">
        <f>IF(参数输入表!$I$220="扩大指标估算法",0,IF(Y312-参数输入表!$I$25&lt;0,0,参数输入表!$I$361/(360/参数输入表!$I$362)))</f>
        <v>5602.75335732653</v>
      </c>
      <c r="Z314" s="637">
        <f>IF(参数输入表!$I$220="扩大指标估算法",0,IF(Z312-参数输入表!$I$25&lt;0,0,参数输入表!$I$361/(360/参数输入表!$I$362)))</f>
        <v>5602.75335732653</v>
      </c>
      <c r="AA314" s="637">
        <f>IF(参数输入表!$I$220="扩大指标估算法",0,IF(AA312-参数输入表!$I$25&lt;0,0,参数输入表!$I$361/(360/参数输入表!$I$362)))</f>
        <v>5602.75335732653</v>
      </c>
      <c r="AB314" s="637">
        <f>IF(参数输入表!$I$220="扩大指标估算法",0,IF(AB312-参数输入表!$I$25&lt;0,0,参数输入表!$I$361/(360/参数输入表!$I$362)))</f>
        <v>5602.75335732653</v>
      </c>
      <c r="AC314" s="637">
        <f>IF(参数输入表!$I$220="扩大指标估算法",0,IF(AC312-参数输入表!$I$25&lt;0,0,参数输入表!$I$361/(360/参数输入表!$I$362)))</f>
        <v>5602.75335732653</v>
      </c>
      <c r="AD314" s="637">
        <f>IF(参数输入表!$I$220="扩大指标估算法",0,IF(AD312-参数输入表!$I$25&lt;0,0,参数输入表!$I$361/(360/参数输入表!$I$362)))</f>
        <v>5602.75335732653</v>
      </c>
      <c r="AE314" s="637">
        <f>IF(参数输入表!$I$220="扩大指标估算法",0,IF(AE312-参数输入表!$I$25&lt;0,0,参数输入表!$I$361/(360/参数输入表!$I$362)))</f>
        <v>5602.75335732653</v>
      </c>
      <c r="AF314" s="637">
        <f>IF(参数输入表!$I$220="扩大指标估算法",0,IF(AF312-参数输入表!$I$25&lt;0,0,参数输入表!$I$361/(360/参数输入表!$I$362)))</f>
        <v>5602.75335732653</v>
      </c>
      <c r="AG314" s="637">
        <f>IF(参数输入表!$I$220="扩大指标估算法",0,IF(AG312-参数输入表!$I$25&lt;0,0,参数输入表!$I$361/(360/参数输入表!$I$362)))</f>
        <v>5602.75335732653</v>
      </c>
      <c r="AH314" s="637">
        <f>IF(参数输入表!$I$220="扩大指标估算法",0,IF(AH312-参数输入表!$I$25&lt;0,0,参数输入表!$I$361/(360/参数输入表!$I$362)))</f>
        <v>5602.75335732653</v>
      </c>
      <c r="AI314" s="637">
        <f>IF(参数输入表!$I$220="扩大指标估算法",0,IF(AI312-参数输入表!$I$25&lt;0,0,参数输入表!$I$361/(360/参数输入表!$I$362)))</f>
        <v>5602.75335732653</v>
      </c>
      <c r="AJ314" s="637">
        <f>IF(参数输入表!$I$220="扩大指标估算法",0,IF(AJ312-参数输入表!$I$25&lt;0,0,参数输入表!$I$361/(360/参数输入表!$I$362)))</f>
        <v>5602.75335732653</v>
      </c>
      <c r="AK314" s="637">
        <f>IF(参数输入表!$I$220="扩大指标估算法",0,IF(AK312-参数输入表!$I$25&lt;0,0,参数输入表!$I$361/(360/参数输入表!$I$362)))</f>
        <v>5602.75335732653</v>
      </c>
      <c r="AL314" s="637">
        <f>IF(参数输入表!$I$220="扩大指标估算法",0,IF(AL312-参数输入表!$I$25&lt;0,0,参数输入表!$I$361/(360/参数输入表!$I$362)))</f>
        <v>5602.75335732653</v>
      </c>
      <c r="AM314" s="637">
        <f>IF(参数输入表!$I$220="扩大指标估算法",0,IF(AM312-参数输入表!$I$25&lt;0,0,参数输入表!$I$361/(360/参数输入表!$I$362)))</f>
        <v>5602.75335732653</v>
      </c>
      <c r="AN314" s="637">
        <f>IF(参数输入表!$I$220="扩大指标估算法",0,IF(AN312-参数输入表!$I$25&lt;0,0,参数输入表!$I$361/(360/参数输入表!$I$362)))</f>
        <v>5602.75335732653</v>
      </c>
      <c r="AO314" s="637">
        <f>IF(参数输入表!$I$220="扩大指标估算法",0,IF(AO312-参数输入表!$I$25&lt;0,0,参数输入表!$I$361/(360/参数输入表!$I$362)))</f>
        <v>5602.75335732653</v>
      </c>
      <c r="AP314" s="637">
        <f>IF(参数输入表!$I$220="扩大指标估算法",0,IF(AP312-参数输入表!$I$25&lt;0,0,参数输入表!$I$361/(360/参数输入表!$I$362)))</f>
        <v>5602.75335732653</v>
      </c>
      <c r="AQ314" s="637">
        <f>IF(参数输入表!$I$220="扩大指标估算法",0,IF(AQ312-参数输入表!$I$25&lt;0,0,参数输入表!$I$361/(360/参数输入表!$I$362)))</f>
        <v>5602.75335732653</v>
      </c>
      <c r="AR314" s="637">
        <f>IF(参数输入表!$I$220="扩大指标估算法",0,IF(AR312-参数输入表!$I$25&lt;0,0,参数输入表!$I$361/(360/参数输入表!$I$362)))</f>
        <v>5602.75335732653</v>
      </c>
      <c r="AS314" s="637">
        <f>IF(参数输入表!$I$220="扩大指标估算法",0,IF(AS312-参数输入表!$I$25&lt;0,0,参数输入表!$I$361/(360/参数输入表!$I$362)))</f>
        <v>5602.75335732653</v>
      </c>
      <c r="AT314" s="637">
        <f>IF(参数输入表!$I$220="扩大指标估算法",0,IF(AT312-参数输入表!$I$25&lt;0,0,参数输入表!$I$361/(360/参数输入表!$I$362)))</f>
        <v>5602.75335732653</v>
      </c>
      <c r="AU314" s="637">
        <f>IF(参数输入表!$I$220="扩大指标估算法",0,IF(AU312-参数输入表!$I$25&lt;0,0,参数输入表!$I$361/(360/参数输入表!$I$362)))</f>
        <v>5602.75335732653</v>
      </c>
      <c r="AV314" s="637">
        <f>IF(参数输入表!$I$220="扩大指标估算法",0,IF(AV312-参数输入表!$I$25&lt;0,0,参数输入表!$I$361/(360/参数输入表!$I$362)))</f>
        <v>5602.75335732653</v>
      </c>
      <c r="AW314" s="637">
        <f>IF(参数输入表!$I$220="扩大指标估算法",0,IF(AW312-参数输入表!$I$25&lt;0,0,参数输入表!$I$361/(360/参数输入表!$I$362)))</f>
        <v>5602.75335732653</v>
      </c>
      <c r="AX314" s="637">
        <f>IF(参数输入表!$I$220="扩大指标估算法",0,IF(AX312-参数输入表!$I$25&lt;0,0,参数输入表!$I$361/(360/参数输入表!$I$362)))</f>
        <v>5602.75335732653</v>
      </c>
      <c r="AY314" s="637">
        <f>IF(参数输入表!$I$220="扩大指标估算法",0,IF(AY312-参数输入表!$I$25&lt;0,0,参数输入表!$I$361/(360/参数输入表!$I$362)))</f>
        <v>5602.75335732653</v>
      </c>
      <c r="AZ314" s="637">
        <f>IF(参数输入表!$I$220="扩大指标估算法",0,IF(AZ312-参数输入表!$I$25&lt;0,0,参数输入表!$I$361/(360/参数输入表!$I$362)))</f>
        <v>5602.75335732653</v>
      </c>
      <c r="BA314" s="638">
        <f>IF(参数输入表!$I$220="扩大指标估算法",0,IF(BA312-参数输入表!$I$25&lt;0,0,参数输入表!$I$361/(360/参数输入表!$I$362)))</f>
        <v>5602.75335732653</v>
      </c>
    </row>
    <row r="315" spans="2:57">
      <c r="B315" s="635">
        <v>1.2</v>
      </c>
      <c r="C315" s="636" t="s">
        <v>226</v>
      </c>
      <c r="D315" s="631"/>
      <c r="E315" s="632" t="s">
        <v>130</v>
      </c>
      <c r="F315" s="637">
        <f>IF(参数输入表!$I$220="扩大指标估算法",0,IF(F312-参数输入表!$I$25&lt;0,0,参数输入表!$I$364/(360/参数输入表!$I$365)))</f>
        <v>0</v>
      </c>
      <c r="G315" s="637">
        <f>IF(参数输入表!$I$220="扩大指标估算法",0,IF(G312-参数输入表!$I$25&lt;0,0,参数输入表!$I$364/(360/参数输入表!$I$365)))</f>
        <v>0</v>
      </c>
      <c r="H315" s="637">
        <f>IF(参数输入表!$I$220="扩大指标估算法",0,IF(H312-参数输入表!$I$25&lt;0,0,参数输入表!$I$364/(360/参数输入表!$I$365)))</f>
        <v>0</v>
      </c>
      <c r="I315" s="637">
        <f>IF(参数输入表!$I$220="扩大指标估算法",0,IF(I312-参数输入表!$I$25&lt;0,0,参数输入表!$I$364/(360/参数输入表!$I$365)))</f>
        <v>0</v>
      </c>
      <c r="J315" s="637">
        <f>IF(参数输入表!$I$220="扩大指标估算法",0,IF(J312-参数输入表!$I$25&lt;0,0,参数输入表!$I$364/(360/参数输入表!$I$365)))</f>
        <v>0</v>
      </c>
      <c r="K315" s="637">
        <f>IF(参数输入表!$I$220="扩大指标估算法",0,IF(K312-参数输入表!$I$25&lt;0,0,参数输入表!$I$364/(360/参数输入表!$I$365)))</f>
        <v>0</v>
      </c>
      <c r="L315" s="637">
        <f>IF(参数输入表!$I$220="扩大指标估算法",0,IF(L312-参数输入表!$I$25&lt;0,0,参数输入表!$I$364/(360/参数输入表!$I$365)))</f>
        <v>0</v>
      </c>
      <c r="M315" s="637">
        <f>IF(参数输入表!$I$220="扩大指标估算法",0,IF(M312-参数输入表!$I$25&lt;0,0,参数输入表!$I$364/(360/参数输入表!$I$365)))</f>
        <v>5000</v>
      </c>
      <c r="N315" s="637">
        <f>IF(参数输入表!$I$220="扩大指标估算法",0,IF(N312-参数输入表!$I$25&lt;0,0,参数输入表!$I$364/(360/参数输入表!$I$365)))</f>
        <v>5000</v>
      </c>
      <c r="O315" s="637">
        <f>IF(参数输入表!$I$220="扩大指标估算法",0,IF(O312-参数输入表!$I$25&lt;0,0,参数输入表!$I$364/(360/参数输入表!$I$365)))</f>
        <v>5000</v>
      </c>
      <c r="P315" s="637">
        <f>IF(参数输入表!$I$220="扩大指标估算法",0,IF(P312-参数输入表!$I$25&lt;0,0,参数输入表!$I$364/(360/参数输入表!$I$365)))</f>
        <v>5000</v>
      </c>
      <c r="Q315" s="637">
        <f>IF(参数输入表!$I$220="扩大指标估算法",0,IF(Q312-参数输入表!$I$25&lt;0,0,参数输入表!$I$364/(360/参数输入表!$I$365)))</f>
        <v>5000</v>
      </c>
      <c r="R315" s="637">
        <f>IF(参数输入表!$I$220="扩大指标估算法",0,IF(R312-参数输入表!$I$25&lt;0,0,参数输入表!$I$364/(360/参数输入表!$I$365)))</f>
        <v>5000</v>
      </c>
      <c r="S315" s="637">
        <f>IF(参数输入表!$I$220="扩大指标估算法",0,IF(S312-参数输入表!$I$25&lt;0,0,参数输入表!$I$364/(360/参数输入表!$I$365)))</f>
        <v>5000</v>
      </c>
      <c r="T315" s="637">
        <f>IF(参数输入表!$I$220="扩大指标估算法",0,IF(T312-参数输入表!$I$25&lt;0,0,参数输入表!$I$364/(360/参数输入表!$I$365)))</f>
        <v>5000</v>
      </c>
      <c r="U315" s="637">
        <f>IF(参数输入表!$I$220="扩大指标估算法",0,IF(U312-参数输入表!$I$25&lt;0,0,参数输入表!$I$364/(360/参数输入表!$I$365)))</f>
        <v>5000</v>
      </c>
      <c r="V315" s="637">
        <f>IF(参数输入表!$I$220="扩大指标估算法",0,IF(V312-参数输入表!$I$25&lt;0,0,参数输入表!$I$364/(360/参数输入表!$I$365)))</f>
        <v>5000</v>
      </c>
      <c r="W315" s="637">
        <f>IF(参数输入表!$I$220="扩大指标估算法",0,IF(W312-参数输入表!$I$25&lt;0,0,参数输入表!$I$364/(360/参数输入表!$I$365)))</f>
        <v>5000</v>
      </c>
      <c r="X315" s="637">
        <f>IF(参数输入表!$I$220="扩大指标估算法",0,IF(X312-参数输入表!$I$25&lt;0,0,参数输入表!$I$364/(360/参数输入表!$I$365)))</f>
        <v>5000</v>
      </c>
      <c r="Y315" s="637">
        <f>IF(参数输入表!$I$220="扩大指标估算法",0,IF(Y312-参数输入表!$I$25&lt;0,0,参数输入表!$I$364/(360/参数输入表!$I$365)))</f>
        <v>5000</v>
      </c>
      <c r="Z315" s="637">
        <f>IF(参数输入表!$I$220="扩大指标估算法",0,IF(Z312-参数输入表!$I$25&lt;0,0,参数输入表!$I$364/(360/参数输入表!$I$365)))</f>
        <v>5000</v>
      </c>
      <c r="AA315" s="637">
        <f>IF(参数输入表!$I$220="扩大指标估算法",0,IF(AA312-参数输入表!$I$25&lt;0,0,参数输入表!$I$364/(360/参数输入表!$I$365)))</f>
        <v>5000</v>
      </c>
      <c r="AB315" s="637">
        <f>IF(参数输入表!$I$220="扩大指标估算法",0,IF(AB312-参数输入表!$I$25&lt;0,0,参数输入表!$I$364/(360/参数输入表!$I$365)))</f>
        <v>5000</v>
      </c>
      <c r="AC315" s="637">
        <f>IF(参数输入表!$I$220="扩大指标估算法",0,IF(AC312-参数输入表!$I$25&lt;0,0,参数输入表!$I$364/(360/参数输入表!$I$365)))</f>
        <v>5000</v>
      </c>
      <c r="AD315" s="637">
        <f>IF(参数输入表!$I$220="扩大指标估算法",0,IF(AD312-参数输入表!$I$25&lt;0,0,参数输入表!$I$364/(360/参数输入表!$I$365)))</f>
        <v>5000</v>
      </c>
      <c r="AE315" s="637">
        <f>IF(参数输入表!$I$220="扩大指标估算法",0,IF(AE312-参数输入表!$I$25&lt;0,0,参数输入表!$I$364/(360/参数输入表!$I$365)))</f>
        <v>5000</v>
      </c>
      <c r="AF315" s="637">
        <f>IF(参数输入表!$I$220="扩大指标估算法",0,IF(AF312-参数输入表!$I$25&lt;0,0,参数输入表!$I$364/(360/参数输入表!$I$365)))</f>
        <v>5000</v>
      </c>
      <c r="AG315" s="637">
        <f>IF(参数输入表!$I$220="扩大指标估算法",0,IF(AG312-参数输入表!$I$25&lt;0,0,参数输入表!$I$364/(360/参数输入表!$I$365)))</f>
        <v>5000</v>
      </c>
      <c r="AH315" s="637">
        <f>IF(参数输入表!$I$220="扩大指标估算法",0,IF(AH312-参数输入表!$I$25&lt;0,0,参数输入表!$I$364/(360/参数输入表!$I$365)))</f>
        <v>5000</v>
      </c>
      <c r="AI315" s="637">
        <f>IF(参数输入表!$I$220="扩大指标估算法",0,IF(AI312-参数输入表!$I$25&lt;0,0,参数输入表!$I$364/(360/参数输入表!$I$365)))</f>
        <v>5000</v>
      </c>
      <c r="AJ315" s="637">
        <f>IF(参数输入表!$I$220="扩大指标估算法",0,IF(AJ312-参数输入表!$I$25&lt;0,0,参数输入表!$I$364/(360/参数输入表!$I$365)))</f>
        <v>5000</v>
      </c>
      <c r="AK315" s="637">
        <f>IF(参数输入表!$I$220="扩大指标估算法",0,IF(AK312-参数输入表!$I$25&lt;0,0,参数输入表!$I$364/(360/参数输入表!$I$365)))</f>
        <v>5000</v>
      </c>
      <c r="AL315" s="637">
        <f>IF(参数输入表!$I$220="扩大指标估算法",0,IF(AL312-参数输入表!$I$25&lt;0,0,参数输入表!$I$364/(360/参数输入表!$I$365)))</f>
        <v>5000</v>
      </c>
      <c r="AM315" s="637">
        <f>IF(参数输入表!$I$220="扩大指标估算法",0,IF(AM312-参数输入表!$I$25&lt;0,0,参数输入表!$I$364/(360/参数输入表!$I$365)))</f>
        <v>5000</v>
      </c>
      <c r="AN315" s="637">
        <f>IF(参数输入表!$I$220="扩大指标估算法",0,IF(AN312-参数输入表!$I$25&lt;0,0,参数输入表!$I$364/(360/参数输入表!$I$365)))</f>
        <v>5000</v>
      </c>
      <c r="AO315" s="637">
        <f>IF(参数输入表!$I$220="扩大指标估算法",0,IF(AO312-参数输入表!$I$25&lt;0,0,参数输入表!$I$364/(360/参数输入表!$I$365)))</f>
        <v>5000</v>
      </c>
      <c r="AP315" s="637">
        <f>IF(参数输入表!$I$220="扩大指标估算法",0,IF(AP312-参数输入表!$I$25&lt;0,0,参数输入表!$I$364/(360/参数输入表!$I$365)))</f>
        <v>5000</v>
      </c>
      <c r="AQ315" s="637">
        <f>IF(参数输入表!$I$220="扩大指标估算法",0,IF(AQ312-参数输入表!$I$25&lt;0,0,参数输入表!$I$364/(360/参数输入表!$I$365)))</f>
        <v>5000</v>
      </c>
      <c r="AR315" s="637">
        <f>IF(参数输入表!$I$220="扩大指标估算法",0,IF(AR312-参数输入表!$I$25&lt;0,0,参数输入表!$I$364/(360/参数输入表!$I$365)))</f>
        <v>5000</v>
      </c>
      <c r="AS315" s="637">
        <f>IF(参数输入表!$I$220="扩大指标估算法",0,IF(AS312-参数输入表!$I$25&lt;0,0,参数输入表!$I$364/(360/参数输入表!$I$365)))</f>
        <v>5000</v>
      </c>
      <c r="AT315" s="637">
        <f>IF(参数输入表!$I$220="扩大指标估算法",0,IF(AT312-参数输入表!$I$25&lt;0,0,参数输入表!$I$364/(360/参数输入表!$I$365)))</f>
        <v>5000</v>
      </c>
      <c r="AU315" s="637">
        <f>IF(参数输入表!$I$220="扩大指标估算法",0,IF(AU312-参数输入表!$I$25&lt;0,0,参数输入表!$I$364/(360/参数输入表!$I$365)))</f>
        <v>5000</v>
      </c>
      <c r="AV315" s="637">
        <f>IF(参数输入表!$I$220="扩大指标估算法",0,IF(AV312-参数输入表!$I$25&lt;0,0,参数输入表!$I$364/(360/参数输入表!$I$365)))</f>
        <v>5000</v>
      </c>
      <c r="AW315" s="637">
        <f>IF(参数输入表!$I$220="扩大指标估算法",0,IF(AW312-参数输入表!$I$25&lt;0,0,参数输入表!$I$364/(360/参数输入表!$I$365)))</f>
        <v>5000</v>
      </c>
      <c r="AX315" s="637">
        <f>IF(参数输入表!$I$220="扩大指标估算法",0,IF(AX312-参数输入表!$I$25&lt;0,0,参数输入表!$I$364/(360/参数输入表!$I$365)))</f>
        <v>5000</v>
      </c>
      <c r="AY315" s="637">
        <f>IF(参数输入表!$I$220="扩大指标估算法",0,IF(AY312-参数输入表!$I$25&lt;0,0,参数输入表!$I$364/(360/参数输入表!$I$365)))</f>
        <v>5000</v>
      </c>
      <c r="AZ315" s="637">
        <f>IF(参数输入表!$I$220="扩大指标估算法",0,IF(AZ312-参数输入表!$I$25&lt;0,0,参数输入表!$I$364/(360/参数输入表!$I$365)))</f>
        <v>5000</v>
      </c>
      <c r="BA315" s="638">
        <f>IF(参数输入表!$I$220="扩大指标估算法",0,IF(BA312-参数输入表!$I$25&lt;0,0,参数输入表!$I$364/(360/参数输入表!$I$365)))</f>
        <v>5000</v>
      </c>
    </row>
    <row r="316" spans="2:57">
      <c r="B316" s="635">
        <v>1.3</v>
      </c>
      <c r="C316" s="636" t="s">
        <v>677</v>
      </c>
      <c r="D316" s="631"/>
      <c r="E316" s="632" t="s">
        <v>130</v>
      </c>
      <c r="F316" s="637">
        <f>IF(参数输入表!$I$220="扩大指标估算法",0,IF(F312-参数输入表!$I$25&lt;0,0,参数输入表!$I$367/(360/参数输入表!$I$368)))</f>
        <v>0</v>
      </c>
      <c r="G316" s="637">
        <f>IF(参数输入表!$I$220="扩大指标估算法",0,IF(G312-参数输入表!$I$25&lt;0,0,参数输入表!$I$367/(360/参数输入表!$I$368)))</f>
        <v>0</v>
      </c>
      <c r="H316" s="637">
        <f>IF(参数输入表!$I$220="扩大指标估算法",0,IF(H312-参数输入表!$I$25&lt;0,0,参数输入表!$I$367/(360/参数输入表!$I$368)))</f>
        <v>0</v>
      </c>
      <c r="I316" s="637">
        <f>IF(参数输入表!$I$220="扩大指标估算法",0,IF(I312-参数输入表!$I$25&lt;0,0,参数输入表!$I$367/(360/参数输入表!$I$368)))</f>
        <v>0</v>
      </c>
      <c r="J316" s="637">
        <f>IF(参数输入表!$I$220="扩大指标估算法",0,IF(J312-参数输入表!$I$25&lt;0,0,参数输入表!$I$367/(360/参数输入表!$I$368)))</f>
        <v>0</v>
      </c>
      <c r="K316" s="637">
        <f>IF(参数输入表!$I$220="扩大指标估算法",0,IF(K312-参数输入表!$I$25&lt;0,0,参数输入表!$I$367/(360/参数输入表!$I$368)))</f>
        <v>0</v>
      </c>
      <c r="L316" s="637">
        <f>IF(参数输入表!$I$220="扩大指标估算法",0,IF(L312-参数输入表!$I$25&lt;0,0,参数输入表!$I$367/(360/参数输入表!$I$368)))</f>
        <v>0</v>
      </c>
      <c r="M316" s="637">
        <f>IF(参数输入表!$I$220="扩大指标估算法",0,IF(M312-参数输入表!$I$25&lt;0,0,参数输入表!$I$367/(360/参数输入表!$I$368)))</f>
        <v>0</v>
      </c>
      <c r="N316" s="637">
        <f>IF(参数输入表!$I$220="扩大指标估算法",0,IF(N312-参数输入表!$I$25&lt;0,0,参数输入表!$I$367/(360/参数输入表!$I$368)))</f>
        <v>0</v>
      </c>
      <c r="O316" s="637">
        <f>IF(参数输入表!$I$220="扩大指标估算法",0,IF(O312-参数输入表!$I$25&lt;0,0,参数输入表!$I$367/(360/参数输入表!$I$368)))</f>
        <v>0</v>
      </c>
      <c r="P316" s="637">
        <f>IF(参数输入表!$I$220="扩大指标估算法",0,IF(P312-参数输入表!$I$25&lt;0,0,参数输入表!$I$367/(360/参数输入表!$I$368)))</f>
        <v>0</v>
      </c>
      <c r="Q316" s="637">
        <f>IF(参数输入表!$I$220="扩大指标估算法",0,IF(Q312-参数输入表!$I$25&lt;0,0,参数输入表!$I$367/(360/参数输入表!$I$368)))</f>
        <v>0</v>
      </c>
      <c r="R316" s="637">
        <f>IF(参数输入表!$I$220="扩大指标估算法",0,IF(R312-参数输入表!$I$25&lt;0,0,参数输入表!$I$367/(360/参数输入表!$I$368)))</f>
        <v>0</v>
      </c>
      <c r="S316" s="637">
        <f>IF(参数输入表!$I$220="扩大指标估算法",0,IF(S312-参数输入表!$I$25&lt;0,0,参数输入表!$I$367/(360/参数输入表!$I$368)))</f>
        <v>0</v>
      </c>
      <c r="T316" s="637">
        <f>IF(参数输入表!$I$220="扩大指标估算法",0,IF(T312-参数输入表!$I$25&lt;0,0,参数输入表!$I$367/(360/参数输入表!$I$368)))</f>
        <v>0</v>
      </c>
      <c r="U316" s="637">
        <f>IF(参数输入表!$I$220="扩大指标估算法",0,IF(U312-参数输入表!$I$25&lt;0,0,参数输入表!$I$367/(360/参数输入表!$I$368)))</f>
        <v>0</v>
      </c>
      <c r="V316" s="637">
        <f>IF(参数输入表!$I$220="扩大指标估算法",0,IF(V312-参数输入表!$I$25&lt;0,0,参数输入表!$I$367/(360/参数输入表!$I$368)))</f>
        <v>0</v>
      </c>
      <c r="W316" s="637">
        <f>IF(参数输入表!$I$220="扩大指标估算法",0,IF(W312-参数输入表!$I$25&lt;0,0,参数输入表!$I$367/(360/参数输入表!$I$368)))</f>
        <v>0</v>
      </c>
      <c r="X316" s="637">
        <f>IF(参数输入表!$I$220="扩大指标估算法",0,IF(X312-参数输入表!$I$25&lt;0,0,参数输入表!$I$367/(360/参数输入表!$I$368)))</f>
        <v>0</v>
      </c>
      <c r="Y316" s="637">
        <f>IF(参数输入表!$I$220="扩大指标估算法",0,IF(Y312-参数输入表!$I$25&lt;0,0,参数输入表!$I$367/(360/参数输入表!$I$368)))</f>
        <v>0</v>
      </c>
      <c r="Z316" s="637">
        <f>IF(参数输入表!$I$220="扩大指标估算法",0,IF(Z312-参数输入表!$I$25&lt;0,0,参数输入表!$I$367/(360/参数输入表!$I$368)))</f>
        <v>0</v>
      </c>
      <c r="AA316" s="637">
        <f>IF(参数输入表!$I$220="扩大指标估算法",0,IF(AA312-参数输入表!$I$25&lt;0,0,参数输入表!$I$367/(360/参数输入表!$I$368)))</f>
        <v>0</v>
      </c>
      <c r="AB316" s="637">
        <f>IF(参数输入表!$I$220="扩大指标估算法",0,IF(AB312-参数输入表!$I$25&lt;0,0,参数输入表!$I$367/(360/参数输入表!$I$368)))</f>
        <v>0</v>
      </c>
      <c r="AC316" s="637">
        <f>IF(参数输入表!$I$220="扩大指标估算法",0,IF(AC312-参数输入表!$I$25&lt;0,0,参数输入表!$I$367/(360/参数输入表!$I$368)))</f>
        <v>0</v>
      </c>
      <c r="AD316" s="637">
        <f>IF(参数输入表!$I$220="扩大指标估算法",0,IF(AD312-参数输入表!$I$25&lt;0,0,参数输入表!$I$367/(360/参数输入表!$I$368)))</f>
        <v>0</v>
      </c>
      <c r="AE316" s="637">
        <f>IF(参数输入表!$I$220="扩大指标估算法",0,IF(AE312-参数输入表!$I$25&lt;0,0,参数输入表!$I$367/(360/参数输入表!$I$368)))</f>
        <v>0</v>
      </c>
      <c r="AF316" s="637">
        <f>IF(参数输入表!$I$220="扩大指标估算法",0,IF(AF312-参数输入表!$I$25&lt;0,0,参数输入表!$I$367/(360/参数输入表!$I$368)))</f>
        <v>0</v>
      </c>
      <c r="AG316" s="637">
        <f>IF(参数输入表!$I$220="扩大指标估算法",0,IF(AG312-参数输入表!$I$25&lt;0,0,参数输入表!$I$367/(360/参数输入表!$I$368)))</f>
        <v>0</v>
      </c>
      <c r="AH316" s="637">
        <f>IF(参数输入表!$I$220="扩大指标估算法",0,IF(AH312-参数输入表!$I$25&lt;0,0,参数输入表!$I$367/(360/参数输入表!$I$368)))</f>
        <v>0</v>
      </c>
      <c r="AI316" s="637">
        <f>IF(参数输入表!$I$220="扩大指标估算法",0,IF(AI312-参数输入表!$I$25&lt;0,0,参数输入表!$I$367/(360/参数输入表!$I$368)))</f>
        <v>0</v>
      </c>
      <c r="AJ316" s="637">
        <f>IF(参数输入表!$I$220="扩大指标估算法",0,IF(AJ312-参数输入表!$I$25&lt;0,0,参数输入表!$I$367/(360/参数输入表!$I$368)))</f>
        <v>0</v>
      </c>
      <c r="AK316" s="637">
        <f>IF(参数输入表!$I$220="扩大指标估算法",0,IF(AK312-参数输入表!$I$25&lt;0,0,参数输入表!$I$367/(360/参数输入表!$I$368)))</f>
        <v>0</v>
      </c>
      <c r="AL316" s="637">
        <f>IF(参数输入表!$I$220="扩大指标估算法",0,IF(AL312-参数输入表!$I$25&lt;0,0,参数输入表!$I$367/(360/参数输入表!$I$368)))</f>
        <v>0</v>
      </c>
      <c r="AM316" s="637">
        <f>IF(参数输入表!$I$220="扩大指标估算法",0,IF(AM312-参数输入表!$I$25&lt;0,0,参数输入表!$I$367/(360/参数输入表!$I$368)))</f>
        <v>0</v>
      </c>
      <c r="AN316" s="637">
        <f>IF(参数输入表!$I$220="扩大指标估算法",0,IF(AN312-参数输入表!$I$25&lt;0,0,参数输入表!$I$367/(360/参数输入表!$I$368)))</f>
        <v>0</v>
      </c>
      <c r="AO316" s="637">
        <f>IF(参数输入表!$I$220="扩大指标估算法",0,IF(AO312-参数输入表!$I$25&lt;0,0,参数输入表!$I$367/(360/参数输入表!$I$368)))</f>
        <v>0</v>
      </c>
      <c r="AP316" s="637">
        <f>IF(参数输入表!$I$220="扩大指标估算法",0,IF(AP312-参数输入表!$I$25&lt;0,0,参数输入表!$I$367/(360/参数输入表!$I$368)))</f>
        <v>0</v>
      </c>
      <c r="AQ316" s="637">
        <f>IF(参数输入表!$I$220="扩大指标估算法",0,IF(AQ312-参数输入表!$I$25&lt;0,0,参数输入表!$I$367/(360/参数输入表!$I$368)))</f>
        <v>0</v>
      </c>
      <c r="AR316" s="637">
        <f>IF(参数输入表!$I$220="扩大指标估算法",0,IF(AR312-参数输入表!$I$25&lt;0,0,参数输入表!$I$367/(360/参数输入表!$I$368)))</f>
        <v>0</v>
      </c>
      <c r="AS316" s="637">
        <f>IF(参数输入表!$I$220="扩大指标估算法",0,IF(AS312-参数输入表!$I$25&lt;0,0,参数输入表!$I$367/(360/参数输入表!$I$368)))</f>
        <v>0</v>
      </c>
      <c r="AT316" s="637">
        <f>IF(参数输入表!$I$220="扩大指标估算法",0,IF(AT312-参数输入表!$I$25&lt;0,0,参数输入表!$I$367/(360/参数输入表!$I$368)))</f>
        <v>0</v>
      </c>
      <c r="AU316" s="637">
        <f>IF(参数输入表!$I$220="扩大指标估算法",0,IF(AU312-参数输入表!$I$25&lt;0,0,参数输入表!$I$367/(360/参数输入表!$I$368)))</f>
        <v>0</v>
      </c>
      <c r="AV316" s="637">
        <f>IF(参数输入表!$I$220="扩大指标估算法",0,IF(AV312-参数输入表!$I$25&lt;0,0,参数输入表!$I$367/(360/参数输入表!$I$368)))</f>
        <v>0</v>
      </c>
      <c r="AW316" s="637">
        <f>IF(参数输入表!$I$220="扩大指标估算法",0,IF(AW312-参数输入表!$I$25&lt;0,0,参数输入表!$I$367/(360/参数输入表!$I$368)))</f>
        <v>0</v>
      </c>
      <c r="AX316" s="637">
        <f>IF(参数输入表!$I$220="扩大指标估算法",0,IF(AX312-参数输入表!$I$25&lt;0,0,参数输入表!$I$367/(360/参数输入表!$I$368)))</f>
        <v>0</v>
      </c>
      <c r="AY316" s="637">
        <f>IF(参数输入表!$I$220="扩大指标估算法",0,IF(AY312-参数输入表!$I$25&lt;0,0,参数输入表!$I$367/(360/参数输入表!$I$368)))</f>
        <v>0</v>
      </c>
      <c r="AZ316" s="637">
        <f>IF(参数输入表!$I$220="扩大指标估算法",0,IF(AZ312-参数输入表!$I$25&lt;0,0,参数输入表!$I$367/(360/参数输入表!$I$368)))</f>
        <v>0</v>
      </c>
      <c r="BA316" s="638">
        <f>IF(参数输入表!$I$220="扩大指标估算法",0,IF(BA312-参数输入表!$I$25&lt;0,0,参数输入表!$I$367/(360/参数输入表!$I$368)))</f>
        <v>0</v>
      </c>
    </row>
    <row r="317" spans="2:57">
      <c r="B317" s="629" t="s">
        <v>678</v>
      </c>
      <c r="C317" s="630" t="s">
        <v>679</v>
      </c>
      <c r="D317" s="631"/>
      <c r="E317" s="632" t="s">
        <v>130</v>
      </c>
      <c r="F317" s="633">
        <f t="shared" ref="F317:O317" si="406">SUM(F318:F319)</f>
        <v>0</v>
      </c>
      <c r="G317" s="633">
        <f t="shared" si="406"/>
        <v>0</v>
      </c>
      <c r="H317" s="633">
        <f t="shared" si="406"/>
        <v>0</v>
      </c>
      <c r="I317" s="633">
        <f t="shared" si="406"/>
        <v>0</v>
      </c>
      <c r="J317" s="633">
        <f t="shared" si="406"/>
        <v>0</v>
      </c>
      <c r="K317" s="633">
        <f t="shared" si="406"/>
        <v>0</v>
      </c>
      <c r="L317" s="633">
        <f t="shared" si="406"/>
        <v>0</v>
      </c>
      <c r="M317" s="633">
        <f t="shared" si="406"/>
        <v>4166.66666666667</v>
      </c>
      <c r="N317" s="633">
        <f t="shared" si="406"/>
        <v>4166.66666666667</v>
      </c>
      <c r="O317" s="633">
        <f t="shared" si="406"/>
        <v>4166.66666666667</v>
      </c>
      <c r="P317" s="633">
        <f t="shared" ref="P317:BA317" si="407">SUM(P318:P319)</f>
        <v>4166.66666666667</v>
      </c>
      <c r="Q317" s="633">
        <f t="shared" si="407"/>
        <v>4166.66666666667</v>
      </c>
      <c r="R317" s="633">
        <f t="shared" si="407"/>
        <v>4166.66666666667</v>
      </c>
      <c r="S317" s="633">
        <f t="shared" si="407"/>
        <v>4166.66666666667</v>
      </c>
      <c r="T317" s="633">
        <f t="shared" si="407"/>
        <v>4166.66666666667</v>
      </c>
      <c r="U317" s="633">
        <f t="shared" si="407"/>
        <v>4166.66666666667</v>
      </c>
      <c r="V317" s="633">
        <f t="shared" si="407"/>
        <v>4166.66666666667</v>
      </c>
      <c r="W317" s="633">
        <f t="shared" si="407"/>
        <v>4166.66666666667</v>
      </c>
      <c r="X317" s="633">
        <f t="shared" si="407"/>
        <v>4166.66666666667</v>
      </c>
      <c r="Y317" s="633">
        <f t="shared" si="407"/>
        <v>4166.66666666667</v>
      </c>
      <c r="Z317" s="633">
        <f t="shared" si="407"/>
        <v>4166.66666666667</v>
      </c>
      <c r="AA317" s="633">
        <f t="shared" si="407"/>
        <v>4166.66666666667</v>
      </c>
      <c r="AB317" s="633">
        <f t="shared" si="407"/>
        <v>4166.66666666667</v>
      </c>
      <c r="AC317" s="633">
        <f t="shared" si="407"/>
        <v>4166.66666666667</v>
      </c>
      <c r="AD317" s="633">
        <f t="shared" si="407"/>
        <v>4166.66666666667</v>
      </c>
      <c r="AE317" s="633">
        <f t="shared" si="407"/>
        <v>4166.66666666667</v>
      </c>
      <c r="AF317" s="633">
        <f t="shared" si="407"/>
        <v>4166.66666666667</v>
      </c>
      <c r="AG317" s="633">
        <f t="shared" si="407"/>
        <v>4166.66666666667</v>
      </c>
      <c r="AH317" s="633">
        <f t="shared" si="407"/>
        <v>4166.66666666667</v>
      </c>
      <c r="AI317" s="633">
        <f t="shared" si="407"/>
        <v>4166.66666666667</v>
      </c>
      <c r="AJ317" s="633">
        <f t="shared" si="407"/>
        <v>4166.66666666667</v>
      </c>
      <c r="AK317" s="633">
        <f t="shared" si="407"/>
        <v>4166.66666666667</v>
      </c>
      <c r="AL317" s="633">
        <f t="shared" si="407"/>
        <v>4166.66666666667</v>
      </c>
      <c r="AM317" s="633">
        <f t="shared" si="407"/>
        <v>4166.66666666667</v>
      </c>
      <c r="AN317" s="633">
        <f t="shared" si="407"/>
        <v>4166.66666666667</v>
      </c>
      <c r="AO317" s="633">
        <f t="shared" si="407"/>
        <v>4166.66666666667</v>
      </c>
      <c r="AP317" s="633">
        <f t="shared" si="407"/>
        <v>4166.66666666667</v>
      </c>
      <c r="AQ317" s="633">
        <f t="shared" si="407"/>
        <v>4166.66666666667</v>
      </c>
      <c r="AR317" s="633">
        <f t="shared" si="407"/>
        <v>4166.66666666667</v>
      </c>
      <c r="AS317" s="633">
        <f t="shared" si="407"/>
        <v>4166.66666666667</v>
      </c>
      <c r="AT317" s="633">
        <f t="shared" si="407"/>
        <v>4166.66666666667</v>
      </c>
      <c r="AU317" s="633">
        <f t="shared" si="407"/>
        <v>4166.66666666667</v>
      </c>
      <c r="AV317" s="633">
        <f t="shared" si="407"/>
        <v>4166.66666666667</v>
      </c>
      <c r="AW317" s="633">
        <f t="shared" si="407"/>
        <v>4166.66666666667</v>
      </c>
      <c r="AX317" s="633">
        <f t="shared" si="407"/>
        <v>4166.66666666667</v>
      </c>
      <c r="AY317" s="633">
        <f t="shared" si="407"/>
        <v>4166.66666666667</v>
      </c>
      <c r="AZ317" s="633">
        <f t="shared" si="407"/>
        <v>4166.66666666667</v>
      </c>
      <c r="BA317" s="634">
        <f t="shared" si="407"/>
        <v>4166.66666666667</v>
      </c>
    </row>
    <row r="318" spans="2:57">
      <c r="B318" s="635">
        <v>2.1</v>
      </c>
      <c r="C318" s="636" t="s">
        <v>231</v>
      </c>
      <c r="D318" s="631"/>
      <c r="E318" s="632" t="s">
        <v>130</v>
      </c>
      <c r="F318" s="637">
        <f>IF(参数输入表!$I$220="扩大指标估算法",0,IF(F312-参数输入表!$I$25&lt;0,0,参数输入表!$I$370/(360/参数输入表!$I$371)))</f>
        <v>0</v>
      </c>
      <c r="G318" s="637">
        <f>IF(参数输入表!$I$220="扩大指标估算法",0,IF(G312-参数输入表!$I$25&lt;0,0,参数输入表!$I$370/(360/参数输入表!$I$371)))</f>
        <v>0</v>
      </c>
      <c r="H318" s="637">
        <f>IF(参数输入表!$I$220="扩大指标估算法",0,IF(H312-参数输入表!$I$25&lt;0,0,参数输入表!$I$370/(360/参数输入表!$I$371)))</f>
        <v>0</v>
      </c>
      <c r="I318" s="637">
        <f>IF(参数输入表!$I$220="扩大指标估算法",0,IF(I312-参数输入表!$I$25&lt;0,0,参数输入表!$I$370/(360/参数输入表!$I$371)))</f>
        <v>0</v>
      </c>
      <c r="J318" s="637">
        <f>IF(参数输入表!$I$220="扩大指标估算法",0,IF(J312-参数输入表!$I$25&lt;0,0,参数输入表!$I$370/(360/参数输入表!$I$371)))</f>
        <v>0</v>
      </c>
      <c r="K318" s="637">
        <f>IF(参数输入表!$I$220="扩大指标估算法",0,IF(K312-参数输入表!$I$25&lt;0,0,参数输入表!$I$370/(360/参数输入表!$I$371)))</f>
        <v>0</v>
      </c>
      <c r="L318" s="637">
        <f>IF(参数输入表!$I$220="扩大指标估算法",0,IF(L312-参数输入表!$I$25&lt;0,0,参数输入表!$I$370/(360/参数输入表!$I$371)))</f>
        <v>0</v>
      </c>
      <c r="M318" s="637">
        <f>IF(参数输入表!$I$220="扩大指标估算法",0,IF(M312-参数输入表!$I$25&lt;0,0,参数输入表!$I$370/(360/参数输入表!$I$371)))</f>
        <v>4166.66666666667</v>
      </c>
      <c r="N318" s="637">
        <f>IF(参数输入表!$I$220="扩大指标估算法",0,IF(N312-参数输入表!$I$25&lt;0,0,参数输入表!$I$370/(360/参数输入表!$I$371)))</f>
        <v>4166.66666666667</v>
      </c>
      <c r="O318" s="637">
        <f>IF(参数输入表!$I$220="扩大指标估算法",0,IF(O312-参数输入表!$I$25&lt;0,0,参数输入表!$I$370/(360/参数输入表!$I$371)))</f>
        <v>4166.66666666667</v>
      </c>
      <c r="P318" s="637">
        <f>IF(参数输入表!$I$220="扩大指标估算法",0,IF(P312-参数输入表!$I$25&lt;0,0,参数输入表!$I$370/(360/参数输入表!$I$371)))</f>
        <v>4166.66666666667</v>
      </c>
      <c r="Q318" s="637">
        <f>IF(参数输入表!$I$220="扩大指标估算法",0,IF(Q312-参数输入表!$I$25&lt;0,0,参数输入表!$I$370/(360/参数输入表!$I$371)))</f>
        <v>4166.66666666667</v>
      </c>
      <c r="R318" s="637">
        <f>IF(参数输入表!$I$220="扩大指标估算法",0,IF(R312-参数输入表!$I$25&lt;0,0,参数输入表!$I$370/(360/参数输入表!$I$371)))</f>
        <v>4166.66666666667</v>
      </c>
      <c r="S318" s="637">
        <f>IF(参数输入表!$I$220="扩大指标估算法",0,IF(S312-参数输入表!$I$25&lt;0,0,参数输入表!$I$370/(360/参数输入表!$I$371)))</f>
        <v>4166.66666666667</v>
      </c>
      <c r="T318" s="637">
        <f>IF(参数输入表!$I$220="扩大指标估算法",0,IF(T312-参数输入表!$I$25&lt;0,0,参数输入表!$I$370/(360/参数输入表!$I$371)))</f>
        <v>4166.66666666667</v>
      </c>
      <c r="U318" s="637">
        <f>IF(参数输入表!$I$220="扩大指标估算法",0,IF(U312-参数输入表!$I$25&lt;0,0,参数输入表!$I$370/(360/参数输入表!$I$371)))</f>
        <v>4166.66666666667</v>
      </c>
      <c r="V318" s="637">
        <f>IF(参数输入表!$I$220="扩大指标估算法",0,IF(V312-参数输入表!$I$25&lt;0,0,参数输入表!$I$370/(360/参数输入表!$I$371)))</f>
        <v>4166.66666666667</v>
      </c>
      <c r="W318" s="637">
        <f>IF(参数输入表!$I$220="扩大指标估算法",0,IF(W312-参数输入表!$I$25&lt;0,0,参数输入表!$I$370/(360/参数输入表!$I$371)))</f>
        <v>4166.66666666667</v>
      </c>
      <c r="X318" s="637">
        <f>IF(参数输入表!$I$220="扩大指标估算法",0,IF(X312-参数输入表!$I$25&lt;0,0,参数输入表!$I$370/(360/参数输入表!$I$371)))</f>
        <v>4166.66666666667</v>
      </c>
      <c r="Y318" s="637">
        <f>IF(参数输入表!$I$220="扩大指标估算法",0,IF(Y312-参数输入表!$I$25&lt;0,0,参数输入表!$I$370/(360/参数输入表!$I$371)))</f>
        <v>4166.66666666667</v>
      </c>
      <c r="Z318" s="637">
        <f>IF(参数输入表!$I$220="扩大指标估算法",0,IF(Z312-参数输入表!$I$25&lt;0,0,参数输入表!$I$370/(360/参数输入表!$I$371)))</f>
        <v>4166.66666666667</v>
      </c>
      <c r="AA318" s="637">
        <f>IF(参数输入表!$I$220="扩大指标估算法",0,IF(AA312-参数输入表!$I$25&lt;0,0,参数输入表!$I$370/(360/参数输入表!$I$371)))</f>
        <v>4166.66666666667</v>
      </c>
      <c r="AB318" s="637">
        <f>IF(参数输入表!$I$220="扩大指标估算法",0,IF(AB312-参数输入表!$I$25&lt;0,0,参数输入表!$I$370/(360/参数输入表!$I$371)))</f>
        <v>4166.66666666667</v>
      </c>
      <c r="AC318" s="637">
        <f>IF(参数输入表!$I$220="扩大指标估算法",0,IF(AC312-参数输入表!$I$25&lt;0,0,参数输入表!$I$370/(360/参数输入表!$I$371)))</f>
        <v>4166.66666666667</v>
      </c>
      <c r="AD318" s="637">
        <f>IF(参数输入表!$I$220="扩大指标估算法",0,IF(AD312-参数输入表!$I$25&lt;0,0,参数输入表!$I$370/(360/参数输入表!$I$371)))</f>
        <v>4166.66666666667</v>
      </c>
      <c r="AE318" s="637">
        <f>IF(参数输入表!$I$220="扩大指标估算法",0,IF(AE312-参数输入表!$I$25&lt;0,0,参数输入表!$I$370/(360/参数输入表!$I$371)))</f>
        <v>4166.66666666667</v>
      </c>
      <c r="AF318" s="637">
        <f>IF(参数输入表!$I$220="扩大指标估算法",0,IF(AF312-参数输入表!$I$25&lt;0,0,参数输入表!$I$370/(360/参数输入表!$I$371)))</f>
        <v>4166.66666666667</v>
      </c>
      <c r="AG318" s="637">
        <f>IF(参数输入表!$I$220="扩大指标估算法",0,IF(AG312-参数输入表!$I$25&lt;0,0,参数输入表!$I$370/(360/参数输入表!$I$371)))</f>
        <v>4166.66666666667</v>
      </c>
      <c r="AH318" s="637">
        <f>IF(参数输入表!$I$220="扩大指标估算法",0,IF(AH312-参数输入表!$I$25&lt;0,0,参数输入表!$I$370/(360/参数输入表!$I$371)))</f>
        <v>4166.66666666667</v>
      </c>
      <c r="AI318" s="637">
        <f>IF(参数输入表!$I$220="扩大指标估算法",0,IF(AI312-参数输入表!$I$25&lt;0,0,参数输入表!$I$370/(360/参数输入表!$I$371)))</f>
        <v>4166.66666666667</v>
      </c>
      <c r="AJ318" s="637">
        <f>IF(参数输入表!$I$220="扩大指标估算法",0,IF(AJ312-参数输入表!$I$25&lt;0,0,参数输入表!$I$370/(360/参数输入表!$I$371)))</f>
        <v>4166.66666666667</v>
      </c>
      <c r="AK318" s="637">
        <f>IF(参数输入表!$I$220="扩大指标估算法",0,IF(AK312-参数输入表!$I$25&lt;0,0,参数输入表!$I$370/(360/参数输入表!$I$371)))</f>
        <v>4166.66666666667</v>
      </c>
      <c r="AL318" s="637">
        <f>IF(参数输入表!$I$220="扩大指标估算法",0,IF(AL312-参数输入表!$I$25&lt;0,0,参数输入表!$I$370/(360/参数输入表!$I$371)))</f>
        <v>4166.66666666667</v>
      </c>
      <c r="AM318" s="637">
        <f>IF(参数输入表!$I$220="扩大指标估算法",0,IF(AM312-参数输入表!$I$25&lt;0,0,参数输入表!$I$370/(360/参数输入表!$I$371)))</f>
        <v>4166.66666666667</v>
      </c>
      <c r="AN318" s="637">
        <f>IF(参数输入表!$I$220="扩大指标估算法",0,IF(AN312-参数输入表!$I$25&lt;0,0,参数输入表!$I$370/(360/参数输入表!$I$371)))</f>
        <v>4166.66666666667</v>
      </c>
      <c r="AO318" s="637">
        <f>IF(参数输入表!$I$220="扩大指标估算法",0,IF(AO312-参数输入表!$I$25&lt;0,0,参数输入表!$I$370/(360/参数输入表!$I$371)))</f>
        <v>4166.66666666667</v>
      </c>
      <c r="AP318" s="637">
        <f>IF(参数输入表!$I$220="扩大指标估算法",0,IF(AP312-参数输入表!$I$25&lt;0,0,参数输入表!$I$370/(360/参数输入表!$I$371)))</f>
        <v>4166.66666666667</v>
      </c>
      <c r="AQ318" s="637">
        <f>IF(参数输入表!$I$220="扩大指标估算法",0,IF(AQ312-参数输入表!$I$25&lt;0,0,参数输入表!$I$370/(360/参数输入表!$I$371)))</f>
        <v>4166.66666666667</v>
      </c>
      <c r="AR318" s="637">
        <f>IF(参数输入表!$I$220="扩大指标估算法",0,IF(AR312-参数输入表!$I$25&lt;0,0,参数输入表!$I$370/(360/参数输入表!$I$371)))</f>
        <v>4166.66666666667</v>
      </c>
      <c r="AS318" s="637">
        <f>IF(参数输入表!$I$220="扩大指标估算法",0,IF(AS312-参数输入表!$I$25&lt;0,0,参数输入表!$I$370/(360/参数输入表!$I$371)))</f>
        <v>4166.66666666667</v>
      </c>
      <c r="AT318" s="637">
        <f>IF(参数输入表!$I$220="扩大指标估算法",0,IF(AT312-参数输入表!$I$25&lt;0,0,参数输入表!$I$370/(360/参数输入表!$I$371)))</f>
        <v>4166.66666666667</v>
      </c>
      <c r="AU318" s="637">
        <f>IF(参数输入表!$I$220="扩大指标估算法",0,IF(AU312-参数输入表!$I$25&lt;0,0,参数输入表!$I$370/(360/参数输入表!$I$371)))</f>
        <v>4166.66666666667</v>
      </c>
      <c r="AV318" s="637">
        <f>IF(参数输入表!$I$220="扩大指标估算法",0,IF(AV312-参数输入表!$I$25&lt;0,0,参数输入表!$I$370/(360/参数输入表!$I$371)))</f>
        <v>4166.66666666667</v>
      </c>
      <c r="AW318" s="637">
        <f>IF(参数输入表!$I$220="扩大指标估算法",0,IF(AW312-参数输入表!$I$25&lt;0,0,参数输入表!$I$370/(360/参数输入表!$I$371)))</f>
        <v>4166.66666666667</v>
      </c>
      <c r="AX318" s="637">
        <f>IF(参数输入表!$I$220="扩大指标估算法",0,IF(AX312-参数输入表!$I$25&lt;0,0,参数输入表!$I$370/(360/参数输入表!$I$371)))</f>
        <v>4166.66666666667</v>
      </c>
      <c r="AY318" s="637">
        <f>IF(参数输入表!$I$220="扩大指标估算法",0,IF(AY312-参数输入表!$I$25&lt;0,0,参数输入表!$I$370/(360/参数输入表!$I$371)))</f>
        <v>4166.66666666667</v>
      </c>
      <c r="AZ318" s="637">
        <f>IF(参数输入表!$I$220="扩大指标估算法",0,IF(AZ312-参数输入表!$I$25&lt;0,0,参数输入表!$I$370/(360/参数输入表!$I$371)))</f>
        <v>4166.66666666667</v>
      </c>
      <c r="BA318" s="638">
        <f>IF(参数输入表!$I$220="扩大指标估算法",0,IF(BA312-参数输入表!$I$25&lt;0,0,参数输入表!$I$370/(360/参数输入表!$I$371)))</f>
        <v>4166.66666666667</v>
      </c>
    </row>
    <row r="319" spans="2:57">
      <c r="B319" s="635">
        <v>2.2</v>
      </c>
      <c r="C319" s="636" t="s">
        <v>234</v>
      </c>
      <c r="D319" s="631"/>
      <c r="E319" s="632" t="s">
        <v>130</v>
      </c>
      <c r="F319" s="637">
        <f>IF(参数输入表!$I$220="扩大指标估算法",0,IF(F312-参数输入表!$I$25&lt;0,0,参数输入表!$I$373/(360/参数输入表!$I$374)))</f>
        <v>0</v>
      </c>
      <c r="G319" s="637">
        <f>IF(参数输入表!$I$220="扩大指标估算法",0,IF(G312-参数输入表!$I$25&lt;0,0,参数输入表!$I$373/(360/参数输入表!$I$374)))</f>
        <v>0</v>
      </c>
      <c r="H319" s="637">
        <f>IF(参数输入表!$I$220="扩大指标估算法",0,IF(H312-参数输入表!$I$25&lt;0,0,参数输入表!$I$373/(360/参数输入表!$I$374)))</f>
        <v>0</v>
      </c>
      <c r="I319" s="637">
        <f>IF(参数输入表!$I$220="扩大指标估算法",0,IF(I312-参数输入表!$I$25&lt;0,0,参数输入表!$I$373/(360/参数输入表!$I$374)))</f>
        <v>0</v>
      </c>
      <c r="J319" s="637">
        <f>IF(参数输入表!$I$220="扩大指标估算法",0,IF(J312-参数输入表!$I$25&lt;0,0,参数输入表!$I$373/(360/参数输入表!$I$374)))</f>
        <v>0</v>
      </c>
      <c r="K319" s="637">
        <f>IF(参数输入表!$I$220="扩大指标估算法",0,IF(K312-参数输入表!$I$25&lt;0,0,参数输入表!$I$373/(360/参数输入表!$I$374)))</f>
        <v>0</v>
      </c>
      <c r="L319" s="637">
        <f>IF(参数输入表!$I$220="扩大指标估算法",0,IF(L312-参数输入表!$I$25&lt;0,0,参数输入表!$I$373/(360/参数输入表!$I$374)))</f>
        <v>0</v>
      </c>
      <c r="M319" s="637">
        <f>IF(参数输入表!$I$220="扩大指标估算法",0,IF(M312-参数输入表!$I$25&lt;0,0,参数输入表!$I$373/(360/参数输入表!$I$374)))</f>
        <v>0</v>
      </c>
      <c r="N319" s="637">
        <f>IF(参数输入表!$I$220="扩大指标估算法",0,IF(N312-参数输入表!$I$25&lt;0,0,参数输入表!$I$373/(360/参数输入表!$I$374)))</f>
        <v>0</v>
      </c>
      <c r="O319" s="637">
        <f>IF(参数输入表!$I$220="扩大指标估算法",0,IF(O312-参数输入表!$I$25&lt;0,0,参数输入表!$I$373/(360/参数输入表!$I$374)))</f>
        <v>0</v>
      </c>
      <c r="P319" s="637">
        <f>IF(参数输入表!$I$220="扩大指标估算法",0,IF(P312-参数输入表!$I$25&lt;0,0,参数输入表!$I$373/(360/参数输入表!$I$374)))</f>
        <v>0</v>
      </c>
      <c r="Q319" s="637">
        <f>IF(参数输入表!$I$220="扩大指标估算法",0,IF(Q312-参数输入表!$I$25&lt;0,0,参数输入表!$I$373/(360/参数输入表!$I$374)))</f>
        <v>0</v>
      </c>
      <c r="R319" s="637">
        <f>IF(参数输入表!$I$220="扩大指标估算法",0,IF(R312-参数输入表!$I$25&lt;0,0,参数输入表!$I$373/(360/参数输入表!$I$374)))</f>
        <v>0</v>
      </c>
      <c r="S319" s="637">
        <f>IF(参数输入表!$I$220="扩大指标估算法",0,IF(S312-参数输入表!$I$25&lt;0,0,参数输入表!$I$373/(360/参数输入表!$I$374)))</f>
        <v>0</v>
      </c>
      <c r="T319" s="637">
        <f>IF(参数输入表!$I$220="扩大指标估算法",0,IF(T312-参数输入表!$I$25&lt;0,0,参数输入表!$I$373/(360/参数输入表!$I$374)))</f>
        <v>0</v>
      </c>
      <c r="U319" s="637">
        <f>IF(参数输入表!$I$220="扩大指标估算法",0,IF(U312-参数输入表!$I$25&lt;0,0,参数输入表!$I$373/(360/参数输入表!$I$374)))</f>
        <v>0</v>
      </c>
      <c r="V319" s="637">
        <f>IF(参数输入表!$I$220="扩大指标估算法",0,IF(V312-参数输入表!$I$25&lt;0,0,参数输入表!$I$373/(360/参数输入表!$I$374)))</f>
        <v>0</v>
      </c>
      <c r="W319" s="637">
        <f>IF(参数输入表!$I$220="扩大指标估算法",0,IF(W312-参数输入表!$I$25&lt;0,0,参数输入表!$I$373/(360/参数输入表!$I$374)))</f>
        <v>0</v>
      </c>
      <c r="X319" s="637">
        <f>IF(参数输入表!$I$220="扩大指标估算法",0,IF(X312-参数输入表!$I$25&lt;0,0,参数输入表!$I$373/(360/参数输入表!$I$374)))</f>
        <v>0</v>
      </c>
      <c r="Y319" s="637">
        <f>IF(参数输入表!$I$220="扩大指标估算法",0,IF(Y312-参数输入表!$I$25&lt;0,0,参数输入表!$I$373/(360/参数输入表!$I$374)))</f>
        <v>0</v>
      </c>
      <c r="Z319" s="637">
        <f>IF(参数输入表!$I$220="扩大指标估算法",0,IF(Z312-参数输入表!$I$25&lt;0,0,参数输入表!$I$373/(360/参数输入表!$I$374)))</f>
        <v>0</v>
      </c>
      <c r="AA319" s="637">
        <f>IF(参数输入表!$I$220="扩大指标估算法",0,IF(AA312-参数输入表!$I$25&lt;0,0,参数输入表!$I$373/(360/参数输入表!$I$374)))</f>
        <v>0</v>
      </c>
      <c r="AB319" s="637">
        <f>IF(参数输入表!$I$220="扩大指标估算法",0,IF(AB312-参数输入表!$I$25&lt;0,0,参数输入表!$I$373/(360/参数输入表!$I$374)))</f>
        <v>0</v>
      </c>
      <c r="AC319" s="637">
        <f>IF(参数输入表!$I$220="扩大指标估算法",0,IF(AC312-参数输入表!$I$25&lt;0,0,参数输入表!$I$373/(360/参数输入表!$I$374)))</f>
        <v>0</v>
      </c>
      <c r="AD319" s="637">
        <f>IF(参数输入表!$I$220="扩大指标估算法",0,IF(AD312-参数输入表!$I$25&lt;0,0,参数输入表!$I$373/(360/参数输入表!$I$374)))</f>
        <v>0</v>
      </c>
      <c r="AE319" s="637">
        <f>IF(参数输入表!$I$220="扩大指标估算法",0,IF(AE312-参数输入表!$I$25&lt;0,0,参数输入表!$I$373/(360/参数输入表!$I$374)))</f>
        <v>0</v>
      </c>
      <c r="AF319" s="637">
        <f>IF(参数输入表!$I$220="扩大指标估算法",0,IF(AF312-参数输入表!$I$25&lt;0,0,参数输入表!$I$373/(360/参数输入表!$I$374)))</f>
        <v>0</v>
      </c>
      <c r="AG319" s="637">
        <f>IF(参数输入表!$I$220="扩大指标估算法",0,IF(AG312-参数输入表!$I$25&lt;0,0,参数输入表!$I$373/(360/参数输入表!$I$374)))</f>
        <v>0</v>
      </c>
      <c r="AH319" s="637">
        <f>IF(参数输入表!$I$220="扩大指标估算法",0,IF(AH312-参数输入表!$I$25&lt;0,0,参数输入表!$I$373/(360/参数输入表!$I$374)))</f>
        <v>0</v>
      </c>
      <c r="AI319" s="637">
        <f>IF(参数输入表!$I$220="扩大指标估算法",0,IF(AI312-参数输入表!$I$25&lt;0,0,参数输入表!$I$373/(360/参数输入表!$I$374)))</f>
        <v>0</v>
      </c>
      <c r="AJ319" s="637">
        <f>IF(参数输入表!$I$220="扩大指标估算法",0,IF(AJ312-参数输入表!$I$25&lt;0,0,参数输入表!$I$373/(360/参数输入表!$I$374)))</f>
        <v>0</v>
      </c>
      <c r="AK319" s="637">
        <f>IF(参数输入表!$I$220="扩大指标估算法",0,IF(AK312-参数输入表!$I$25&lt;0,0,参数输入表!$I$373/(360/参数输入表!$I$374)))</f>
        <v>0</v>
      </c>
      <c r="AL319" s="637">
        <f>IF(参数输入表!$I$220="扩大指标估算法",0,IF(AL312-参数输入表!$I$25&lt;0,0,参数输入表!$I$373/(360/参数输入表!$I$374)))</f>
        <v>0</v>
      </c>
      <c r="AM319" s="637">
        <f>IF(参数输入表!$I$220="扩大指标估算法",0,IF(AM312-参数输入表!$I$25&lt;0,0,参数输入表!$I$373/(360/参数输入表!$I$374)))</f>
        <v>0</v>
      </c>
      <c r="AN319" s="637">
        <f>IF(参数输入表!$I$220="扩大指标估算法",0,IF(AN312-参数输入表!$I$25&lt;0,0,参数输入表!$I$373/(360/参数输入表!$I$374)))</f>
        <v>0</v>
      </c>
      <c r="AO319" s="637">
        <f>IF(参数输入表!$I$220="扩大指标估算法",0,IF(AO312-参数输入表!$I$25&lt;0,0,参数输入表!$I$373/(360/参数输入表!$I$374)))</f>
        <v>0</v>
      </c>
      <c r="AP319" s="637">
        <f>IF(参数输入表!$I$220="扩大指标估算法",0,IF(AP312-参数输入表!$I$25&lt;0,0,参数输入表!$I$373/(360/参数输入表!$I$374)))</f>
        <v>0</v>
      </c>
      <c r="AQ319" s="637">
        <f>IF(参数输入表!$I$220="扩大指标估算法",0,IF(AQ312-参数输入表!$I$25&lt;0,0,参数输入表!$I$373/(360/参数输入表!$I$374)))</f>
        <v>0</v>
      </c>
      <c r="AR319" s="637">
        <f>IF(参数输入表!$I$220="扩大指标估算法",0,IF(AR312-参数输入表!$I$25&lt;0,0,参数输入表!$I$373/(360/参数输入表!$I$374)))</f>
        <v>0</v>
      </c>
      <c r="AS319" s="637">
        <f>IF(参数输入表!$I$220="扩大指标估算法",0,IF(AS312-参数输入表!$I$25&lt;0,0,参数输入表!$I$373/(360/参数输入表!$I$374)))</f>
        <v>0</v>
      </c>
      <c r="AT319" s="637">
        <f>IF(参数输入表!$I$220="扩大指标估算法",0,IF(AT312-参数输入表!$I$25&lt;0,0,参数输入表!$I$373/(360/参数输入表!$I$374)))</f>
        <v>0</v>
      </c>
      <c r="AU319" s="637">
        <f>IF(参数输入表!$I$220="扩大指标估算法",0,IF(AU312-参数输入表!$I$25&lt;0,0,参数输入表!$I$373/(360/参数输入表!$I$374)))</f>
        <v>0</v>
      </c>
      <c r="AV319" s="637">
        <f>IF(参数输入表!$I$220="扩大指标估算法",0,IF(AV312-参数输入表!$I$25&lt;0,0,参数输入表!$I$373/(360/参数输入表!$I$374)))</f>
        <v>0</v>
      </c>
      <c r="AW319" s="637">
        <f>IF(参数输入表!$I$220="扩大指标估算法",0,IF(AW312-参数输入表!$I$25&lt;0,0,参数输入表!$I$373/(360/参数输入表!$I$374)))</f>
        <v>0</v>
      </c>
      <c r="AX319" s="637">
        <f>IF(参数输入表!$I$220="扩大指标估算法",0,IF(AX312-参数输入表!$I$25&lt;0,0,参数输入表!$I$373/(360/参数输入表!$I$374)))</f>
        <v>0</v>
      </c>
      <c r="AY319" s="637">
        <f>IF(参数输入表!$I$220="扩大指标估算法",0,IF(AY312-参数输入表!$I$25&lt;0,0,参数输入表!$I$373/(360/参数输入表!$I$374)))</f>
        <v>0</v>
      </c>
      <c r="AZ319" s="637">
        <f>IF(参数输入表!$I$220="扩大指标估算法",0,IF(AZ312-参数输入表!$I$25&lt;0,0,参数输入表!$I$373/(360/参数输入表!$I$374)))</f>
        <v>0</v>
      </c>
      <c r="BA319" s="638">
        <f>IF(参数输入表!$I$220="扩大指标估算法",0,IF(BA312-参数输入表!$I$25&lt;0,0,参数输入表!$I$373/(360/参数输入表!$I$374)))</f>
        <v>0</v>
      </c>
    </row>
    <row r="320" spans="2:57">
      <c r="B320" s="629" t="s">
        <v>680</v>
      </c>
      <c r="C320" s="630" t="s">
        <v>681</v>
      </c>
      <c r="D320" s="631"/>
      <c r="E320" s="632" t="s">
        <v>130</v>
      </c>
      <c r="F320" s="633">
        <f t="shared" ref="F320:O320" si="408">F313-F317</f>
        <v>0</v>
      </c>
      <c r="G320" s="633">
        <f t="shared" si="408"/>
        <v>0</v>
      </c>
      <c r="H320" s="633">
        <f t="shared" si="408"/>
        <v>0</v>
      </c>
      <c r="I320" s="633">
        <f t="shared" si="408"/>
        <v>0</v>
      </c>
      <c r="J320" s="633">
        <f t="shared" si="408"/>
        <v>0</v>
      </c>
      <c r="K320" s="633">
        <f t="shared" si="408"/>
        <v>0</v>
      </c>
      <c r="L320" s="633">
        <f t="shared" si="408"/>
        <v>0</v>
      </c>
      <c r="M320" s="633">
        <f t="shared" si="408"/>
        <v>6436.08669065986</v>
      </c>
      <c r="N320" s="633">
        <f t="shared" si="408"/>
        <v>6436.08669065986</v>
      </c>
      <c r="O320" s="633">
        <f t="shared" si="408"/>
        <v>6436.08669065986</v>
      </c>
      <c r="P320" s="633">
        <f t="shared" ref="P320:BA320" si="409">P313-P317</f>
        <v>6436.08669065986</v>
      </c>
      <c r="Q320" s="633">
        <f t="shared" si="409"/>
        <v>6436.08669065986</v>
      </c>
      <c r="R320" s="633">
        <f t="shared" si="409"/>
        <v>6436.08669065986</v>
      </c>
      <c r="S320" s="633">
        <f t="shared" si="409"/>
        <v>6436.08669065986</v>
      </c>
      <c r="T320" s="633">
        <f t="shared" si="409"/>
        <v>6436.08669065986</v>
      </c>
      <c r="U320" s="633">
        <f t="shared" si="409"/>
        <v>6436.08669065986</v>
      </c>
      <c r="V320" s="633">
        <f t="shared" si="409"/>
        <v>6436.08669065986</v>
      </c>
      <c r="W320" s="633">
        <f t="shared" si="409"/>
        <v>6436.08669065986</v>
      </c>
      <c r="X320" s="633">
        <f t="shared" si="409"/>
        <v>6436.08669065986</v>
      </c>
      <c r="Y320" s="633">
        <f t="shared" si="409"/>
        <v>6436.08669065986</v>
      </c>
      <c r="Z320" s="633">
        <f t="shared" si="409"/>
        <v>6436.08669065986</v>
      </c>
      <c r="AA320" s="633">
        <f t="shared" si="409"/>
        <v>6436.08669065986</v>
      </c>
      <c r="AB320" s="633">
        <f t="shared" si="409"/>
        <v>6436.08669065986</v>
      </c>
      <c r="AC320" s="633">
        <f t="shared" si="409"/>
        <v>6436.08669065986</v>
      </c>
      <c r="AD320" s="633">
        <f t="shared" si="409"/>
        <v>6436.08669065986</v>
      </c>
      <c r="AE320" s="633">
        <f t="shared" si="409"/>
        <v>6436.08669065986</v>
      </c>
      <c r="AF320" s="633">
        <f t="shared" si="409"/>
        <v>6436.08669065986</v>
      </c>
      <c r="AG320" s="633">
        <f t="shared" si="409"/>
        <v>6436.08669065986</v>
      </c>
      <c r="AH320" s="633">
        <f t="shared" si="409"/>
        <v>6436.08669065986</v>
      </c>
      <c r="AI320" s="633">
        <f t="shared" si="409"/>
        <v>6436.08669065986</v>
      </c>
      <c r="AJ320" s="633">
        <f t="shared" si="409"/>
        <v>6436.08669065986</v>
      </c>
      <c r="AK320" s="633">
        <f t="shared" si="409"/>
        <v>6436.08669065986</v>
      </c>
      <c r="AL320" s="633">
        <f t="shared" si="409"/>
        <v>6436.08669065986</v>
      </c>
      <c r="AM320" s="633">
        <f t="shared" si="409"/>
        <v>6436.08669065986</v>
      </c>
      <c r="AN320" s="633">
        <f t="shared" si="409"/>
        <v>6436.08669065986</v>
      </c>
      <c r="AO320" s="633">
        <f t="shared" si="409"/>
        <v>6436.08669065986</v>
      </c>
      <c r="AP320" s="633">
        <f t="shared" si="409"/>
        <v>6436.08669065986</v>
      </c>
      <c r="AQ320" s="633">
        <f t="shared" si="409"/>
        <v>6436.08669065986</v>
      </c>
      <c r="AR320" s="633">
        <f t="shared" si="409"/>
        <v>6436.08669065986</v>
      </c>
      <c r="AS320" s="633">
        <f t="shared" si="409"/>
        <v>6436.08669065986</v>
      </c>
      <c r="AT320" s="633">
        <f t="shared" si="409"/>
        <v>6436.08669065986</v>
      </c>
      <c r="AU320" s="633">
        <f t="shared" si="409"/>
        <v>6436.08669065986</v>
      </c>
      <c r="AV320" s="633">
        <f t="shared" si="409"/>
        <v>6436.08669065986</v>
      </c>
      <c r="AW320" s="633">
        <f t="shared" si="409"/>
        <v>6436.08669065986</v>
      </c>
      <c r="AX320" s="633">
        <f t="shared" si="409"/>
        <v>6436.08669065986</v>
      </c>
      <c r="AY320" s="633">
        <f t="shared" si="409"/>
        <v>6436.08669065986</v>
      </c>
      <c r="AZ320" s="633">
        <f t="shared" si="409"/>
        <v>6436.08669065986</v>
      </c>
      <c r="BA320" s="634">
        <f t="shared" si="409"/>
        <v>6436.08669065986</v>
      </c>
    </row>
    <row r="321" ht="17.25" spans="2:53">
      <c r="B321" s="639" t="s">
        <v>682</v>
      </c>
      <c r="C321" s="640" t="s">
        <v>683</v>
      </c>
      <c r="D321" s="250"/>
      <c r="E321" s="251" t="s">
        <v>130</v>
      </c>
      <c r="F321" s="641">
        <f>F320</f>
        <v>0</v>
      </c>
      <c r="G321" s="641">
        <f t="shared" ref="G321:P321" si="410">G320-F320</f>
        <v>0</v>
      </c>
      <c r="H321" s="641">
        <f t="shared" si="410"/>
        <v>0</v>
      </c>
      <c r="I321" s="641">
        <f t="shared" si="410"/>
        <v>0</v>
      </c>
      <c r="J321" s="641">
        <f t="shared" si="410"/>
        <v>0</v>
      </c>
      <c r="K321" s="641">
        <f t="shared" si="410"/>
        <v>0</v>
      </c>
      <c r="L321" s="641">
        <f t="shared" si="410"/>
        <v>0</v>
      </c>
      <c r="M321" s="641">
        <f t="shared" si="410"/>
        <v>6436.08669065986</v>
      </c>
      <c r="N321" s="641">
        <f t="shared" si="410"/>
        <v>0</v>
      </c>
      <c r="O321" s="641">
        <f t="shared" si="410"/>
        <v>0</v>
      </c>
      <c r="P321" s="641">
        <f t="shared" si="410"/>
        <v>0</v>
      </c>
      <c r="Q321" s="641">
        <f t="shared" ref="Q321" si="411">Q320-P320</f>
        <v>0</v>
      </c>
      <c r="R321" s="641">
        <f t="shared" ref="R321" si="412">R320-Q320</f>
        <v>0</v>
      </c>
      <c r="S321" s="641">
        <f t="shared" ref="S321" si="413">S320-R320</f>
        <v>0</v>
      </c>
      <c r="T321" s="641">
        <f t="shared" ref="T321:U321" si="414">T320-S320</f>
        <v>0</v>
      </c>
      <c r="U321" s="641">
        <f t="shared" si="414"/>
        <v>0</v>
      </c>
      <c r="V321" s="641">
        <f t="shared" ref="V321" si="415">V320-U320</f>
        <v>0</v>
      </c>
      <c r="W321" s="641">
        <f t="shared" ref="W321" si="416">W320-V320</f>
        <v>0</v>
      </c>
      <c r="X321" s="641">
        <f t="shared" ref="X321" si="417">X320-W320</f>
        <v>0</v>
      </c>
      <c r="Y321" s="641">
        <f t="shared" ref="Y321" si="418">Y320-X320</f>
        <v>0</v>
      </c>
      <c r="Z321" s="641">
        <f t="shared" ref="Z321" si="419">Z320-Y320</f>
        <v>0</v>
      </c>
      <c r="AA321" s="641">
        <f t="shared" ref="AA321:AB321" si="420">AA320-Z320</f>
        <v>0</v>
      </c>
      <c r="AB321" s="641">
        <f t="shared" si="420"/>
        <v>0</v>
      </c>
      <c r="AC321" s="641">
        <f t="shared" ref="AC321" si="421">AC320-AB320</f>
        <v>0</v>
      </c>
      <c r="AD321" s="641">
        <f t="shared" ref="AD321" si="422">AD320-AC320</f>
        <v>0</v>
      </c>
      <c r="AE321" s="641">
        <f t="shared" ref="AE321" si="423">AE320-AD320</f>
        <v>0</v>
      </c>
      <c r="AF321" s="641">
        <f t="shared" ref="AF321" si="424">AF320-AE320</f>
        <v>0</v>
      </c>
      <c r="AG321" s="641">
        <f t="shared" ref="AG321" si="425">AG320-AF320</f>
        <v>0</v>
      </c>
      <c r="AH321" s="641">
        <f t="shared" ref="AH321:AI321" si="426">AH320-AG320</f>
        <v>0</v>
      </c>
      <c r="AI321" s="641">
        <f t="shared" si="426"/>
        <v>0</v>
      </c>
      <c r="AJ321" s="641">
        <f t="shared" ref="AJ321" si="427">AJ320-AI320</f>
        <v>0</v>
      </c>
      <c r="AK321" s="641">
        <f t="shared" ref="AK321" si="428">AK320-AJ320</f>
        <v>0</v>
      </c>
      <c r="AL321" s="641">
        <f t="shared" ref="AL321" si="429">AL320-AK320</f>
        <v>0</v>
      </c>
      <c r="AM321" s="641">
        <f t="shared" ref="AM321" si="430">AM320-AL320</f>
        <v>0</v>
      </c>
      <c r="AN321" s="641">
        <f t="shared" ref="AN321" si="431">AN320-AM320</f>
        <v>0</v>
      </c>
      <c r="AO321" s="641">
        <f t="shared" ref="AO321:AP321" si="432">AO320-AN320</f>
        <v>0</v>
      </c>
      <c r="AP321" s="641">
        <f t="shared" si="432"/>
        <v>0</v>
      </c>
      <c r="AQ321" s="641">
        <f t="shared" ref="AQ321" si="433">AQ320-AP320</f>
        <v>0</v>
      </c>
      <c r="AR321" s="641">
        <f t="shared" ref="AR321" si="434">AR320-AQ320</f>
        <v>0</v>
      </c>
      <c r="AS321" s="641">
        <f t="shared" ref="AS321" si="435">AS320-AR320</f>
        <v>0</v>
      </c>
      <c r="AT321" s="641">
        <f t="shared" ref="AT321" si="436">AT320-AS320</f>
        <v>0</v>
      </c>
      <c r="AU321" s="641">
        <f t="shared" ref="AU321" si="437">AU320-AT320</f>
        <v>0</v>
      </c>
      <c r="AV321" s="641">
        <f t="shared" ref="AV321:AW321" si="438">AV320-AU320</f>
        <v>0</v>
      </c>
      <c r="AW321" s="641">
        <f t="shared" si="438"/>
        <v>0</v>
      </c>
      <c r="AX321" s="641">
        <f t="shared" ref="AX321" si="439">AX320-AW320</f>
        <v>0</v>
      </c>
      <c r="AY321" s="641">
        <f t="shared" ref="AY321" si="440">AY320-AX320</f>
        <v>0</v>
      </c>
      <c r="AZ321" s="641">
        <f t="shared" ref="AZ321" si="441">AZ320-AY320</f>
        <v>0</v>
      </c>
      <c r="BA321" s="642">
        <f t="shared" ref="BA321" si="442">BA320-AZ320</f>
        <v>0</v>
      </c>
    </row>
  </sheetData>
  <mergeCells count="104">
    <mergeCell ref="D57:E57"/>
    <mergeCell ref="D58:E58"/>
    <mergeCell ref="D59:E59"/>
    <mergeCell ref="D86:E86"/>
    <mergeCell ref="D87:E87"/>
    <mergeCell ref="D88:E88"/>
    <mergeCell ref="D115:E115"/>
    <mergeCell ref="D116:E116"/>
    <mergeCell ref="D117:E117"/>
    <mergeCell ref="D144:E144"/>
    <mergeCell ref="D145:E145"/>
    <mergeCell ref="D146:E146"/>
    <mergeCell ref="E189:G189"/>
    <mergeCell ref="E190:G190"/>
    <mergeCell ref="E191:G191"/>
    <mergeCell ref="E204:G204"/>
    <mergeCell ref="E205:G205"/>
    <mergeCell ref="E206:G206"/>
    <mergeCell ref="E219:G219"/>
    <mergeCell ref="E220:G220"/>
    <mergeCell ref="E221:G221"/>
    <mergeCell ref="E234:G234"/>
    <mergeCell ref="E235:G235"/>
    <mergeCell ref="E236:G236"/>
    <mergeCell ref="B3:B4"/>
    <mergeCell ref="B46:B73"/>
    <mergeCell ref="B75:B102"/>
    <mergeCell ref="B104:B131"/>
    <mergeCell ref="B133:B160"/>
    <mergeCell ref="B163:B164"/>
    <mergeCell ref="B173:B174"/>
    <mergeCell ref="B183:B248"/>
    <mergeCell ref="B251:B252"/>
    <mergeCell ref="B261:B262"/>
    <mergeCell ref="B271:B272"/>
    <mergeCell ref="B281:B282"/>
    <mergeCell ref="B291:B292"/>
    <mergeCell ref="B301:B302"/>
    <mergeCell ref="B311:B312"/>
    <mergeCell ref="C3:C4"/>
    <mergeCell ref="C47:C48"/>
    <mergeCell ref="C57:C61"/>
    <mergeCell ref="C62:C67"/>
    <mergeCell ref="C68:C73"/>
    <mergeCell ref="C76:C77"/>
    <mergeCell ref="C86:C90"/>
    <mergeCell ref="C91:C96"/>
    <mergeCell ref="C97:C102"/>
    <mergeCell ref="C105:C106"/>
    <mergeCell ref="C115:C119"/>
    <mergeCell ref="C120:C125"/>
    <mergeCell ref="C126:C131"/>
    <mergeCell ref="C134:C135"/>
    <mergeCell ref="C144:C148"/>
    <mergeCell ref="C149:C154"/>
    <mergeCell ref="C155:C160"/>
    <mergeCell ref="C163:C164"/>
    <mergeCell ref="C173:C174"/>
    <mergeCell ref="C183:C248"/>
    <mergeCell ref="C251:C252"/>
    <mergeCell ref="C261:C262"/>
    <mergeCell ref="C271:C272"/>
    <mergeCell ref="C281:C282"/>
    <mergeCell ref="C291:C292"/>
    <mergeCell ref="C301:C302"/>
    <mergeCell ref="C311:C312"/>
    <mergeCell ref="D3:D4"/>
    <mergeCell ref="D60:D61"/>
    <mergeCell ref="D89:D90"/>
    <mergeCell ref="D118:D119"/>
    <mergeCell ref="D147:D148"/>
    <mergeCell ref="D163:D164"/>
    <mergeCell ref="D173:D174"/>
    <mergeCell ref="D189:D203"/>
    <mergeCell ref="D204:D218"/>
    <mergeCell ref="D219:D233"/>
    <mergeCell ref="D234:D248"/>
    <mergeCell ref="D251:D252"/>
    <mergeCell ref="D261:D262"/>
    <mergeCell ref="D271:D272"/>
    <mergeCell ref="D281:D282"/>
    <mergeCell ref="D291:D292"/>
    <mergeCell ref="D301:D302"/>
    <mergeCell ref="D311:D312"/>
    <mergeCell ref="E3:E4"/>
    <mergeCell ref="E163:E164"/>
    <mergeCell ref="E173:E174"/>
    <mergeCell ref="E192:E197"/>
    <mergeCell ref="E198:E203"/>
    <mergeCell ref="E207:E212"/>
    <mergeCell ref="E213:E218"/>
    <mergeCell ref="E222:E227"/>
    <mergeCell ref="E228:E233"/>
    <mergeCell ref="E237:E242"/>
    <mergeCell ref="E243:E248"/>
    <mergeCell ref="E251:E252"/>
    <mergeCell ref="E261:E262"/>
    <mergeCell ref="E271:E272"/>
    <mergeCell ref="E281:E282"/>
    <mergeCell ref="E291:E292"/>
    <mergeCell ref="E301:E302"/>
    <mergeCell ref="E311:E312"/>
    <mergeCell ref="F186:F187"/>
    <mergeCell ref="D183:E188"/>
  </mergeCells>
  <conditionalFormatting sqref="P5">
    <cfRule type="cellIs" dxfId="0" priority="1" operator="equal">
      <formula>0</formula>
    </cfRule>
  </conditionalFormatting>
  <conditionalFormatting sqref="Q5:BE5">
    <cfRule type="cellIs" dxfId="0" priority="57" operator="equal">
      <formula>0</formula>
    </cfRule>
  </conditionalFormatting>
  <conditionalFormatting sqref="S6:Y6">
    <cfRule type="cellIs" dxfId="0" priority="59" operator="equal">
      <formula>0</formula>
    </cfRule>
  </conditionalFormatting>
  <conditionalFormatting sqref="Z6:BE6">
    <cfRule type="cellIs" dxfId="0" priority="58" operator="equal">
      <formula>0</formula>
    </cfRule>
  </conditionalFormatting>
  <conditionalFormatting sqref="E36">
    <cfRule type="cellIs" dxfId="0" priority="60" operator="equal">
      <formula>0</formula>
    </cfRule>
  </conditionalFormatting>
  <conditionalFormatting sqref="B46">
    <cfRule type="cellIs" dxfId="0" priority="45" operator="equal">
      <formula>0</formula>
    </cfRule>
  </conditionalFormatting>
  <conditionalFormatting sqref="B75">
    <cfRule type="cellIs" dxfId="0" priority="37" operator="equal">
      <formula>0</formula>
    </cfRule>
  </conditionalFormatting>
  <conditionalFormatting sqref="E77">
    <cfRule type="cellIs" dxfId="0" priority="31" operator="equal">
      <formula>0</formula>
    </cfRule>
  </conditionalFormatting>
  <conditionalFormatting sqref="C82">
    <cfRule type="cellIs" dxfId="0" priority="25" operator="equal">
      <formula>0</formula>
    </cfRule>
  </conditionalFormatting>
  <conditionalFormatting sqref="E82">
    <cfRule type="cellIs" dxfId="0" priority="24" operator="equal">
      <formula>0</formula>
    </cfRule>
  </conditionalFormatting>
  <conditionalFormatting sqref="B104">
    <cfRule type="cellIs" dxfId="0" priority="35" operator="equal">
      <formula>0</formula>
    </cfRule>
  </conditionalFormatting>
  <conditionalFormatting sqref="E106">
    <cfRule type="cellIs" dxfId="0" priority="30" operator="equal">
      <formula>0</formula>
    </cfRule>
  </conditionalFormatting>
  <conditionalFormatting sqref="C111">
    <cfRule type="cellIs" dxfId="0" priority="23" operator="equal">
      <formula>0</formula>
    </cfRule>
  </conditionalFormatting>
  <conditionalFormatting sqref="E111">
    <cfRule type="cellIs" dxfId="0" priority="22" operator="equal">
      <formula>0</formula>
    </cfRule>
  </conditionalFormatting>
  <conditionalFormatting sqref="B133">
    <cfRule type="cellIs" dxfId="0" priority="33" operator="equal">
      <formula>0</formula>
    </cfRule>
  </conditionalFormatting>
  <conditionalFormatting sqref="E135">
    <cfRule type="cellIs" dxfId="0" priority="29" operator="equal">
      <formula>0</formula>
    </cfRule>
  </conditionalFormatting>
  <conditionalFormatting sqref="C140">
    <cfRule type="cellIs" dxfId="0" priority="21" operator="equal">
      <formula>0</formula>
    </cfRule>
  </conditionalFormatting>
  <conditionalFormatting sqref="E140">
    <cfRule type="cellIs" dxfId="0" priority="20" operator="equal">
      <formula>0</formula>
    </cfRule>
  </conditionalFormatting>
  <conditionalFormatting sqref="F144:T144">
    <cfRule type="cellIs" dxfId="0" priority="3" operator="equal">
      <formula>0</formula>
    </cfRule>
  </conditionalFormatting>
  <conditionalFormatting sqref="J186">
    <cfRule type="cellIs" dxfId="0" priority="11" operator="equal">
      <formula>0</formula>
    </cfRule>
  </conditionalFormatting>
  <conditionalFormatting sqref="H189:CY189">
    <cfRule type="cellIs" dxfId="0" priority="16" operator="equal">
      <formula>0</formula>
    </cfRule>
  </conditionalFormatting>
  <conditionalFormatting sqref="H204:AM204">
    <cfRule type="cellIs" dxfId="0" priority="10" operator="equal">
      <formula>0</formula>
    </cfRule>
  </conditionalFormatting>
  <conditionalFormatting sqref="H219:W219">
    <cfRule type="cellIs" dxfId="0" priority="9" operator="equal">
      <formula>0</formula>
    </cfRule>
  </conditionalFormatting>
  <conditionalFormatting sqref="H234:O234">
    <cfRule type="cellIs" dxfId="0" priority="8" operator="equal">
      <formula>0</formula>
    </cfRule>
  </conditionalFormatting>
  <conditionalFormatting sqref="C80:C81">
    <cfRule type="cellIs" dxfId="0" priority="47" operator="equal">
      <formula>0</formula>
    </cfRule>
  </conditionalFormatting>
  <conditionalFormatting sqref="C84:C85">
    <cfRule type="cellIs" dxfId="0" priority="32" operator="equal">
      <formula>0</formula>
    </cfRule>
  </conditionalFormatting>
  <conditionalFormatting sqref="C109:C110">
    <cfRule type="cellIs" dxfId="0" priority="44" operator="equal">
      <formula>0</formula>
    </cfRule>
  </conditionalFormatting>
  <conditionalFormatting sqref="C113:C114">
    <cfRule type="cellIs" dxfId="0" priority="28" operator="equal">
      <formula>0</formula>
    </cfRule>
  </conditionalFormatting>
  <conditionalFormatting sqref="C138:C139">
    <cfRule type="cellIs" dxfId="0" priority="42" operator="equal">
      <formula>0</formula>
    </cfRule>
  </conditionalFormatting>
  <conditionalFormatting sqref="C142:C143">
    <cfRule type="cellIs" dxfId="0" priority="27" operator="equal">
      <formula>0</formula>
    </cfRule>
  </conditionalFormatting>
  <conditionalFormatting sqref="E80:E81">
    <cfRule type="cellIs" dxfId="0" priority="46" operator="equal">
      <formula>0</formula>
    </cfRule>
  </conditionalFormatting>
  <conditionalFormatting sqref="E91:E92">
    <cfRule type="cellIs" dxfId="0" priority="38" operator="equal">
      <formula>0</formula>
    </cfRule>
  </conditionalFormatting>
  <conditionalFormatting sqref="E109:E110">
    <cfRule type="cellIs" dxfId="0" priority="43" operator="equal">
      <formula>0</formula>
    </cfRule>
  </conditionalFormatting>
  <conditionalFormatting sqref="E120:E121">
    <cfRule type="cellIs" dxfId="0" priority="36" operator="equal">
      <formula>0</formula>
    </cfRule>
  </conditionalFormatting>
  <conditionalFormatting sqref="E138:E139">
    <cfRule type="cellIs" dxfId="0" priority="41" operator="equal">
      <formula>0</formula>
    </cfRule>
  </conditionalFormatting>
  <conditionalFormatting sqref="E149:E150">
    <cfRule type="cellIs" dxfId="0" priority="34" operator="equal">
      <formula>0</formula>
    </cfRule>
  </conditionalFormatting>
  <conditionalFormatting sqref="F5:F6">
    <cfRule type="cellIs" dxfId="0" priority="61" operator="equal">
      <formula>0</formula>
    </cfRule>
  </conditionalFormatting>
  <conditionalFormatting sqref="J184:J185">
    <cfRule type="cellIs" dxfId="0" priority="12" operator="equal">
      <formula>0</formula>
    </cfRule>
  </conditionalFormatting>
  <conditionalFormatting sqref="E3 E10:E35 B10:C35 E37:E44 B37:C45 C46:C47 C49:C57 B103:C103 B132:C132">
    <cfRule type="cellIs" dxfId="0" priority="64" operator="equal">
      <formula>0</formula>
    </cfRule>
  </conditionalFormatting>
  <conditionalFormatting sqref="C5:D6 B3:D3 P6:R6 B7:C9 G5:O6 B36:C36 S45:W47 U48:W48 S49:W56 S75:W85 S103:W114 S132:W143 U160:W160 U144:W146">
    <cfRule type="cellIs" dxfId="0" priority="66" operator="equal">
      <formula>0</formula>
    </cfRule>
  </conditionalFormatting>
  <conditionalFormatting sqref="E7:E9 E45:F45 F46 E47:E48 F49 E50:F53 F54:F56 F57:BM57 E60:E63 E74 F104:F114 E103:F103 E132:F132 F133:F143">
    <cfRule type="cellIs" dxfId="0" priority="63" operator="equal">
      <formula>0</formula>
    </cfRule>
  </conditionalFormatting>
  <conditionalFormatting sqref="C75:C76 C78:C79 C86 C83">
    <cfRule type="cellIs" dxfId="0" priority="56" operator="equal">
      <formula>0</formula>
    </cfRule>
  </conditionalFormatting>
  <conditionalFormatting sqref="E76 E79 E89:E90">
    <cfRule type="cellIs" dxfId="0" priority="55" operator="equal">
      <formula>0</formula>
    </cfRule>
  </conditionalFormatting>
  <conditionalFormatting sqref="F86 H86 J86 L86 N86 P86 R86 T86 V86 X86 Z86 AB86 AD86 AF86 AH86">
    <cfRule type="cellIs" dxfId="0" priority="7" operator="equal">
      <formula>0</formula>
    </cfRule>
  </conditionalFormatting>
  <conditionalFormatting sqref="G86 I86 K86 M86 O86 Q86 S86 U86 W86 Y86 AA86 AC86 AE86 AG86 AI86">
    <cfRule type="cellIs" dxfId="0" priority="6" operator="equal">
      <formula>0</formula>
    </cfRule>
  </conditionalFormatting>
  <conditionalFormatting sqref="C104:C105 C107:C108 C115 C112">
    <cfRule type="cellIs" dxfId="0" priority="54" operator="equal">
      <formula>0</formula>
    </cfRule>
  </conditionalFormatting>
  <conditionalFormatting sqref="E105 E108 E118:E119">
    <cfRule type="cellIs" dxfId="0" priority="53" operator="equal">
      <formula>0</formula>
    </cfRule>
  </conditionalFormatting>
  <conditionalFormatting sqref="F115 H115 J115 L115 N115 P115 R115 T115 V115 X115 Z115 AB115 AD115 AF115 AH115 AJ115 AL115 AN115 AP115 AR115 AT115 AV115 AX115 AZ115 BB115 BD115 BF115 BH115 BJ115 BL115 BN115 BP115 BR115 BT115 BV115 BX115 BZ115 CB115 CD115 CF115 CH115 CJ115 CL115 CN115 CP115 CR115 CT115 CV115 CX115 CZ115 DB115 DD115 DF115 DH115 DJ115 DL115 DN115 DP115 DR115 DT115 DV115 DX115 DZ115 EB115 ED115 EF115 EH115 EJ115 EL115 EN115 EP115 ER115 ET115 EV115 EX115 EZ115 FB115 FD115 FF115 FH115 FJ115 FL115 FN115 FP115 FR115 FT115 FV115 FX115 FZ115 GB115">
    <cfRule type="cellIs" dxfId="0" priority="5" operator="equal">
      <formula>0</formula>
    </cfRule>
  </conditionalFormatting>
  <conditionalFormatting sqref="G115 I115 K115 M115 O115 Q115 S115 U115 W115 Y115 AA115 AC115 AE115 AG115 AI115 AK115 AM115 AO115 AQ115 AS115 AU115 AW115 AY115 BA115 BC115 BE115 BG115 BI115 BK115 BM115 BO115 BQ115 BS115 BU115 BW115 BY115 CA115 CC115 CE115 CG115 CI115 CK115 CM115 CO115 CQ115 CS115 CU115 CW115 CY115 DA115 DC115 DE115 DG115 DI115 DK115 DM115 DO115 DQ115 DS115 DU115 DW115 DY115 EA115 EC115 EE115 EG115 EI115 EK115 EM115 EO115 EQ115 ES115 EU115 EW115 EY115 FA115 FC115 FE115 FG115 FI115 FK115 FM115 FO115 FQ115 FS115 FU115 FW115 FY115 GA115 GC115">
    <cfRule type="cellIs" dxfId="0" priority="4" operator="equal">
      <formula>0</formula>
    </cfRule>
  </conditionalFormatting>
  <conditionalFormatting sqref="C133:C134 C136:C137 C141 C144">
    <cfRule type="cellIs" dxfId="0" priority="50" operator="equal">
      <formula>0</formula>
    </cfRule>
  </conditionalFormatting>
  <conditionalFormatting sqref="E134 E137 E147:E148">
    <cfRule type="cellIs" dxfId="0" priority="49" operator="equal">
      <formula>0</formula>
    </cfRule>
  </conditionalFormatting>
  <conditionalFormatting sqref="J183 J187">
    <cfRule type="cellIs" dxfId="0" priority="13" operator="equal">
      <formula>0</formula>
    </cfRule>
  </conditionalFormatting>
  <dataValidations count="2">
    <dataValidation type="list" allowBlank="1" showInputMessage="1" showErrorMessage="1" sqref="G186">
      <formula1>参数输入表!$D$1065:$D$1066</formula1>
    </dataValidation>
    <dataValidation type="list" allowBlank="1" showInputMessage="1" showErrorMessage="1" sqref="G187">
      <formula1>参数输入表!$D$1069:$D$1072</formula1>
    </dataValidation>
  </dataValidations>
  <pageMargins left="0.7" right="0.7" top="0.75" bottom="0.75" header="0.3" footer="0.3"/>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5" tint="-0.25"/>
    <pageSetUpPr autoPageBreaks="0"/>
  </sheetPr>
  <dimension ref="A1:BA304"/>
  <sheetViews>
    <sheetView showGridLines="0" zoomScale="85" zoomScaleNormal="85" topLeftCell="A23" workbookViewId="0">
      <pane xSplit="4" ySplit="4" topLeftCell="E27" activePane="bottomRight" state="frozen"/>
      <selection/>
      <selection pane="topRight"/>
      <selection pane="bottomLeft"/>
      <selection pane="bottomRight" activeCell="D39" sqref="D39"/>
    </sheetView>
  </sheetViews>
  <sheetFormatPr defaultColWidth="8.78181818181818" defaultRowHeight="16.5"/>
  <cols>
    <col min="1" max="1" width="2.33636363636364" style="106" customWidth="1"/>
    <col min="2" max="2" width="6.10909090909091" style="106" customWidth="1"/>
    <col min="3" max="3" width="34.8909090909091" style="106" customWidth="1"/>
    <col min="4" max="4" width="16" style="106" customWidth="1"/>
    <col min="5" max="5" width="7.44545454545455" style="310" customWidth="1"/>
    <col min="6" max="6" width="11.1090909090909" style="106" customWidth="1"/>
    <col min="7" max="7" width="12.2181818181818" style="106" customWidth="1"/>
    <col min="8" max="9" width="11.5545454545455" style="106" customWidth="1"/>
    <col min="10" max="12" width="11.9090909090909" style="106" customWidth="1"/>
    <col min="13" max="40" width="13.5454545454545" style="106" customWidth="1"/>
    <col min="41" max="53" width="12.0909090909091" style="106" customWidth="1"/>
    <col min="54" max="16384" width="8.78181818181818" style="106"/>
  </cols>
  <sheetData>
    <row r="1" ht="17.25" hidden="1" spans="3:6">
      <c r="C1" s="107" t="s">
        <v>684</v>
      </c>
    </row>
    <row r="2" hidden="1" spans="3:6">
      <c r="C2" s="311" t="s">
        <v>685</v>
      </c>
      <c r="D2" s="312">
        <f ca="1">参数输入表!I217</f>
        <v>966945.684224656</v>
      </c>
      <c r="E2" s="313"/>
      <c r="F2" s="314"/>
    </row>
    <row r="3" hidden="1" spans="3:6">
      <c r="C3" s="315" t="s">
        <v>167</v>
      </c>
      <c r="D3" s="316">
        <f>参数输入表!I221</f>
        <v>67754.50497608</v>
      </c>
      <c r="E3" s="313"/>
    </row>
    <row r="4" hidden="1" spans="3:6">
      <c r="C4" s="315" t="s">
        <v>307</v>
      </c>
      <c r="D4" s="317">
        <f ca="1">D2-D15-D3</f>
        <v>819191.179248576</v>
      </c>
      <c r="E4" s="313"/>
      <c r="F4" s="314" t="s">
        <v>686</v>
      </c>
    </row>
    <row r="5" hidden="1" spans="3:6">
      <c r="C5" s="315" t="s">
        <v>687</v>
      </c>
      <c r="D5" s="316" t="s">
        <v>329</v>
      </c>
      <c r="E5" s="313"/>
      <c r="F5" s="314" t="s">
        <v>688</v>
      </c>
    </row>
    <row r="6" hidden="1" spans="3:6">
      <c r="C6" s="315" t="s">
        <v>689</v>
      </c>
      <c r="D6" s="318">
        <f>参数输入表!I622</f>
        <v>29</v>
      </c>
      <c r="E6" s="313"/>
    </row>
    <row r="7" ht="17.25" hidden="1" spans="3:6">
      <c r="C7" s="319" t="s">
        <v>690</v>
      </c>
      <c r="D7" s="320">
        <f>参数输入表!I623</f>
        <v>0.05</v>
      </c>
      <c r="E7" s="321"/>
    </row>
    <row r="8" hidden="1" spans="3:6">
      <c r="C8" s="311" t="s">
        <v>691</v>
      </c>
      <c r="D8" s="322">
        <f>参数输入表!I650/(1+参数输入表!I692)</f>
        <v>458.715596330275</v>
      </c>
      <c r="E8" s="321"/>
      <c r="F8" s="106" t="s">
        <v>692</v>
      </c>
    </row>
    <row r="9" hidden="1" spans="3:6">
      <c r="C9" s="323" t="s">
        <v>693</v>
      </c>
      <c r="D9" s="324">
        <f>参数输入表!I655/(1+参数输入表!I692)</f>
        <v>458.715596330275</v>
      </c>
      <c r="E9" s="321"/>
    </row>
    <row r="10" hidden="1" spans="3:6">
      <c r="C10" s="323" t="s">
        <v>694</v>
      </c>
      <c r="D10" s="324">
        <f>参数输入表!I660/(1+参数输入表!I692)</f>
        <v>458.715596330275</v>
      </c>
      <c r="E10" s="321"/>
    </row>
    <row r="11" hidden="1" spans="3:6">
      <c r="C11" s="323" t="s">
        <v>695</v>
      </c>
      <c r="D11" s="324">
        <f>参数输入表!I665/(1+参数输入表!I692)</f>
        <v>458.715596330275</v>
      </c>
      <c r="E11" s="321"/>
    </row>
    <row r="12" hidden="1" spans="3:6">
      <c r="C12" s="323" t="s">
        <v>696</v>
      </c>
      <c r="D12" s="324">
        <f>参数输入表!I670/(1+参数输入表!I692)</f>
        <v>458.715596330275</v>
      </c>
      <c r="E12" s="321"/>
    </row>
    <row r="13" hidden="1" spans="3:6">
      <c r="C13" s="315" t="s">
        <v>697</v>
      </c>
      <c r="D13" s="325" t="s">
        <v>329</v>
      </c>
      <c r="E13" s="321"/>
    </row>
    <row r="14" ht="17.25" hidden="1" spans="3:6">
      <c r="C14" s="319" t="s">
        <v>330</v>
      </c>
      <c r="D14" s="318">
        <f>参数输入表!I691</f>
        <v>5</v>
      </c>
      <c r="E14" s="321"/>
    </row>
    <row r="15" hidden="1" spans="3:6">
      <c r="C15" s="311" t="s">
        <v>321</v>
      </c>
      <c r="D15" s="312">
        <f>参数输入表!I636</f>
        <v>80000</v>
      </c>
      <c r="E15" s="326"/>
    </row>
    <row r="16" hidden="1" spans="3:6">
      <c r="C16" s="315" t="s">
        <v>697</v>
      </c>
      <c r="D16" s="316" t="s">
        <v>329</v>
      </c>
      <c r="E16" s="313"/>
    </row>
    <row r="17" hidden="1" spans="2:53">
      <c r="C17" s="315" t="s">
        <v>330</v>
      </c>
      <c r="D17" s="318">
        <f>参数输入表!I638</f>
        <v>18</v>
      </c>
      <c r="E17" s="313"/>
      <c r="H17" s="327"/>
    </row>
    <row r="18" ht="17.25" hidden="1" spans="2:53">
      <c r="C18" s="328" t="s">
        <v>690</v>
      </c>
      <c r="D18" s="329">
        <f>参数输入表!I639</f>
        <v>0.05</v>
      </c>
      <c r="E18" s="321"/>
    </row>
    <row r="19" hidden="1" spans="2:53">
      <c r="C19" s="311" t="s">
        <v>698</v>
      </c>
      <c r="D19" s="312">
        <f>参数输入表!I712/(1+参数输入表!$I$745)</f>
        <v>0</v>
      </c>
      <c r="E19" s="321"/>
      <c r="J19" s="330"/>
    </row>
    <row r="20" hidden="1" spans="2:53">
      <c r="C20" s="315" t="s">
        <v>697</v>
      </c>
      <c r="D20" s="325" t="s">
        <v>329</v>
      </c>
      <c r="E20" s="321"/>
    </row>
    <row r="21" ht="17.25" hidden="1" spans="2:53">
      <c r="C21" s="319" t="s">
        <v>330</v>
      </c>
      <c r="D21" s="331">
        <f>参数输入表!I744</f>
        <v>10</v>
      </c>
      <c r="E21" s="321"/>
      <c r="G21" s="330"/>
    </row>
    <row r="22" hidden="1" spans="2:53">
      <c r="C22" s="332"/>
      <c r="D22" s="333"/>
      <c r="E22" s="321"/>
    </row>
    <row r="23" spans="2:53">
      <c r="D23" s="334" t="s">
        <v>699</v>
      </c>
      <c r="E23" s="335" t="str">
        <f ca="1">IF((参数输入表!$I$217-参数输入表!$I$221)-(D40+D51+D114)&gt;=0,"OK","F")</f>
        <v>OK</v>
      </c>
      <c r="G23" s="336"/>
      <c r="H23" s="337"/>
      <c r="J23" s="338"/>
      <c r="K23" s="338"/>
      <c r="L23" s="338"/>
      <c r="M23" s="338"/>
      <c r="N23" s="336"/>
      <c r="O23" s="338"/>
      <c r="P23" s="337"/>
      <c r="Q23" s="337"/>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row>
    <row r="24" ht="17.25" spans="2:53">
      <c r="B24" s="107" t="s">
        <v>700</v>
      </c>
      <c r="D24" s="339"/>
      <c r="E24" s="340"/>
      <c r="F24" s="341"/>
      <c r="G24" s="341"/>
      <c r="H24" s="341"/>
      <c r="I24" s="341"/>
      <c r="J24" s="341"/>
      <c r="K24" s="341"/>
      <c r="L24" s="341"/>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1"/>
      <c r="AS24" s="341"/>
      <c r="AT24" s="341"/>
      <c r="AU24" s="341"/>
      <c r="AV24" s="341"/>
      <c r="AW24" s="341"/>
      <c r="AX24" s="341"/>
      <c r="AY24" s="341"/>
      <c r="AZ24" s="341"/>
      <c r="BA24" s="341"/>
    </row>
    <row r="25" ht="19.8" customHeight="1" spans="2:53">
      <c r="B25" s="342" t="s">
        <v>2</v>
      </c>
      <c r="C25" s="343" t="s">
        <v>490</v>
      </c>
      <c r="D25" s="343" t="s">
        <v>491</v>
      </c>
      <c r="E25" s="343" t="s">
        <v>9</v>
      </c>
      <c r="F25" s="11">
        <v>2023</v>
      </c>
      <c r="G25" s="11">
        <v>2024</v>
      </c>
      <c r="H25" s="11">
        <v>2025</v>
      </c>
      <c r="I25" s="11">
        <v>2026</v>
      </c>
      <c r="J25" s="11">
        <v>2027</v>
      </c>
      <c r="K25" s="11">
        <v>2028</v>
      </c>
      <c r="L25" s="12">
        <v>2029</v>
      </c>
      <c r="M25" s="12">
        <v>2030</v>
      </c>
      <c r="N25" s="13">
        <v>2031</v>
      </c>
      <c r="O25" s="13">
        <v>2032</v>
      </c>
      <c r="P25" s="13">
        <v>2033</v>
      </c>
      <c r="Q25" s="13">
        <v>2034</v>
      </c>
      <c r="R25" s="13">
        <v>2035</v>
      </c>
      <c r="S25" s="13">
        <v>2036</v>
      </c>
      <c r="T25" s="13">
        <v>2037</v>
      </c>
      <c r="U25" s="13">
        <v>2038</v>
      </c>
      <c r="V25" s="13">
        <v>2039</v>
      </c>
      <c r="W25" s="13">
        <v>2040</v>
      </c>
      <c r="X25" s="13">
        <v>2041</v>
      </c>
      <c r="Y25" s="13">
        <v>2042</v>
      </c>
      <c r="Z25" s="13">
        <v>2043</v>
      </c>
      <c r="AA25" s="13">
        <v>2044</v>
      </c>
      <c r="AB25" s="13">
        <v>2045</v>
      </c>
      <c r="AC25" s="13">
        <v>2046</v>
      </c>
      <c r="AD25" s="13">
        <v>2047</v>
      </c>
      <c r="AE25" s="13">
        <v>2048</v>
      </c>
      <c r="AF25" s="13">
        <v>2049</v>
      </c>
      <c r="AG25" s="13">
        <v>2050</v>
      </c>
      <c r="AH25" s="13">
        <v>2051</v>
      </c>
      <c r="AI25" s="13">
        <v>2052</v>
      </c>
      <c r="AJ25" s="13">
        <v>2053</v>
      </c>
      <c r="AK25" s="13">
        <v>2054</v>
      </c>
      <c r="AL25" s="13">
        <v>2055</v>
      </c>
      <c r="AM25" s="13">
        <v>2056</v>
      </c>
      <c r="AN25" s="13">
        <v>2057</v>
      </c>
      <c r="AO25" s="13">
        <v>2058</v>
      </c>
      <c r="AP25" s="13">
        <v>2059</v>
      </c>
      <c r="AQ25" s="13">
        <v>2060</v>
      </c>
      <c r="AR25" s="13">
        <v>2061</v>
      </c>
      <c r="AS25" s="13">
        <v>2062</v>
      </c>
      <c r="AT25" s="13">
        <v>2063</v>
      </c>
      <c r="AU25" s="13">
        <v>2064</v>
      </c>
      <c r="AV25" s="13">
        <v>2065</v>
      </c>
      <c r="AW25" s="13">
        <v>2066</v>
      </c>
      <c r="AX25" s="13">
        <v>2067</v>
      </c>
      <c r="AY25" s="13">
        <v>2068</v>
      </c>
      <c r="AZ25" s="13">
        <v>2069</v>
      </c>
      <c r="BA25" s="14">
        <v>2070</v>
      </c>
    </row>
    <row r="26" ht="19.8" customHeight="1" spans="2:53">
      <c r="B26" s="344"/>
      <c r="C26" s="345"/>
      <c r="D26" s="345"/>
      <c r="E26" s="345"/>
      <c r="F26" s="346">
        <v>1</v>
      </c>
      <c r="G26" s="346">
        <v>2</v>
      </c>
      <c r="H26" s="346">
        <v>3</v>
      </c>
      <c r="I26" s="346">
        <v>4</v>
      </c>
      <c r="J26" s="346">
        <v>5</v>
      </c>
      <c r="K26" s="346">
        <v>6</v>
      </c>
      <c r="L26" s="347">
        <v>7</v>
      </c>
      <c r="M26" s="347">
        <v>8</v>
      </c>
      <c r="N26" s="348">
        <v>9</v>
      </c>
      <c r="O26" s="348">
        <v>10</v>
      </c>
      <c r="P26" s="348">
        <v>11</v>
      </c>
      <c r="Q26" s="348">
        <v>12</v>
      </c>
      <c r="R26" s="348">
        <v>13</v>
      </c>
      <c r="S26" s="348">
        <v>14</v>
      </c>
      <c r="T26" s="348">
        <v>15</v>
      </c>
      <c r="U26" s="348">
        <v>16</v>
      </c>
      <c r="V26" s="348">
        <v>17</v>
      </c>
      <c r="W26" s="348">
        <v>18</v>
      </c>
      <c r="X26" s="348">
        <v>19</v>
      </c>
      <c r="Y26" s="348">
        <v>20</v>
      </c>
      <c r="Z26" s="348">
        <v>21</v>
      </c>
      <c r="AA26" s="348">
        <v>22</v>
      </c>
      <c r="AB26" s="348">
        <v>23</v>
      </c>
      <c r="AC26" s="348">
        <v>24</v>
      </c>
      <c r="AD26" s="348">
        <v>25</v>
      </c>
      <c r="AE26" s="348">
        <v>26</v>
      </c>
      <c r="AF26" s="348">
        <v>27</v>
      </c>
      <c r="AG26" s="348">
        <v>28</v>
      </c>
      <c r="AH26" s="348">
        <v>29</v>
      </c>
      <c r="AI26" s="348">
        <v>30</v>
      </c>
      <c r="AJ26" s="348">
        <v>31</v>
      </c>
      <c r="AK26" s="348">
        <v>32</v>
      </c>
      <c r="AL26" s="348">
        <v>33</v>
      </c>
      <c r="AM26" s="348">
        <v>34</v>
      </c>
      <c r="AN26" s="348">
        <v>35</v>
      </c>
      <c r="AO26" s="348">
        <v>36</v>
      </c>
      <c r="AP26" s="348">
        <v>37</v>
      </c>
      <c r="AQ26" s="348">
        <v>38</v>
      </c>
      <c r="AR26" s="348">
        <v>39</v>
      </c>
      <c r="AS26" s="348">
        <v>40</v>
      </c>
      <c r="AT26" s="348">
        <v>41</v>
      </c>
      <c r="AU26" s="348">
        <v>42</v>
      </c>
      <c r="AV26" s="348">
        <v>43</v>
      </c>
      <c r="AW26" s="348">
        <v>44</v>
      </c>
      <c r="AX26" s="348">
        <v>45</v>
      </c>
      <c r="AY26" s="348">
        <v>46</v>
      </c>
      <c r="AZ26" s="348">
        <v>47</v>
      </c>
      <c r="BA26" s="349">
        <v>48</v>
      </c>
    </row>
    <row r="27" s="105" customFormat="1" ht="17.25" spans="2:53">
      <c r="B27" s="350"/>
      <c r="C27" s="351" t="s">
        <v>701</v>
      </c>
      <c r="D27" s="352"/>
      <c r="E27" s="352" t="s">
        <v>31</v>
      </c>
      <c r="F27" s="353">
        <f>SUMIF('投产&amp;达产比例'!$T$11:$T$58,F25,'投产&amp;达产比例'!$U$11:$U$58)</f>
        <v>0</v>
      </c>
      <c r="G27" s="353">
        <f>SUMIF('投产&amp;达产比例'!$T$11:$T$58,G25,'投产&amp;达产比例'!$U$11:$U$58)</f>
        <v>0</v>
      </c>
      <c r="H27" s="353">
        <f>SUMIF('投产&amp;达产比例'!$T$11:$T$58,H25,'投产&amp;达产比例'!$U$11:$U$58)</f>
        <v>0</v>
      </c>
      <c r="I27" s="353">
        <f>SUMIF('投产&amp;达产比例'!$T$11:$T$58,I25,'投产&amp;达产比例'!$U$11:$U$58)</f>
        <v>0</v>
      </c>
      <c r="J27" s="353">
        <f>SUMIF('投产&amp;达产比例'!$T$11:$T$58,J25,'投产&amp;达产比例'!$U$11:$U$58)</f>
        <v>0</v>
      </c>
      <c r="K27" s="353">
        <f>SUMIF('投产&amp;达产比例'!$T$11:$T$58,K25,'投产&amp;达产比例'!$U$11:$U$58)</f>
        <v>0</v>
      </c>
      <c r="L27" s="353">
        <f>SUMIF('投产&amp;达产比例'!$T$11:$T$58,L25,'投产&amp;达产比例'!$U$11:$U$58)</f>
        <v>0</v>
      </c>
      <c r="M27" s="353">
        <f>SUMIF('投产&amp;达产比例'!$T$11:$T$58,M25,'投产&amp;达产比例'!$U$11:$U$58)</f>
        <v>1</v>
      </c>
      <c r="N27" s="353">
        <f>SUMIF('投产&amp;达产比例'!$T$11:$T$58,N25,'投产&amp;达产比例'!$U$11:$U$58)</f>
        <v>1</v>
      </c>
      <c r="O27" s="353">
        <f>SUMIF('投产&amp;达产比例'!$T$11:$T$58,O25,'投产&amp;达产比例'!$U$11:$U$58)</f>
        <v>1</v>
      </c>
      <c r="P27" s="353">
        <f>SUMIF('投产&amp;达产比例'!$T$11:$T$58,P25,'投产&amp;达产比例'!$U$11:$U$58)</f>
        <v>1</v>
      </c>
      <c r="Q27" s="353">
        <f>SUMIF('投产&amp;达产比例'!$T$11:$T$58,Q25,'投产&amp;达产比例'!$U$11:$U$58)</f>
        <v>1</v>
      </c>
      <c r="R27" s="353">
        <f>SUMIF('投产&amp;达产比例'!$T$11:$T$58,R25,'投产&amp;达产比例'!$U$11:$U$58)</f>
        <v>1</v>
      </c>
      <c r="S27" s="353">
        <f>SUMIF('投产&amp;达产比例'!$T$11:$T$58,S25,'投产&amp;达产比例'!$U$11:$U$58)</f>
        <v>1</v>
      </c>
      <c r="T27" s="353">
        <f>SUMIF('投产&amp;达产比例'!$T$11:$T$58,T25,'投产&amp;达产比例'!$U$11:$U$58)</f>
        <v>1</v>
      </c>
      <c r="U27" s="353">
        <f>SUMIF('投产&amp;达产比例'!$T$11:$T$58,U25,'投产&amp;达产比例'!$U$11:$U$58)</f>
        <v>1</v>
      </c>
      <c r="V27" s="353">
        <f>SUMIF('投产&amp;达产比例'!$T$11:$T$58,V25,'投产&amp;达产比例'!$U$11:$U$58)</f>
        <v>1</v>
      </c>
      <c r="W27" s="353">
        <f>SUMIF('投产&amp;达产比例'!$T$11:$T$58,W25,'投产&amp;达产比例'!$U$11:$U$58)</f>
        <v>1</v>
      </c>
      <c r="X27" s="353">
        <f>SUMIF('投产&amp;达产比例'!$T$11:$T$58,X25,'投产&amp;达产比例'!$U$11:$U$58)</f>
        <v>1</v>
      </c>
      <c r="Y27" s="353">
        <f>SUMIF('投产&amp;达产比例'!$T$11:$T$58,Y25,'投产&amp;达产比例'!$U$11:$U$58)</f>
        <v>1</v>
      </c>
      <c r="Z27" s="353">
        <f>SUMIF('投产&amp;达产比例'!$T$11:$T$58,Z25,'投产&amp;达产比例'!$U$11:$U$58)</f>
        <v>1</v>
      </c>
      <c r="AA27" s="353">
        <f>SUMIF('投产&amp;达产比例'!$T$11:$T$58,AA25,'投产&amp;达产比例'!$U$11:$U$58)</f>
        <v>1</v>
      </c>
      <c r="AB27" s="353">
        <f>SUMIF('投产&amp;达产比例'!$T$11:$T$58,AB25,'投产&amp;达产比例'!$U$11:$U$58)</f>
        <v>1</v>
      </c>
      <c r="AC27" s="353">
        <f>SUMIF('投产&amp;达产比例'!$T$11:$T$58,AC25,'投产&amp;达产比例'!$U$11:$U$58)</f>
        <v>1</v>
      </c>
      <c r="AD27" s="353">
        <f>SUMIF('投产&amp;达产比例'!$T$11:$T$58,AD25,'投产&amp;达产比例'!$U$11:$U$58)</f>
        <v>1</v>
      </c>
      <c r="AE27" s="353">
        <f>SUMIF('投产&amp;达产比例'!$T$11:$T$58,AE25,'投产&amp;达产比例'!$U$11:$U$58)</f>
        <v>1</v>
      </c>
      <c r="AF27" s="353">
        <f>SUMIF('投产&amp;达产比例'!$T$11:$T$58,AF25,'投产&amp;达产比例'!$U$11:$U$58)</f>
        <v>1</v>
      </c>
      <c r="AG27" s="353">
        <f>SUMIF('投产&amp;达产比例'!$T$11:$T$58,AG25,'投产&amp;达产比例'!$U$11:$U$58)</f>
        <v>1</v>
      </c>
      <c r="AH27" s="353">
        <f>SUMIF('投产&amp;达产比例'!$T$11:$T$58,AH25,'投产&amp;达产比例'!$U$11:$U$58)</f>
        <v>1</v>
      </c>
      <c r="AI27" s="353">
        <f>SUMIF('投产&amp;达产比例'!$T$11:$T$58,AI25,'投产&amp;达产比例'!$U$11:$U$58)</f>
        <v>1</v>
      </c>
      <c r="AJ27" s="353">
        <f>SUMIF('投产&amp;达产比例'!$T$11:$T$58,AJ25,'投产&amp;达产比例'!$U$11:$U$58)</f>
        <v>1</v>
      </c>
      <c r="AK27" s="353">
        <f>SUMIF('投产&amp;达产比例'!$T$11:$T$58,AK25,'投产&amp;达产比例'!$U$11:$U$58)</f>
        <v>1</v>
      </c>
      <c r="AL27" s="353">
        <f>SUMIF('投产&amp;达产比例'!$T$11:$T$58,AL25,'投产&amp;达产比例'!$U$11:$U$58)</f>
        <v>1</v>
      </c>
      <c r="AM27" s="353">
        <f>SUMIF('投产&amp;达产比例'!$T$11:$T$58,AM25,'投产&amp;达产比例'!$U$11:$U$58)</f>
        <v>1</v>
      </c>
      <c r="AN27" s="353">
        <f>SUMIF('投产&amp;达产比例'!$T$11:$T$58,AN25,'投产&amp;达产比例'!$U$11:$U$58)</f>
        <v>1</v>
      </c>
      <c r="AO27" s="353">
        <f>SUMIF('投产&amp;达产比例'!$T$11:$T$58,AO25,'投产&amp;达产比例'!$U$11:$U$58)</f>
        <v>1</v>
      </c>
      <c r="AP27" s="353">
        <f>SUMIF('投产&amp;达产比例'!$T$11:$T$58,AP25,'投产&amp;达产比例'!$U$11:$U$58)</f>
        <v>1</v>
      </c>
      <c r="AQ27" s="353">
        <f>SUMIF('投产&amp;达产比例'!$T$11:$T$58,AQ25,'投产&amp;达产比例'!$U$11:$U$58)</f>
        <v>1</v>
      </c>
      <c r="AR27" s="353">
        <f>SUMIF('投产&amp;达产比例'!$T$11:$T$58,AR25,'投产&amp;达产比例'!$U$11:$U$58)</f>
        <v>1</v>
      </c>
      <c r="AS27" s="353">
        <f>SUMIF('投产&amp;达产比例'!$T$11:$T$58,AS25,'投产&amp;达产比例'!$U$11:$U$58)</f>
        <v>1</v>
      </c>
      <c r="AT27" s="353">
        <f>SUMIF('投产&amp;达产比例'!$T$11:$T$58,AT25,'投产&amp;达产比例'!$U$11:$U$58)</f>
        <v>1</v>
      </c>
      <c r="AU27" s="353">
        <f>SUMIF('投产&amp;达产比例'!$T$11:$T$58,AU25,'投产&amp;达产比例'!$U$11:$U$58)</f>
        <v>1</v>
      </c>
      <c r="AV27" s="353">
        <f>SUMIF('投产&amp;达产比例'!$T$11:$T$58,AV25,'投产&amp;达产比例'!$U$11:$U$58)</f>
        <v>1</v>
      </c>
      <c r="AW27" s="353">
        <f>SUMIF('投产&amp;达产比例'!$T$11:$T$58,AW25,'投产&amp;达产比例'!$U$11:$U$58)</f>
        <v>1</v>
      </c>
      <c r="AX27" s="353">
        <f>SUMIF('投产&amp;达产比例'!$T$11:$T$58,AX25,'投产&amp;达产比例'!$U$11:$U$58)</f>
        <v>1</v>
      </c>
      <c r="AY27" s="353">
        <f>SUMIF('投产&amp;达产比例'!$T$11:$T$58,AY25,'投产&amp;达产比例'!$U$11:$U$58)</f>
        <v>1</v>
      </c>
      <c r="AZ27" s="353">
        <f>SUMIF('投产&amp;达产比例'!$T$11:$T$58,AZ25,'投产&amp;达产比例'!$U$11:$U$58)</f>
        <v>1</v>
      </c>
      <c r="BA27" s="354">
        <f>SUMIF('投产&amp;达产比例'!$T$11:$T$58,BA25,'投产&amp;达产比例'!$U$11:$U$58)</f>
        <v>1</v>
      </c>
    </row>
    <row r="28" s="105" customFormat="1" spans="2:53">
      <c r="B28" s="355">
        <v>1.1</v>
      </c>
      <c r="C28" s="356" t="s">
        <v>702</v>
      </c>
      <c r="D28" s="357"/>
      <c r="E28" s="358" t="s">
        <v>130</v>
      </c>
      <c r="F28" s="357">
        <f ca="1">(参数输入表!$I$217-参数输入表!$I$221-参数输入表!$I$625-参数输入表!$I$630-参数输入表!$I$636)*F27</f>
        <v>0</v>
      </c>
      <c r="G28" s="357">
        <f ca="1">(参数输入表!$I$217-参数输入表!$I$221-参数输入表!$I$625-参数输入表!$I$630-参数输入表!$I$636)*G27</f>
        <v>0</v>
      </c>
      <c r="H28" s="357">
        <f ca="1">(参数输入表!$I$217-参数输入表!$I$221-参数输入表!$I$625-参数输入表!$I$630-参数输入表!$I$636)*H27</f>
        <v>0</v>
      </c>
      <c r="I28" s="357">
        <f ca="1">(参数输入表!$I$217-参数输入表!$I$221-参数输入表!$I$625-参数输入表!$I$630-参数输入表!$I$636)*I27</f>
        <v>0</v>
      </c>
      <c r="J28" s="357">
        <f ca="1">(参数输入表!$I$217-参数输入表!$I$221-参数输入表!$I$625-参数输入表!$I$630-参数输入表!$I$636)*J27</f>
        <v>0</v>
      </c>
      <c r="K28" s="357">
        <f ca="1">(参数输入表!$I$217-参数输入表!$I$221-参数输入表!$I$625-参数输入表!$I$630-参数输入表!$I$636)*K27</f>
        <v>0</v>
      </c>
      <c r="L28" s="357">
        <f ca="1">(参数输入表!$I$217-参数输入表!$I$221-参数输入表!$I$625-参数输入表!$I$630-参数输入表!$I$636)*L27</f>
        <v>0</v>
      </c>
      <c r="M28" s="357">
        <f ca="1">(参数输入表!$I$217-参数输入表!$I$221-参数输入表!$I$625-参数输入表!$I$630-参数输入表!$I$636)*M27</f>
        <v>799991.179248576</v>
      </c>
      <c r="N28" s="357">
        <f ca="1">(参数输入表!$I$217-参数输入表!$I$221-参数输入表!$I$625-参数输入表!$I$630-参数输入表!$I$636)*N27</f>
        <v>799991.179248576</v>
      </c>
      <c r="O28" s="357">
        <f ca="1">(参数输入表!$I$217-参数输入表!$I$221-参数输入表!$I$625-参数输入表!$I$630-参数输入表!$I$636)*O27</f>
        <v>799991.179248576</v>
      </c>
      <c r="P28" s="357">
        <f ca="1">(参数输入表!$I$217-参数输入表!$I$221-参数输入表!$I$625-参数输入表!$I$630-参数输入表!$I$636)*P27</f>
        <v>799991.179248576</v>
      </c>
      <c r="Q28" s="357">
        <f ca="1">(参数输入表!$I$217-参数输入表!$I$221-参数输入表!$I$625-参数输入表!$I$630-参数输入表!$I$636)*Q27</f>
        <v>799991.179248576</v>
      </c>
      <c r="R28" s="357">
        <f ca="1">(参数输入表!$I$217-参数输入表!$I$221-参数输入表!$I$625-参数输入表!$I$630-参数输入表!$I$636)*R27</f>
        <v>799991.179248576</v>
      </c>
      <c r="S28" s="357">
        <f ca="1">(参数输入表!$I$217-参数输入表!$I$221-参数输入表!$I$625-参数输入表!$I$630-参数输入表!$I$636)*S27</f>
        <v>799991.179248576</v>
      </c>
      <c r="T28" s="357">
        <f ca="1">(参数输入表!$I$217-参数输入表!$I$221-参数输入表!$I$625-参数输入表!$I$630-参数输入表!$I$636)*T27</f>
        <v>799991.179248576</v>
      </c>
      <c r="U28" s="357">
        <f ca="1">(参数输入表!$I$217-参数输入表!$I$221-参数输入表!$I$625-参数输入表!$I$630-参数输入表!$I$636)*U27</f>
        <v>799991.179248576</v>
      </c>
      <c r="V28" s="357">
        <f ca="1">(参数输入表!$I$217-参数输入表!$I$221-参数输入表!$I$625-参数输入表!$I$630-参数输入表!$I$636)*V27</f>
        <v>799991.179248576</v>
      </c>
      <c r="W28" s="357">
        <f ca="1">(参数输入表!$I$217-参数输入表!$I$221-参数输入表!$I$625-参数输入表!$I$630-参数输入表!$I$636)*W27</f>
        <v>799991.179248576</v>
      </c>
      <c r="X28" s="357">
        <f ca="1">(参数输入表!$I$217-参数输入表!$I$221-参数输入表!$I$625-参数输入表!$I$630-参数输入表!$I$636)*X27</f>
        <v>799991.179248576</v>
      </c>
      <c r="Y28" s="357">
        <f ca="1">(参数输入表!$I$217-参数输入表!$I$221-参数输入表!$I$625-参数输入表!$I$630-参数输入表!$I$636)*Y27</f>
        <v>799991.179248576</v>
      </c>
      <c r="Z28" s="357">
        <f ca="1">(参数输入表!$I$217-参数输入表!$I$221-参数输入表!$I$625-参数输入表!$I$630-参数输入表!$I$636)*Z27</f>
        <v>799991.179248576</v>
      </c>
      <c r="AA28" s="357">
        <f ca="1">(参数输入表!$I$217-参数输入表!$I$221-参数输入表!$I$625-参数输入表!$I$630-参数输入表!$I$636)*AA27</f>
        <v>799991.179248576</v>
      </c>
      <c r="AB28" s="357">
        <f ca="1">(参数输入表!$I$217-参数输入表!$I$221-参数输入表!$I$625-参数输入表!$I$630-参数输入表!$I$636)*AB27</f>
        <v>799991.179248576</v>
      </c>
      <c r="AC28" s="357">
        <f ca="1">(参数输入表!$I$217-参数输入表!$I$221-参数输入表!$I$625-参数输入表!$I$630-参数输入表!$I$636)*AC27</f>
        <v>799991.179248576</v>
      </c>
      <c r="AD28" s="357">
        <f ca="1">(参数输入表!$I$217-参数输入表!$I$221-参数输入表!$I$625-参数输入表!$I$630-参数输入表!$I$636)*AD27</f>
        <v>799991.179248576</v>
      </c>
      <c r="AE28" s="357">
        <f ca="1">(参数输入表!$I$217-参数输入表!$I$221-参数输入表!$I$625-参数输入表!$I$630-参数输入表!$I$636)*AE27</f>
        <v>799991.179248576</v>
      </c>
      <c r="AF28" s="357">
        <f ca="1">(参数输入表!$I$217-参数输入表!$I$221-参数输入表!$I$625-参数输入表!$I$630-参数输入表!$I$636)*AF27</f>
        <v>799991.179248576</v>
      </c>
      <c r="AG28" s="357">
        <f ca="1">(参数输入表!$I$217-参数输入表!$I$221-参数输入表!$I$625-参数输入表!$I$630-参数输入表!$I$636)*AG27</f>
        <v>799991.179248576</v>
      </c>
      <c r="AH28" s="357">
        <f ca="1">(参数输入表!$I$217-参数输入表!$I$221-参数输入表!$I$625-参数输入表!$I$630-参数输入表!$I$636)*AH27</f>
        <v>799991.179248576</v>
      </c>
      <c r="AI28" s="357">
        <f ca="1">(参数输入表!$I$217-参数输入表!$I$221-参数输入表!$I$625-参数输入表!$I$630-参数输入表!$I$636)*AI27</f>
        <v>799991.179248576</v>
      </c>
      <c r="AJ28" s="357">
        <f ca="1">(参数输入表!$I$217-参数输入表!$I$221-参数输入表!$I$625-参数输入表!$I$630-参数输入表!$I$636)*AJ27</f>
        <v>799991.179248576</v>
      </c>
      <c r="AK28" s="357">
        <f ca="1">(参数输入表!$I$217-参数输入表!$I$221-参数输入表!$I$625-参数输入表!$I$630-参数输入表!$I$636)*AK27</f>
        <v>799991.179248576</v>
      </c>
      <c r="AL28" s="357">
        <f ca="1">(参数输入表!$I$217-参数输入表!$I$221-参数输入表!$I$625-参数输入表!$I$630-参数输入表!$I$636)*AL27</f>
        <v>799991.179248576</v>
      </c>
      <c r="AM28" s="357">
        <f ca="1">(参数输入表!$I$217-参数输入表!$I$221-参数输入表!$I$625-参数输入表!$I$630-参数输入表!$I$636)*AM27</f>
        <v>799991.179248576</v>
      </c>
      <c r="AN28" s="357">
        <f ca="1">(参数输入表!$I$217-参数输入表!$I$221-参数输入表!$I$625-参数输入表!$I$630-参数输入表!$I$636)*AN27</f>
        <v>799991.179248576</v>
      </c>
      <c r="AO28" s="357">
        <f ca="1">(参数输入表!$I$217-参数输入表!$I$221-参数输入表!$I$625-参数输入表!$I$630-参数输入表!$I$636)*AO27</f>
        <v>799991.179248576</v>
      </c>
      <c r="AP28" s="357">
        <f ca="1">(参数输入表!$I$217-参数输入表!$I$221-参数输入表!$I$625-参数输入表!$I$630-参数输入表!$I$636)*AP27</f>
        <v>799991.179248576</v>
      </c>
      <c r="AQ28" s="357">
        <f ca="1">(参数输入表!$I$217-参数输入表!$I$221-参数输入表!$I$625-参数输入表!$I$630-参数输入表!$I$636)*AQ27</f>
        <v>799991.179248576</v>
      </c>
      <c r="AR28" s="357">
        <f ca="1">(参数输入表!$I$217-参数输入表!$I$221-参数输入表!$I$625-参数输入表!$I$630-参数输入表!$I$636)*AR27</f>
        <v>799991.179248576</v>
      </c>
      <c r="AS28" s="357">
        <f ca="1">(参数输入表!$I$217-参数输入表!$I$221-参数输入表!$I$625-参数输入表!$I$630-参数输入表!$I$636)*AS27</f>
        <v>799991.179248576</v>
      </c>
      <c r="AT28" s="357">
        <f ca="1">(参数输入表!$I$217-参数输入表!$I$221-参数输入表!$I$625-参数输入表!$I$630-参数输入表!$I$636)*AT27</f>
        <v>799991.179248576</v>
      </c>
      <c r="AU28" s="357">
        <f ca="1">(参数输入表!$I$217-参数输入表!$I$221-参数输入表!$I$625-参数输入表!$I$630-参数输入表!$I$636)*AU27</f>
        <v>799991.179248576</v>
      </c>
      <c r="AV28" s="357">
        <f ca="1">(参数输入表!$I$217-参数输入表!$I$221-参数输入表!$I$625-参数输入表!$I$630-参数输入表!$I$636)*AV27</f>
        <v>799991.179248576</v>
      </c>
      <c r="AW28" s="357">
        <f ca="1">(参数输入表!$I$217-参数输入表!$I$221-参数输入表!$I$625-参数输入表!$I$630-参数输入表!$I$636)*AW27</f>
        <v>799991.179248576</v>
      </c>
      <c r="AX28" s="357">
        <f ca="1">(参数输入表!$I$217-参数输入表!$I$221-参数输入表!$I$625-参数输入表!$I$630-参数输入表!$I$636)*AX27</f>
        <v>799991.179248576</v>
      </c>
      <c r="AY28" s="357">
        <f ca="1">(参数输入表!$I$217-参数输入表!$I$221-参数输入表!$I$625-参数输入表!$I$630-参数输入表!$I$636)*AY27</f>
        <v>799991.179248576</v>
      </c>
      <c r="AZ28" s="357">
        <f ca="1">(参数输入表!$I$217-参数输入表!$I$221-参数输入表!$I$625-参数输入表!$I$630-参数输入表!$I$636)*AZ27</f>
        <v>799991.179248576</v>
      </c>
      <c r="BA28" s="359">
        <f ca="1">(参数输入表!$I$217-参数输入表!$I$221-参数输入表!$I$625-参数输入表!$I$630-参数输入表!$I$636)*BA27</f>
        <v>799991.179248576</v>
      </c>
    </row>
    <row r="29" s="105" customFormat="1" spans="2:53">
      <c r="B29" s="360"/>
      <c r="C29" s="361" t="s">
        <v>703</v>
      </c>
      <c r="D29" s="362">
        <f ca="1">SUM(F29:BA29)</f>
        <v>799991.179248577</v>
      </c>
      <c r="E29" s="363" t="s">
        <v>130</v>
      </c>
      <c r="F29" s="364">
        <f ca="1">IF(F26-参数输入表!$I$4&gt;0,0,('表1-资金筹措及还本付息表'!F8+'表1-资金筹措及还本付息表'!G8+'表1-资金筹措及还本付息表'!F9+'表1-资金筹措及还本付息表'!G9-投资概算明细!F46-投资概算明细!G46)*(1-(参数输入表!$I$625+参数输入表!$I$630+参数输入表!$I$636)/(参数输入表!$I$217-参数输入表!$I$221)))</f>
        <v>78480.3456088609</v>
      </c>
      <c r="G29" s="364">
        <f ca="1">IF(G26-参数输入表!$I$4&gt;0,0,('表1-资金筹措及还本付息表'!H8+'表1-资金筹措及还本付息表'!H9-投资概算明细!H46)*(1-(参数输入表!$I$625+参数输入表!$I$630+参数输入表!$I$636)/(参数输入表!$I$217-参数输入表!$I$221)))</f>
        <v>79050.305656725</v>
      </c>
      <c r="H29" s="364">
        <f ca="1">IF(H26-参数输入表!$I$4&gt;0,0,('表1-资金筹措及还本付息表'!I8+'表1-资金筹措及还本付息表'!I9-投资概算明细!I46)*(1-(参数输入表!$I$625+参数输入表!$I$630+参数输入表!$I$636)/(参数输入表!$I$217-参数输入表!$I$221)))</f>
        <v>91969.9320249375</v>
      </c>
      <c r="I29" s="364">
        <f ca="1">IF(I26-参数输入表!$I$4&gt;0,0,('表1-资金筹措及还本付息表'!J8+'表1-资金筹措及还本付息表'!J9-投资概算明细!J46)*(1-(参数输入表!$I$625+参数输入表!$I$630+参数输入表!$I$636)/(参数输入表!$I$217-参数输入表!$I$221)))</f>
        <v>103192.959177787</v>
      </c>
      <c r="J29" s="364">
        <f ca="1">IF(J26-参数输入表!$I$4&gt;0,0,('表1-资金筹措及还本付息表'!K8+'表1-资金筹措及还本付息表'!K9-投资概算明细!K46)*(1-(参数输入表!$I$625+参数输入表!$I$630+参数输入表!$I$636)/(参数输入表!$I$217-参数输入表!$I$221)))</f>
        <v>138480.782916106</v>
      </c>
      <c r="K29" s="364">
        <f ca="1">IF(K26-参数输入表!$I$4&gt;0,0,('表1-资金筹措及还本付息表'!L8+'表1-资金筹措及还本付息表'!L9-投资概算明细!L46)*(1-(参数输入表!$I$625+参数输入表!$I$630+参数输入表!$I$636)/(参数输入表!$I$217-参数输入表!$I$221)))</f>
        <v>132807.786507421</v>
      </c>
      <c r="L29" s="364">
        <f ca="1">IF(L26-参数输入表!$I$4&gt;0,0,('表1-资金筹措及还本付息表'!M8+'表1-资金筹措及还本付息表'!N8+'表1-资金筹措及还本付息表'!M9+'表1-资金筹措及还本付息表'!N9-投资概算明细!M46-投资概算明细!N46)*(1-(参数输入表!$I$625+参数输入表!$I$630+参数输入表!$I$636)/(参数输入表!$I$217-参数输入表!$I$221)))</f>
        <v>119233.201352754</v>
      </c>
      <c r="M29" s="364">
        <f ca="1">IF(M26-参数输入表!$I$4&gt;0,0,('表1-资金筹措及还本付息表'!O8+'表1-资金筹措及还本付息表'!Q8+'表1-资金筹措及还本付息表'!O9+'表1-资金筹措及还本付息表'!Q9-投资概算明细!O46)*(1-(参数输入表!$I$625+参数输入表!$I$630+参数输入表!$I$636)/(参数输入表!$I$217-参数输入表!$I$221)))</f>
        <v>56775.8660039856</v>
      </c>
      <c r="N29" s="364">
        <f ca="1">IF(N26-参数输入表!$I$4&gt;0,0,('表1-资金筹措及还本付息表'!R8+'表1-资金筹措及还本付息表'!R9-投资概算明细!P46)*(1-(参数输入表!$I$625+参数输入表!$I$630+参数输入表!$I$636)/(参数输入表!$I$217-参数输入表!$I$221)))</f>
        <v>0</v>
      </c>
      <c r="O29" s="364">
        <f ca="1">IF(O26-参数输入表!$I$4&gt;0,0,('表1-资金筹措及还本付息表'!S8+'表1-资金筹措及还本付息表'!S9-投资概算明细!Q46)*(1-(参数输入表!$I$625+参数输入表!$I$630+参数输入表!$I$636)/(参数输入表!$I$217-参数输入表!$I$221)))</f>
        <v>0</v>
      </c>
      <c r="P29" s="364">
        <f ca="1">IF(P26-参数输入表!$I$4&gt;0,0,('表1-资金筹措及还本付息表'!T8+'表1-资金筹措及还本付息表'!T9-投资概算明细!R46)*(1-(参数输入表!$I$625+参数输入表!$I$630+参数输入表!$I$636)/(参数输入表!$I$217-参数输入表!$I$221)))</f>
        <v>0</v>
      </c>
      <c r="Q29" s="364">
        <f ca="1">IF(Q26-参数输入表!$I$4&gt;0,0,('表1-资金筹措及还本付息表'!U8+'表1-资金筹措及还本付息表'!U9-投资概算明细!S46)*(1-(参数输入表!$I$625+参数输入表!$I$630+参数输入表!$I$636)/(参数输入表!$I$217-参数输入表!$I$221)))</f>
        <v>0</v>
      </c>
      <c r="R29" s="364">
        <f ca="1">IF(R26-参数输入表!$I$4&gt;0,0,('表1-资金筹措及还本付息表'!V8+'表1-资金筹措及还本付息表'!V9-投资概算明细!T46)*(1-(参数输入表!$I$625+参数输入表!$I$630+参数输入表!$I$636)/(参数输入表!$I$217-参数输入表!$I$221)))</f>
        <v>0</v>
      </c>
      <c r="S29" s="364">
        <f ca="1">IF(S26-参数输入表!$I$4&gt;0,0,('表1-资金筹措及还本付息表'!W8+'表1-资金筹措及还本付息表'!W9-投资概算明细!U46)*(1-(参数输入表!$I$625+参数输入表!$I$630+参数输入表!$I$636)/(参数输入表!$I$217-参数输入表!$I$221)))</f>
        <v>0</v>
      </c>
      <c r="T29" s="364">
        <f ca="1">IF(T26-参数输入表!$I$4&gt;0,0,('表1-资金筹措及还本付息表'!X8+'表1-资金筹措及还本付息表'!X9-投资概算明细!V46)*(1-(参数输入表!$I$625+参数输入表!$I$630+参数输入表!$I$636)/(参数输入表!$I$217-参数输入表!$I$221)))</f>
        <v>0</v>
      </c>
      <c r="U29" s="364">
        <f ca="1">IF(U26-参数输入表!$I$4&gt;0,0,('表1-资金筹措及还本付息表'!Y8+'表1-资金筹措及还本付息表'!Y9-投资概算明细!W46)*(1-(参数输入表!$I$625+参数输入表!$I$630+参数输入表!$I$636)/(参数输入表!$I$217-参数输入表!$I$221)))</f>
        <v>0</v>
      </c>
      <c r="V29" s="364">
        <f ca="1">IF(V26-参数输入表!$I$4&gt;0,0,('表1-资金筹措及还本付息表'!Z8+'表1-资金筹措及还本付息表'!Z9-投资概算明细!X46)*(1-(参数输入表!$I$625+参数输入表!$I$630+参数输入表!$I$636)/(参数输入表!$I$217-参数输入表!$I$221)))</f>
        <v>0</v>
      </c>
      <c r="W29" s="364">
        <f ca="1">IF(W26-参数输入表!$I$4&gt;0,0,('表1-资金筹措及还本付息表'!AA8+'表1-资金筹措及还本付息表'!AA9-投资概算明细!Y46)*(1-(参数输入表!$I$625+参数输入表!$I$630+参数输入表!$I$636)/(参数输入表!$I$217-参数输入表!$I$221)))</f>
        <v>0</v>
      </c>
      <c r="X29" s="364">
        <f ca="1">IF(X26-参数输入表!$I$4&gt;0,0,('表1-资金筹措及还本付息表'!AB8+'表1-资金筹措及还本付息表'!AB9-投资概算明细!Z46)*(1-(参数输入表!$I$625+参数输入表!$I$630+参数输入表!$I$636)/(参数输入表!$I$217-参数输入表!$I$221)))</f>
        <v>0</v>
      </c>
      <c r="Y29" s="364">
        <f ca="1">IF(Y26-参数输入表!$I$4&gt;0,0,('表1-资金筹措及还本付息表'!AC8+'表1-资金筹措及还本付息表'!AC9-投资概算明细!AA46)*(1-(参数输入表!$I$625+参数输入表!$I$630+参数输入表!$I$636)/(参数输入表!$I$217-参数输入表!$I$221)))</f>
        <v>0</v>
      </c>
      <c r="Z29" s="364">
        <f ca="1">IF(Z26-参数输入表!$I$4&gt;0,0,('表1-资金筹措及还本付息表'!AD8+'表1-资金筹措及还本付息表'!AD9-投资概算明细!AB46)*(1-(参数输入表!$I$625+参数输入表!$I$630+参数输入表!$I$636)/(参数输入表!$I$217-参数输入表!$I$221)))</f>
        <v>0</v>
      </c>
      <c r="AA29" s="364">
        <f ca="1">IF(AA26-参数输入表!$I$4&gt;0,0,('表1-资金筹措及还本付息表'!AE8+'表1-资金筹措及还本付息表'!AE9-投资概算明细!AC46)*(1-(参数输入表!$I$625+参数输入表!$I$630+参数输入表!$I$636)/(参数输入表!$I$217-参数输入表!$I$221)))</f>
        <v>0</v>
      </c>
      <c r="AB29" s="364">
        <f ca="1">IF(AB26-参数输入表!$I$4&gt;0,0,('表1-资金筹措及还本付息表'!AF8+'表1-资金筹措及还本付息表'!AF9-投资概算明细!AD46)*(1-(参数输入表!$I$625+参数输入表!$I$630+参数输入表!$I$636)/(参数输入表!$I$217-参数输入表!$I$221)))</f>
        <v>0</v>
      </c>
      <c r="AC29" s="364">
        <f ca="1">IF(AC26-参数输入表!$I$4&gt;0,0,('表1-资金筹措及还本付息表'!AG8+'表1-资金筹措及还本付息表'!AG9-投资概算明细!AE46)*(1-(参数输入表!$I$625+参数输入表!$I$630+参数输入表!$I$636)/(参数输入表!$I$217-参数输入表!$I$221)))</f>
        <v>0</v>
      </c>
      <c r="AD29" s="364">
        <f ca="1">IF(AD26-参数输入表!$I$4&gt;0,0,('表1-资金筹措及还本付息表'!AH8+'表1-资金筹措及还本付息表'!AH9-投资概算明细!AF46)*(1-(参数输入表!$I$625+参数输入表!$I$630+参数输入表!$I$636)/(参数输入表!$I$217-参数输入表!$I$221)))</f>
        <v>0</v>
      </c>
      <c r="AE29" s="364">
        <f ca="1">IF(AE26-参数输入表!$I$4&gt;0,0,('表1-资金筹措及还本付息表'!AI8+'表1-资金筹措及还本付息表'!AI9-投资概算明细!AG46)*(1-(参数输入表!$I$625+参数输入表!$I$630+参数输入表!$I$636)/(参数输入表!$I$217-参数输入表!$I$221)))</f>
        <v>0</v>
      </c>
      <c r="AF29" s="364">
        <f ca="1">IF(AF26-参数输入表!$I$4&gt;0,0,('表1-资金筹措及还本付息表'!AJ8+'表1-资金筹措及还本付息表'!AJ9-投资概算明细!AH46)*(1-(参数输入表!$I$625+参数输入表!$I$630+参数输入表!$I$636)/(参数输入表!$I$217-参数输入表!$I$221)))</f>
        <v>0</v>
      </c>
      <c r="AG29" s="364">
        <f ca="1">IF(AG26-参数输入表!$I$4&gt;0,0,('表1-资金筹措及还本付息表'!AK8+'表1-资金筹措及还本付息表'!AK9-投资概算明细!AI46)*(1-(参数输入表!$I$625+参数输入表!$I$630+参数输入表!$I$636)/(参数输入表!$I$217-参数输入表!$I$221)))</f>
        <v>0</v>
      </c>
      <c r="AH29" s="364">
        <f ca="1">IF(AH26-参数输入表!$I$4&gt;0,0,('表1-资金筹措及还本付息表'!AL8+'表1-资金筹措及还本付息表'!AL9-投资概算明细!AJ46)*(1-(参数输入表!$I$625+参数输入表!$I$630+参数输入表!$I$636)/(参数输入表!$I$217-参数输入表!$I$221)))</f>
        <v>0</v>
      </c>
      <c r="AI29" s="364">
        <f ca="1">IF(AI26-参数输入表!$I$4&gt;0,0,('表1-资金筹措及还本付息表'!AM8+'表1-资金筹措及还本付息表'!AM9-投资概算明细!AK46)*(1-(参数输入表!$I$625+参数输入表!$I$630+参数输入表!$I$636)/(参数输入表!$I$217-参数输入表!$I$221)))</f>
        <v>0</v>
      </c>
      <c r="AJ29" s="364">
        <f ca="1">IF(AJ26-参数输入表!$I$4&gt;0,0,('表1-资金筹措及还本付息表'!AN8+'表1-资金筹措及还本付息表'!AN9-投资概算明细!AL46)*(1-(参数输入表!$I$625+参数输入表!$I$630+参数输入表!$I$636)/(参数输入表!$I$217-参数输入表!$I$221)))</f>
        <v>0</v>
      </c>
      <c r="AK29" s="364">
        <f ca="1">IF(AK26-参数输入表!$I$4&gt;0,0,('表1-资金筹措及还本付息表'!AO8+'表1-资金筹措及还本付息表'!AO9-投资概算明细!AM46)*(1-(参数输入表!$I$625+参数输入表!$I$630+参数输入表!$I$636)/(参数输入表!$I$217-参数输入表!$I$221)))</f>
        <v>0</v>
      </c>
      <c r="AL29" s="364">
        <f ca="1">IF(AL26-参数输入表!$I$4&gt;0,0,('表1-资金筹措及还本付息表'!AP8+'表1-资金筹措及还本付息表'!AP9-投资概算明细!AN46)*(1-(参数输入表!$I$625+参数输入表!$I$630+参数输入表!$I$636)/(参数输入表!$I$217-参数输入表!$I$221)))</f>
        <v>0</v>
      </c>
      <c r="AM29" s="364">
        <f ca="1">IF(AM26-参数输入表!$I$4&gt;0,0,('表1-资金筹措及还本付息表'!AQ8+'表1-资金筹措及还本付息表'!AQ9-投资概算明细!AO46)*(1-(参数输入表!$I$625+参数输入表!$I$630+参数输入表!$I$636)/(参数输入表!$I$217-参数输入表!$I$221)))</f>
        <v>0</v>
      </c>
      <c r="AN29" s="364">
        <f ca="1">IF(AN26-参数输入表!$I$4&gt;0,0,('表1-资金筹措及还本付息表'!AR8+'表1-资金筹措及还本付息表'!AR9-投资概算明细!AP46)*(1-(参数输入表!$I$625+参数输入表!$I$630+参数输入表!$I$636)/(参数输入表!$I$217-参数输入表!$I$221)))</f>
        <v>0</v>
      </c>
      <c r="AO29" s="364">
        <f ca="1">IF(AO26-参数输入表!$I$4&gt;0,0,('表1-资金筹措及还本付息表'!AS8+'表1-资金筹措及还本付息表'!AS9-投资概算明细!AQ46)*(1-(参数输入表!$I$625+参数输入表!$I$630+参数输入表!$I$636)/(参数输入表!$I$217-参数输入表!$I$221)))</f>
        <v>0</v>
      </c>
      <c r="AP29" s="364">
        <f ca="1">IF(AP26-参数输入表!$I$4&gt;0,0,('表1-资金筹措及还本付息表'!AT8+'表1-资金筹措及还本付息表'!AT9-投资概算明细!AR46)*(1-(参数输入表!$I$625+参数输入表!$I$630+参数输入表!$I$636)/(参数输入表!$I$217-参数输入表!$I$221)))</f>
        <v>0</v>
      </c>
      <c r="AQ29" s="364">
        <f ca="1">IF(AQ26-参数输入表!$I$4&gt;0,0,('表1-资金筹措及还本付息表'!AU8+'表1-资金筹措及还本付息表'!AU9-投资概算明细!AS46)*(1-(参数输入表!$I$625+参数输入表!$I$630+参数输入表!$I$636)/(参数输入表!$I$217-参数输入表!$I$221)))</f>
        <v>0</v>
      </c>
      <c r="AR29" s="364">
        <f ca="1">IF(AR26-参数输入表!$I$4&gt;0,0,('表1-资金筹措及还本付息表'!AV8+'表1-资金筹措及还本付息表'!AV9-投资概算明细!AT46)*(1-(参数输入表!$I$625+参数输入表!$I$630+参数输入表!$I$636)/(参数输入表!$I$217-参数输入表!$I$221)))</f>
        <v>0</v>
      </c>
      <c r="AS29" s="364">
        <f ca="1">IF(AS26-参数输入表!$I$4&gt;0,0,('表1-资金筹措及还本付息表'!AW8+'表1-资金筹措及还本付息表'!AW9-投资概算明细!AU46)*(1-(参数输入表!$I$625+参数输入表!$I$630+参数输入表!$I$636)/(参数输入表!$I$217-参数输入表!$I$221)))</f>
        <v>0</v>
      </c>
      <c r="AT29" s="364">
        <f ca="1">IF(AT26-参数输入表!$I$4&gt;0,0,('表1-资金筹措及还本付息表'!AX8+'表1-资金筹措及还本付息表'!AX9-投资概算明细!AV46)*(1-(参数输入表!$I$625+参数输入表!$I$630+参数输入表!$I$636)/(参数输入表!$I$217-参数输入表!$I$221)))</f>
        <v>0</v>
      </c>
      <c r="AU29" s="364">
        <f ca="1">IF(AU26-参数输入表!$I$4&gt;0,0,('表1-资金筹措及还本付息表'!AY8+'表1-资金筹措及还本付息表'!AY9-投资概算明细!AW46)*(1-(参数输入表!$I$625+参数输入表!$I$630+参数输入表!$I$636)/(参数输入表!$I$217-参数输入表!$I$221)))</f>
        <v>0</v>
      </c>
      <c r="AV29" s="364">
        <f ca="1">IF(AV26-参数输入表!$I$4&gt;0,0,('表1-资金筹措及还本付息表'!AZ8+'表1-资金筹措及还本付息表'!AZ9-投资概算明细!AX46)*(1-(参数输入表!$I$625+参数输入表!$I$630+参数输入表!$I$636)/(参数输入表!$I$217-参数输入表!$I$221)))</f>
        <v>0</v>
      </c>
      <c r="AW29" s="364">
        <f ca="1">IF(AW26-参数输入表!$I$4&gt;0,0,('表1-资金筹措及还本付息表'!BA8+'表1-资金筹措及还本付息表'!BA9-投资概算明细!AY46)*(1-(参数输入表!$I$625+参数输入表!$I$630+参数输入表!$I$636)/(参数输入表!$I$217-参数输入表!$I$221)))</f>
        <v>0</v>
      </c>
      <c r="AX29" s="364">
        <f ca="1">IF(AX26-参数输入表!$I$4&gt;0,0,('表1-资金筹措及还本付息表'!BB8+'表1-资金筹措及还本付息表'!BB9-投资概算明细!AZ46)*(1-(参数输入表!$I$625+参数输入表!$I$630+参数输入表!$I$636)/(参数输入表!$I$217-参数输入表!$I$221)))</f>
        <v>0</v>
      </c>
      <c r="AY29" s="364">
        <f ca="1">IF(AY26-参数输入表!$I$4&gt;0,0,('表1-资金筹措及还本付息表'!BC8+'表1-资金筹措及还本付息表'!BC9-投资概算明细!BA46)*(1-(参数输入表!$I$625+参数输入表!$I$630+参数输入表!$I$636)/(参数输入表!$I$217-参数输入表!$I$221)))</f>
        <v>0</v>
      </c>
      <c r="AZ29" s="364">
        <f ca="1">IF(AZ26-参数输入表!$I$4&gt;0,0,('表1-资金筹措及还本付息表'!BD8+'表1-资金筹措及还本付息表'!BD9-投资概算明细!BB46)*(1-(参数输入表!$I$625+参数输入表!$I$630+参数输入表!$I$636)/(参数输入表!$I$217-参数输入表!$I$221)))</f>
        <v>0</v>
      </c>
      <c r="BA29" s="364">
        <f ca="1">IF(BA26-参数输入表!$I$4&gt;0,0,('表1-资金筹措及还本付息表'!BE8+'表1-资金筹措及还本付息表'!BE9-投资概算明细!BC46)*(1-(参数输入表!$I$625+参数输入表!$I$630+参数输入表!$I$636)/(参数输入表!$I$217-参数输入表!$I$221)))</f>
        <v>0</v>
      </c>
    </row>
    <row r="30" s="105" customFormat="1" spans="2:53">
      <c r="B30" s="360"/>
      <c r="C30" s="365" t="s">
        <v>704</v>
      </c>
      <c r="D30" s="366"/>
      <c r="E30" s="367" t="s">
        <v>130</v>
      </c>
      <c r="F30" s="368">
        <f ca="1">F29</f>
        <v>78480.3456088609</v>
      </c>
      <c r="G30" s="368">
        <f ca="1">F30+G29</f>
        <v>157530.651265586</v>
      </c>
      <c r="H30" s="368">
        <f ca="1">G30+H29</f>
        <v>249500.583290523</v>
      </c>
      <c r="I30" s="368">
        <f ca="1">H30+I29</f>
        <v>352693.54246831</v>
      </c>
      <c r="J30" s="368">
        <f ca="1" t="shared" ref="J30:BA30" si="0">I30+J29</f>
        <v>491174.325384416</v>
      </c>
      <c r="K30" s="368">
        <f ca="1" t="shared" si="0"/>
        <v>623982.111891837</v>
      </c>
      <c r="L30" s="368">
        <f ca="1" t="shared" si="0"/>
        <v>743215.313244591</v>
      </c>
      <c r="M30" s="368">
        <f ca="1" t="shared" si="0"/>
        <v>799991.179248577</v>
      </c>
      <c r="N30" s="368">
        <f ca="1" t="shared" si="0"/>
        <v>799991.179248577</v>
      </c>
      <c r="O30" s="368">
        <f ca="1" t="shared" si="0"/>
        <v>799991.179248577</v>
      </c>
      <c r="P30" s="368">
        <f ca="1" t="shared" si="0"/>
        <v>799991.179248577</v>
      </c>
      <c r="Q30" s="368">
        <f ca="1" t="shared" si="0"/>
        <v>799991.179248577</v>
      </c>
      <c r="R30" s="368">
        <f ca="1" t="shared" si="0"/>
        <v>799991.179248577</v>
      </c>
      <c r="S30" s="368">
        <f ca="1" t="shared" si="0"/>
        <v>799991.179248577</v>
      </c>
      <c r="T30" s="368">
        <f ca="1" t="shared" si="0"/>
        <v>799991.179248577</v>
      </c>
      <c r="U30" s="368">
        <f ca="1" t="shared" si="0"/>
        <v>799991.179248577</v>
      </c>
      <c r="V30" s="368">
        <f ca="1" t="shared" si="0"/>
        <v>799991.179248577</v>
      </c>
      <c r="W30" s="368">
        <f ca="1" t="shared" si="0"/>
        <v>799991.179248577</v>
      </c>
      <c r="X30" s="368">
        <f ca="1" t="shared" si="0"/>
        <v>799991.179248577</v>
      </c>
      <c r="Y30" s="368">
        <f ca="1" t="shared" si="0"/>
        <v>799991.179248577</v>
      </c>
      <c r="Z30" s="368">
        <f ca="1" t="shared" si="0"/>
        <v>799991.179248577</v>
      </c>
      <c r="AA30" s="368">
        <f ca="1" t="shared" si="0"/>
        <v>799991.179248577</v>
      </c>
      <c r="AB30" s="368">
        <f ca="1" t="shared" si="0"/>
        <v>799991.179248577</v>
      </c>
      <c r="AC30" s="368">
        <f ca="1" t="shared" si="0"/>
        <v>799991.179248577</v>
      </c>
      <c r="AD30" s="368">
        <f ca="1" t="shared" si="0"/>
        <v>799991.179248577</v>
      </c>
      <c r="AE30" s="368">
        <f ca="1" t="shared" si="0"/>
        <v>799991.179248577</v>
      </c>
      <c r="AF30" s="368">
        <f ca="1" t="shared" si="0"/>
        <v>799991.179248577</v>
      </c>
      <c r="AG30" s="368">
        <f ca="1" t="shared" si="0"/>
        <v>799991.179248577</v>
      </c>
      <c r="AH30" s="368">
        <f ca="1" t="shared" si="0"/>
        <v>799991.179248577</v>
      </c>
      <c r="AI30" s="368">
        <f ca="1" t="shared" si="0"/>
        <v>799991.179248577</v>
      </c>
      <c r="AJ30" s="368">
        <f ca="1" t="shared" si="0"/>
        <v>799991.179248577</v>
      </c>
      <c r="AK30" s="368">
        <f ca="1" t="shared" si="0"/>
        <v>799991.179248577</v>
      </c>
      <c r="AL30" s="368">
        <f ca="1" t="shared" si="0"/>
        <v>799991.179248577</v>
      </c>
      <c r="AM30" s="368">
        <f ca="1" t="shared" si="0"/>
        <v>799991.179248577</v>
      </c>
      <c r="AN30" s="368">
        <f ca="1" t="shared" si="0"/>
        <v>799991.179248577</v>
      </c>
      <c r="AO30" s="368">
        <f ca="1" t="shared" si="0"/>
        <v>799991.179248577</v>
      </c>
      <c r="AP30" s="368">
        <f ca="1" t="shared" si="0"/>
        <v>799991.179248577</v>
      </c>
      <c r="AQ30" s="368">
        <f ca="1" t="shared" si="0"/>
        <v>799991.179248577</v>
      </c>
      <c r="AR30" s="368">
        <f ca="1" t="shared" si="0"/>
        <v>799991.179248577</v>
      </c>
      <c r="AS30" s="368">
        <f ca="1" t="shared" si="0"/>
        <v>799991.179248577</v>
      </c>
      <c r="AT30" s="368">
        <f ca="1" t="shared" si="0"/>
        <v>799991.179248577</v>
      </c>
      <c r="AU30" s="368">
        <f ca="1" t="shared" si="0"/>
        <v>799991.179248577</v>
      </c>
      <c r="AV30" s="368">
        <f ca="1" t="shared" si="0"/>
        <v>799991.179248577</v>
      </c>
      <c r="AW30" s="368">
        <f ca="1" t="shared" si="0"/>
        <v>799991.179248577</v>
      </c>
      <c r="AX30" s="368">
        <f ca="1" t="shared" si="0"/>
        <v>799991.179248577</v>
      </c>
      <c r="AY30" s="368">
        <f ca="1" t="shared" si="0"/>
        <v>799991.179248577</v>
      </c>
      <c r="AZ30" s="368">
        <f ca="1" t="shared" si="0"/>
        <v>799991.179248577</v>
      </c>
      <c r="BA30" s="369">
        <f ca="1" t="shared" si="0"/>
        <v>799991.179248577</v>
      </c>
    </row>
    <row r="31" s="105" customFormat="1" spans="2:53">
      <c r="B31" s="360"/>
      <c r="C31" s="133" t="s">
        <v>705</v>
      </c>
      <c r="D31" s="366"/>
      <c r="E31" s="367" t="s">
        <v>130</v>
      </c>
      <c r="F31" s="368">
        <f ca="1">F30-F28</f>
        <v>78480.3456088609</v>
      </c>
      <c r="G31" s="368">
        <f ca="1" t="shared" ref="G31:O31" si="1">G30-G28</f>
        <v>157530.651265586</v>
      </c>
      <c r="H31" s="368">
        <f ca="1" t="shared" si="1"/>
        <v>249500.583290523</v>
      </c>
      <c r="I31" s="368">
        <f ca="1" t="shared" si="1"/>
        <v>352693.54246831</v>
      </c>
      <c r="J31" s="368">
        <f ca="1" t="shared" si="1"/>
        <v>491174.325384416</v>
      </c>
      <c r="K31" s="368">
        <f ca="1" t="shared" si="1"/>
        <v>623982.111891837</v>
      </c>
      <c r="L31" s="368">
        <f ca="1" t="shared" si="1"/>
        <v>743215.313244591</v>
      </c>
      <c r="M31" s="368">
        <f ca="1" t="shared" si="1"/>
        <v>0</v>
      </c>
      <c r="N31" s="368">
        <f ca="1" t="shared" si="1"/>
        <v>0</v>
      </c>
      <c r="O31" s="368">
        <f ca="1" t="shared" si="1"/>
        <v>0</v>
      </c>
      <c r="P31" s="368">
        <f ca="1" t="shared" ref="P31:BA31" si="2">P30-P28</f>
        <v>0</v>
      </c>
      <c r="Q31" s="368">
        <f ca="1" t="shared" si="2"/>
        <v>0</v>
      </c>
      <c r="R31" s="368">
        <f ca="1" t="shared" si="2"/>
        <v>0</v>
      </c>
      <c r="S31" s="368">
        <f ca="1" t="shared" si="2"/>
        <v>0</v>
      </c>
      <c r="T31" s="368">
        <f ca="1" t="shared" si="2"/>
        <v>0</v>
      </c>
      <c r="U31" s="368">
        <f ca="1" t="shared" si="2"/>
        <v>0</v>
      </c>
      <c r="V31" s="368">
        <f ca="1" t="shared" si="2"/>
        <v>0</v>
      </c>
      <c r="W31" s="368">
        <f ca="1" t="shared" si="2"/>
        <v>0</v>
      </c>
      <c r="X31" s="368">
        <f ca="1" t="shared" si="2"/>
        <v>0</v>
      </c>
      <c r="Y31" s="368">
        <f ca="1" t="shared" si="2"/>
        <v>0</v>
      </c>
      <c r="Z31" s="368">
        <f ca="1" t="shared" si="2"/>
        <v>0</v>
      </c>
      <c r="AA31" s="368">
        <f ca="1" t="shared" si="2"/>
        <v>0</v>
      </c>
      <c r="AB31" s="368">
        <f ca="1" t="shared" si="2"/>
        <v>0</v>
      </c>
      <c r="AC31" s="368">
        <f ca="1" t="shared" si="2"/>
        <v>0</v>
      </c>
      <c r="AD31" s="368">
        <f ca="1" t="shared" si="2"/>
        <v>0</v>
      </c>
      <c r="AE31" s="368">
        <f ca="1" t="shared" si="2"/>
        <v>0</v>
      </c>
      <c r="AF31" s="368">
        <f ca="1" t="shared" si="2"/>
        <v>0</v>
      </c>
      <c r="AG31" s="368">
        <f ca="1" t="shared" si="2"/>
        <v>0</v>
      </c>
      <c r="AH31" s="368">
        <f ca="1" t="shared" si="2"/>
        <v>0</v>
      </c>
      <c r="AI31" s="368">
        <f ca="1" t="shared" si="2"/>
        <v>0</v>
      </c>
      <c r="AJ31" s="368">
        <f ca="1" t="shared" si="2"/>
        <v>0</v>
      </c>
      <c r="AK31" s="368">
        <f ca="1" t="shared" si="2"/>
        <v>0</v>
      </c>
      <c r="AL31" s="368">
        <f ca="1" t="shared" si="2"/>
        <v>0</v>
      </c>
      <c r="AM31" s="368">
        <f ca="1" t="shared" si="2"/>
        <v>0</v>
      </c>
      <c r="AN31" s="368">
        <f ca="1" t="shared" si="2"/>
        <v>0</v>
      </c>
      <c r="AO31" s="368">
        <f ca="1" t="shared" si="2"/>
        <v>0</v>
      </c>
      <c r="AP31" s="368">
        <f ca="1" t="shared" si="2"/>
        <v>0</v>
      </c>
      <c r="AQ31" s="368">
        <f ca="1" t="shared" si="2"/>
        <v>0</v>
      </c>
      <c r="AR31" s="368">
        <f ca="1" t="shared" si="2"/>
        <v>0</v>
      </c>
      <c r="AS31" s="368">
        <f ca="1" t="shared" si="2"/>
        <v>0</v>
      </c>
      <c r="AT31" s="368">
        <f ca="1" t="shared" si="2"/>
        <v>0</v>
      </c>
      <c r="AU31" s="368">
        <f ca="1" t="shared" si="2"/>
        <v>0</v>
      </c>
      <c r="AV31" s="368">
        <f ca="1" t="shared" si="2"/>
        <v>0</v>
      </c>
      <c r="AW31" s="368">
        <f ca="1" t="shared" si="2"/>
        <v>0</v>
      </c>
      <c r="AX31" s="368">
        <f ca="1" t="shared" si="2"/>
        <v>0</v>
      </c>
      <c r="AY31" s="368">
        <f ca="1" t="shared" si="2"/>
        <v>0</v>
      </c>
      <c r="AZ31" s="368">
        <f ca="1" t="shared" si="2"/>
        <v>0</v>
      </c>
      <c r="BA31" s="369">
        <f ca="1" t="shared" si="2"/>
        <v>0</v>
      </c>
    </row>
    <row r="32" s="105" customFormat="1" spans="2:53">
      <c r="B32" s="360"/>
      <c r="C32" s="370" t="s">
        <v>706</v>
      </c>
      <c r="D32" s="371">
        <f ca="1">SUM(F32:BA32)</f>
        <v>759991.620286147</v>
      </c>
      <c r="E32" s="367" t="s">
        <v>130</v>
      </c>
      <c r="F32" s="372">
        <f ca="1">SUM(F33:F36)</f>
        <v>0</v>
      </c>
      <c r="G32" s="372">
        <f ca="1" t="shared" ref="G32:BA32" si="3">SUM(G33:G36)</f>
        <v>0</v>
      </c>
      <c r="H32" s="372">
        <f ca="1" t="shared" si="3"/>
        <v>0</v>
      </c>
      <c r="I32" s="372">
        <f ca="1" t="shared" si="3"/>
        <v>0</v>
      </c>
      <c r="J32" s="372">
        <f ca="1" t="shared" si="3"/>
        <v>0</v>
      </c>
      <c r="K32" s="372">
        <f ca="1" t="shared" si="3"/>
        <v>0</v>
      </c>
      <c r="L32" s="372">
        <f ca="1" t="shared" si="3"/>
        <v>0</v>
      </c>
      <c r="M32" s="372">
        <f ca="1" t="shared" si="3"/>
        <v>10919.4198316975</v>
      </c>
      <c r="N32" s="372">
        <f ca="1" t="shared" si="3"/>
        <v>26206.607596074</v>
      </c>
      <c r="O32" s="372">
        <f ca="1" t="shared" si="3"/>
        <v>26206.607596074</v>
      </c>
      <c r="P32" s="372">
        <f ca="1" t="shared" si="3"/>
        <v>26206.607596074</v>
      </c>
      <c r="Q32" s="372">
        <f ca="1" t="shared" si="3"/>
        <v>26206.607596074</v>
      </c>
      <c r="R32" s="372">
        <f ca="1" t="shared" si="3"/>
        <v>26206.607596074</v>
      </c>
      <c r="S32" s="372">
        <f ca="1" t="shared" si="3"/>
        <v>26206.607596074</v>
      </c>
      <c r="T32" s="372">
        <f ca="1" t="shared" si="3"/>
        <v>26206.607596074</v>
      </c>
      <c r="U32" s="372">
        <f ca="1" t="shared" si="3"/>
        <v>26206.607596074</v>
      </c>
      <c r="V32" s="372">
        <f ca="1" t="shared" si="3"/>
        <v>26206.607596074</v>
      </c>
      <c r="W32" s="372">
        <f ca="1" t="shared" si="3"/>
        <v>26206.607596074</v>
      </c>
      <c r="X32" s="372">
        <f ca="1" t="shared" si="3"/>
        <v>26206.607596074</v>
      </c>
      <c r="Y32" s="372">
        <f ca="1" t="shared" si="3"/>
        <v>26206.607596074</v>
      </c>
      <c r="Z32" s="372">
        <f ca="1" t="shared" si="3"/>
        <v>26206.607596074</v>
      </c>
      <c r="AA32" s="372">
        <f ca="1" t="shared" si="3"/>
        <v>26206.607596074</v>
      </c>
      <c r="AB32" s="372">
        <f ca="1" t="shared" si="3"/>
        <v>26206.607596074</v>
      </c>
      <c r="AC32" s="372">
        <f ca="1" t="shared" si="3"/>
        <v>26206.607596074</v>
      </c>
      <c r="AD32" s="372">
        <f ca="1" t="shared" si="3"/>
        <v>26206.607596074</v>
      </c>
      <c r="AE32" s="372">
        <f ca="1" t="shared" si="3"/>
        <v>26206.607596074</v>
      </c>
      <c r="AF32" s="372">
        <f ca="1" t="shared" si="3"/>
        <v>26206.607596074</v>
      </c>
      <c r="AG32" s="372">
        <f ca="1" t="shared" si="3"/>
        <v>26206.607596074</v>
      </c>
      <c r="AH32" s="372">
        <f ca="1" t="shared" si="3"/>
        <v>26206.607596074</v>
      </c>
      <c r="AI32" s="372">
        <f ca="1" t="shared" si="3"/>
        <v>26206.607596074</v>
      </c>
      <c r="AJ32" s="372">
        <f ca="1" t="shared" si="3"/>
        <v>26206.607596074</v>
      </c>
      <c r="AK32" s="372">
        <f ca="1" t="shared" si="3"/>
        <v>26206.607596074</v>
      </c>
      <c r="AL32" s="372">
        <f ca="1" t="shared" si="3"/>
        <v>26206.607596074</v>
      </c>
      <c r="AM32" s="372">
        <f ca="1" t="shared" si="3"/>
        <v>26206.607596074</v>
      </c>
      <c r="AN32" s="372">
        <f ca="1" t="shared" si="3"/>
        <v>26206.607596074</v>
      </c>
      <c r="AO32" s="372">
        <f ca="1" t="shared" si="3"/>
        <v>26206.607596074</v>
      </c>
      <c r="AP32" s="372">
        <f ca="1" t="shared" si="3"/>
        <v>15287.1877643765</v>
      </c>
      <c r="AQ32" s="372">
        <f ca="1" t="shared" si="3"/>
        <v>0</v>
      </c>
      <c r="AR32" s="372">
        <f ca="1" t="shared" si="3"/>
        <v>0</v>
      </c>
      <c r="AS32" s="372">
        <f ca="1" t="shared" si="3"/>
        <v>0</v>
      </c>
      <c r="AT32" s="372">
        <f ca="1" t="shared" si="3"/>
        <v>0</v>
      </c>
      <c r="AU32" s="372">
        <f ca="1" t="shared" si="3"/>
        <v>0</v>
      </c>
      <c r="AV32" s="372">
        <f ca="1" t="shared" si="3"/>
        <v>0</v>
      </c>
      <c r="AW32" s="372">
        <f ca="1" t="shared" si="3"/>
        <v>0</v>
      </c>
      <c r="AX32" s="372">
        <f ca="1" t="shared" si="3"/>
        <v>0</v>
      </c>
      <c r="AY32" s="372">
        <f ca="1" t="shared" si="3"/>
        <v>0</v>
      </c>
      <c r="AZ32" s="372">
        <f ca="1" t="shared" si="3"/>
        <v>0</v>
      </c>
      <c r="BA32" s="373">
        <f ca="1" t="shared" si="3"/>
        <v>0</v>
      </c>
    </row>
    <row r="33" s="307" customFormat="1" ht="14.5" spans="2:53">
      <c r="B33" s="360"/>
      <c r="C33" s="374" t="s">
        <v>471</v>
      </c>
      <c r="D33" s="375">
        <f ca="1">SUM(F33:BA33)</f>
        <v>0</v>
      </c>
      <c r="E33" s="266" t="s">
        <v>130</v>
      </c>
      <c r="F33" s="376">
        <f ca="1">(参数输入表!$I$217-参数输入表!$I$221-参数输入表!$I$625-参数输入表!$I$630-参数输入表!$I$636)*(1-参数输入表!$I$623)*参数输入表!$I$36*时间序列!C22/(参数输入表!$I$622*12)</f>
        <v>0</v>
      </c>
      <c r="G33" s="376">
        <f ca="1">(参数输入表!$I$217-参数输入表!$I$221-参数输入表!$I$625-参数输入表!$I$630-参数输入表!$I$636)*(1-参数输入表!$I$623)*参数输入表!$I$36*时间序列!D22/(参数输入表!$I$622*12)</f>
        <v>0</v>
      </c>
      <c r="H33" s="376">
        <f ca="1">(参数输入表!$I$217-参数输入表!$I$221-参数输入表!$I$625-参数输入表!$I$630-参数输入表!$I$636)*(1-参数输入表!$I$623)*参数输入表!$I$36*时间序列!E22/(参数输入表!$I$622*12)</f>
        <v>0</v>
      </c>
      <c r="I33" s="376">
        <f ca="1">(参数输入表!$I$217-参数输入表!$I$221-参数输入表!$I$625-参数输入表!$I$630-参数输入表!$I$636)*(1-参数输入表!$I$623)*参数输入表!$I$36*时间序列!F22/(参数输入表!$I$622*12)</f>
        <v>0</v>
      </c>
      <c r="J33" s="376">
        <f ca="1">(参数输入表!$I$217-参数输入表!$I$221-参数输入表!$I$625-参数输入表!$I$630-参数输入表!$I$636)*(1-参数输入表!$I$623)*参数输入表!$I$36*时间序列!G22/(参数输入表!$I$622*12)</f>
        <v>0</v>
      </c>
      <c r="K33" s="376">
        <f ca="1">(参数输入表!$I$217-参数输入表!$I$221-参数输入表!$I$625-参数输入表!$I$630-参数输入表!$I$636)*(1-参数输入表!$I$623)*参数输入表!$I$36*时间序列!H22/(参数输入表!$I$622*12)</f>
        <v>0</v>
      </c>
      <c r="L33" s="376">
        <f ca="1">(参数输入表!$I$217-参数输入表!$I$221-参数输入表!$I$625-参数输入表!$I$630-参数输入表!$I$636)*(1-参数输入表!$I$623)*参数输入表!$I$36*时间序列!I22/(参数输入表!$I$622*12)</f>
        <v>0</v>
      </c>
      <c r="M33" s="376">
        <f ca="1">(参数输入表!$I$217-参数输入表!$I$221-参数输入表!$I$625-参数输入表!$I$630-参数输入表!$I$636)*(1-参数输入表!$I$623)*参数输入表!$I$36*时间序列!J22/(参数输入表!$I$622*12)</f>
        <v>0</v>
      </c>
      <c r="N33" s="376">
        <f ca="1">(参数输入表!$I$217-参数输入表!$I$221-参数输入表!$I$625-参数输入表!$I$630-参数输入表!$I$636)*(1-参数输入表!$I$623)*参数输入表!$I$36*时间序列!K22/(参数输入表!$I$622*12)</f>
        <v>0</v>
      </c>
      <c r="O33" s="376">
        <f ca="1">(参数输入表!$I$217-参数输入表!$I$221-参数输入表!$I$625-参数输入表!$I$630-参数输入表!$I$636)*(1-参数输入表!$I$623)*参数输入表!$I$36*时间序列!L22/(参数输入表!$I$622*12)</f>
        <v>0</v>
      </c>
      <c r="P33" s="376">
        <f ca="1">(参数输入表!$I$217-参数输入表!$I$221-参数输入表!$I$625-参数输入表!$I$630-参数输入表!$I$636)*(1-参数输入表!$I$623)*参数输入表!$I$36*时间序列!M22/(参数输入表!$I$622*12)</f>
        <v>0</v>
      </c>
      <c r="Q33" s="376">
        <f ca="1">(参数输入表!$I$217-参数输入表!$I$221-参数输入表!$I$625-参数输入表!$I$630-参数输入表!$I$636)*(1-参数输入表!$I$623)*参数输入表!$I$36*时间序列!N22/(参数输入表!$I$622*12)</f>
        <v>0</v>
      </c>
      <c r="R33" s="376">
        <f ca="1">(参数输入表!$I$217-参数输入表!$I$221-参数输入表!$I$625-参数输入表!$I$630-参数输入表!$I$636)*(1-参数输入表!$I$623)*参数输入表!$I$36*时间序列!O22/(参数输入表!$I$622*12)</f>
        <v>0</v>
      </c>
      <c r="S33" s="376">
        <f ca="1">(参数输入表!$I$217-参数输入表!$I$221-参数输入表!$I$625-参数输入表!$I$630-参数输入表!$I$636)*(1-参数输入表!$I$623)*参数输入表!$I$36*时间序列!P22/(参数输入表!$I$622*12)</f>
        <v>0</v>
      </c>
      <c r="T33" s="376">
        <f ca="1">(参数输入表!$I$217-参数输入表!$I$221-参数输入表!$I$625-参数输入表!$I$630-参数输入表!$I$636)*(1-参数输入表!$I$623)*参数输入表!$I$36*时间序列!Q22/(参数输入表!$I$622*12)</f>
        <v>0</v>
      </c>
      <c r="U33" s="376">
        <f ca="1">(参数输入表!$I$217-参数输入表!$I$221-参数输入表!$I$625-参数输入表!$I$630-参数输入表!$I$636)*(1-参数输入表!$I$623)*参数输入表!$I$36*时间序列!R22/(参数输入表!$I$622*12)</f>
        <v>0</v>
      </c>
      <c r="V33" s="376">
        <f ca="1">(参数输入表!$I$217-参数输入表!$I$221-参数输入表!$I$625-参数输入表!$I$630-参数输入表!$I$636)*(1-参数输入表!$I$623)*参数输入表!$I$36*时间序列!S22/(参数输入表!$I$622*12)</f>
        <v>0</v>
      </c>
      <c r="W33" s="376">
        <f ca="1">(参数输入表!$I$217-参数输入表!$I$221-参数输入表!$I$625-参数输入表!$I$630-参数输入表!$I$636)*(1-参数输入表!$I$623)*参数输入表!$I$36*时间序列!T22/(参数输入表!$I$622*12)</f>
        <v>0</v>
      </c>
      <c r="X33" s="376">
        <f ca="1">(参数输入表!$I$217-参数输入表!$I$221-参数输入表!$I$625-参数输入表!$I$630-参数输入表!$I$636)*(1-参数输入表!$I$623)*参数输入表!$I$36*时间序列!U22/(参数输入表!$I$622*12)</f>
        <v>0</v>
      </c>
      <c r="Y33" s="376">
        <f ca="1">(参数输入表!$I$217-参数输入表!$I$221-参数输入表!$I$625-参数输入表!$I$630-参数输入表!$I$636)*(1-参数输入表!$I$623)*参数输入表!$I$36*时间序列!V22/(参数输入表!$I$622*12)</f>
        <v>0</v>
      </c>
      <c r="Z33" s="376">
        <f ca="1">(参数输入表!$I$217-参数输入表!$I$221-参数输入表!$I$625-参数输入表!$I$630-参数输入表!$I$636)*(1-参数输入表!$I$623)*参数输入表!$I$36*时间序列!W22/(参数输入表!$I$622*12)</f>
        <v>0</v>
      </c>
      <c r="AA33" s="376">
        <f ca="1">(参数输入表!$I$217-参数输入表!$I$221-参数输入表!$I$625-参数输入表!$I$630-参数输入表!$I$636)*(1-参数输入表!$I$623)*参数输入表!$I$36*时间序列!X22/(参数输入表!$I$622*12)</f>
        <v>0</v>
      </c>
      <c r="AB33" s="376">
        <f ca="1">(参数输入表!$I$217-参数输入表!$I$221-参数输入表!$I$625-参数输入表!$I$630-参数输入表!$I$636)*(1-参数输入表!$I$623)*参数输入表!$I$36*时间序列!Y22/(参数输入表!$I$622*12)</f>
        <v>0</v>
      </c>
      <c r="AC33" s="376">
        <f ca="1">(参数输入表!$I$217-参数输入表!$I$221-参数输入表!$I$625-参数输入表!$I$630-参数输入表!$I$636)*(1-参数输入表!$I$623)*参数输入表!$I$36*时间序列!Z22/(参数输入表!$I$622*12)</f>
        <v>0</v>
      </c>
      <c r="AD33" s="376">
        <f ca="1">(参数输入表!$I$217-参数输入表!$I$221-参数输入表!$I$625-参数输入表!$I$630-参数输入表!$I$636)*(1-参数输入表!$I$623)*参数输入表!$I$36*时间序列!AA22/(参数输入表!$I$622*12)</f>
        <v>0</v>
      </c>
      <c r="AE33" s="376">
        <f ca="1">(参数输入表!$I$217-参数输入表!$I$221-参数输入表!$I$625-参数输入表!$I$630-参数输入表!$I$636)*(1-参数输入表!$I$623)*参数输入表!$I$36*时间序列!AB22/(参数输入表!$I$622*12)</f>
        <v>0</v>
      </c>
      <c r="AF33" s="376">
        <f ca="1">(参数输入表!$I$217-参数输入表!$I$221-参数输入表!$I$625-参数输入表!$I$630-参数输入表!$I$636)*(1-参数输入表!$I$623)*参数输入表!$I$36*时间序列!AC22/(参数输入表!$I$622*12)</f>
        <v>0</v>
      </c>
      <c r="AG33" s="376">
        <f ca="1">(参数输入表!$I$217-参数输入表!$I$221-参数输入表!$I$625-参数输入表!$I$630-参数输入表!$I$636)*(1-参数输入表!$I$623)*参数输入表!$I$36*时间序列!AD22/(参数输入表!$I$622*12)</f>
        <v>0</v>
      </c>
      <c r="AH33" s="376">
        <f ca="1">(参数输入表!$I$217-参数输入表!$I$221-参数输入表!$I$625-参数输入表!$I$630-参数输入表!$I$636)*(1-参数输入表!$I$623)*参数输入表!$I$36*时间序列!AE22/(参数输入表!$I$622*12)</f>
        <v>0</v>
      </c>
      <c r="AI33" s="376">
        <f ca="1">(参数输入表!$I$217-参数输入表!$I$221-参数输入表!$I$625-参数输入表!$I$630-参数输入表!$I$636)*(1-参数输入表!$I$623)*参数输入表!$I$36*时间序列!AF22/(参数输入表!$I$622*12)</f>
        <v>0</v>
      </c>
      <c r="AJ33" s="376">
        <f ca="1">(参数输入表!$I$217-参数输入表!$I$221-参数输入表!$I$625-参数输入表!$I$630-参数输入表!$I$636)*(1-参数输入表!$I$623)*参数输入表!$I$36*时间序列!AG22/(参数输入表!$I$622*12)</f>
        <v>0</v>
      </c>
      <c r="AK33" s="376">
        <f ca="1">(参数输入表!$I$217-参数输入表!$I$221-参数输入表!$I$625-参数输入表!$I$630-参数输入表!$I$636)*(1-参数输入表!$I$623)*参数输入表!$I$36*时间序列!AH22/(参数输入表!$I$622*12)</f>
        <v>0</v>
      </c>
      <c r="AL33" s="376">
        <f ca="1">(参数输入表!$I$217-参数输入表!$I$221-参数输入表!$I$625-参数输入表!$I$630-参数输入表!$I$636)*(1-参数输入表!$I$623)*参数输入表!$I$36*时间序列!AI22/(参数输入表!$I$622*12)</f>
        <v>0</v>
      </c>
      <c r="AM33" s="376">
        <f ca="1">(参数输入表!$I$217-参数输入表!$I$221-参数输入表!$I$625-参数输入表!$I$630-参数输入表!$I$636)*(1-参数输入表!$I$623)*参数输入表!$I$36*时间序列!AJ22/(参数输入表!$I$622*12)</f>
        <v>0</v>
      </c>
      <c r="AN33" s="376">
        <f ca="1">(参数输入表!$I$217-参数输入表!$I$221-参数输入表!$I$625-参数输入表!$I$630-参数输入表!$I$636)*(1-参数输入表!$I$623)*参数输入表!$I$36*时间序列!AK22/(参数输入表!$I$622*12)</f>
        <v>0</v>
      </c>
      <c r="AO33" s="376">
        <f ca="1">(参数输入表!$I$217-参数输入表!$I$221-参数输入表!$I$625-参数输入表!$I$630-参数输入表!$I$636)*(1-参数输入表!$I$623)*参数输入表!$I$36*时间序列!AL22/(参数输入表!$I$622*12)</f>
        <v>0</v>
      </c>
      <c r="AP33" s="376">
        <f ca="1">(参数输入表!$I$217-参数输入表!$I$221-参数输入表!$I$625-参数输入表!$I$630-参数输入表!$I$636)*(1-参数输入表!$I$623)*参数输入表!$I$36*时间序列!AM22/(参数输入表!$I$622*12)</f>
        <v>0</v>
      </c>
      <c r="AQ33" s="376">
        <f ca="1">(参数输入表!$I$217-参数输入表!$I$221-参数输入表!$I$625-参数输入表!$I$630-参数输入表!$I$636)*(1-参数输入表!$I$623)*参数输入表!$I$36*时间序列!AN22/(参数输入表!$I$622*12)</f>
        <v>0</v>
      </c>
      <c r="AR33" s="376">
        <f ca="1">(参数输入表!$I$217-参数输入表!$I$221-参数输入表!$I$625-参数输入表!$I$630-参数输入表!$I$636)*(1-参数输入表!$I$623)*参数输入表!$I$36*时间序列!AO22/(参数输入表!$I$622*12)</f>
        <v>0</v>
      </c>
      <c r="AS33" s="376">
        <f ca="1">(参数输入表!$I$217-参数输入表!$I$221-参数输入表!$I$625-参数输入表!$I$630-参数输入表!$I$636)*(1-参数输入表!$I$623)*参数输入表!$I$36*时间序列!AP22/(参数输入表!$I$622*12)</f>
        <v>0</v>
      </c>
      <c r="AT33" s="376">
        <f ca="1">(参数输入表!$I$217-参数输入表!$I$221-参数输入表!$I$625-参数输入表!$I$630-参数输入表!$I$636)*(1-参数输入表!$I$623)*参数输入表!$I$36*时间序列!AQ22/(参数输入表!$I$622*12)</f>
        <v>0</v>
      </c>
      <c r="AU33" s="376">
        <f ca="1">(参数输入表!$I$217-参数输入表!$I$221-参数输入表!$I$625-参数输入表!$I$630-参数输入表!$I$636)*(1-参数输入表!$I$623)*参数输入表!$I$36*时间序列!AR22/(参数输入表!$I$622*12)</f>
        <v>0</v>
      </c>
      <c r="AV33" s="376">
        <f ca="1">(参数输入表!$I$217-参数输入表!$I$221-参数输入表!$I$625-参数输入表!$I$630-参数输入表!$I$636)*(1-参数输入表!$I$623)*参数输入表!$I$36*时间序列!AS22/(参数输入表!$I$622*12)</f>
        <v>0</v>
      </c>
      <c r="AW33" s="376">
        <f ca="1">(参数输入表!$I$217-参数输入表!$I$221-参数输入表!$I$625-参数输入表!$I$630-参数输入表!$I$636)*(1-参数输入表!$I$623)*参数输入表!$I$36*时间序列!AT22/(参数输入表!$I$622*12)</f>
        <v>0</v>
      </c>
      <c r="AX33" s="376">
        <f ca="1">(参数输入表!$I$217-参数输入表!$I$221-参数输入表!$I$625-参数输入表!$I$630-参数输入表!$I$636)*(1-参数输入表!$I$623)*参数输入表!$I$36*时间序列!AU22/(参数输入表!$I$622*12)</f>
        <v>0</v>
      </c>
      <c r="AY33" s="376">
        <f ca="1">(参数输入表!$I$217-参数输入表!$I$221-参数输入表!$I$625-参数输入表!$I$630-参数输入表!$I$636)*(1-参数输入表!$I$623)*参数输入表!$I$36*时间序列!AV22/(参数输入表!$I$622*12)</f>
        <v>0</v>
      </c>
      <c r="AZ33" s="376">
        <f ca="1">(参数输入表!$I$217-参数输入表!$I$221-参数输入表!$I$625-参数输入表!$I$630-参数输入表!$I$636)*(1-参数输入表!$I$623)*参数输入表!$I$36*时间序列!AW22/(参数输入表!$I$622*12)</f>
        <v>0</v>
      </c>
      <c r="BA33" s="377">
        <f ca="1">(参数输入表!$I$217-参数输入表!$I$221-参数输入表!$I$625-参数输入表!$I$630-参数输入表!$I$636)*(1-参数输入表!$I$623)*参数输入表!$I$36*时间序列!AX22/(参数输入表!$I$622*12)</f>
        <v>0</v>
      </c>
    </row>
    <row r="34" s="307" customFormat="1" ht="14.5" spans="2:53">
      <c r="B34" s="360"/>
      <c r="C34" s="374" t="s">
        <v>472</v>
      </c>
      <c r="D34" s="375">
        <f ca="1">SUM(F34:BA34)</f>
        <v>0</v>
      </c>
      <c r="E34" s="266" t="s">
        <v>130</v>
      </c>
      <c r="F34" s="376">
        <f ca="1">(参数输入表!$I$217-参数输入表!$I$221-参数输入表!$I$625-参数输入表!$I$630-参数输入表!$I$636)*(1-参数输入表!$I$623)*参数输入表!$I$37*时间序列!C50/(参数输入表!$I$622*12)</f>
        <v>0</v>
      </c>
      <c r="G34" s="376">
        <f ca="1">(参数输入表!$I$217-参数输入表!$I$221-参数输入表!$I$625-参数输入表!$I$630-参数输入表!$I$636)*(1-参数输入表!$I$623)*参数输入表!$I$37*时间序列!D50/(参数输入表!$I$622*12)</f>
        <v>0</v>
      </c>
      <c r="H34" s="376">
        <f ca="1">(参数输入表!$I$217-参数输入表!$I$221-参数输入表!$I$625-参数输入表!$I$630-参数输入表!$I$636)*(1-参数输入表!$I$623)*参数输入表!$I$37*时间序列!E50/(参数输入表!$I$622*12)</f>
        <v>0</v>
      </c>
      <c r="I34" s="376">
        <f ca="1">(参数输入表!$I$217-参数输入表!$I$221-参数输入表!$I$625-参数输入表!$I$630-参数输入表!$I$636)*(1-参数输入表!$I$623)*参数输入表!$I$37*时间序列!F50/(参数输入表!$I$622*12)</f>
        <v>0</v>
      </c>
      <c r="J34" s="376">
        <f ca="1">(参数输入表!$I$217-参数输入表!$I$221-参数输入表!$I$625-参数输入表!$I$630-参数输入表!$I$636)*(1-参数输入表!$I$623)*参数输入表!$I$37*时间序列!G50/(参数输入表!$I$622*12)</f>
        <v>0</v>
      </c>
      <c r="K34" s="376">
        <f ca="1">(参数输入表!$I$217-参数输入表!$I$221-参数输入表!$I$625-参数输入表!$I$630-参数输入表!$I$636)*(1-参数输入表!$I$623)*参数输入表!$I$37*时间序列!H50/(参数输入表!$I$622*12)</f>
        <v>0</v>
      </c>
      <c r="L34" s="376">
        <f ca="1">(参数输入表!$I$217-参数输入表!$I$221-参数输入表!$I$625-参数输入表!$I$630-参数输入表!$I$636)*(1-参数输入表!$I$623)*参数输入表!$I$37*时间序列!I50/(参数输入表!$I$622*12)</f>
        <v>0</v>
      </c>
      <c r="M34" s="376">
        <f ca="1">(参数输入表!$I$217-参数输入表!$I$221-参数输入表!$I$625-参数输入表!$I$630-参数输入表!$I$636)*(1-参数输入表!$I$623)*参数输入表!$I$37*时间序列!J50/(参数输入表!$I$622*12)</f>
        <v>0</v>
      </c>
      <c r="N34" s="376">
        <f ca="1">(参数输入表!$I$217-参数输入表!$I$221-参数输入表!$I$625-参数输入表!$I$630-参数输入表!$I$636)*(1-参数输入表!$I$623)*参数输入表!$I$37*时间序列!K50/(参数输入表!$I$622*12)</f>
        <v>0</v>
      </c>
      <c r="O34" s="376">
        <f ca="1">(参数输入表!$I$217-参数输入表!$I$221-参数输入表!$I$625-参数输入表!$I$630-参数输入表!$I$636)*(1-参数输入表!$I$623)*参数输入表!$I$37*时间序列!L50/(参数输入表!$I$622*12)</f>
        <v>0</v>
      </c>
      <c r="P34" s="376">
        <f ca="1">(参数输入表!$I$217-参数输入表!$I$221-参数输入表!$I$625-参数输入表!$I$630-参数输入表!$I$636)*(1-参数输入表!$I$623)*参数输入表!$I$37*时间序列!M50/(参数输入表!$I$622*12)</f>
        <v>0</v>
      </c>
      <c r="Q34" s="376">
        <f ca="1">(参数输入表!$I$217-参数输入表!$I$221-参数输入表!$I$625-参数输入表!$I$630-参数输入表!$I$636)*(1-参数输入表!$I$623)*参数输入表!$I$37*时间序列!N50/(参数输入表!$I$622*12)</f>
        <v>0</v>
      </c>
      <c r="R34" s="376">
        <f ca="1">(参数输入表!$I$217-参数输入表!$I$221-参数输入表!$I$625-参数输入表!$I$630-参数输入表!$I$636)*(1-参数输入表!$I$623)*参数输入表!$I$37*时间序列!O50/(参数输入表!$I$622*12)</f>
        <v>0</v>
      </c>
      <c r="S34" s="376">
        <f ca="1">(参数输入表!$I$217-参数输入表!$I$221-参数输入表!$I$625-参数输入表!$I$630-参数输入表!$I$636)*(1-参数输入表!$I$623)*参数输入表!$I$37*时间序列!P50/(参数输入表!$I$622*12)</f>
        <v>0</v>
      </c>
      <c r="T34" s="376">
        <f ca="1">(参数输入表!$I$217-参数输入表!$I$221-参数输入表!$I$625-参数输入表!$I$630-参数输入表!$I$636)*(1-参数输入表!$I$623)*参数输入表!$I$37*时间序列!Q50/(参数输入表!$I$622*12)</f>
        <v>0</v>
      </c>
      <c r="U34" s="376">
        <f ca="1">(参数输入表!$I$217-参数输入表!$I$221-参数输入表!$I$625-参数输入表!$I$630-参数输入表!$I$636)*(1-参数输入表!$I$623)*参数输入表!$I$37*时间序列!R50/(参数输入表!$I$622*12)</f>
        <v>0</v>
      </c>
      <c r="V34" s="376">
        <f ca="1">(参数输入表!$I$217-参数输入表!$I$221-参数输入表!$I$625-参数输入表!$I$630-参数输入表!$I$636)*(1-参数输入表!$I$623)*参数输入表!$I$37*时间序列!S50/(参数输入表!$I$622*12)</f>
        <v>0</v>
      </c>
      <c r="W34" s="376">
        <f ca="1">(参数输入表!$I$217-参数输入表!$I$221-参数输入表!$I$625-参数输入表!$I$630-参数输入表!$I$636)*(1-参数输入表!$I$623)*参数输入表!$I$37*时间序列!T50/(参数输入表!$I$622*12)</f>
        <v>0</v>
      </c>
      <c r="X34" s="376">
        <f ca="1">(参数输入表!$I$217-参数输入表!$I$221-参数输入表!$I$625-参数输入表!$I$630-参数输入表!$I$636)*(1-参数输入表!$I$623)*参数输入表!$I$37*时间序列!U50/(参数输入表!$I$622*12)</f>
        <v>0</v>
      </c>
      <c r="Y34" s="376">
        <f ca="1">(参数输入表!$I$217-参数输入表!$I$221-参数输入表!$I$625-参数输入表!$I$630-参数输入表!$I$636)*(1-参数输入表!$I$623)*参数输入表!$I$37*时间序列!V50/(参数输入表!$I$622*12)</f>
        <v>0</v>
      </c>
      <c r="Z34" s="376">
        <f ca="1">(参数输入表!$I$217-参数输入表!$I$221-参数输入表!$I$625-参数输入表!$I$630-参数输入表!$I$636)*(1-参数输入表!$I$623)*参数输入表!$I$37*时间序列!W50/(参数输入表!$I$622*12)</f>
        <v>0</v>
      </c>
      <c r="AA34" s="376">
        <f ca="1">(参数输入表!$I$217-参数输入表!$I$221-参数输入表!$I$625-参数输入表!$I$630-参数输入表!$I$636)*(1-参数输入表!$I$623)*参数输入表!$I$37*时间序列!X50/(参数输入表!$I$622*12)</f>
        <v>0</v>
      </c>
      <c r="AB34" s="376">
        <f ca="1">(参数输入表!$I$217-参数输入表!$I$221-参数输入表!$I$625-参数输入表!$I$630-参数输入表!$I$636)*(1-参数输入表!$I$623)*参数输入表!$I$37*时间序列!Y50/(参数输入表!$I$622*12)</f>
        <v>0</v>
      </c>
      <c r="AC34" s="376">
        <f ca="1">(参数输入表!$I$217-参数输入表!$I$221-参数输入表!$I$625-参数输入表!$I$630-参数输入表!$I$636)*(1-参数输入表!$I$623)*参数输入表!$I$37*时间序列!Z50/(参数输入表!$I$622*12)</f>
        <v>0</v>
      </c>
      <c r="AD34" s="376">
        <f ca="1">(参数输入表!$I$217-参数输入表!$I$221-参数输入表!$I$625-参数输入表!$I$630-参数输入表!$I$636)*(1-参数输入表!$I$623)*参数输入表!$I$37*时间序列!AA50/(参数输入表!$I$622*12)</f>
        <v>0</v>
      </c>
      <c r="AE34" s="376">
        <f ca="1">(参数输入表!$I$217-参数输入表!$I$221-参数输入表!$I$625-参数输入表!$I$630-参数输入表!$I$636)*(1-参数输入表!$I$623)*参数输入表!$I$37*时间序列!AB50/(参数输入表!$I$622*12)</f>
        <v>0</v>
      </c>
      <c r="AF34" s="376">
        <f ca="1">(参数输入表!$I$217-参数输入表!$I$221-参数输入表!$I$625-参数输入表!$I$630-参数输入表!$I$636)*(1-参数输入表!$I$623)*参数输入表!$I$37*时间序列!AC50/(参数输入表!$I$622*12)</f>
        <v>0</v>
      </c>
      <c r="AG34" s="376">
        <f ca="1">(参数输入表!$I$217-参数输入表!$I$221-参数输入表!$I$625-参数输入表!$I$630-参数输入表!$I$636)*(1-参数输入表!$I$623)*参数输入表!$I$37*时间序列!AD50/(参数输入表!$I$622*12)</f>
        <v>0</v>
      </c>
      <c r="AH34" s="376">
        <f ca="1">(参数输入表!$I$217-参数输入表!$I$221-参数输入表!$I$625-参数输入表!$I$630-参数输入表!$I$636)*(1-参数输入表!$I$623)*参数输入表!$I$37*时间序列!AE50/(参数输入表!$I$622*12)</f>
        <v>0</v>
      </c>
      <c r="AI34" s="376">
        <f ca="1">(参数输入表!$I$217-参数输入表!$I$221-参数输入表!$I$625-参数输入表!$I$630-参数输入表!$I$636)*(1-参数输入表!$I$623)*参数输入表!$I$37*时间序列!AF50/(参数输入表!$I$622*12)</f>
        <v>0</v>
      </c>
      <c r="AJ34" s="376">
        <f ca="1">(参数输入表!$I$217-参数输入表!$I$221-参数输入表!$I$625-参数输入表!$I$630-参数输入表!$I$636)*(1-参数输入表!$I$623)*参数输入表!$I$37*时间序列!AG50/(参数输入表!$I$622*12)</f>
        <v>0</v>
      </c>
      <c r="AK34" s="376">
        <f ca="1">(参数输入表!$I$217-参数输入表!$I$221-参数输入表!$I$625-参数输入表!$I$630-参数输入表!$I$636)*(1-参数输入表!$I$623)*参数输入表!$I$37*时间序列!AH50/(参数输入表!$I$622*12)</f>
        <v>0</v>
      </c>
      <c r="AL34" s="376">
        <f ca="1">(参数输入表!$I$217-参数输入表!$I$221-参数输入表!$I$625-参数输入表!$I$630-参数输入表!$I$636)*(1-参数输入表!$I$623)*参数输入表!$I$37*时间序列!AI50/(参数输入表!$I$622*12)</f>
        <v>0</v>
      </c>
      <c r="AM34" s="376">
        <f ca="1">(参数输入表!$I$217-参数输入表!$I$221-参数输入表!$I$625-参数输入表!$I$630-参数输入表!$I$636)*(1-参数输入表!$I$623)*参数输入表!$I$37*时间序列!AJ50/(参数输入表!$I$622*12)</f>
        <v>0</v>
      </c>
      <c r="AN34" s="376">
        <f ca="1">(参数输入表!$I$217-参数输入表!$I$221-参数输入表!$I$625-参数输入表!$I$630-参数输入表!$I$636)*(1-参数输入表!$I$623)*参数输入表!$I$37*时间序列!AK50/(参数输入表!$I$622*12)</f>
        <v>0</v>
      </c>
      <c r="AO34" s="376">
        <f ca="1">(参数输入表!$I$217-参数输入表!$I$221-参数输入表!$I$625-参数输入表!$I$630-参数输入表!$I$636)*(1-参数输入表!$I$623)*参数输入表!$I$37*时间序列!AL50/(参数输入表!$I$622*12)</f>
        <v>0</v>
      </c>
      <c r="AP34" s="376">
        <f ca="1">(参数输入表!$I$217-参数输入表!$I$221-参数输入表!$I$625-参数输入表!$I$630-参数输入表!$I$636)*(1-参数输入表!$I$623)*参数输入表!$I$37*时间序列!AM50/(参数输入表!$I$622*12)</f>
        <v>0</v>
      </c>
      <c r="AQ34" s="376">
        <f ca="1">(参数输入表!$I$217-参数输入表!$I$221-参数输入表!$I$625-参数输入表!$I$630-参数输入表!$I$636)*(1-参数输入表!$I$623)*参数输入表!$I$37*时间序列!AN50/(参数输入表!$I$622*12)</f>
        <v>0</v>
      </c>
      <c r="AR34" s="376">
        <f ca="1">(参数输入表!$I$217-参数输入表!$I$221-参数输入表!$I$625-参数输入表!$I$630-参数输入表!$I$636)*(1-参数输入表!$I$623)*参数输入表!$I$37*时间序列!AO50/(参数输入表!$I$622*12)</f>
        <v>0</v>
      </c>
      <c r="AS34" s="376">
        <f ca="1">(参数输入表!$I$217-参数输入表!$I$221-参数输入表!$I$625-参数输入表!$I$630-参数输入表!$I$636)*(1-参数输入表!$I$623)*参数输入表!$I$37*时间序列!AP50/(参数输入表!$I$622*12)</f>
        <v>0</v>
      </c>
      <c r="AT34" s="376">
        <f ca="1">(参数输入表!$I$217-参数输入表!$I$221-参数输入表!$I$625-参数输入表!$I$630-参数输入表!$I$636)*(1-参数输入表!$I$623)*参数输入表!$I$37*时间序列!AQ50/(参数输入表!$I$622*12)</f>
        <v>0</v>
      </c>
      <c r="AU34" s="376">
        <f ca="1">(参数输入表!$I$217-参数输入表!$I$221-参数输入表!$I$625-参数输入表!$I$630-参数输入表!$I$636)*(1-参数输入表!$I$623)*参数输入表!$I$37*时间序列!AR50/(参数输入表!$I$622*12)</f>
        <v>0</v>
      </c>
      <c r="AV34" s="376">
        <f ca="1">(参数输入表!$I$217-参数输入表!$I$221-参数输入表!$I$625-参数输入表!$I$630-参数输入表!$I$636)*(1-参数输入表!$I$623)*参数输入表!$I$37*时间序列!AS50/(参数输入表!$I$622*12)</f>
        <v>0</v>
      </c>
      <c r="AW34" s="376">
        <f ca="1">(参数输入表!$I$217-参数输入表!$I$221-参数输入表!$I$625-参数输入表!$I$630-参数输入表!$I$636)*(1-参数输入表!$I$623)*参数输入表!$I$37*时间序列!AT50/(参数输入表!$I$622*12)</f>
        <v>0</v>
      </c>
      <c r="AX34" s="376">
        <f ca="1">(参数输入表!$I$217-参数输入表!$I$221-参数输入表!$I$625-参数输入表!$I$630-参数输入表!$I$636)*(1-参数输入表!$I$623)*参数输入表!$I$37*时间序列!AU50/(参数输入表!$I$622*12)</f>
        <v>0</v>
      </c>
      <c r="AY34" s="376">
        <f ca="1">(参数输入表!$I$217-参数输入表!$I$221-参数输入表!$I$625-参数输入表!$I$630-参数输入表!$I$636)*(1-参数输入表!$I$623)*参数输入表!$I$37*时间序列!AV50/(参数输入表!$I$622*12)</f>
        <v>0</v>
      </c>
      <c r="AZ34" s="376">
        <f ca="1">(参数输入表!$I$217-参数输入表!$I$221-参数输入表!$I$625-参数输入表!$I$630-参数输入表!$I$636)*(1-参数输入表!$I$623)*参数输入表!$I$37*时间序列!AW50/(参数输入表!$I$622*12)</f>
        <v>0</v>
      </c>
      <c r="BA34" s="377">
        <f ca="1">(参数输入表!$I$217-参数输入表!$I$221-参数输入表!$I$625-参数输入表!$I$630-参数输入表!$I$636)*(1-参数输入表!$I$623)*参数输入表!$I$37*时间序列!AX50/(参数输入表!$I$622*12)</f>
        <v>0</v>
      </c>
    </row>
    <row r="35" s="307" customFormat="1" ht="14.5" spans="2:53">
      <c r="B35" s="360"/>
      <c r="C35" s="374" t="s">
        <v>473</v>
      </c>
      <c r="D35" s="375">
        <f ca="1">SUM(F35:BA35)</f>
        <v>0</v>
      </c>
      <c r="E35" s="266" t="s">
        <v>130</v>
      </c>
      <c r="F35" s="376">
        <f ca="1">(参数输入表!$I$217-参数输入表!$I$221-参数输入表!$I$625-参数输入表!$I$630-参数输入表!$I$636)*(1-参数输入表!$I$623)*参数输入表!$I$38*时间序列!C78/(参数输入表!$I$622*12)</f>
        <v>0</v>
      </c>
      <c r="G35" s="376">
        <f ca="1">(参数输入表!$I$217-参数输入表!$I$221-参数输入表!$I$625-参数输入表!$I$630-参数输入表!$I$636)*(1-参数输入表!$I$623)*参数输入表!$I$38*时间序列!D78/(参数输入表!$I$622*12)</f>
        <v>0</v>
      </c>
      <c r="H35" s="376">
        <f ca="1">(参数输入表!$I$217-参数输入表!$I$221-参数输入表!$I$625-参数输入表!$I$630-参数输入表!$I$636)*(1-参数输入表!$I$623)*参数输入表!$I$38*时间序列!E78/(参数输入表!$I$622*12)</f>
        <v>0</v>
      </c>
      <c r="I35" s="376">
        <f ca="1">(参数输入表!$I$217-参数输入表!$I$221-参数输入表!$I$625-参数输入表!$I$630-参数输入表!$I$636)*(1-参数输入表!$I$623)*参数输入表!$I$38*时间序列!F78/(参数输入表!$I$622*12)</f>
        <v>0</v>
      </c>
      <c r="J35" s="376">
        <f ca="1">(参数输入表!$I$217-参数输入表!$I$221-参数输入表!$I$625-参数输入表!$I$630-参数输入表!$I$636)*(1-参数输入表!$I$623)*参数输入表!$I$38*时间序列!G78/(参数输入表!$I$622*12)</f>
        <v>0</v>
      </c>
      <c r="K35" s="376">
        <f ca="1">(参数输入表!$I$217-参数输入表!$I$221-参数输入表!$I$625-参数输入表!$I$630-参数输入表!$I$636)*(1-参数输入表!$I$623)*参数输入表!$I$38*时间序列!H78/(参数输入表!$I$622*12)</f>
        <v>0</v>
      </c>
      <c r="L35" s="376">
        <f ca="1">(参数输入表!$I$217-参数输入表!$I$221-参数输入表!$I$625-参数输入表!$I$630-参数输入表!$I$636)*(1-参数输入表!$I$623)*参数输入表!$I$38*时间序列!I78/(参数输入表!$I$622*12)</f>
        <v>0</v>
      </c>
      <c r="M35" s="376">
        <f ca="1">(参数输入表!$I$217-参数输入表!$I$221-参数输入表!$I$625-参数输入表!$I$630-参数输入表!$I$636)*(1-参数输入表!$I$623)*参数输入表!$I$38*时间序列!J78/(参数输入表!$I$622*12)</f>
        <v>0</v>
      </c>
      <c r="N35" s="376">
        <f ca="1">(参数输入表!$I$217-参数输入表!$I$221-参数输入表!$I$625-参数输入表!$I$630-参数输入表!$I$636)*(1-参数输入表!$I$623)*参数输入表!$I$38*时间序列!K78/(参数输入表!$I$622*12)</f>
        <v>0</v>
      </c>
      <c r="O35" s="376">
        <f ca="1">(参数输入表!$I$217-参数输入表!$I$221-参数输入表!$I$625-参数输入表!$I$630-参数输入表!$I$636)*(1-参数输入表!$I$623)*参数输入表!$I$38*时间序列!L78/(参数输入表!$I$622*12)</f>
        <v>0</v>
      </c>
      <c r="P35" s="376">
        <f ca="1">(参数输入表!$I$217-参数输入表!$I$221-参数输入表!$I$625-参数输入表!$I$630-参数输入表!$I$636)*(1-参数输入表!$I$623)*参数输入表!$I$38*时间序列!M78/(参数输入表!$I$622*12)</f>
        <v>0</v>
      </c>
      <c r="Q35" s="376">
        <f ca="1">(参数输入表!$I$217-参数输入表!$I$221-参数输入表!$I$625-参数输入表!$I$630-参数输入表!$I$636)*(1-参数输入表!$I$623)*参数输入表!$I$38*时间序列!N78/(参数输入表!$I$622*12)</f>
        <v>0</v>
      </c>
      <c r="R35" s="376">
        <f ca="1">(参数输入表!$I$217-参数输入表!$I$221-参数输入表!$I$625-参数输入表!$I$630-参数输入表!$I$636)*(1-参数输入表!$I$623)*参数输入表!$I$38*时间序列!O78/(参数输入表!$I$622*12)</f>
        <v>0</v>
      </c>
      <c r="S35" s="376">
        <f ca="1">(参数输入表!$I$217-参数输入表!$I$221-参数输入表!$I$625-参数输入表!$I$630-参数输入表!$I$636)*(1-参数输入表!$I$623)*参数输入表!$I$38*时间序列!P78/(参数输入表!$I$622*12)</f>
        <v>0</v>
      </c>
      <c r="T35" s="376">
        <f ca="1">(参数输入表!$I$217-参数输入表!$I$221-参数输入表!$I$625-参数输入表!$I$630-参数输入表!$I$636)*(1-参数输入表!$I$623)*参数输入表!$I$38*时间序列!Q78/(参数输入表!$I$622*12)</f>
        <v>0</v>
      </c>
      <c r="U35" s="376">
        <f ca="1">(参数输入表!$I$217-参数输入表!$I$221-参数输入表!$I$625-参数输入表!$I$630-参数输入表!$I$636)*(1-参数输入表!$I$623)*参数输入表!$I$38*时间序列!R78/(参数输入表!$I$622*12)</f>
        <v>0</v>
      </c>
      <c r="V35" s="376">
        <f ca="1">(参数输入表!$I$217-参数输入表!$I$221-参数输入表!$I$625-参数输入表!$I$630-参数输入表!$I$636)*(1-参数输入表!$I$623)*参数输入表!$I$38*时间序列!S78/(参数输入表!$I$622*12)</f>
        <v>0</v>
      </c>
      <c r="W35" s="376">
        <f ca="1">(参数输入表!$I$217-参数输入表!$I$221-参数输入表!$I$625-参数输入表!$I$630-参数输入表!$I$636)*(1-参数输入表!$I$623)*参数输入表!$I$38*时间序列!T78/(参数输入表!$I$622*12)</f>
        <v>0</v>
      </c>
      <c r="X35" s="376">
        <f ca="1">(参数输入表!$I$217-参数输入表!$I$221-参数输入表!$I$625-参数输入表!$I$630-参数输入表!$I$636)*(1-参数输入表!$I$623)*参数输入表!$I$38*时间序列!U78/(参数输入表!$I$622*12)</f>
        <v>0</v>
      </c>
      <c r="Y35" s="376">
        <f ca="1">(参数输入表!$I$217-参数输入表!$I$221-参数输入表!$I$625-参数输入表!$I$630-参数输入表!$I$636)*(1-参数输入表!$I$623)*参数输入表!$I$38*时间序列!V78/(参数输入表!$I$622*12)</f>
        <v>0</v>
      </c>
      <c r="Z35" s="376">
        <f ca="1">(参数输入表!$I$217-参数输入表!$I$221-参数输入表!$I$625-参数输入表!$I$630-参数输入表!$I$636)*(1-参数输入表!$I$623)*参数输入表!$I$38*时间序列!W78/(参数输入表!$I$622*12)</f>
        <v>0</v>
      </c>
      <c r="AA35" s="376">
        <f ca="1">(参数输入表!$I$217-参数输入表!$I$221-参数输入表!$I$625-参数输入表!$I$630-参数输入表!$I$636)*(1-参数输入表!$I$623)*参数输入表!$I$38*时间序列!X78/(参数输入表!$I$622*12)</f>
        <v>0</v>
      </c>
      <c r="AB35" s="376">
        <f ca="1">(参数输入表!$I$217-参数输入表!$I$221-参数输入表!$I$625-参数输入表!$I$630-参数输入表!$I$636)*(1-参数输入表!$I$623)*参数输入表!$I$38*时间序列!Y78/(参数输入表!$I$622*12)</f>
        <v>0</v>
      </c>
      <c r="AC35" s="376">
        <f ca="1">(参数输入表!$I$217-参数输入表!$I$221-参数输入表!$I$625-参数输入表!$I$630-参数输入表!$I$636)*(1-参数输入表!$I$623)*参数输入表!$I$38*时间序列!Z78/(参数输入表!$I$622*12)</f>
        <v>0</v>
      </c>
      <c r="AD35" s="376">
        <f ca="1">(参数输入表!$I$217-参数输入表!$I$221-参数输入表!$I$625-参数输入表!$I$630-参数输入表!$I$636)*(1-参数输入表!$I$623)*参数输入表!$I$38*时间序列!AA78/(参数输入表!$I$622*12)</f>
        <v>0</v>
      </c>
      <c r="AE35" s="376">
        <f ca="1">(参数输入表!$I$217-参数输入表!$I$221-参数输入表!$I$625-参数输入表!$I$630-参数输入表!$I$636)*(1-参数输入表!$I$623)*参数输入表!$I$38*时间序列!AB78/(参数输入表!$I$622*12)</f>
        <v>0</v>
      </c>
      <c r="AF35" s="376">
        <f ca="1">(参数输入表!$I$217-参数输入表!$I$221-参数输入表!$I$625-参数输入表!$I$630-参数输入表!$I$636)*(1-参数输入表!$I$623)*参数输入表!$I$38*时间序列!AC78/(参数输入表!$I$622*12)</f>
        <v>0</v>
      </c>
      <c r="AG35" s="376">
        <f ca="1">(参数输入表!$I$217-参数输入表!$I$221-参数输入表!$I$625-参数输入表!$I$630-参数输入表!$I$636)*(1-参数输入表!$I$623)*参数输入表!$I$38*时间序列!AD78/(参数输入表!$I$622*12)</f>
        <v>0</v>
      </c>
      <c r="AH35" s="376">
        <f ca="1">(参数输入表!$I$217-参数输入表!$I$221-参数输入表!$I$625-参数输入表!$I$630-参数输入表!$I$636)*(1-参数输入表!$I$623)*参数输入表!$I$38*时间序列!AE78/(参数输入表!$I$622*12)</f>
        <v>0</v>
      </c>
      <c r="AI35" s="376">
        <f ca="1">(参数输入表!$I$217-参数输入表!$I$221-参数输入表!$I$625-参数输入表!$I$630-参数输入表!$I$636)*(1-参数输入表!$I$623)*参数输入表!$I$38*时间序列!AF78/(参数输入表!$I$622*12)</f>
        <v>0</v>
      </c>
      <c r="AJ35" s="376">
        <f ca="1">(参数输入表!$I$217-参数输入表!$I$221-参数输入表!$I$625-参数输入表!$I$630-参数输入表!$I$636)*(1-参数输入表!$I$623)*参数输入表!$I$38*时间序列!AG78/(参数输入表!$I$622*12)</f>
        <v>0</v>
      </c>
      <c r="AK35" s="376">
        <f ca="1">(参数输入表!$I$217-参数输入表!$I$221-参数输入表!$I$625-参数输入表!$I$630-参数输入表!$I$636)*(1-参数输入表!$I$623)*参数输入表!$I$38*时间序列!AH78/(参数输入表!$I$622*12)</f>
        <v>0</v>
      </c>
      <c r="AL35" s="376">
        <f ca="1">(参数输入表!$I$217-参数输入表!$I$221-参数输入表!$I$625-参数输入表!$I$630-参数输入表!$I$636)*(1-参数输入表!$I$623)*参数输入表!$I$38*时间序列!AI78/(参数输入表!$I$622*12)</f>
        <v>0</v>
      </c>
      <c r="AM35" s="376">
        <f ca="1">(参数输入表!$I$217-参数输入表!$I$221-参数输入表!$I$625-参数输入表!$I$630-参数输入表!$I$636)*(1-参数输入表!$I$623)*参数输入表!$I$38*时间序列!AJ78/(参数输入表!$I$622*12)</f>
        <v>0</v>
      </c>
      <c r="AN35" s="376">
        <f ca="1">(参数输入表!$I$217-参数输入表!$I$221-参数输入表!$I$625-参数输入表!$I$630-参数输入表!$I$636)*(1-参数输入表!$I$623)*参数输入表!$I$38*时间序列!AK78/(参数输入表!$I$622*12)</f>
        <v>0</v>
      </c>
      <c r="AO35" s="376">
        <f ca="1">(参数输入表!$I$217-参数输入表!$I$221-参数输入表!$I$625-参数输入表!$I$630-参数输入表!$I$636)*(1-参数输入表!$I$623)*参数输入表!$I$38*时间序列!AL78/(参数输入表!$I$622*12)</f>
        <v>0</v>
      </c>
      <c r="AP35" s="376">
        <f ca="1">(参数输入表!$I$217-参数输入表!$I$221-参数输入表!$I$625-参数输入表!$I$630-参数输入表!$I$636)*(1-参数输入表!$I$623)*参数输入表!$I$38*时间序列!AM78/(参数输入表!$I$622*12)</f>
        <v>0</v>
      </c>
      <c r="AQ35" s="376">
        <f ca="1">(参数输入表!$I$217-参数输入表!$I$221-参数输入表!$I$625-参数输入表!$I$630-参数输入表!$I$636)*(1-参数输入表!$I$623)*参数输入表!$I$38*时间序列!AN78/(参数输入表!$I$622*12)</f>
        <v>0</v>
      </c>
      <c r="AR35" s="376">
        <f ca="1">(参数输入表!$I$217-参数输入表!$I$221-参数输入表!$I$625-参数输入表!$I$630-参数输入表!$I$636)*(1-参数输入表!$I$623)*参数输入表!$I$38*时间序列!AO78/(参数输入表!$I$622*12)</f>
        <v>0</v>
      </c>
      <c r="AS35" s="376">
        <f ca="1">(参数输入表!$I$217-参数输入表!$I$221-参数输入表!$I$625-参数输入表!$I$630-参数输入表!$I$636)*(1-参数输入表!$I$623)*参数输入表!$I$38*时间序列!AP78/(参数输入表!$I$622*12)</f>
        <v>0</v>
      </c>
      <c r="AT35" s="376">
        <f ca="1">(参数输入表!$I$217-参数输入表!$I$221-参数输入表!$I$625-参数输入表!$I$630-参数输入表!$I$636)*(1-参数输入表!$I$623)*参数输入表!$I$38*时间序列!AQ78/(参数输入表!$I$622*12)</f>
        <v>0</v>
      </c>
      <c r="AU35" s="376">
        <f ca="1">(参数输入表!$I$217-参数输入表!$I$221-参数输入表!$I$625-参数输入表!$I$630-参数输入表!$I$636)*(1-参数输入表!$I$623)*参数输入表!$I$38*时间序列!AR78/(参数输入表!$I$622*12)</f>
        <v>0</v>
      </c>
      <c r="AV35" s="376">
        <f ca="1">(参数输入表!$I$217-参数输入表!$I$221-参数输入表!$I$625-参数输入表!$I$630-参数输入表!$I$636)*(1-参数输入表!$I$623)*参数输入表!$I$38*时间序列!AS78/(参数输入表!$I$622*12)</f>
        <v>0</v>
      </c>
      <c r="AW35" s="376">
        <f ca="1">(参数输入表!$I$217-参数输入表!$I$221-参数输入表!$I$625-参数输入表!$I$630-参数输入表!$I$636)*(1-参数输入表!$I$623)*参数输入表!$I$38*时间序列!AT78/(参数输入表!$I$622*12)</f>
        <v>0</v>
      </c>
      <c r="AX35" s="376">
        <f ca="1">(参数输入表!$I$217-参数输入表!$I$221-参数输入表!$I$625-参数输入表!$I$630-参数输入表!$I$636)*(1-参数输入表!$I$623)*参数输入表!$I$38*时间序列!AU78/(参数输入表!$I$622*12)</f>
        <v>0</v>
      </c>
      <c r="AY35" s="376">
        <f ca="1">(参数输入表!$I$217-参数输入表!$I$221-参数输入表!$I$625-参数输入表!$I$630-参数输入表!$I$636)*(1-参数输入表!$I$623)*参数输入表!$I$38*时间序列!AV78/(参数输入表!$I$622*12)</f>
        <v>0</v>
      </c>
      <c r="AZ35" s="376">
        <f ca="1">(参数输入表!$I$217-参数输入表!$I$221-参数输入表!$I$625-参数输入表!$I$630-参数输入表!$I$636)*(1-参数输入表!$I$623)*参数输入表!$I$38*时间序列!AW78/(参数输入表!$I$622*12)</f>
        <v>0</v>
      </c>
      <c r="BA35" s="377">
        <f ca="1">(参数输入表!$I$217-参数输入表!$I$221-参数输入表!$I$625-参数输入表!$I$630-参数输入表!$I$636)*(1-参数输入表!$I$623)*参数输入表!$I$38*时间序列!AX78/(参数输入表!$I$622*12)</f>
        <v>0</v>
      </c>
    </row>
    <row r="36" s="307" customFormat="1" ht="14.5" spans="2:53">
      <c r="B36" s="360"/>
      <c r="C36" s="374" t="s">
        <v>474</v>
      </c>
      <c r="D36" s="375">
        <f ca="1">SUM(F36:BA36)</f>
        <v>759991.620286147</v>
      </c>
      <c r="E36" s="266" t="s">
        <v>130</v>
      </c>
      <c r="F36" s="376">
        <f ca="1">(参数输入表!$I$217-参数输入表!$I$221-参数输入表!$I$625-参数输入表!$I$630-参数输入表!$I$636)*(1-参数输入表!$I$623)*参数输入表!$I$39*时间序列!C106/(参数输入表!$I$622*12)</f>
        <v>0</v>
      </c>
      <c r="G36" s="376">
        <f ca="1">(参数输入表!$I$217-参数输入表!$I$221-参数输入表!$I$625-参数输入表!$I$630-参数输入表!$I$636)*(1-参数输入表!$I$623)*参数输入表!$I$39*时间序列!D106/(参数输入表!$I$622*12)</f>
        <v>0</v>
      </c>
      <c r="H36" s="376">
        <f ca="1">(参数输入表!$I$217-参数输入表!$I$221-参数输入表!$I$625-参数输入表!$I$630-参数输入表!$I$636)*(1-参数输入表!$I$623)*参数输入表!$I$39*时间序列!E106/(参数输入表!$I$622*12)</f>
        <v>0</v>
      </c>
      <c r="I36" s="376">
        <f ca="1">(参数输入表!$I$217-参数输入表!$I$221-参数输入表!$I$625-参数输入表!$I$630-参数输入表!$I$636)*(1-参数输入表!$I$623)*参数输入表!$I$39*时间序列!F106/(参数输入表!$I$622*12)</f>
        <v>0</v>
      </c>
      <c r="J36" s="376">
        <f ca="1">(参数输入表!$I$217-参数输入表!$I$221-参数输入表!$I$625-参数输入表!$I$630-参数输入表!$I$636)*(1-参数输入表!$I$623)*参数输入表!$I$39*时间序列!G106/(参数输入表!$I$622*12)</f>
        <v>0</v>
      </c>
      <c r="K36" s="376">
        <f ca="1">(参数输入表!$I$217-参数输入表!$I$221-参数输入表!$I$625-参数输入表!$I$630-参数输入表!$I$636)*(1-参数输入表!$I$623)*参数输入表!$I$39*时间序列!H106/(参数输入表!$I$622*12)</f>
        <v>0</v>
      </c>
      <c r="L36" s="376">
        <f ca="1">(参数输入表!$I$217-参数输入表!$I$221-参数输入表!$I$625-参数输入表!$I$630-参数输入表!$I$636)*(1-参数输入表!$I$623)*参数输入表!$I$39*时间序列!I106/(参数输入表!$I$622*12)</f>
        <v>0</v>
      </c>
      <c r="M36" s="376">
        <f ca="1">(参数输入表!$I$217-参数输入表!$I$221-参数输入表!$I$625-参数输入表!$I$630-参数输入表!$I$636)*(1-参数输入表!$I$623)*参数输入表!$I$39*时间序列!J106/(参数输入表!$I$622*12)</f>
        <v>10919.4198316975</v>
      </c>
      <c r="N36" s="376">
        <f ca="1">(参数输入表!$I$217-参数输入表!$I$221-参数输入表!$I$625-参数输入表!$I$630-参数输入表!$I$636)*(1-参数输入表!$I$623)*参数输入表!$I$39*时间序列!K106/(参数输入表!$I$622*12)</f>
        <v>26206.607596074</v>
      </c>
      <c r="O36" s="376">
        <f ca="1">(参数输入表!$I$217-参数输入表!$I$221-参数输入表!$I$625-参数输入表!$I$630-参数输入表!$I$636)*(1-参数输入表!$I$623)*参数输入表!$I$39*时间序列!L106/(参数输入表!$I$622*12)</f>
        <v>26206.607596074</v>
      </c>
      <c r="P36" s="376">
        <f ca="1">(参数输入表!$I$217-参数输入表!$I$221-参数输入表!$I$625-参数输入表!$I$630-参数输入表!$I$636)*(1-参数输入表!$I$623)*参数输入表!$I$39*时间序列!M106/(参数输入表!$I$622*12)</f>
        <v>26206.607596074</v>
      </c>
      <c r="Q36" s="376">
        <f ca="1">(参数输入表!$I$217-参数输入表!$I$221-参数输入表!$I$625-参数输入表!$I$630-参数输入表!$I$636)*(1-参数输入表!$I$623)*参数输入表!$I$39*时间序列!N106/(参数输入表!$I$622*12)</f>
        <v>26206.607596074</v>
      </c>
      <c r="R36" s="376">
        <f ca="1">(参数输入表!$I$217-参数输入表!$I$221-参数输入表!$I$625-参数输入表!$I$630-参数输入表!$I$636)*(1-参数输入表!$I$623)*参数输入表!$I$39*时间序列!O106/(参数输入表!$I$622*12)</f>
        <v>26206.607596074</v>
      </c>
      <c r="S36" s="376">
        <f ca="1">(参数输入表!$I$217-参数输入表!$I$221-参数输入表!$I$625-参数输入表!$I$630-参数输入表!$I$636)*(1-参数输入表!$I$623)*参数输入表!$I$39*时间序列!P106/(参数输入表!$I$622*12)</f>
        <v>26206.607596074</v>
      </c>
      <c r="T36" s="376">
        <f ca="1">(参数输入表!$I$217-参数输入表!$I$221-参数输入表!$I$625-参数输入表!$I$630-参数输入表!$I$636)*(1-参数输入表!$I$623)*参数输入表!$I$39*时间序列!Q106/(参数输入表!$I$622*12)</f>
        <v>26206.607596074</v>
      </c>
      <c r="U36" s="376">
        <f ca="1">(参数输入表!$I$217-参数输入表!$I$221-参数输入表!$I$625-参数输入表!$I$630-参数输入表!$I$636)*(1-参数输入表!$I$623)*参数输入表!$I$39*时间序列!R106/(参数输入表!$I$622*12)</f>
        <v>26206.607596074</v>
      </c>
      <c r="V36" s="376">
        <f ca="1">(参数输入表!$I$217-参数输入表!$I$221-参数输入表!$I$625-参数输入表!$I$630-参数输入表!$I$636)*(1-参数输入表!$I$623)*参数输入表!$I$39*时间序列!S106/(参数输入表!$I$622*12)</f>
        <v>26206.607596074</v>
      </c>
      <c r="W36" s="376">
        <f ca="1">(参数输入表!$I$217-参数输入表!$I$221-参数输入表!$I$625-参数输入表!$I$630-参数输入表!$I$636)*(1-参数输入表!$I$623)*参数输入表!$I$39*时间序列!T106/(参数输入表!$I$622*12)</f>
        <v>26206.607596074</v>
      </c>
      <c r="X36" s="376">
        <f ca="1">(参数输入表!$I$217-参数输入表!$I$221-参数输入表!$I$625-参数输入表!$I$630-参数输入表!$I$636)*(1-参数输入表!$I$623)*参数输入表!$I$39*时间序列!U106/(参数输入表!$I$622*12)</f>
        <v>26206.607596074</v>
      </c>
      <c r="Y36" s="376">
        <f ca="1">(参数输入表!$I$217-参数输入表!$I$221-参数输入表!$I$625-参数输入表!$I$630-参数输入表!$I$636)*(1-参数输入表!$I$623)*参数输入表!$I$39*时间序列!V106/(参数输入表!$I$622*12)</f>
        <v>26206.607596074</v>
      </c>
      <c r="Z36" s="376">
        <f ca="1">(参数输入表!$I$217-参数输入表!$I$221-参数输入表!$I$625-参数输入表!$I$630-参数输入表!$I$636)*(1-参数输入表!$I$623)*参数输入表!$I$39*时间序列!W106/(参数输入表!$I$622*12)</f>
        <v>26206.607596074</v>
      </c>
      <c r="AA36" s="376">
        <f ca="1">(参数输入表!$I$217-参数输入表!$I$221-参数输入表!$I$625-参数输入表!$I$630-参数输入表!$I$636)*(1-参数输入表!$I$623)*参数输入表!$I$39*时间序列!X106/(参数输入表!$I$622*12)</f>
        <v>26206.607596074</v>
      </c>
      <c r="AB36" s="376">
        <f ca="1">(参数输入表!$I$217-参数输入表!$I$221-参数输入表!$I$625-参数输入表!$I$630-参数输入表!$I$636)*(1-参数输入表!$I$623)*参数输入表!$I$39*时间序列!Y106/(参数输入表!$I$622*12)</f>
        <v>26206.607596074</v>
      </c>
      <c r="AC36" s="376">
        <f ca="1">(参数输入表!$I$217-参数输入表!$I$221-参数输入表!$I$625-参数输入表!$I$630-参数输入表!$I$636)*(1-参数输入表!$I$623)*参数输入表!$I$39*时间序列!Z106/(参数输入表!$I$622*12)</f>
        <v>26206.607596074</v>
      </c>
      <c r="AD36" s="376">
        <f ca="1">(参数输入表!$I$217-参数输入表!$I$221-参数输入表!$I$625-参数输入表!$I$630-参数输入表!$I$636)*(1-参数输入表!$I$623)*参数输入表!$I$39*时间序列!AA106/(参数输入表!$I$622*12)</f>
        <v>26206.607596074</v>
      </c>
      <c r="AE36" s="376">
        <f ca="1">(参数输入表!$I$217-参数输入表!$I$221-参数输入表!$I$625-参数输入表!$I$630-参数输入表!$I$636)*(1-参数输入表!$I$623)*参数输入表!$I$39*时间序列!AB106/(参数输入表!$I$622*12)</f>
        <v>26206.607596074</v>
      </c>
      <c r="AF36" s="376">
        <f ca="1">(参数输入表!$I$217-参数输入表!$I$221-参数输入表!$I$625-参数输入表!$I$630-参数输入表!$I$636)*(1-参数输入表!$I$623)*参数输入表!$I$39*时间序列!AC106/(参数输入表!$I$622*12)</f>
        <v>26206.607596074</v>
      </c>
      <c r="AG36" s="376">
        <f ca="1">(参数输入表!$I$217-参数输入表!$I$221-参数输入表!$I$625-参数输入表!$I$630-参数输入表!$I$636)*(1-参数输入表!$I$623)*参数输入表!$I$39*时间序列!AD106/(参数输入表!$I$622*12)</f>
        <v>26206.607596074</v>
      </c>
      <c r="AH36" s="376">
        <f ca="1">(参数输入表!$I$217-参数输入表!$I$221-参数输入表!$I$625-参数输入表!$I$630-参数输入表!$I$636)*(1-参数输入表!$I$623)*参数输入表!$I$39*时间序列!AE106/(参数输入表!$I$622*12)</f>
        <v>26206.607596074</v>
      </c>
      <c r="AI36" s="376">
        <f ca="1">(参数输入表!$I$217-参数输入表!$I$221-参数输入表!$I$625-参数输入表!$I$630-参数输入表!$I$636)*(1-参数输入表!$I$623)*参数输入表!$I$39*时间序列!AF106/(参数输入表!$I$622*12)</f>
        <v>26206.607596074</v>
      </c>
      <c r="AJ36" s="376">
        <f ca="1">(参数输入表!$I$217-参数输入表!$I$221-参数输入表!$I$625-参数输入表!$I$630-参数输入表!$I$636)*(1-参数输入表!$I$623)*参数输入表!$I$39*时间序列!AG106/(参数输入表!$I$622*12)</f>
        <v>26206.607596074</v>
      </c>
      <c r="AK36" s="376">
        <f ca="1">(参数输入表!$I$217-参数输入表!$I$221-参数输入表!$I$625-参数输入表!$I$630-参数输入表!$I$636)*(1-参数输入表!$I$623)*参数输入表!$I$39*时间序列!AH106/(参数输入表!$I$622*12)</f>
        <v>26206.607596074</v>
      </c>
      <c r="AL36" s="376">
        <f ca="1">(参数输入表!$I$217-参数输入表!$I$221-参数输入表!$I$625-参数输入表!$I$630-参数输入表!$I$636)*(1-参数输入表!$I$623)*参数输入表!$I$39*时间序列!AI106/(参数输入表!$I$622*12)</f>
        <v>26206.607596074</v>
      </c>
      <c r="AM36" s="376">
        <f ca="1">(参数输入表!$I$217-参数输入表!$I$221-参数输入表!$I$625-参数输入表!$I$630-参数输入表!$I$636)*(1-参数输入表!$I$623)*参数输入表!$I$39*时间序列!AJ106/(参数输入表!$I$622*12)</f>
        <v>26206.607596074</v>
      </c>
      <c r="AN36" s="376">
        <f ca="1">(参数输入表!$I$217-参数输入表!$I$221-参数输入表!$I$625-参数输入表!$I$630-参数输入表!$I$636)*(1-参数输入表!$I$623)*参数输入表!$I$39*时间序列!AK106/(参数输入表!$I$622*12)</f>
        <v>26206.607596074</v>
      </c>
      <c r="AO36" s="376">
        <f ca="1">(参数输入表!$I$217-参数输入表!$I$221-参数输入表!$I$625-参数输入表!$I$630-参数输入表!$I$636)*(1-参数输入表!$I$623)*参数输入表!$I$39*时间序列!AL106/(参数输入表!$I$622*12)</f>
        <v>26206.607596074</v>
      </c>
      <c r="AP36" s="376">
        <f ca="1">(参数输入表!$I$217-参数输入表!$I$221-参数输入表!$I$625-参数输入表!$I$630-参数输入表!$I$636)*(1-参数输入表!$I$623)*参数输入表!$I$39*时间序列!AM106/(参数输入表!$I$622*12)</f>
        <v>15287.1877643765</v>
      </c>
      <c r="AQ36" s="376">
        <f ca="1">(参数输入表!$I$217-参数输入表!$I$221-参数输入表!$I$625-参数输入表!$I$630-参数输入表!$I$636)*(1-参数输入表!$I$623)*参数输入表!$I$39*时间序列!AN106/(参数输入表!$I$622*12)</f>
        <v>0</v>
      </c>
      <c r="AR36" s="376">
        <f ca="1">(参数输入表!$I$217-参数输入表!$I$221-参数输入表!$I$625-参数输入表!$I$630-参数输入表!$I$636)*(1-参数输入表!$I$623)*参数输入表!$I$39*时间序列!AO106/(参数输入表!$I$622*12)</f>
        <v>0</v>
      </c>
      <c r="AS36" s="376">
        <f ca="1">(参数输入表!$I$217-参数输入表!$I$221-参数输入表!$I$625-参数输入表!$I$630-参数输入表!$I$636)*(1-参数输入表!$I$623)*参数输入表!$I$39*时间序列!AP106/(参数输入表!$I$622*12)</f>
        <v>0</v>
      </c>
      <c r="AT36" s="376">
        <f ca="1">(参数输入表!$I$217-参数输入表!$I$221-参数输入表!$I$625-参数输入表!$I$630-参数输入表!$I$636)*(1-参数输入表!$I$623)*参数输入表!$I$39*时间序列!AQ106/(参数输入表!$I$622*12)</f>
        <v>0</v>
      </c>
      <c r="AU36" s="376">
        <f ca="1">(参数输入表!$I$217-参数输入表!$I$221-参数输入表!$I$625-参数输入表!$I$630-参数输入表!$I$636)*(1-参数输入表!$I$623)*参数输入表!$I$39*时间序列!AR106/(参数输入表!$I$622*12)</f>
        <v>0</v>
      </c>
      <c r="AV36" s="376">
        <f ca="1">(参数输入表!$I$217-参数输入表!$I$221-参数输入表!$I$625-参数输入表!$I$630-参数输入表!$I$636)*(1-参数输入表!$I$623)*参数输入表!$I$39*时间序列!AS106/(参数输入表!$I$622*12)</f>
        <v>0</v>
      </c>
      <c r="AW36" s="376">
        <f ca="1">(参数输入表!$I$217-参数输入表!$I$221-参数输入表!$I$625-参数输入表!$I$630-参数输入表!$I$636)*(1-参数输入表!$I$623)*参数输入表!$I$39*时间序列!AT106/(参数输入表!$I$622*12)</f>
        <v>0</v>
      </c>
      <c r="AX36" s="376">
        <f ca="1">(参数输入表!$I$217-参数输入表!$I$221-参数输入表!$I$625-参数输入表!$I$630-参数输入表!$I$636)*(1-参数输入表!$I$623)*参数输入表!$I$39*时间序列!AU106/(参数输入表!$I$622*12)</f>
        <v>0</v>
      </c>
      <c r="AY36" s="376">
        <f ca="1">(参数输入表!$I$217-参数输入表!$I$221-参数输入表!$I$625-参数输入表!$I$630-参数输入表!$I$636)*(1-参数输入表!$I$623)*参数输入表!$I$39*时间序列!AV106/(参数输入表!$I$622*12)</f>
        <v>0</v>
      </c>
      <c r="AZ36" s="376">
        <f ca="1">(参数输入表!$I$217-参数输入表!$I$221-参数输入表!$I$625-参数输入表!$I$630-参数输入表!$I$636)*(1-参数输入表!$I$623)*参数输入表!$I$39*时间序列!AW106/(参数输入表!$I$622*12)</f>
        <v>0</v>
      </c>
      <c r="BA36" s="377">
        <f ca="1">(参数输入表!$I$217-参数输入表!$I$221-参数输入表!$I$625-参数输入表!$I$630-参数输入表!$I$636)*(1-参数输入表!$I$623)*参数输入表!$I$39*时间序列!AX106/(参数输入表!$I$622*12)</f>
        <v>0</v>
      </c>
    </row>
    <row r="37" s="307" customFormat="1" spans="2:53">
      <c r="B37" s="360"/>
      <c r="C37" s="378" t="s">
        <v>707</v>
      </c>
      <c r="D37" s="376"/>
      <c r="E37" s="266" t="s">
        <v>130</v>
      </c>
      <c r="F37" s="376">
        <f ca="1">F32</f>
        <v>0</v>
      </c>
      <c r="G37" s="376">
        <f ca="1">F37+G32</f>
        <v>0</v>
      </c>
      <c r="H37" s="376">
        <f ca="1" t="shared" ref="H37:P37" si="4">G37+H32</f>
        <v>0</v>
      </c>
      <c r="I37" s="376">
        <f ca="1" t="shared" si="4"/>
        <v>0</v>
      </c>
      <c r="J37" s="376">
        <f ca="1" t="shared" si="4"/>
        <v>0</v>
      </c>
      <c r="K37" s="376">
        <f ca="1" t="shared" si="4"/>
        <v>0</v>
      </c>
      <c r="L37" s="376">
        <f ca="1" t="shared" si="4"/>
        <v>0</v>
      </c>
      <c r="M37" s="376">
        <f ca="1" t="shared" si="4"/>
        <v>10919.4198316975</v>
      </c>
      <c r="N37" s="376">
        <f ca="1" t="shared" si="4"/>
        <v>37126.0274277716</v>
      </c>
      <c r="O37" s="376">
        <f ca="1" t="shared" si="4"/>
        <v>63332.6350238456</v>
      </c>
      <c r="P37" s="376">
        <f ca="1" t="shared" si="4"/>
        <v>89539.2426199197</v>
      </c>
      <c r="Q37" s="376">
        <f ca="1" t="shared" ref="Q37:BA37" si="5">P37+Q32</f>
        <v>115745.850215994</v>
      </c>
      <c r="R37" s="376">
        <f ca="1" t="shared" si="5"/>
        <v>141952.457812068</v>
      </c>
      <c r="S37" s="376">
        <f ca="1" t="shared" si="5"/>
        <v>168159.065408142</v>
      </c>
      <c r="T37" s="376">
        <f ca="1" t="shared" si="5"/>
        <v>194365.673004216</v>
      </c>
      <c r="U37" s="376">
        <f ca="1" t="shared" si="5"/>
        <v>220572.28060029</v>
      </c>
      <c r="V37" s="376">
        <f ca="1" t="shared" si="5"/>
        <v>246778.888196364</v>
      </c>
      <c r="W37" s="376">
        <f ca="1" t="shared" si="5"/>
        <v>272985.495792438</v>
      </c>
      <c r="X37" s="376">
        <f ca="1" t="shared" si="5"/>
        <v>299192.103388512</v>
      </c>
      <c r="Y37" s="376">
        <f ca="1" t="shared" si="5"/>
        <v>325398.710984586</v>
      </c>
      <c r="Z37" s="376">
        <f ca="1" t="shared" si="5"/>
        <v>351605.31858066</v>
      </c>
      <c r="AA37" s="376">
        <f ca="1" t="shared" si="5"/>
        <v>377811.926176734</v>
      </c>
      <c r="AB37" s="376">
        <f ca="1" t="shared" si="5"/>
        <v>404018.533772808</v>
      </c>
      <c r="AC37" s="376">
        <f ca="1" t="shared" si="5"/>
        <v>430225.141368882</v>
      </c>
      <c r="AD37" s="376">
        <f ca="1" t="shared" si="5"/>
        <v>456431.748964956</v>
      </c>
      <c r="AE37" s="376">
        <f ca="1" t="shared" si="5"/>
        <v>482638.35656103</v>
      </c>
      <c r="AF37" s="376">
        <f ca="1" t="shared" si="5"/>
        <v>508844.964157105</v>
      </c>
      <c r="AG37" s="376">
        <f ca="1" t="shared" si="5"/>
        <v>535051.571753179</v>
      </c>
      <c r="AH37" s="376">
        <f ca="1" t="shared" si="5"/>
        <v>561258.179349253</v>
      </c>
      <c r="AI37" s="376">
        <f ca="1" t="shared" si="5"/>
        <v>587464.786945327</v>
      </c>
      <c r="AJ37" s="376">
        <f ca="1" t="shared" si="5"/>
        <v>613671.394541401</v>
      </c>
      <c r="AK37" s="376">
        <f ca="1" t="shared" si="5"/>
        <v>639878.002137475</v>
      </c>
      <c r="AL37" s="376">
        <f ca="1" t="shared" si="5"/>
        <v>666084.609733549</v>
      </c>
      <c r="AM37" s="376">
        <f ca="1" t="shared" si="5"/>
        <v>692291.217329623</v>
      </c>
      <c r="AN37" s="376">
        <f ca="1" t="shared" si="5"/>
        <v>718497.824925697</v>
      </c>
      <c r="AO37" s="376">
        <f ca="1" t="shared" si="5"/>
        <v>744704.432521771</v>
      </c>
      <c r="AP37" s="376">
        <f ca="1" t="shared" si="5"/>
        <v>759991.620286147</v>
      </c>
      <c r="AQ37" s="376">
        <f ca="1" t="shared" si="5"/>
        <v>759991.620286147</v>
      </c>
      <c r="AR37" s="376">
        <f ca="1" t="shared" si="5"/>
        <v>759991.620286147</v>
      </c>
      <c r="AS37" s="376">
        <f ca="1" t="shared" si="5"/>
        <v>759991.620286147</v>
      </c>
      <c r="AT37" s="376">
        <f ca="1" t="shared" si="5"/>
        <v>759991.620286147</v>
      </c>
      <c r="AU37" s="376">
        <f ca="1" t="shared" si="5"/>
        <v>759991.620286147</v>
      </c>
      <c r="AV37" s="376">
        <f ca="1" t="shared" si="5"/>
        <v>759991.620286147</v>
      </c>
      <c r="AW37" s="376">
        <f ca="1" t="shared" si="5"/>
        <v>759991.620286147</v>
      </c>
      <c r="AX37" s="376">
        <f ca="1" t="shared" si="5"/>
        <v>759991.620286147</v>
      </c>
      <c r="AY37" s="376">
        <f ca="1" t="shared" si="5"/>
        <v>759991.620286147</v>
      </c>
      <c r="AZ37" s="376">
        <f ca="1" t="shared" si="5"/>
        <v>759991.620286147</v>
      </c>
      <c r="BA37" s="377">
        <f ca="1" t="shared" si="5"/>
        <v>759991.620286147</v>
      </c>
    </row>
    <row r="38" s="105" customFormat="1" ht="17.25" spans="2:53">
      <c r="B38" s="379"/>
      <c r="C38" s="380" t="s">
        <v>708</v>
      </c>
      <c r="D38" s="381"/>
      <c r="E38" s="382" t="s">
        <v>130</v>
      </c>
      <c r="F38" s="383">
        <f ca="1">F28-F37</f>
        <v>0</v>
      </c>
      <c r="G38" s="383">
        <f ca="1" t="shared" ref="G38:K38" si="6">G28-G37</f>
        <v>0</v>
      </c>
      <c r="H38" s="383">
        <f ca="1" t="shared" si="6"/>
        <v>0</v>
      </c>
      <c r="I38" s="383">
        <f ca="1" t="shared" si="6"/>
        <v>0</v>
      </c>
      <c r="J38" s="383">
        <f ca="1" t="shared" si="6"/>
        <v>0</v>
      </c>
      <c r="K38" s="383">
        <f ca="1" t="shared" si="6"/>
        <v>0</v>
      </c>
      <c r="L38" s="383">
        <f ca="1" t="shared" ref="L38:BA38" si="7">L28-L37</f>
        <v>0</v>
      </c>
      <c r="M38" s="383">
        <f ca="1" t="shared" si="7"/>
        <v>789071.759416879</v>
      </c>
      <c r="N38" s="383">
        <f ca="1" t="shared" si="7"/>
        <v>762865.151820805</v>
      </c>
      <c r="O38" s="383">
        <f ca="1" t="shared" si="7"/>
        <v>736658.544224731</v>
      </c>
      <c r="P38" s="383">
        <f ca="1" t="shared" si="7"/>
        <v>710451.936628657</v>
      </c>
      <c r="Q38" s="383">
        <f ca="1" t="shared" si="7"/>
        <v>684245.329032583</v>
      </c>
      <c r="R38" s="383">
        <f ca="1" t="shared" si="7"/>
        <v>658038.721436508</v>
      </c>
      <c r="S38" s="383">
        <f ca="1" t="shared" si="7"/>
        <v>631832.113840434</v>
      </c>
      <c r="T38" s="383">
        <f ca="1" t="shared" si="7"/>
        <v>605625.50624436</v>
      </c>
      <c r="U38" s="383">
        <f ca="1" t="shared" si="7"/>
        <v>579418.898648286</v>
      </c>
      <c r="V38" s="383">
        <f ca="1" t="shared" si="7"/>
        <v>553212.291052212</v>
      </c>
      <c r="W38" s="383">
        <f ca="1" t="shared" si="7"/>
        <v>527005.683456138</v>
      </c>
      <c r="X38" s="383">
        <f ca="1" t="shared" si="7"/>
        <v>500799.075860064</v>
      </c>
      <c r="Y38" s="383">
        <f ca="1" t="shared" si="7"/>
        <v>474592.46826399</v>
      </c>
      <c r="Z38" s="383">
        <f ca="1" t="shared" si="7"/>
        <v>448385.860667916</v>
      </c>
      <c r="AA38" s="383">
        <f ca="1" t="shared" si="7"/>
        <v>422179.253071842</v>
      </c>
      <c r="AB38" s="383">
        <f ca="1" t="shared" si="7"/>
        <v>395972.645475768</v>
      </c>
      <c r="AC38" s="383">
        <f ca="1" t="shared" si="7"/>
        <v>369766.037879694</v>
      </c>
      <c r="AD38" s="383">
        <f ca="1" t="shared" si="7"/>
        <v>343559.43028362</v>
      </c>
      <c r="AE38" s="383">
        <f ca="1" t="shared" si="7"/>
        <v>317352.822687546</v>
      </c>
      <c r="AF38" s="383">
        <f ca="1" t="shared" si="7"/>
        <v>291146.215091472</v>
      </c>
      <c r="AG38" s="383">
        <f ca="1" t="shared" si="7"/>
        <v>264939.607495398</v>
      </c>
      <c r="AH38" s="383">
        <f ca="1" t="shared" si="7"/>
        <v>238732.999899324</v>
      </c>
      <c r="AI38" s="383">
        <f ca="1" t="shared" si="7"/>
        <v>212526.39230325</v>
      </c>
      <c r="AJ38" s="383">
        <f ca="1" t="shared" si="7"/>
        <v>186319.784707176</v>
      </c>
      <c r="AK38" s="383">
        <f ca="1" t="shared" si="7"/>
        <v>160113.177111102</v>
      </c>
      <c r="AL38" s="383">
        <f ca="1" t="shared" si="7"/>
        <v>133906.569515028</v>
      </c>
      <c r="AM38" s="383">
        <f ca="1" t="shared" si="7"/>
        <v>107699.961918954</v>
      </c>
      <c r="AN38" s="383">
        <f ca="1" t="shared" si="7"/>
        <v>81493.3543228797</v>
      </c>
      <c r="AO38" s="383">
        <f ca="1" t="shared" si="7"/>
        <v>55286.7467268057</v>
      </c>
      <c r="AP38" s="383">
        <f ca="1" t="shared" si="7"/>
        <v>39999.5589624292</v>
      </c>
      <c r="AQ38" s="383">
        <f ca="1" t="shared" si="7"/>
        <v>39999.5589624292</v>
      </c>
      <c r="AR38" s="383">
        <f ca="1" t="shared" si="7"/>
        <v>39999.5589624292</v>
      </c>
      <c r="AS38" s="383">
        <f ca="1" t="shared" si="7"/>
        <v>39999.5589624292</v>
      </c>
      <c r="AT38" s="383">
        <f ca="1" t="shared" si="7"/>
        <v>39999.5589624292</v>
      </c>
      <c r="AU38" s="383">
        <f ca="1" t="shared" si="7"/>
        <v>39999.5589624292</v>
      </c>
      <c r="AV38" s="383">
        <f ca="1" t="shared" si="7"/>
        <v>39999.5589624292</v>
      </c>
      <c r="AW38" s="383">
        <f ca="1" t="shared" si="7"/>
        <v>39999.5589624292</v>
      </c>
      <c r="AX38" s="383">
        <f ca="1" t="shared" si="7"/>
        <v>39999.5589624292</v>
      </c>
      <c r="AY38" s="383">
        <f ca="1" t="shared" si="7"/>
        <v>39999.5589624292</v>
      </c>
      <c r="AZ38" s="383">
        <f ca="1" t="shared" si="7"/>
        <v>39999.5589624292</v>
      </c>
      <c r="BA38" s="384">
        <f ca="1" t="shared" si="7"/>
        <v>39999.5589624292</v>
      </c>
    </row>
    <row r="39" s="105" customFormat="1" spans="2:53">
      <c r="B39" s="355">
        <v>1.2</v>
      </c>
      <c r="C39" s="356" t="s">
        <v>709</v>
      </c>
      <c r="D39" s="357"/>
      <c r="E39" s="358" t="s">
        <v>130</v>
      </c>
      <c r="F39" s="357">
        <f>参数输入表!$I$625*F27</f>
        <v>0</v>
      </c>
      <c r="G39" s="357">
        <f>参数输入表!$I$625*G27</f>
        <v>0</v>
      </c>
      <c r="H39" s="357">
        <f>参数输入表!$I$625*H27</f>
        <v>0</v>
      </c>
      <c r="I39" s="357">
        <f>参数输入表!$I$625*I27</f>
        <v>0</v>
      </c>
      <c r="J39" s="357">
        <f>参数输入表!$I$625*J27</f>
        <v>0</v>
      </c>
      <c r="K39" s="357">
        <f>参数输入表!$I$625*K27</f>
        <v>0</v>
      </c>
      <c r="L39" s="357">
        <f>参数输入表!$I$625*L27</f>
        <v>0</v>
      </c>
      <c r="M39" s="357">
        <f>参数输入表!$I$625*M27</f>
        <v>7200</v>
      </c>
      <c r="N39" s="357">
        <f>参数输入表!$I$625*N27</f>
        <v>7200</v>
      </c>
      <c r="O39" s="357">
        <f>参数输入表!$I$625*O27</f>
        <v>7200</v>
      </c>
      <c r="P39" s="357">
        <f>参数输入表!$I$625*P27</f>
        <v>7200</v>
      </c>
      <c r="Q39" s="357">
        <f>参数输入表!$I$625*Q27</f>
        <v>7200</v>
      </c>
      <c r="R39" s="357">
        <f>参数输入表!$I$625*R27</f>
        <v>7200</v>
      </c>
      <c r="S39" s="357">
        <f>参数输入表!$I$625*S27</f>
        <v>7200</v>
      </c>
      <c r="T39" s="357">
        <f>参数输入表!$I$625*T27</f>
        <v>7200</v>
      </c>
      <c r="U39" s="357">
        <f>参数输入表!$I$625*U27</f>
        <v>7200</v>
      </c>
      <c r="V39" s="357">
        <f>参数输入表!$I$625*V27</f>
        <v>7200</v>
      </c>
      <c r="W39" s="357">
        <f>参数输入表!$I$625*W27</f>
        <v>7200</v>
      </c>
      <c r="X39" s="357">
        <f>参数输入表!$I$625*X27</f>
        <v>7200</v>
      </c>
      <c r="Y39" s="357">
        <f>参数输入表!$I$625*Y27</f>
        <v>7200</v>
      </c>
      <c r="Z39" s="357">
        <f>参数输入表!$I$625*Z27</f>
        <v>7200</v>
      </c>
      <c r="AA39" s="357">
        <f>参数输入表!$I$625*AA27</f>
        <v>7200</v>
      </c>
      <c r="AB39" s="357">
        <f>参数输入表!$I$625*AB27</f>
        <v>7200</v>
      </c>
      <c r="AC39" s="357">
        <f>参数输入表!$I$625*AC27</f>
        <v>7200</v>
      </c>
      <c r="AD39" s="357">
        <f>参数输入表!$I$625*AD27</f>
        <v>7200</v>
      </c>
      <c r="AE39" s="357">
        <f>参数输入表!$I$625*AE27</f>
        <v>7200</v>
      </c>
      <c r="AF39" s="357">
        <f>参数输入表!$I$625*AF27</f>
        <v>7200</v>
      </c>
      <c r="AG39" s="357">
        <f>参数输入表!$I$625*AG27</f>
        <v>7200</v>
      </c>
      <c r="AH39" s="357">
        <f>参数输入表!$I$625*AH27</f>
        <v>7200</v>
      </c>
      <c r="AI39" s="357">
        <f>参数输入表!$I$625*AI27</f>
        <v>7200</v>
      </c>
      <c r="AJ39" s="357">
        <f>参数输入表!$I$625*AJ27</f>
        <v>7200</v>
      </c>
      <c r="AK39" s="357">
        <f>参数输入表!$I$625*AK27</f>
        <v>7200</v>
      </c>
      <c r="AL39" s="357">
        <f>参数输入表!$I$625*AL27</f>
        <v>7200</v>
      </c>
      <c r="AM39" s="357">
        <f>参数输入表!$I$625*AM27</f>
        <v>7200</v>
      </c>
      <c r="AN39" s="357">
        <f>参数输入表!$I$625*AN27</f>
        <v>7200</v>
      </c>
      <c r="AO39" s="357">
        <f>参数输入表!$I$625*AO27</f>
        <v>7200</v>
      </c>
      <c r="AP39" s="357">
        <f>参数输入表!$I$625*AP27</f>
        <v>7200</v>
      </c>
      <c r="AQ39" s="357">
        <f>参数输入表!$I$625*AQ27</f>
        <v>7200</v>
      </c>
      <c r="AR39" s="357">
        <f>参数输入表!$I$625*AR27</f>
        <v>7200</v>
      </c>
      <c r="AS39" s="357">
        <f>参数输入表!$I$625*AS27</f>
        <v>7200</v>
      </c>
      <c r="AT39" s="357">
        <f>参数输入表!$I$625*AT27</f>
        <v>7200</v>
      </c>
      <c r="AU39" s="357">
        <f>参数输入表!$I$625*AU27</f>
        <v>7200</v>
      </c>
      <c r="AV39" s="357">
        <f>参数输入表!$I$625*AV27</f>
        <v>7200</v>
      </c>
      <c r="AW39" s="357">
        <f>参数输入表!$I$625*AW27</f>
        <v>7200</v>
      </c>
      <c r="AX39" s="357">
        <f>参数输入表!$I$625*AX27</f>
        <v>7200</v>
      </c>
      <c r="AY39" s="357">
        <f>参数输入表!$I$625*AY27</f>
        <v>7200</v>
      </c>
      <c r="AZ39" s="357">
        <f>参数输入表!$I$625*AZ27</f>
        <v>7200</v>
      </c>
      <c r="BA39" s="359">
        <f>参数输入表!$I$625*BA27</f>
        <v>7200</v>
      </c>
    </row>
    <row r="40" s="105" customFormat="1" spans="2:53">
      <c r="B40" s="360"/>
      <c r="C40" s="361" t="s">
        <v>703</v>
      </c>
      <c r="D40" s="362">
        <f ca="1" t="shared" ref="D40:D47" si="8">SUM(F40:BA40)</f>
        <v>7200</v>
      </c>
      <c r="E40" s="363" t="s">
        <v>130</v>
      </c>
      <c r="F40" s="362">
        <f ca="1">IF(F26-参数输入表!$I$4&gt;0,0,('表1-资金筹措及还本付息表'!F8+'表1-资金筹措及还本付息表'!G8+'表1-资金筹措及还本付息表'!F9+'表1-资金筹措及还本付息表'!G9-投资概算明细!F46-投资概算明细!G46)*(参数输入表!$I$625/(参数输入表!$I$217-参数输入表!$I$221)))</f>
        <v>706.330898441345</v>
      </c>
      <c r="G40" s="362">
        <f ca="1">IF(G26-参数输入表!$I$4&gt;0,0,('表1-资金筹措及还本付息表'!H8+'表1-资金筹措及还本付息表'!H9-投资概算明细!H46)*(参数输入表!$I$625/(参数输入表!$I$217-参数输入表!$I$221)))</f>
        <v>711.46059543185</v>
      </c>
      <c r="H40" s="362">
        <f ca="1">IF(H26-参数输入表!$I$4&gt;0,0,('表1-资金筹措及还本付息表'!I8+'表1-资金筹措及还本付息表'!I9-投资概算明细!I46)*(参数输入表!$I$625/(参数输入表!$I$217-参数输入表!$I$221)))</f>
        <v>827.738514819042</v>
      </c>
      <c r="I40" s="362">
        <f ca="1">IF(I26-参数输入表!$I$4&gt;0,0,('表1-资金筹措及还本付息表'!J8+'表1-资金筹措及还本付息表'!J9-投资概算明细!J46)*(参数输入表!$I$625/(参数输入表!$I$217-参数输入表!$I$221)))</f>
        <v>928.746872906707</v>
      </c>
      <c r="J40" s="362">
        <f ca="1">IF(J26-参数输入表!$I$4&gt;0,0,('表1-资金筹措及还本付息表'!K8+'表1-资金筹措及还本付息表'!K9-投资概算明细!K46)*(参数输入表!$I$625/(参数输入表!$I$217-参数输入表!$I$221)))</f>
        <v>1246.3407883228</v>
      </c>
      <c r="K40" s="362">
        <f ca="1">IF(K26-参数输入表!$I$4&gt;0,0,('表1-资金筹措及还本付息表'!L8+'表1-资金筹措及还本付息表'!L9-投资概算明细!L46)*(参数输入表!$I$625/(参数输入表!$I$217-参数输入表!$I$221)))</f>
        <v>1195.28325768741</v>
      </c>
      <c r="L40" s="362">
        <f ca="1">IF(L26-参数输入表!$I$4&gt;0,0,('表1-资金筹措及还本付息表'!M8+'表1-资金筹措及还本付息表'!N8+'表1-资金筹措及还本付息表'!M9+'表1-资金筹措及还本付息表'!N9-投资概算明细!M46-投资概算明细!N46)*(参数输入表!$I$625/(参数输入表!$I$217-参数输入表!$I$221)))</f>
        <v>1073.11064422759</v>
      </c>
      <c r="M40" s="362">
        <f ca="1">IF(M26-参数输入表!$I$4&gt;0,0,('表1-资金筹措及还本付息表'!O8+'表1-资金筹措及还本付息表'!Q8+'表1-资金筹措及还本付息表'!O9+'表1-资金筹措及还本付息表'!Q9-投资概算明细!O46)*(参数输入表!$I$625/(参数输入表!$I$217-参数输入表!$I$221)))</f>
        <v>510.988428163252</v>
      </c>
      <c r="N40" s="362">
        <f ca="1">IF(N26-参数输入表!$I$4&gt;0,0,('表1-资金筹措及还本付息表'!R8+'表1-资金筹措及还本付息表'!R9-投资概算明细!P46)*(参数输入表!$I$625/(参数输入表!$I$217-参数输入表!$I$221)))</f>
        <v>0</v>
      </c>
      <c r="O40" s="362">
        <f ca="1">IF(O26-参数输入表!$I$4&gt;0,0,('表1-资金筹措及还本付息表'!S8+'表1-资金筹措及还本付息表'!S9-投资概算明细!Q46)*(参数输入表!$I$625/(参数输入表!$I$217-参数输入表!$I$221)))</f>
        <v>0</v>
      </c>
      <c r="P40" s="362">
        <f ca="1">IF(P26-参数输入表!$I$4&gt;0,0,('表1-资金筹措及还本付息表'!T8+'表1-资金筹措及还本付息表'!T9-投资概算明细!R46)*(参数输入表!$I$625/(参数输入表!$I$217-参数输入表!$I$221)))</f>
        <v>0</v>
      </c>
      <c r="Q40" s="362">
        <f ca="1">IF(Q26-参数输入表!$I$4&gt;0,0,('表1-资金筹措及还本付息表'!U8+'表1-资金筹措及还本付息表'!U9-投资概算明细!S46)*(参数输入表!$I$625/(参数输入表!$I$217-参数输入表!$I$221)))</f>
        <v>0</v>
      </c>
      <c r="R40" s="362">
        <f ca="1">IF(R26-参数输入表!$I$4&gt;0,0,('表1-资金筹措及还本付息表'!V8+'表1-资金筹措及还本付息表'!V9-投资概算明细!T46)*(参数输入表!$I$625/(参数输入表!$I$217-参数输入表!$I$221)))</f>
        <v>0</v>
      </c>
      <c r="S40" s="362">
        <f ca="1">IF(S26-参数输入表!$I$4&gt;0,0,('表1-资金筹措及还本付息表'!W8+'表1-资金筹措及还本付息表'!W9-投资概算明细!U46)*(参数输入表!$I$625/(参数输入表!$I$217-参数输入表!$I$221)))</f>
        <v>0</v>
      </c>
      <c r="T40" s="362">
        <f ca="1">IF(T26-参数输入表!$I$4&gt;0,0,('表1-资金筹措及还本付息表'!X8+'表1-资金筹措及还本付息表'!X9-投资概算明细!V46)*(参数输入表!$I$625/(参数输入表!$I$217-参数输入表!$I$221)))</f>
        <v>0</v>
      </c>
      <c r="U40" s="362">
        <f ca="1">IF(U26-参数输入表!$I$4&gt;0,0,('表1-资金筹措及还本付息表'!Y8+'表1-资金筹措及还本付息表'!Y9-投资概算明细!W46)*(参数输入表!$I$625/(参数输入表!$I$217-参数输入表!$I$221)))</f>
        <v>0</v>
      </c>
      <c r="V40" s="362">
        <f ca="1">IF(V26-参数输入表!$I$4&gt;0,0,('表1-资金筹措及还本付息表'!Z8+'表1-资金筹措及还本付息表'!Z9-投资概算明细!X46)*(参数输入表!$I$625/(参数输入表!$I$217-参数输入表!$I$221)))</f>
        <v>0</v>
      </c>
      <c r="W40" s="362">
        <f ca="1">IF(W26-参数输入表!$I$4&gt;0,0,('表1-资金筹措及还本付息表'!AA8+'表1-资金筹措及还本付息表'!AA9-投资概算明细!Y46)*(参数输入表!$I$625/(参数输入表!$I$217-参数输入表!$I$221)))</f>
        <v>0</v>
      </c>
      <c r="X40" s="362">
        <f ca="1">IF(X26-参数输入表!$I$4&gt;0,0,('表1-资金筹措及还本付息表'!AB8+'表1-资金筹措及还本付息表'!AB9-投资概算明细!Z46)*(参数输入表!$I$625/(参数输入表!$I$217-参数输入表!$I$221)))</f>
        <v>0</v>
      </c>
      <c r="Y40" s="362">
        <f ca="1">IF(Y26-参数输入表!$I$4&gt;0,0,('表1-资金筹措及还本付息表'!AC8+'表1-资金筹措及还本付息表'!AC9-投资概算明细!AA46)*(参数输入表!$I$625/(参数输入表!$I$217-参数输入表!$I$221)))</f>
        <v>0</v>
      </c>
      <c r="Z40" s="362">
        <f ca="1">IF(Z26-参数输入表!$I$4&gt;0,0,('表1-资金筹措及还本付息表'!AD8+'表1-资金筹措及还本付息表'!AD9-投资概算明细!AB46)*(参数输入表!$I$625/(参数输入表!$I$217-参数输入表!$I$221)))</f>
        <v>0</v>
      </c>
      <c r="AA40" s="362">
        <f ca="1">IF(AA26-参数输入表!$I$4&gt;0,0,('表1-资金筹措及还本付息表'!AE8+'表1-资金筹措及还本付息表'!AE9-投资概算明细!AC46)*(参数输入表!$I$625/(参数输入表!$I$217-参数输入表!$I$221)))</f>
        <v>0</v>
      </c>
      <c r="AB40" s="362">
        <f ca="1">IF(AB26-参数输入表!$I$4&gt;0,0,('表1-资金筹措及还本付息表'!AF8+'表1-资金筹措及还本付息表'!AF9-投资概算明细!AD46)*(参数输入表!$I$625/(参数输入表!$I$217-参数输入表!$I$221)))</f>
        <v>0</v>
      </c>
      <c r="AC40" s="362">
        <f ca="1">IF(AC26-参数输入表!$I$4&gt;0,0,('表1-资金筹措及还本付息表'!AG8+'表1-资金筹措及还本付息表'!AG9-投资概算明细!AE46)*(参数输入表!$I$625/(参数输入表!$I$217-参数输入表!$I$221)))</f>
        <v>0</v>
      </c>
      <c r="AD40" s="362">
        <f ca="1">IF(AD26-参数输入表!$I$4&gt;0,0,('表1-资金筹措及还本付息表'!AH8+'表1-资金筹措及还本付息表'!AH9-投资概算明细!AF46)*(参数输入表!$I$625/(参数输入表!$I$217-参数输入表!$I$221)))</f>
        <v>0</v>
      </c>
      <c r="AE40" s="362">
        <f ca="1">IF(AE26-参数输入表!$I$4&gt;0,0,('表1-资金筹措及还本付息表'!AI8+'表1-资金筹措及还本付息表'!AI9-投资概算明细!AG46)*(参数输入表!$I$625/(参数输入表!$I$217-参数输入表!$I$221)))</f>
        <v>0</v>
      </c>
      <c r="AF40" s="362">
        <f ca="1">IF(AF26-参数输入表!$I$4&gt;0,0,('表1-资金筹措及还本付息表'!AJ8+'表1-资金筹措及还本付息表'!AJ9-投资概算明细!AH46)*(参数输入表!$I$625/(参数输入表!$I$217-参数输入表!$I$221)))</f>
        <v>0</v>
      </c>
      <c r="AG40" s="362">
        <f ca="1">IF(AG26-参数输入表!$I$4&gt;0,0,('表1-资金筹措及还本付息表'!AK8+'表1-资金筹措及还本付息表'!AK9-投资概算明细!AI46)*(参数输入表!$I$625/(参数输入表!$I$217-参数输入表!$I$221)))</f>
        <v>0</v>
      </c>
      <c r="AH40" s="362">
        <f ca="1">IF(AH26-参数输入表!$I$4&gt;0,0,('表1-资金筹措及还本付息表'!AL8+'表1-资金筹措及还本付息表'!AL9-投资概算明细!AJ46)*(参数输入表!$I$625/(参数输入表!$I$217-参数输入表!$I$221)))</f>
        <v>0</v>
      </c>
      <c r="AI40" s="362">
        <f ca="1">IF(AI26-参数输入表!$I$4&gt;0,0,('表1-资金筹措及还本付息表'!AM8+'表1-资金筹措及还本付息表'!AM9-投资概算明细!AK46)*(参数输入表!$I$625/(参数输入表!$I$217-参数输入表!$I$221)))</f>
        <v>0</v>
      </c>
      <c r="AJ40" s="362">
        <f ca="1">IF(AJ26-参数输入表!$I$4&gt;0,0,('表1-资金筹措及还本付息表'!AN8+'表1-资金筹措及还本付息表'!AN9-投资概算明细!AL46)*(参数输入表!$I$625/(参数输入表!$I$217-参数输入表!$I$221)))</f>
        <v>0</v>
      </c>
      <c r="AK40" s="362">
        <f ca="1">IF(AK26-参数输入表!$I$4&gt;0,0,('表1-资金筹措及还本付息表'!AO8+'表1-资金筹措及还本付息表'!AO9-投资概算明细!AM46)*(参数输入表!$I$625/(参数输入表!$I$217-参数输入表!$I$221)))</f>
        <v>0</v>
      </c>
      <c r="AL40" s="362">
        <f ca="1">IF(AL26-参数输入表!$I$4&gt;0,0,('表1-资金筹措及还本付息表'!AP8+'表1-资金筹措及还本付息表'!AP9-投资概算明细!AN46)*(参数输入表!$I$625/(参数输入表!$I$217-参数输入表!$I$221)))</f>
        <v>0</v>
      </c>
      <c r="AM40" s="362">
        <f ca="1">IF(AM26-参数输入表!$I$4&gt;0,0,('表1-资金筹措及还本付息表'!AQ8+'表1-资金筹措及还本付息表'!AQ9-投资概算明细!AO46)*(参数输入表!$I$625/(参数输入表!$I$217-参数输入表!$I$221)))</f>
        <v>0</v>
      </c>
      <c r="AN40" s="362">
        <f ca="1">IF(AN26-参数输入表!$I$4&gt;0,0,('表1-资金筹措及还本付息表'!AR8+'表1-资金筹措及还本付息表'!AR9-投资概算明细!AP46)*(参数输入表!$I$625/(参数输入表!$I$217-参数输入表!$I$221)))</f>
        <v>0</v>
      </c>
      <c r="AO40" s="362">
        <f ca="1">IF(AO26-参数输入表!$I$4&gt;0,0,('表1-资金筹措及还本付息表'!AS8+'表1-资金筹措及还本付息表'!AS9-投资概算明细!AQ46)*(参数输入表!$I$625/(参数输入表!$I$217-参数输入表!$I$221)))</f>
        <v>0</v>
      </c>
      <c r="AP40" s="362">
        <f ca="1">IF(AP26-参数输入表!$I$4&gt;0,0,('表1-资金筹措及还本付息表'!AT8+'表1-资金筹措及还本付息表'!AT9-投资概算明细!AR46)*(参数输入表!$I$625/(参数输入表!$I$217-参数输入表!$I$221)))</f>
        <v>0</v>
      </c>
      <c r="AQ40" s="362">
        <f ca="1">IF(AQ26-参数输入表!$I$4&gt;0,0,('表1-资金筹措及还本付息表'!AU8+'表1-资金筹措及还本付息表'!AU9-投资概算明细!AS46)*(参数输入表!$I$625/(参数输入表!$I$217-参数输入表!$I$221)))</f>
        <v>0</v>
      </c>
      <c r="AR40" s="362">
        <f ca="1">IF(AR26-参数输入表!$I$4&gt;0,0,('表1-资金筹措及还本付息表'!AV8+'表1-资金筹措及还本付息表'!AV9-投资概算明细!AT46)*(参数输入表!$I$625/(参数输入表!$I$217-参数输入表!$I$221)))</f>
        <v>0</v>
      </c>
      <c r="AS40" s="362">
        <f ca="1">IF(AS26-参数输入表!$I$4&gt;0,0,('表1-资金筹措及还本付息表'!AW8+'表1-资金筹措及还本付息表'!AW9-投资概算明细!AU46)*(参数输入表!$I$625/(参数输入表!$I$217-参数输入表!$I$221)))</f>
        <v>0</v>
      </c>
      <c r="AT40" s="362">
        <f ca="1">IF(AT26-参数输入表!$I$4&gt;0,0,('表1-资金筹措及还本付息表'!AX8+'表1-资金筹措及还本付息表'!AX9-投资概算明细!AV46)*(参数输入表!$I$625/(参数输入表!$I$217-参数输入表!$I$221)))</f>
        <v>0</v>
      </c>
      <c r="AU40" s="362">
        <f ca="1">IF(AU26-参数输入表!$I$4&gt;0,0,('表1-资金筹措及还本付息表'!AY8+'表1-资金筹措及还本付息表'!AY9-投资概算明细!AW46)*(参数输入表!$I$625/(参数输入表!$I$217-参数输入表!$I$221)))</f>
        <v>0</v>
      </c>
      <c r="AV40" s="362">
        <f ca="1">IF(AV26-参数输入表!$I$4&gt;0,0,('表1-资金筹措及还本付息表'!AZ8+'表1-资金筹措及还本付息表'!AZ9-投资概算明细!AX46)*(参数输入表!$I$625/(参数输入表!$I$217-参数输入表!$I$221)))</f>
        <v>0</v>
      </c>
      <c r="AW40" s="362">
        <f ca="1">IF(AW26-参数输入表!$I$4&gt;0,0,('表1-资金筹措及还本付息表'!BA8+'表1-资金筹措及还本付息表'!BA9-投资概算明细!AY46)*(参数输入表!$I$625/(参数输入表!$I$217-参数输入表!$I$221)))</f>
        <v>0</v>
      </c>
      <c r="AX40" s="362">
        <f ca="1">IF(AX26-参数输入表!$I$4&gt;0,0,('表1-资金筹措及还本付息表'!BB8+'表1-资金筹措及还本付息表'!BB9-投资概算明细!AZ46)*(参数输入表!$I$625/(参数输入表!$I$217-参数输入表!$I$221)))</f>
        <v>0</v>
      </c>
      <c r="AY40" s="362">
        <f ca="1">IF(AY26-参数输入表!$I$4&gt;0,0,('表1-资金筹措及还本付息表'!BC8+'表1-资金筹措及还本付息表'!BC9-投资概算明细!BA46)*(参数输入表!$I$625/(参数输入表!$I$217-参数输入表!$I$221)))</f>
        <v>0</v>
      </c>
      <c r="AZ40" s="362">
        <f ca="1">IF(AZ26-参数输入表!$I$4&gt;0,0,('表1-资金筹措及还本付息表'!BD8+'表1-资金筹措及还本付息表'!BD9-投资概算明细!BB46)*(参数输入表!$I$625/(参数输入表!$I$217-参数输入表!$I$221)))</f>
        <v>0</v>
      </c>
      <c r="BA40" s="362">
        <f ca="1">IF(BA26-参数输入表!$I$4&gt;0,0,('表1-资金筹措及还本付息表'!BE8+'表1-资金筹措及还本付息表'!BE9-投资概算明细!BC46)*(参数输入表!$I$625/(参数输入表!$I$217-参数输入表!$I$221)))</f>
        <v>0</v>
      </c>
    </row>
    <row r="41" s="105" customFormat="1" spans="2:53">
      <c r="B41" s="360"/>
      <c r="C41" s="365" t="s">
        <v>704</v>
      </c>
      <c r="D41" s="366"/>
      <c r="E41" s="367" t="s">
        <v>130</v>
      </c>
      <c r="F41" s="366">
        <f ca="1">F40</f>
        <v>706.330898441345</v>
      </c>
      <c r="G41" s="366">
        <f ca="1">F41+G40</f>
        <v>1417.7914938732</v>
      </c>
      <c r="H41" s="366">
        <f ca="1" t="shared" ref="H41:BA41" si="9">G41+H40</f>
        <v>2245.53000869224</v>
      </c>
      <c r="I41" s="366">
        <f ca="1" t="shared" si="9"/>
        <v>3174.27688159894</v>
      </c>
      <c r="J41" s="366">
        <f ca="1" t="shared" si="9"/>
        <v>4420.61766992175</v>
      </c>
      <c r="K41" s="366">
        <f ca="1" t="shared" si="9"/>
        <v>5615.90092760916</v>
      </c>
      <c r="L41" s="366">
        <f ca="1" t="shared" si="9"/>
        <v>6689.01157183675</v>
      </c>
      <c r="M41" s="366">
        <f ca="1" t="shared" si="9"/>
        <v>7200</v>
      </c>
      <c r="N41" s="366">
        <f ca="1" t="shared" si="9"/>
        <v>7200</v>
      </c>
      <c r="O41" s="366">
        <f ca="1" t="shared" si="9"/>
        <v>7200</v>
      </c>
      <c r="P41" s="366">
        <f ca="1" t="shared" si="9"/>
        <v>7200</v>
      </c>
      <c r="Q41" s="366">
        <f ca="1" t="shared" si="9"/>
        <v>7200</v>
      </c>
      <c r="R41" s="366">
        <f ca="1" t="shared" si="9"/>
        <v>7200</v>
      </c>
      <c r="S41" s="366">
        <f ca="1" t="shared" si="9"/>
        <v>7200</v>
      </c>
      <c r="T41" s="366">
        <f ca="1" t="shared" si="9"/>
        <v>7200</v>
      </c>
      <c r="U41" s="366">
        <f ca="1" t="shared" si="9"/>
        <v>7200</v>
      </c>
      <c r="V41" s="366">
        <f ca="1" t="shared" si="9"/>
        <v>7200</v>
      </c>
      <c r="W41" s="366">
        <f ca="1" t="shared" si="9"/>
        <v>7200</v>
      </c>
      <c r="X41" s="366">
        <f ca="1" t="shared" si="9"/>
        <v>7200</v>
      </c>
      <c r="Y41" s="366">
        <f ca="1" t="shared" si="9"/>
        <v>7200</v>
      </c>
      <c r="Z41" s="366">
        <f ca="1" t="shared" si="9"/>
        <v>7200</v>
      </c>
      <c r="AA41" s="366">
        <f ca="1" t="shared" si="9"/>
        <v>7200</v>
      </c>
      <c r="AB41" s="366">
        <f ca="1" t="shared" si="9"/>
        <v>7200</v>
      </c>
      <c r="AC41" s="366">
        <f ca="1" t="shared" si="9"/>
        <v>7200</v>
      </c>
      <c r="AD41" s="366">
        <f ca="1" t="shared" si="9"/>
        <v>7200</v>
      </c>
      <c r="AE41" s="366">
        <f ca="1" t="shared" si="9"/>
        <v>7200</v>
      </c>
      <c r="AF41" s="366">
        <f ca="1" t="shared" si="9"/>
        <v>7200</v>
      </c>
      <c r="AG41" s="366">
        <f ca="1" t="shared" si="9"/>
        <v>7200</v>
      </c>
      <c r="AH41" s="366">
        <f ca="1" t="shared" si="9"/>
        <v>7200</v>
      </c>
      <c r="AI41" s="366">
        <f ca="1" t="shared" si="9"/>
        <v>7200</v>
      </c>
      <c r="AJ41" s="366">
        <f ca="1" t="shared" si="9"/>
        <v>7200</v>
      </c>
      <c r="AK41" s="366">
        <f ca="1" t="shared" si="9"/>
        <v>7200</v>
      </c>
      <c r="AL41" s="366">
        <f ca="1" t="shared" si="9"/>
        <v>7200</v>
      </c>
      <c r="AM41" s="366">
        <f ca="1" t="shared" si="9"/>
        <v>7200</v>
      </c>
      <c r="AN41" s="366">
        <f ca="1" t="shared" si="9"/>
        <v>7200</v>
      </c>
      <c r="AO41" s="366">
        <f ca="1" t="shared" si="9"/>
        <v>7200</v>
      </c>
      <c r="AP41" s="366">
        <f ca="1" t="shared" si="9"/>
        <v>7200</v>
      </c>
      <c r="AQ41" s="366">
        <f ca="1" t="shared" si="9"/>
        <v>7200</v>
      </c>
      <c r="AR41" s="366">
        <f ca="1" t="shared" si="9"/>
        <v>7200</v>
      </c>
      <c r="AS41" s="366">
        <f ca="1" t="shared" si="9"/>
        <v>7200</v>
      </c>
      <c r="AT41" s="366">
        <f ca="1" t="shared" si="9"/>
        <v>7200</v>
      </c>
      <c r="AU41" s="366">
        <f ca="1" t="shared" si="9"/>
        <v>7200</v>
      </c>
      <c r="AV41" s="366">
        <f ca="1" t="shared" si="9"/>
        <v>7200</v>
      </c>
      <c r="AW41" s="366">
        <f ca="1" t="shared" si="9"/>
        <v>7200</v>
      </c>
      <c r="AX41" s="366">
        <f ca="1" t="shared" si="9"/>
        <v>7200</v>
      </c>
      <c r="AY41" s="366">
        <f ca="1" t="shared" si="9"/>
        <v>7200</v>
      </c>
      <c r="AZ41" s="366">
        <f ca="1" t="shared" si="9"/>
        <v>7200</v>
      </c>
      <c r="BA41" s="385">
        <f ca="1" t="shared" si="9"/>
        <v>7200</v>
      </c>
    </row>
    <row r="42" s="105" customFormat="1" spans="2:53">
      <c r="B42" s="360"/>
      <c r="C42" s="133" t="s">
        <v>710</v>
      </c>
      <c r="D42" s="366"/>
      <c r="E42" s="367" t="s">
        <v>130</v>
      </c>
      <c r="F42" s="366">
        <f ca="1">F41-F39</f>
        <v>706.330898441345</v>
      </c>
      <c r="G42" s="366">
        <f ca="1" t="shared" ref="G42:BA42" si="10">G41-G39</f>
        <v>1417.7914938732</v>
      </c>
      <c r="H42" s="366">
        <f ca="1" t="shared" si="10"/>
        <v>2245.53000869224</v>
      </c>
      <c r="I42" s="366">
        <f ca="1" t="shared" si="10"/>
        <v>3174.27688159894</v>
      </c>
      <c r="J42" s="366">
        <f ca="1" t="shared" si="10"/>
        <v>4420.61766992175</v>
      </c>
      <c r="K42" s="366">
        <f ca="1" t="shared" si="10"/>
        <v>5615.90092760916</v>
      </c>
      <c r="L42" s="366">
        <f ca="1" t="shared" si="10"/>
        <v>6689.01157183675</v>
      </c>
      <c r="M42" s="366">
        <f ca="1" t="shared" si="10"/>
        <v>0</v>
      </c>
      <c r="N42" s="366">
        <f ca="1" t="shared" si="10"/>
        <v>0</v>
      </c>
      <c r="O42" s="366">
        <f ca="1" t="shared" si="10"/>
        <v>0</v>
      </c>
      <c r="P42" s="366">
        <f ca="1" t="shared" si="10"/>
        <v>0</v>
      </c>
      <c r="Q42" s="366">
        <f ca="1" t="shared" si="10"/>
        <v>0</v>
      </c>
      <c r="R42" s="366">
        <f ca="1" t="shared" si="10"/>
        <v>0</v>
      </c>
      <c r="S42" s="366">
        <f ca="1" t="shared" si="10"/>
        <v>0</v>
      </c>
      <c r="T42" s="366">
        <f ca="1" t="shared" si="10"/>
        <v>0</v>
      </c>
      <c r="U42" s="366">
        <f ca="1" t="shared" si="10"/>
        <v>0</v>
      </c>
      <c r="V42" s="366">
        <f ca="1" t="shared" si="10"/>
        <v>0</v>
      </c>
      <c r="W42" s="366">
        <f ca="1" t="shared" si="10"/>
        <v>0</v>
      </c>
      <c r="X42" s="366">
        <f ca="1" t="shared" si="10"/>
        <v>0</v>
      </c>
      <c r="Y42" s="366">
        <f ca="1" t="shared" si="10"/>
        <v>0</v>
      </c>
      <c r="Z42" s="366">
        <f ca="1" t="shared" si="10"/>
        <v>0</v>
      </c>
      <c r="AA42" s="366">
        <f ca="1" t="shared" si="10"/>
        <v>0</v>
      </c>
      <c r="AB42" s="366">
        <f ca="1" t="shared" si="10"/>
        <v>0</v>
      </c>
      <c r="AC42" s="366">
        <f ca="1" t="shared" si="10"/>
        <v>0</v>
      </c>
      <c r="AD42" s="366">
        <f ca="1" t="shared" si="10"/>
        <v>0</v>
      </c>
      <c r="AE42" s="366">
        <f ca="1" t="shared" si="10"/>
        <v>0</v>
      </c>
      <c r="AF42" s="366">
        <f ca="1" t="shared" si="10"/>
        <v>0</v>
      </c>
      <c r="AG42" s="366">
        <f ca="1" t="shared" si="10"/>
        <v>0</v>
      </c>
      <c r="AH42" s="366">
        <f ca="1" t="shared" si="10"/>
        <v>0</v>
      </c>
      <c r="AI42" s="366">
        <f ca="1" t="shared" si="10"/>
        <v>0</v>
      </c>
      <c r="AJ42" s="366">
        <f ca="1" t="shared" si="10"/>
        <v>0</v>
      </c>
      <c r="AK42" s="366">
        <f ca="1" t="shared" si="10"/>
        <v>0</v>
      </c>
      <c r="AL42" s="366">
        <f ca="1" t="shared" si="10"/>
        <v>0</v>
      </c>
      <c r="AM42" s="366">
        <f ca="1" t="shared" si="10"/>
        <v>0</v>
      </c>
      <c r="AN42" s="366">
        <f ca="1" t="shared" si="10"/>
        <v>0</v>
      </c>
      <c r="AO42" s="366">
        <f ca="1" t="shared" si="10"/>
        <v>0</v>
      </c>
      <c r="AP42" s="366">
        <f ca="1" t="shared" si="10"/>
        <v>0</v>
      </c>
      <c r="AQ42" s="366">
        <f ca="1" t="shared" si="10"/>
        <v>0</v>
      </c>
      <c r="AR42" s="366">
        <f ca="1" t="shared" si="10"/>
        <v>0</v>
      </c>
      <c r="AS42" s="366">
        <f ca="1" t="shared" si="10"/>
        <v>0</v>
      </c>
      <c r="AT42" s="366">
        <f ca="1" t="shared" si="10"/>
        <v>0</v>
      </c>
      <c r="AU42" s="366">
        <f ca="1" t="shared" si="10"/>
        <v>0</v>
      </c>
      <c r="AV42" s="366">
        <f ca="1" t="shared" si="10"/>
        <v>0</v>
      </c>
      <c r="AW42" s="366">
        <f ca="1" t="shared" si="10"/>
        <v>0</v>
      </c>
      <c r="AX42" s="366">
        <f ca="1" t="shared" si="10"/>
        <v>0</v>
      </c>
      <c r="AY42" s="366">
        <f ca="1" t="shared" si="10"/>
        <v>0</v>
      </c>
      <c r="AZ42" s="366">
        <f ca="1" t="shared" si="10"/>
        <v>0</v>
      </c>
      <c r="BA42" s="385">
        <f ca="1" t="shared" si="10"/>
        <v>0</v>
      </c>
    </row>
    <row r="43" s="105" customFormat="1" spans="2:53">
      <c r="B43" s="360"/>
      <c r="C43" s="370" t="s">
        <v>711</v>
      </c>
      <c r="D43" s="371">
        <f t="shared" si="8"/>
        <v>6480</v>
      </c>
      <c r="E43" s="367" t="s">
        <v>130</v>
      </c>
      <c r="F43" s="371">
        <f>SUM(F44:F47)</f>
        <v>0</v>
      </c>
      <c r="G43" s="371">
        <f t="shared" ref="G43:BA43" si="11">SUM(G44:G47)</f>
        <v>0</v>
      </c>
      <c r="H43" s="371">
        <f t="shared" si="11"/>
        <v>0</v>
      </c>
      <c r="I43" s="371">
        <f t="shared" si="11"/>
        <v>0</v>
      </c>
      <c r="J43" s="371">
        <f t="shared" si="11"/>
        <v>0</v>
      </c>
      <c r="K43" s="371">
        <f t="shared" si="11"/>
        <v>0</v>
      </c>
      <c r="L43" s="371">
        <f t="shared" si="11"/>
        <v>0</v>
      </c>
      <c r="M43" s="371">
        <f t="shared" si="11"/>
        <v>0</v>
      </c>
      <c r="N43" s="371">
        <f t="shared" si="11"/>
        <v>765</v>
      </c>
      <c r="O43" s="371">
        <f t="shared" si="11"/>
        <v>540</v>
      </c>
      <c r="P43" s="371">
        <f t="shared" si="11"/>
        <v>540</v>
      </c>
      <c r="Q43" s="371">
        <f t="shared" si="11"/>
        <v>540</v>
      </c>
      <c r="R43" s="371">
        <f t="shared" si="11"/>
        <v>540</v>
      </c>
      <c r="S43" s="371">
        <f t="shared" si="11"/>
        <v>540</v>
      </c>
      <c r="T43" s="371">
        <f t="shared" si="11"/>
        <v>540</v>
      </c>
      <c r="U43" s="371">
        <f t="shared" si="11"/>
        <v>540</v>
      </c>
      <c r="V43" s="371">
        <f t="shared" si="11"/>
        <v>540</v>
      </c>
      <c r="W43" s="371">
        <f t="shared" si="11"/>
        <v>540</v>
      </c>
      <c r="X43" s="371">
        <f t="shared" si="11"/>
        <v>540</v>
      </c>
      <c r="Y43" s="371">
        <f t="shared" si="11"/>
        <v>315</v>
      </c>
      <c r="Z43" s="371">
        <f t="shared" si="11"/>
        <v>0</v>
      </c>
      <c r="AA43" s="371">
        <f t="shared" si="11"/>
        <v>0</v>
      </c>
      <c r="AB43" s="371">
        <f t="shared" si="11"/>
        <v>0</v>
      </c>
      <c r="AC43" s="371">
        <f t="shared" si="11"/>
        <v>0</v>
      </c>
      <c r="AD43" s="371">
        <f t="shared" si="11"/>
        <v>0</v>
      </c>
      <c r="AE43" s="371">
        <f t="shared" si="11"/>
        <v>0</v>
      </c>
      <c r="AF43" s="371">
        <f t="shared" si="11"/>
        <v>0</v>
      </c>
      <c r="AG43" s="371">
        <f t="shared" si="11"/>
        <v>0</v>
      </c>
      <c r="AH43" s="371">
        <f t="shared" si="11"/>
        <v>0</v>
      </c>
      <c r="AI43" s="371">
        <f t="shared" si="11"/>
        <v>0</v>
      </c>
      <c r="AJ43" s="371">
        <f t="shared" si="11"/>
        <v>0</v>
      </c>
      <c r="AK43" s="371">
        <f t="shared" si="11"/>
        <v>0</v>
      </c>
      <c r="AL43" s="371">
        <f t="shared" si="11"/>
        <v>0</v>
      </c>
      <c r="AM43" s="371">
        <f t="shared" si="11"/>
        <v>0</v>
      </c>
      <c r="AN43" s="371">
        <f t="shared" si="11"/>
        <v>0</v>
      </c>
      <c r="AO43" s="371">
        <f t="shared" si="11"/>
        <v>0</v>
      </c>
      <c r="AP43" s="371">
        <f t="shared" si="11"/>
        <v>0</v>
      </c>
      <c r="AQ43" s="371">
        <f t="shared" si="11"/>
        <v>0</v>
      </c>
      <c r="AR43" s="371">
        <f t="shared" si="11"/>
        <v>0</v>
      </c>
      <c r="AS43" s="371">
        <f t="shared" si="11"/>
        <v>0</v>
      </c>
      <c r="AT43" s="371">
        <f t="shared" si="11"/>
        <v>0</v>
      </c>
      <c r="AU43" s="371">
        <f t="shared" si="11"/>
        <v>0</v>
      </c>
      <c r="AV43" s="371">
        <f t="shared" si="11"/>
        <v>0</v>
      </c>
      <c r="AW43" s="371">
        <f t="shared" si="11"/>
        <v>0</v>
      </c>
      <c r="AX43" s="371">
        <f t="shared" si="11"/>
        <v>0</v>
      </c>
      <c r="AY43" s="371">
        <f t="shared" si="11"/>
        <v>0</v>
      </c>
      <c r="AZ43" s="371">
        <f t="shared" si="11"/>
        <v>0</v>
      </c>
      <c r="BA43" s="386">
        <f t="shared" si="11"/>
        <v>0</v>
      </c>
    </row>
    <row r="44" s="105" customFormat="1" spans="2:53">
      <c r="B44" s="360"/>
      <c r="C44" s="374" t="s">
        <v>471</v>
      </c>
      <c r="D44" s="375">
        <f t="shared" si="8"/>
        <v>0</v>
      </c>
      <c r="E44" s="266" t="s">
        <v>130</v>
      </c>
      <c r="F44" s="366">
        <f>参数输入表!$I$625*(1-参数输入表!$I$628)*参数输入表!$I$36*时间序列!C34/(参数输入表!$I$627*12)</f>
        <v>0</v>
      </c>
      <c r="G44" s="366">
        <f>参数输入表!$I$625*(1-参数输入表!$I$628)*参数输入表!$I$36*时间序列!D34/(参数输入表!$I$627*12)</f>
        <v>0</v>
      </c>
      <c r="H44" s="366">
        <f>参数输入表!$I$625*(1-参数输入表!$I$628)*参数输入表!$I$36*时间序列!E34/(参数输入表!$I$627*12)</f>
        <v>0</v>
      </c>
      <c r="I44" s="366">
        <f>参数输入表!$I$625*(1-参数输入表!$I$628)*参数输入表!$I$36*时间序列!F34/(参数输入表!$I$627*12)</f>
        <v>0</v>
      </c>
      <c r="J44" s="366">
        <f>参数输入表!$I$625*(1-参数输入表!$I$628)*参数输入表!$I$36*时间序列!G34/(参数输入表!$I$627*12)</f>
        <v>0</v>
      </c>
      <c r="K44" s="366">
        <f>参数输入表!$I$625*(1-参数输入表!$I$628)*参数输入表!$I$36*时间序列!H34/(参数输入表!$I$627*12)</f>
        <v>0</v>
      </c>
      <c r="L44" s="366">
        <f>参数输入表!$I$625*(1-参数输入表!$I$628)*参数输入表!$I$36*时间序列!I34/(参数输入表!$I$627*12)</f>
        <v>0</v>
      </c>
      <c r="M44" s="366">
        <f>参数输入表!$I$625*(1-参数输入表!$I$628)*参数输入表!$I$36*时间序列!J34/(参数输入表!$I$627*12)</f>
        <v>0</v>
      </c>
      <c r="N44" s="366">
        <f>参数输入表!$I$625*(1-参数输入表!$I$628)*参数输入表!$I$36*时间序列!K34/(参数输入表!$I$627*12)</f>
        <v>0</v>
      </c>
      <c r="O44" s="366">
        <f>参数输入表!$I$625*(1-参数输入表!$I$628)*参数输入表!$I$36*时间序列!L34/(参数输入表!$I$627*12)</f>
        <v>0</v>
      </c>
      <c r="P44" s="366">
        <f>参数输入表!$I$625*(1-参数输入表!$I$628)*参数输入表!$I$36*时间序列!M34/(参数输入表!$I$627*12)</f>
        <v>0</v>
      </c>
      <c r="Q44" s="366">
        <f>参数输入表!$I$625*(1-参数输入表!$I$628)*参数输入表!$I$36*时间序列!N34/(参数输入表!$I$627*12)</f>
        <v>0</v>
      </c>
      <c r="R44" s="366">
        <f>参数输入表!$I$625*(1-参数输入表!$I$628)*参数输入表!$I$36*时间序列!O34/(参数输入表!$I$627*12)</f>
        <v>0</v>
      </c>
      <c r="S44" s="366">
        <f>参数输入表!$I$625*(1-参数输入表!$I$628)*参数输入表!$I$36*时间序列!P34/(参数输入表!$I$627*12)</f>
        <v>0</v>
      </c>
      <c r="T44" s="366">
        <f>参数输入表!$I$625*(1-参数输入表!$I$628)*参数输入表!$I$36*时间序列!Q34/(参数输入表!$I$627*12)</f>
        <v>0</v>
      </c>
      <c r="U44" s="366">
        <f>参数输入表!$I$625*(1-参数输入表!$I$628)*参数输入表!$I$36*时间序列!R34/(参数输入表!$I$627*12)</f>
        <v>0</v>
      </c>
      <c r="V44" s="366">
        <f>参数输入表!$I$625*(1-参数输入表!$I$628)*参数输入表!$I$36*时间序列!S34/(参数输入表!$I$627*12)</f>
        <v>0</v>
      </c>
      <c r="W44" s="366">
        <f>参数输入表!$I$625*(1-参数输入表!$I$628)*参数输入表!$I$36*时间序列!T34/(参数输入表!$I$627*12)</f>
        <v>0</v>
      </c>
      <c r="X44" s="366">
        <f>参数输入表!$I$625*(1-参数输入表!$I$628)*参数输入表!$I$36*时间序列!U34/(参数输入表!$I$627*12)</f>
        <v>0</v>
      </c>
      <c r="Y44" s="366">
        <f>参数输入表!$I$625*(1-参数输入表!$I$628)*参数输入表!$I$36*时间序列!V34/(参数输入表!$I$627*12)</f>
        <v>0</v>
      </c>
      <c r="Z44" s="366">
        <f>参数输入表!$I$625*(1-参数输入表!$I$628)*参数输入表!$I$36*时间序列!W34/(参数输入表!$I$627*12)</f>
        <v>0</v>
      </c>
      <c r="AA44" s="366">
        <f>参数输入表!$I$625*(1-参数输入表!$I$628)*参数输入表!$I$36*时间序列!X34/(参数输入表!$I$627*12)</f>
        <v>0</v>
      </c>
      <c r="AB44" s="366">
        <f>参数输入表!$I$625*(1-参数输入表!$I$628)*参数输入表!$I$36*时间序列!Y34/(参数输入表!$I$627*12)</f>
        <v>0</v>
      </c>
      <c r="AC44" s="366">
        <f>参数输入表!$I$625*(1-参数输入表!$I$628)*参数输入表!$I$36*时间序列!Z34/(参数输入表!$I$627*12)</f>
        <v>0</v>
      </c>
      <c r="AD44" s="366">
        <f>参数输入表!$I$625*(1-参数输入表!$I$628)*参数输入表!$I$36*时间序列!AA34/(参数输入表!$I$627*12)</f>
        <v>0</v>
      </c>
      <c r="AE44" s="366">
        <f>参数输入表!$I$625*(1-参数输入表!$I$628)*参数输入表!$I$36*时间序列!AB34/(参数输入表!$I$627*12)</f>
        <v>0</v>
      </c>
      <c r="AF44" s="366">
        <f>参数输入表!$I$625*(1-参数输入表!$I$628)*参数输入表!$I$36*时间序列!AC34/(参数输入表!$I$627*12)</f>
        <v>0</v>
      </c>
      <c r="AG44" s="366">
        <f>参数输入表!$I$625*(1-参数输入表!$I$628)*参数输入表!$I$36*时间序列!AD34/(参数输入表!$I$627*12)</f>
        <v>0</v>
      </c>
      <c r="AH44" s="366">
        <f>参数输入表!$I$625*(1-参数输入表!$I$628)*参数输入表!$I$36*时间序列!AE34/(参数输入表!$I$627*12)</f>
        <v>0</v>
      </c>
      <c r="AI44" s="366">
        <f>参数输入表!$I$625*(1-参数输入表!$I$628)*参数输入表!$I$36*时间序列!AF34/(参数输入表!$I$627*12)</f>
        <v>0</v>
      </c>
      <c r="AJ44" s="366">
        <f>参数输入表!$I$625*(1-参数输入表!$I$628)*参数输入表!$I$36*时间序列!AG34/(参数输入表!$I$627*12)</f>
        <v>0</v>
      </c>
      <c r="AK44" s="366">
        <f>参数输入表!$I$625*(1-参数输入表!$I$628)*参数输入表!$I$36*时间序列!AH34/(参数输入表!$I$627*12)</f>
        <v>0</v>
      </c>
      <c r="AL44" s="366">
        <f>参数输入表!$I$625*(1-参数输入表!$I$628)*参数输入表!$I$36*时间序列!AI34/(参数输入表!$I$627*12)</f>
        <v>0</v>
      </c>
      <c r="AM44" s="366">
        <f>参数输入表!$I$625*(1-参数输入表!$I$628)*参数输入表!$I$36*时间序列!AJ34/(参数输入表!$I$627*12)</f>
        <v>0</v>
      </c>
      <c r="AN44" s="366">
        <f>参数输入表!$I$625*(1-参数输入表!$I$628)*参数输入表!$I$36*时间序列!AK34/(参数输入表!$I$627*12)</f>
        <v>0</v>
      </c>
      <c r="AO44" s="366">
        <f>参数输入表!$I$625*(1-参数输入表!$I$628)*参数输入表!$I$36*时间序列!AL34/(参数输入表!$I$627*12)</f>
        <v>0</v>
      </c>
      <c r="AP44" s="366">
        <f>参数输入表!$I$625*(1-参数输入表!$I$628)*参数输入表!$I$36*时间序列!AM34/(参数输入表!$I$627*12)</f>
        <v>0</v>
      </c>
      <c r="AQ44" s="366">
        <f>参数输入表!$I$625*(1-参数输入表!$I$628)*参数输入表!$I$36*时间序列!AN34/(参数输入表!$I$627*12)</f>
        <v>0</v>
      </c>
      <c r="AR44" s="366">
        <f>参数输入表!$I$625*(1-参数输入表!$I$628)*参数输入表!$I$36*时间序列!AO34/(参数输入表!$I$627*12)</f>
        <v>0</v>
      </c>
      <c r="AS44" s="366">
        <f>参数输入表!$I$625*(1-参数输入表!$I$628)*参数输入表!$I$36*时间序列!AP34/(参数输入表!$I$627*12)</f>
        <v>0</v>
      </c>
      <c r="AT44" s="366">
        <f>参数输入表!$I$625*(1-参数输入表!$I$628)*参数输入表!$I$36*时间序列!AQ34/(参数输入表!$I$627*12)</f>
        <v>0</v>
      </c>
      <c r="AU44" s="366">
        <f>参数输入表!$I$625*(1-参数输入表!$I$628)*参数输入表!$I$36*时间序列!AR34/(参数输入表!$I$627*12)</f>
        <v>0</v>
      </c>
      <c r="AV44" s="366">
        <f>参数输入表!$I$625*(1-参数输入表!$I$628)*参数输入表!$I$36*时间序列!AS34/(参数输入表!$I$627*12)</f>
        <v>0</v>
      </c>
      <c r="AW44" s="366">
        <f>参数输入表!$I$625*(1-参数输入表!$I$628)*参数输入表!$I$36*时间序列!AT34/(参数输入表!$I$627*12)</f>
        <v>0</v>
      </c>
      <c r="AX44" s="366">
        <f>参数输入表!$I$625*(1-参数输入表!$I$628)*参数输入表!$I$36*时间序列!AU34/(参数输入表!$I$627*12)</f>
        <v>0</v>
      </c>
      <c r="AY44" s="366">
        <f>参数输入表!$I$625*(1-参数输入表!$I$628)*参数输入表!$I$36*时间序列!AV34/(参数输入表!$I$627*12)</f>
        <v>0</v>
      </c>
      <c r="AZ44" s="366">
        <f>参数输入表!$I$625*(1-参数输入表!$I$628)*参数输入表!$I$36*时间序列!AW34/(参数输入表!$I$627*12)</f>
        <v>0</v>
      </c>
      <c r="BA44" s="385">
        <f>参数输入表!$I$625*(1-参数输入表!$I$628)*参数输入表!$I$36*时间序列!AX34/(参数输入表!$I$627*12)</f>
        <v>0</v>
      </c>
    </row>
    <row r="45" s="105" customFormat="1" spans="2:53">
      <c r="B45" s="360"/>
      <c r="C45" s="374" t="s">
        <v>472</v>
      </c>
      <c r="D45" s="375">
        <f t="shared" si="8"/>
        <v>0</v>
      </c>
      <c r="E45" s="266" t="s">
        <v>130</v>
      </c>
      <c r="F45" s="366">
        <f>参数输入表!$I$625*(1-参数输入表!$I$628)*参数输入表!$I$37*时间序列!C62/(参数输入表!$I$627*12)</f>
        <v>0</v>
      </c>
      <c r="G45" s="366">
        <f>参数输入表!$I$625*(1-参数输入表!$I$628)*参数输入表!$I$37*时间序列!D62/(参数输入表!$I$627*12)</f>
        <v>0</v>
      </c>
      <c r="H45" s="366">
        <f>参数输入表!$I$625*(1-参数输入表!$I$628)*参数输入表!$I$37*时间序列!E62/(参数输入表!$I$627*12)</f>
        <v>0</v>
      </c>
      <c r="I45" s="366">
        <f>参数输入表!$I$625*(1-参数输入表!$I$628)*参数输入表!$I$37*时间序列!F62/(参数输入表!$I$627*12)</f>
        <v>0</v>
      </c>
      <c r="J45" s="366">
        <f>参数输入表!$I$625*(1-参数输入表!$I$628)*参数输入表!$I$37*时间序列!G62/(参数输入表!$I$627*12)</f>
        <v>0</v>
      </c>
      <c r="K45" s="366">
        <f>参数输入表!$I$625*(1-参数输入表!$I$628)*参数输入表!$I$37*时间序列!H62/(参数输入表!$I$627*12)</f>
        <v>0</v>
      </c>
      <c r="L45" s="366">
        <f>参数输入表!$I$625*(1-参数输入表!$I$628)*参数输入表!$I$37*时间序列!I62/(参数输入表!$I$627*12)</f>
        <v>0</v>
      </c>
      <c r="M45" s="366">
        <f>参数输入表!$I$625*(1-参数输入表!$I$628)*参数输入表!$I$37*时间序列!J62/(参数输入表!$I$627*12)</f>
        <v>0</v>
      </c>
      <c r="N45" s="366">
        <f>参数输入表!$I$625*(1-参数输入表!$I$628)*参数输入表!$I$37*时间序列!K62/(参数输入表!$I$627*12)</f>
        <v>0</v>
      </c>
      <c r="O45" s="366">
        <f>参数输入表!$I$625*(1-参数输入表!$I$628)*参数输入表!$I$37*时间序列!L62/(参数输入表!$I$627*12)</f>
        <v>0</v>
      </c>
      <c r="P45" s="366">
        <f>参数输入表!$I$625*(1-参数输入表!$I$628)*参数输入表!$I$37*时间序列!M62/(参数输入表!$I$627*12)</f>
        <v>0</v>
      </c>
      <c r="Q45" s="366">
        <f>参数输入表!$I$625*(1-参数输入表!$I$628)*参数输入表!$I$37*时间序列!N62/(参数输入表!$I$627*12)</f>
        <v>0</v>
      </c>
      <c r="R45" s="366">
        <f>参数输入表!$I$625*(1-参数输入表!$I$628)*参数输入表!$I$37*时间序列!O62/(参数输入表!$I$627*12)</f>
        <v>0</v>
      </c>
      <c r="S45" s="366">
        <f>参数输入表!$I$625*(1-参数输入表!$I$628)*参数输入表!$I$37*时间序列!P62/(参数输入表!$I$627*12)</f>
        <v>0</v>
      </c>
      <c r="T45" s="366">
        <f>参数输入表!$I$625*(1-参数输入表!$I$628)*参数输入表!$I$37*时间序列!Q62/(参数输入表!$I$627*12)</f>
        <v>0</v>
      </c>
      <c r="U45" s="366">
        <f>参数输入表!$I$625*(1-参数输入表!$I$628)*参数输入表!$I$37*时间序列!R62/(参数输入表!$I$627*12)</f>
        <v>0</v>
      </c>
      <c r="V45" s="366">
        <f>参数输入表!$I$625*(1-参数输入表!$I$628)*参数输入表!$I$37*时间序列!S62/(参数输入表!$I$627*12)</f>
        <v>0</v>
      </c>
      <c r="W45" s="366">
        <f>参数输入表!$I$625*(1-参数输入表!$I$628)*参数输入表!$I$37*时间序列!T62/(参数输入表!$I$627*12)</f>
        <v>0</v>
      </c>
      <c r="X45" s="366">
        <f>参数输入表!$I$625*(1-参数输入表!$I$628)*参数输入表!$I$37*时间序列!U62/(参数输入表!$I$627*12)</f>
        <v>0</v>
      </c>
      <c r="Y45" s="366">
        <f>参数输入表!$I$625*(1-参数输入表!$I$628)*参数输入表!$I$37*时间序列!V62/(参数输入表!$I$627*12)</f>
        <v>0</v>
      </c>
      <c r="Z45" s="366">
        <f>参数输入表!$I$625*(1-参数输入表!$I$628)*参数输入表!$I$37*时间序列!W62/(参数输入表!$I$627*12)</f>
        <v>0</v>
      </c>
      <c r="AA45" s="366">
        <f>参数输入表!$I$625*(1-参数输入表!$I$628)*参数输入表!$I$37*时间序列!X62/(参数输入表!$I$627*12)</f>
        <v>0</v>
      </c>
      <c r="AB45" s="366">
        <f>参数输入表!$I$625*(1-参数输入表!$I$628)*参数输入表!$I$37*时间序列!Y62/(参数输入表!$I$627*12)</f>
        <v>0</v>
      </c>
      <c r="AC45" s="366">
        <f>参数输入表!$I$625*(1-参数输入表!$I$628)*参数输入表!$I$37*时间序列!Z62/(参数输入表!$I$627*12)</f>
        <v>0</v>
      </c>
      <c r="AD45" s="366">
        <f>参数输入表!$I$625*(1-参数输入表!$I$628)*参数输入表!$I$37*时间序列!AA62/(参数输入表!$I$627*12)</f>
        <v>0</v>
      </c>
      <c r="AE45" s="366">
        <f>参数输入表!$I$625*(1-参数输入表!$I$628)*参数输入表!$I$37*时间序列!AB62/(参数输入表!$I$627*12)</f>
        <v>0</v>
      </c>
      <c r="AF45" s="366">
        <f>参数输入表!$I$625*(1-参数输入表!$I$628)*参数输入表!$I$37*时间序列!AC62/(参数输入表!$I$627*12)</f>
        <v>0</v>
      </c>
      <c r="AG45" s="366">
        <f>参数输入表!$I$625*(1-参数输入表!$I$628)*参数输入表!$I$37*时间序列!AD62/(参数输入表!$I$627*12)</f>
        <v>0</v>
      </c>
      <c r="AH45" s="366">
        <f>参数输入表!$I$625*(1-参数输入表!$I$628)*参数输入表!$I$37*时间序列!AE62/(参数输入表!$I$627*12)</f>
        <v>0</v>
      </c>
      <c r="AI45" s="366">
        <f>参数输入表!$I$625*(1-参数输入表!$I$628)*参数输入表!$I$37*时间序列!AF62/(参数输入表!$I$627*12)</f>
        <v>0</v>
      </c>
      <c r="AJ45" s="366">
        <f>参数输入表!$I$625*(1-参数输入表!$I$628)*参数输入表!$I$37*时间序列!AG62/(参数输入表!$I$627*12)</f>
        <v>0</v>
      </c>
      <c r="AK45" s="366">
        <f>参数输入表!$I$625*(1-参数输入表!$I$628)*参数输入表!$I$37*时间序列!AH62/(参数输入表!$I$627*12)</f>
        <v>0</v>
      </c>
      <c r="AL45" s="366">
        <f>参数输入表!$I$625*(1-参数输入表!$I$628)*参数输入表!$I$37*时间序列!AI62/(参数输入表!$I$627*12)</f>
        <v>0</v>
      </c>
      <c r="AM45" s="366">
        <f>参数输入表!$I$625*(1-参数输入表!$I$628)*参数输入表!$I$37*时间序列!AJ62/(参数输入表!$I$627*12)</f>
        <v>0</v>
      </c>
      <c r="AN45" s="366">
        <f>参数输入表!$I$625*(1-参数输入表!$I$628)*参数输入表!$I$37*时间序列!AK62/(参数输入表!$I$627*12)</f>
        <v>0</v>
      </c>
      <c r="AO45" s="366">
        <f>参数输入表!$I$625*(1-参数输入表!$I$628)*参数输入表!$I$37*时间序列!AL62/(参数输入表!$I$627*12)</f>
        <v>0</v>
      </c>
      <c r="AP45" s="366">
        <f>参数输入表!$I$625*(1-参数输入表!$I$628)*参数输入表!$I$37*时间序列!AM62/(参数输入表!$I$627*12)</f>
        <v>0</v>
      </c>
      <c r="AQ45" s="366">
        <f>参数输入表!$I$625*(1-参数输入表!$I$628)*参数输入表!$I$37*时间序列!AN62/(参数输入表!$I$627*12)</f>
        <v>0</v>
      </c>
      <c r="AR45" s="366">
        <f>参数输入表!$I$625*(1-参数输入表!$I$628)*参数输入表!$I$37*时间序列!AO62/(参数输入表!$I$627*12)</f>
        <v>0</v>
      </c>
      <c r="AS45" s="366">
        <f>参数输入表!$I$625*(1-参数输入表!$I$628)*参数输入表!$I$37*时间序列!AP62/(参数输入表!$I$627*12)</f>
        <v>0</v>
      </c>
      <c r="AT45" s="366">
        <f>参数输入表!$I$625*(1-参数输入表!$I$628)*参数输入表!$I$37*时间序列!AQ62/(参数输入表!$I$627*12)</f>
        <v>0</v>
      </c>
      <c r="AU45" s="366">
        <f>参数输入表!$I$625*(1-参数输入表!$I$628)*参数输入表!$I$37*时间序列!AR62/(参数输入表!$I$627*12)</f>
        <v>0</v>
      </c>
      <c r="AV45" s="366">
        <f>参数输入表!$I$625*(1-参数输入表!$I$628)*参数输入表!$I$37*时间序列!AS62/(参数输入表!$I$627*12)</f>
        <v>0</v>
      </c>
      <c r="AW45" s="366">
        <f>参数输入表!$I$625*(1-参数输入表!$I$628)*参数输入表!$I$37*时间序列!AT62/(参数输入表!$I$627*12)</f>
        <v>0</v>
      </c>
      <c r="AX45" s="366">
        <f>参数输入表!$I$625*(1-参数输入表!$I$628)*参数输入表!$I$37*时间序列!AU62/(参数输入表!$I$627*12)</f>
        <v>0</v>
      </c>
      <c r="AY45" s="366">
        <f>参数输入表!$I$625*(1-参数输入表!$I$628)*参数输入表!$I$37*时间序列!AV62/(参数输入表!$I$627*12)</f>
        <v>0</v>
      </c>
      <c r="AZ45" s="366">
        <f>参数输入表!$I$625*(1-参数输入表!$I$628)*参数输入表!$I$37*时间序列!AW62/(参数输入表!$I$627*12)</f>
        <v>0</v>
      </c>
      <c r="BA45" s="385">
        <f>参数输入表!$I$625*(1-参数输入表!$I$628)*参数输入表!$I$37*时间序列!AX62/(参数输入表!$I$627*12)</f>
        <v>0</v>
      </c>
    </row>
    <row r="46" s="105" customFormat="1" spans="2:53">
      <c r="B46" s="360"/>
      <c r="C46" s="374" t="s">
        <v>473</v>
      </c>
      <c r="D46" s="375">
        <f t="shared" si="8"/>
        <v>0</v>
      </c>
      <c r="E46" s="266" t="s">
        <v>130</v>
      </c>
      <c r="F46" s="366">
        <f>参数输入表!$I$625*(1-参数输入表!$I$628)*参数输入表!$I$38*时间序列!C90/(参数输入表!$I$627*12)</f>
        <v>0</v>
      </c>
      <c r="G46" s="366">
        <f>参数输入表!$I$625*(1-参数输入表!$I$628)*参数输入表!$I$38*时间序列!D90/(参数输入表!$I$627*12)</f>
        <v>0</v>
      </c>
      <c r="H46" s="366">
        <f>参数输入表!$I$625*(1-参数输入表!$I$628)*参数输入表!$I$38*时间序列!E90/(参数输入表!$I$627*12)</f>
        <v>0</v>
      </c>
      <c r="I46" s="366">
        <f>参数输入表!$I$625*(1-参数输入表!$I$628)*参数输入表!$I$38*时间序列!F90/(参数输入表!$I$627*12)</f>
        <v>0</v>
      </c>
      <c r="J46" s="366">
        <f>参数输入表!$I$625*(1-参数输入表!$I$628)*参数输入表!$I$38*时间序列!G90/(参数输入表!$I$627*12)</f>
        <v>0</v>
      </c>
      <c r="K46" s="366">
        <f>参数输入表!$I$625*(1-参数输入表!$I$628)*参数输入表!$I$38*时间序列!H90/(参数输入表!$I$627*12)</f>
        <v>0</v>
      </c>
      <c r="L46" s="366">
        <f>参数输入表!$I$625*(1-参数输入表!$I$628)*参数输入表!$I$38*时间序列!I90/(参数输入表!$I$627*12)</f>
        <v>0</v>
      </c>
      <c r="M46" s="366">
        <f>参数输入表!$I$625*(1-参数输入表!$I$628)*参数输入表!$I$38*时间序列!J90/(参数输入表!$I$627*12)</f>
        <v>0</v>
      </c>
      <c r="N46" s="366">
        <f>参数输入表!$I$625*(1-参数输入表!$I$628)*参数输入表!$I$38*时间序列!K90/(参数输入表!$I$627*12)</f>
        <v>0</v>
      </c>
      <c r="O46" s="366">
        <f>参数输入表!$I$625*(1-参数输入表!$I$628)*参数输入表!$I$38*时间序列!L90/(参数输入表!$I$627*12)</f>
        <v>0</v>
      </c>
      <c r="P46" s="366">
        <f>参数输入表!$I$625*(1-参数输入表!$I$628)*参数输入表!$I$38*时间序列!M90/(参数输入表!$I$627*12)</f>
        <v>0</v>
      </c>
      <c r="Q46" s="366">
        <f>参数输入表!$I$625*(1-参数输入表!$I$628)*参数输入表!$I$38*时间序列!N90/(参数输入表!$I$627*12)</f>
        <v>0</v>
      </c>
      <c r="R46" s="366">
        <f>参数输入表!$I$625*(1-参数输入表!$I$628)*参数输入表!$I$38*时间序列!O90/(参数输入表!$I$627*12)</f>
        <v>0</v>
      </c>
      <c r="S46" s="366">
        <f>参数输入表!$I$625*(1-参数输入表!$I$628)*参数输入表!$I$38*时间序列!P90/(参数输入表!$I$627*12)</f>
        <v>0</v>
      </c>
      <c r="T46" s="366">
        <f>参数输入表!$I$625*(1-参数输入表!$I$628)*参数输入表!$I$38*时间序列!Q90/(参数输入表!$I$627*12)</f>
        <v>0</v>
      </c>
      <c r="U46" s="366">
        <f>参数输入表!$I$625*(1-参数输入表!$I$628)*参数输入表!$I$38*时间序列!R90/(参数输入表!$I$627*12)</f>
        <v>0</v>
      </c>
      <c r="V46" s="366">
        <f>参数输入表!$I$625*(1-参数输入表!$I$628)*参数输入表!$I$38*时间序列!S90/(参数输入表!$I$627*12)</f>
        <v>0</v>
      </c>
      <c r="W46" s="366">
        <f>参数输入表!$I$625*(1-参数输入表!$I$628)*参数输入表!$I$38*时间序列!T90/(参数输入表!$I$627*12)</f>
        <v>0</v>
      </c>
      <c r="X46" s="366">
        <f>参数输入表!$I$625*(1-参数输入表!$I$628)*参数输入表!$I$38*时间序列!U90/(参数输入表!$I$627*12)</f>
        <v>0</v>
      </c>
      <c r="Y46" s="366">
        <f>参数输入表!$I$625*(1-参数输入表!$I$628)*参数输入表!$I$38*时间序列!V90/(参数输入表!$I$627*12)</f>
        <v>0</v>
      </c>
      <c r="Z46" s="366">
        <f>参数输入表!$I$625*(1-参数输入表!$I$628)*参数输入表!$I$38*时间序列!W90/(参数输入表!$I$627*12)</f>
        <v>0</v>
      </c>
      <c r="AA46" s="366">
        <f>参数输入表!$I$625*(1-参数输入表!$I$628)*参数输入表!$I$38*时间序列!X90/(参数输入表!$I$627*12)</f>
        <v>0</v>
      </c>
      <c r="AB46" s="366">
        <f>参数输入表!$I$625*(1-参数输入表!$I$628)*参数输入表!$I$38*时间序列!Y90/(参数输入表!$I$627*12)</f>
        <v>0</v>
      </c>
      <c r="AC46" s="366">
        <f>参数输入表!$I$625*(1-参数输入表!$I$628)*参数输入表!$I$38*时间序列!Z90/(参数输入表!$I$627*12)</f>
        <v>0</v>
      </c>
      <c r="AD46" s="366">
        <f>参数输入表!$I$625*(1-参数输入表!$I$628)*参数输入表!$I$38*时间序列!AA90/(参数输入表!$I$627*12)</f>
        <v>0</v>
      </c>
      <c r="AE46" s="366">
        <f>参数输入表!$I$625*(1-参数输入表!$I$628)*参数输入表!$I$38*时间序列!AB90/(参数输入表!$I$627*12)</f>
        <v>0</v>
      </c>
      <c r="AF46" s="366">
        <f>参数输入表!$I$625*(1-参数输入表!$I$628)*参数输入表!$I$38*时间序列!AC90/(参数输入表!$I$627*12)</f>
        <v>0</v>
      </c>
      <c r="AG46" s="366">
        <f>参数输入表!$I$625*(1-参数输入表!$I$628)*参数输入表!$I$38*时间序列!AD90/(参数输入表!$I$627*12)</f>
        <v>0</v>
      </c>
      <c r="AH46" s="366">
        <f>参数输入表!$I$625*(1-参数输入表!$I$628)*参数输入表!$I$38*时间序列!AE90/(参数输入表!$I$627*12)</f>
        <v>0</v>
      </c>
      <c r="AI46" s="366">
        <f>参数输入表!$I$625*(1-参数输入表!$I$628)*参数输入表!$I$38*时间序列!AF90/(参数输入表!$I$627*12)</f>
        <v>0</v>
      </c>
      <c r="AJ46" s="366">
        <f>参数输入表!$I$625*(1-参数输入表!$I$628)*参数输入表!$I$38*时间序列!AG90/(参数输入表!$I$627*12)</f>
        <v>0</v>
      </c>
      <c r="AK46" s="366">
        <f>参数输入表!$I$625*(1-参数输入表!$I$628)*参数输入表!$I$38*时间序列!AH90/(参数输入表!$I$627*12)</f>
        <v>0</v>
      </c>
      <c r="AL46" s="366">
        <f>参数输入表!$I$625*(1-参数输入表!$I$628)*参数输入表!$I$38*时间序列!AI90/(参数输入表!$I$627*12)</f>
        <v>0</v>
      </c>
      <c r="AM46" s="366">
        <f>参数输入表!$I$625*(1-参数输入表!$I$628)*参数输入表!$I$38*时间序列!AJ90/(参数输入表!$I$627*12)</f>
        <v>0</v>
      </c>
      <c r="AN46" s="366">
        <f>参数输入表!$I$625*(1-参数输入表!$I$628)*参数输入表!$I$38*时间序列!AK90/(参数输入表!$I$627*12)</f>
        <v>0</v>
      </c>
      <c r="AO46" s="366">
        <f>参数输入表!$I$625*(1-参数输入表!$I$628)*参数输入表!$I$38*时间序列!AL90/(参数输入表!$I$627*12)</f>
        <v>0</v>
      </c>
      <c r="AP46" s="366">
        <f>参数输入表!$I$625*(1-参数输入表!$I$628)*参数输入表!$I$38*时间序列!AM90/(参数输入表!$I$627*12)</f>
        <v>0</v>
      </c>
      <c r="AQ46" s="366">
        <f>参数输入表!$I$625*(1-参数输入表!$I$628)*参数输入表!$I$38*时间序列!AN90/(参数输入表!$I$627*12)</f>
        <v>0</v>
      </c>
      <c r="AR46" s="366">
        <f>参数输入表!$I$625*(1-参数输入表!$I$628)*参数输入表!$I$38*时间序列!AO90/(参数输入表!$I$627*12)</f>
        <v>0</v>
      </c>
      <c r="AS46" s="366">
        <f>参数输入表!$I$625*(1-参数输入表!$I$628)*参数输入表!$I$38*时间序列!AP90/(参数输入表!$I$627*12)</f>
        <v>0</v>
      </c>
      <c r="AT46" s="366">
        <f>参数输入表!$I$625*(1-参数输入表!$I$628)*参数输入表!$I$38*时间序列!AQ90/(参数输入表!$I$627*12)</f>
        <v>0</v>
      </c>
      <c r="AU46" s="366">
        <f>参数输入表!$I$625*(1-参数输入表!$I$628)*参数输入表!$I$38*时间序列!AR90/(参数输入表!$I$627*12)</f>
        <v>0</v>
      </c>
      <c r="AV46" s="366">
        <f>参数输入表!$I$625*(1-参数输入表!$I$628)*参数输入表!$I$38*时间序列!AS90/(参数输入表!$I$627*12)</f>
        <v>0</v>
      </c>
      <c r="AW46" s="366">
        <f>参数输入表!$I$625*(1-参数输入表!$I$628)*参数输入表!$I$38*时间序列!AT90/(参数输入表!$I$627*12)</f>
        <v>0</v>
      </c>
      <c r="AX46" s="366">
        <f>参数输入表!$I$625*(1-参数输入表!$I$628)*参数输入表!$I$38*时间序列!AU90/(参数输入表!$I$627*12)</f>
        <v>0</v>
      </c>
      <c r="AY46" s="366">
        <f>参数输入表!$I$625*(1-参数输入表!$I$628)*参数输入表!$I$38*时间序列!AV90/(参数输入表!$I$627*12)</f>
        <v>0</v>
      </c>
      <c r="AZ46" s="366">
        <f>参数输入表!$I$625*(1-参数输入表!$I$628)*参数输入表!$I$38*时间序列!AW90/(参数输入表!$I$627*12)</f>
        <v>0</v>
      </c>
      <c r="BA46" s="385">
        <f>参数输入表!$I$625*(1-参数输入表!$I$628)*参数输入表!$I$38*时间序列!AX90/(参数输入表!$I$627*12)</f>
        <v>0</v>
      </c>
    </row>
    <row r="47" s="105" customFormat="1" spans="2:53">
      <c r="B47" s="360"/>
      <c r="C47" s="374" t="s">
        <v>474</v>
      </c>
      <c r="D47" s="375">
        <f t="shared" si="8"/>
        <v>6480</v>
      </c>
      <c r="E47" s="266" t="s">
        <v>130</v>
      </c>
      <c r="F47" s="366">
        <f>参数输入表!$I$625*(1-参数输入表!$I$628)*参数输入表!$I$39*时间序列!C118/(参数输入表!$I$627*12)</f>
        <v>0</v>
      </c>
      <c r="G47" s="366">
        <f>参数输入表!$I$625*(1-参数输入表!$I$628)*参数输入表!$I$39*时间序列!D118/(参数输入表!$I$627*12)</f>
        <v>0</v>
      </c>
      <c r="H47" s="366">
        <f>参数输入表!$I$625*(1-参数输入表!$I$628)*参数输入表!$I$39*时间序列!E118/(参数输入表!$I$627*12)</f>
        <v>0</v>
      </c>
      <c r="I47" s="366">
        <f>参数输入表!$I$625*(1-参数输入表!$I$628)*参数输入表!$I$39*时间序列!F118/(参数输入表!$I$627*12)</f>
        <v>0</v>
      </c>
      <c r="J47" s="366">
        <f>参数输入表!$I$625*(1-参数输入表!$I$628)*参数输入表!$I$39*时间序列!G118/(参数输入表!$I$627*12)</f>
        <v>0</v>
      </c>
      <c r="K47" s="366">
        <f>参数输入表!$I$625*(1-参数输入表!$I$628)*参数输入表!$I$39*时间序列!H118/(参数输入表!$I$627*12)</f>
        <v>0</v>
      </c>
      <c r="L47" s="366">
        <f>参数输入表!$I$625*(1-参数输入表!$I$628)*参数输入表!$I$39*时间序列!I118/(参数输入表!$I$627*12)</f>
        <v>0</v>
      </c>
      <c r="M47" s="366">
        <f>参数输入表!$I$625*(1-参数输入表!$I$628)*参数输入表!$I$39*时间序列!J118/(参数输入表!$I$627*12)</f>
        <v>0</v>
      </c>
      <c r="N47" s="366">
        <f>参数输入表!$I$625*(1-参数输入表!$I$628)*参数输入表!$I$39*时间序列!K118/(参数输入表!$I$627*12)</f>
        <v>765</v>
      </c>
      <c r="O47" s="366">
        <f>参数输入表!$I$625*(1-参数输入表!$I$628)*参数输入表!$I$39*时间序列!L118/(参数输入表!$I$627*12)</f>
        <v>540</v>
      </c>
      <c r="P47" s="366">
        <f>参数输入表!$I$625*(1-参数输入表!$I$628)*参数输入表!$I$39*时间序列!M118/(参数输入表!$I$627*12)</f>
        <v>540</v>
      </c>
      <c r="Q47" s="366">
        <f>参数输入表!$I$625*(1-参数输入表!$I$628)*参数输入表!$I$39*时间序列!N118/(参数输入表!$I$627*12)</f>
        <v>540</v>
      </c>
      <c r="R47" s="366">
        <f>参数输入表!$I$625*(1-参数输入表!$I$628)*参数输入表!$I$39*时间序列!O118/(参数输入表!$I$627*12)</f>
        <v>540</v>
      </c>
      <c r="S47" s="366">
        <f>参数输入表!$I$625*(1-参数输入表!$I$628)*参数输入表!$I$39*时间序列!P118/(参数输入表!$I$627*12)</f>
        <v>540</v>
      </c>
      <c r="T47" s="366">
        <f>参数输入表!$I$625*(1-参数输入表!$I$628)*参数输入表!$I$39*时间序列!Q118/(参数输入表!$I$627*12)</f>
        <v>540</v>
      </c>
      <c r="U47" s="366">
        <f>参数输入表!$I$625*(1-参数输入表!$I$628)*参数输入表!$I$39*时间序列!R118/(参数输入表!$I$627*12)</f>
        <v>540</v>
      </c>
      <c r="V47" s="366">
        <f>参数输入表!$I$625*(1-参数输入表!$I$628)*参数输入表!$I$39*时间序列!S118/(参数输入表!$I$627*12)</f>
        <v>540</v>
      </c>
      <c r="W47" s="366">
        <f>参数输入表!$I$625*(1-参数输入表!$I$628)*参数输入表!$I$39*时间序列!T118/(参数输入表!$I$627*12)</f>
        <v>540</v>
      </c>
      <c r="X47" s="366">
        <f>参数输入表!$I$625*(1-参数输入表!$I$628)*参数输入表!$I$39*时间序列!U118/(参数输入表!$I$627*12)</f>
        <v>540</v>
      </c>
      <c r="Y47" s="366">
        <f>参数输入表!$I$625*(1-参数输入表!$I$628)*参数输入表!$I$39*时间序列!V118/(参数输入表!$I$627*12)</f>
        <v>315</v>
      </c>
      <c r="Z47" s="366">
        <f>参数输入表!$I$625*(1-参数输入表!$I$628)*参数输入表!$I$39*时间序列!W118/(参数输入表!$I$627*12)</f>
        <v>0</v>
      </c>
      <c r="AA47" s="366">
        <f>参数输入表!$I$625*(1-参数输入表!$I$628)*参数输入表!$I$39*时间序列!X118/(参数输入表!$I$627*12)</f>
        <v>0</v>
      </c>
      <c r="AB47" s="366">
        <f>参数输入表!$I$625*(1-参数输入表!$I$628)*参数输入表!$I$39*时间序列!Y118/(参数输入表!$I$627*12)</f>
        <v>0</v>
      </c>
      <c r="AC47" s="366">
        <f>参数输入表!$I$625*(1-参数输入表!$I$628)*参数输入表!$I$39*时间序列!Z118/(参数输入表!$I$627*12)</f>
        <v>0</v>
      </c>
      <c r="AD47" s="366">
        <f>参数输入表!$I$625*(1-参数输入表!$I$628)*参数输入表!$I$39*时间序列!AA118/(参数输入表!$I$627*12)</f>
        <v>0</v>
      </c>
      <c r="AE47" s="366">
        <f>参数输入表!$I$625*(1-参数输入表!$I$628)*参数输入表!$I$39*时间序列!AB118/(参数输入表!$I$627*12)</f>
        <v>0</v>
      </c>
      <c r="AF47" s="366">
        <f>参数输入表!$I$625*(1-参数输入表!$I$628)*参数输入表!$I$39*时间序列!AC118/(参数输入表!$I$627*12)</f>
        <v>0</v>
      </c>
      <c r="AG47" s="366">
        <f>参数输入表!$I$625*(1-参数输入表!$I$628)*参数输入表!$I$39*时间序列!AD118/(参数输入表!$I$627*12)</f>
        <v>0</v>
      </c>
      <c r="AH47" s="366">
        <f>参数输入表!$I$625*(1-参数输入表!$I$628)*参数输入表!$I$39*时间序列!AE118/(参数输入表!$I$627*12)</f>
        <v>0</v>
      </c>
      <c r="AI47" s="366">
        <f>参数输入表!$I$625*(1-参数输入表!$I$628)*参数输入表!$I$39*时间序列!AF118/(参数输入表!$I$627*12)</f>
        <v>0</v>
      </c>
      <c r="AJ47" s="366">
        <f>参数输入表!$I$625*(1-参数输入表!$I$628)*参数输入表!$I$39*时间序列!AG118/(参数输入表!$I$627*12)</f>
        <v>0</v>
      </c>
      <c r="AK47" s="366">
        <f>参数输入表!$I$625*(1-参数输入表!$I$628)*参数输入表!$I$39*时间序列!AH118/(参数输入表!$I$627*12)</f>
        <v>0</v>
      </c>
      <c r="AL47" s="366">
        <f>参数输入表!$I$625*(1-参数输入表!$I$628)*参数输入表!$I$39*时间序列!AI118/(参数输入表!$I$627*12)</f>
        <v>0</v>
      </c>
      <c r="AM47" s="366">
        <f>参数输入表!$I$625*(1-参数输入表!$I$628)*参数输入表!$I$39*时间序列!AJ118/(参数输入表!$I$627*12)</f>
        <v>0</v>
      </c>
      <c r="AN47" s="366">
        <f>参数输入表!$I$625*(1-参数输入表!$I$628)*参数输入表!$I$39*时间序列!AK118/(参数输入表!$I$627*12)</f>
        <v>0</v>
      </c>
      <c r="AO47" s="366">
        <f>参数输入表!$I$625*(1-参数输入表!$I$628)*参数输入表!$I$39*时间序列!AL118/(参数输入表!$I$627*12)</f>
        <v>0</v>
      </c>
      <c r="AP47" s="366">
        <f>参数输入表!$I$625*(1-参数输入表!$I$628)*参数输入表!$I$39*时间序列!AM118/(参数输入表!$I$627*12)</f>
        <v>0</v>
      </c>
      <c r="AQ47" s="366">
        <f>参数输入表!$I$625*(1-参数输入表!$I$628)*参数输入表!$I$39*时间序列!AN118/(参数输入表!$I$627*12)</f>
        <v>0</v>
      </c>
      <c r="AR47" s="366">
        <f>参数输入表!$I$625*(1-参数输入表!$I$628)*参数输入表!$I$39*时间序列!AO118/(参数输入表!$I$627*12)</f>
        <v>0</v>
      </c>
      <c r="AS47" s="366">
        <f>参数输入表!$I$625*(1-参数输入表!$I$628)*参数输入表!$I$39*时间序列!AP118/(参数输入表!$I$627*12)</f>
        <v>0</v>
      </c>
      <c r="AT47" s="366">
        <f>参数输入表!$I$625*(1-参数输入表!$I$628)*参数输入表!$I$39*时间序列!AQ118/(参数输入表!$I$627*12)</f>
        <v>0</v>
      </c>
      <c r="AU47" s="366">
        <f>参数输入表!$I$625*(1-参数输入表!$I$628)*参数输入表!$I$39*时间序列!AR118/(参数输入表!$I$627*12)</f>
        <v>0</v>
      </c>
      <c r="AV47" s="366">
        <f>参数输入表!$I$625*(1-参数输入表!$I$628)*参数输入表!$I$39*时间序列!AS118/(参数输入表!$I$627*12)</f>
        <v>0</v>
      </c>
      <c r="AW47" s="366">
        <f>参数输入表!$I$625*(1-参数输入表!$I$628)*参数输入表!$I$39*时间序列!AT118/(参数输入表!$I$627*12)</f>
        <v>0</v>
      </c>
      <c r="AX47" s="366">
        <f>参数输入表!$I$625*(1-参数输入表!$I$628)*参数输入表!$I$39*时间序列!AU118/(参数输入表!$I$627*12)</f>
        <v>0</v>
      </c>
      <c r="AY47" s="366">
        <f>参数输入表!$I$625*(1-参数输入表!$I$628)*参数输入表!$I$39*时间序列!AV118/(参数输入表!$I$627*12)</f>
        <v>0</v>
      </c>
      <c r="AZ47" s="366">
        <f>参数输入表!$I$625*(1-参数输入表!$I$628)*参数输入表!$I$39*时间序列!AW118/(参数输入表!$I$627*12)</f>
        <v>0</v>
      </c>
      <c r="BA47" s="385">
        <f>参数输入表!$I$625*(1-参数输入表!$I$628)*参数输入表!$I$39*时间序列!AX118/(参数输入表!$I$627*12)</f>
        <v>0</v>
      </c>
    </row>
    <row r="48" s="105" customFormat="1" spans="2:53">
      <c r="B48" s="360"/>
      <c r="C48" s="378" t="s">
        <v>712</v>
      </c>
      <c r="D48" s="376"/>
      <c r="E48" s="266" t="s">
        <v>130</v>
      </c>
      <c r="F48" s="366">
        <f>F43</f>
        <v>0</v>
      </c>
      <c r="G48" s="366">
        <f>F48+G43</f>
        <v>0</v>
      </c>
      <c r="H48" s="366">
        <f t="shared" ref="H48:BA48" si="12">G48+H43</f>
        <v>0</v>
      </c>
      <c r="I48" s="366">
        <f t="shared" si="12"/>
        <v>0</v>
      </c>
      <c r="J48" s="366">
        <f t="shared" si="12"/>
        <v>0</v>
      </c>
      <c r="K48" s="366">
        <f t="shared" si="12"/>
        <v>0</v>
      </c>
      <c r="L48" s="366">
        <f t="shared" si="12"/>
        <v>0</v>
      </c>
      <c r="M48" s="366">
        <f t="shared" si="12"/>
        <v>0</v>
      </c>
      <c r="N48" s="366">
        <f t="shared" si="12"/>
        <v>765</v>
      </c>
      <c r="O48" s="366">
        <f t="shared" si="12"/>
        <v>1305</v>
      </c>
      <c r="P48" s="366">
        <f t="shared" si="12"/>
        <v>1845</v>
      </c>
      <c r="Q48" s="366">
        <f t="shared" si="12"/>
        <v>2385</v>
      </c>
      <c r="R48" s="366">
        <f t="shared" si="12"/>
        <v>2925</v>
      </c>
      <c r="S48" s="366">
        <f t="shared" si="12"/>
        <v>3465</v>
      </c>
      <c r="T48" s="366">
        <f t="shared" si="12"/>
        <v>4005</v>
      </c>
      <c r="U48" s="366">
        <f t="shared" si="12"/>
        <v>4545</v>
      </c>
      <c r="V48" s="366">
        <f t="shared" si="12"/>
        <v>5085</v>
      </c>
      <c r="W48" s="366">
        <f t="shared" si="12"/>
        <v>5625</v>
      </c>
      <c r="X48" s="366">
        <f t="shared" si="12"/>
        <v>6165</v>
      </c>
      <c r="Y48" s="366">
        <f t="shared" si="12"/>
        <v>6480</v>
      </c>
      <c r="Z48" s="366">
        <f t="shared" si="12"/>
        <v>6480</v>
      </c>
      <c r="AA48" s="366">
        <f t="shared" si="12"/>
        <v>6480</v>
      </c>
      <c r="AB48" s="366">
        <f t="shared" si="12"/>
        <v>6480</v>
      </c>
      <c r="AC48" s="366">
        <f t="shared" si="12"/>
        <v>6480</v>
      </c>
      <c r="AD48" s="366">
        <f t="shared" si="12"/>
        <v>6480</v>
      </c>
      <c r="AE48" s="366">
        <f t="shared" si="12"/>
        <v>6480</v>
      </c>
      <c r="AF48" s="366">
        <f t="shared" si="12"/>
        <v>6480</v>
      </c>
      <c r="AG48" s="366">
        <f t="shared" si="12"/>
        <v>6480</v>
      </c>
      <c r="AH48" s="366">
        <f t="shared" si="12"/>
        <v>6480</v>
      </c>
      <c r="AI48" s="366">
        <f t="shared" si="12"/>
        <v>6480</v>
      </c>
      <c r="AJ48" s="366">
        <f t="shared" si="12"/>
        <v>6480</v>
      </c>
      <c r="AK48" s="366">
        <f t="shared" si="12"/>
        <v>6480</v>
      </c>
      <c r="AL48" s="366">
        <f t="shared" si="12"/>
        <v>6480</v>
      </c>
      <c r="AM48" s="366">
        <f t="shared" si="12"/>
        <v>6480</v>
      </c>
      <c r="AN48" s="366">
        <f t="shared" si="12"/>
        <v>6480</v>
      </c>
      <c r="AO48" s="366">
        <f t="shared" si="12"/>
        <v>6480</v>
      </c>
      <c r="AP48" s="366">
        <f t="shared" si="12"/>
        <v>6480</v>
      </c>
      <c r="AQ48" s="366">
        <f t="shared" si="12"/>
        <v>6480</v>
      </c>
      <c r="AR48" s="366">
        <f t="shared" si="12"/>
        <v>6480</v>
      </c>
      <c r="AS48" s="366">
        <f t="shared" si="12"/>
        <v>6480</v>
      </c>
      <c r="AT48" s="366">
        <f t="shared" si="12"/>
        <v>6480</v>
      </c>
      <c r="AU48" s="366">
        <f t="shared" si="12"/>
        <v>6480</v>
      </c>
      <c r="AV48" s="366">
        <f t="shared" si="12"/>
        <v>6480</v>
      </c>
      <c r="AW48" s="366">
        <f t="shared" si="12"/>
        <v>6480</v>
      </c>
      <c r="AX48" s="366">
        <f t="shared" si="12"/>
        <v>6480</v>
      </c>
      <c r="AY48" s="366">
        <f t="shared" si="12"/>
        <v>6480</v>
      </c>
      <c r="AZ48" s="366">
        <f t="shared" si="12"/>
        <v>6480</v>
      </c>
      <c r="BA48" s="385">
        <f t="shared" si="12"/>
        <v>6480</v>
      </c>
    </row>
    <row r="49" s="105" customFormat="1" ht="17.25" spans="2:53">
      <c r="B49" s="379"/>
      <c r="C49" s="380" t="s">
        <v>713</v>
      </c>
      <c r="D49" s="381"/>
      <c r="E49" s="382" t="s">
        <v>130</v>
      </c>
      <c r="F49" s="383">
        <f>F39-F48</f>
        <v>0</v>
      </c>
      <c r="G49" s="383">
        <f t="shared" ref="G49:BA49" si="13">G39-G48</f>
        <v>0</v>
      </c>
      <c r="H49" s="383">
        <f t="shared" si="13"/>
        <v>0</v>
      </c>
      <c r="I49" s="383">
        <f t="shared" si="13"/>
        <v>0</v>
      </c>
      <c r="J49" s="383">
        <f t="shared" si="13"/>
        <v>0</v>
      </c>
      <c r="K49" s="383">
        <f t="shared" si="13"/>
        <v>0</v>
      </c>
      <c r="L49" s="383">
        <f t="shared" si="13"/>
        <v>0</v>
      </c>
      <c r="M49" s="383">
        <f t="shared" si="13"/>
        <v>7200</v>
      </c>
      <c r="N49" s="383">
        <f t="shared" si="13"/>
        <v>6435</v>
      </c>
      <c r="O49" s="383">
        <f t="shared" si="13"/>
        <v>5895</v>
      </c>
      <c r="P49" s="383">
        <f t="shared" si="13"/>
        <v>5355</v>
      </c>
      <c r="Q49" s="383">
        <f t="shared" si="13"/>
        <v>4815</v>
      </c>
      <c r="R49" s="383">
        <f t="shared" si="13"/>
        <v>4275</v>
      </c>
      <c r="S49" s="383">
        <f t="shared" si="13"/>
        <v>3735</v>
      </c>
      <c r="T49" s="383">
        <f t="shared" si="13"/>
        <v>3195</v>
      </c>
      <c r="U49" s="383">
        <f t="shared" si="13"/>
        <v>2655</v>
      </c>
      <c r="V49" s="383">
        <f t="shared" si="13"/>
        <v>2115</v>
      </c>
      <c r="W49" s="383">
        <f t="shared" si="13"/>
        <v>1575</v>
      </c>
      <c r="X49" s="383">
        <f t="shared" si="13"/>
        <v>1035</v>
      </c>
      <c r="Y49" s="383">
        <f t="shared" si="13"/>
        <v>720</v>
      </c>
      <c r="Z49" s="383">
        <f t="shared" si="13"/>
        <v>720</v>
      </c>
      <c r="AA49" s="383">
        <f t="shared" si="13"/>
        <v>720</v>
      </c>
      <c r="AB49" s="383">
        <f t="shared" si="13"/>
        <v>720</v>
      </c>
      <c r="AC49" s="383">
        <f t="shared" si="13"/>
        <v>720</v>
      </c>
      <c r="AD49" s="383">
        <f t="shared" si="13"/>
        <v>720</v>
      </c>
      <c r="AE49" s="383">
        <f t="shared" si="13"/>
        <v>720</v>
      </c>
      <c r="AF49" s="383">
        <f t="shared" si="13"/>
        <v>720</v>
      </c>
      <c r="AG49" s="383">
        <f t="shared" si="13"/>
        <v>720</v>
      </c>
      <c r="AH49" s="383">
        <f t="shared" si="13"/>
        <v>720</v>
      </c>
      <c r="AI49" s="383">
        <f t="shared" si="13"/>
        <v>720</v>
      </c>
      <c r="AJ49" s="383">
        <f t="shared" si="13"/>
        <v>720</v>
      </c>
      <c r="AK49" s="383">
        <f t="shared" si="13"/>
        <v>720</v>
      </c>
      <c r="AL49" s="383">
        <f t="shared" si="13"/>
        <v>720</v>
      </c>
      <c r="AM49" s="383">
        <f t="shared" si="13"/>
        <v>720</v>
      </c>
      <c r="AN49" s="383">
        <f t="shared" si="13"/>
        <v>720</v>
      </c>
      <c r="AO49" s="383">
        <f t="shared" si="13"/>
        <v>720</v>
      </c>
      <c r="AP49" s="383">
        <f t="shared" si="13"/>
        <v>720</v>
      </c>
      <c r="AQ49" s="383">
        <f t="shared" si="13"/>
        <v>720</v>
      </c>
      <c r="AR49" s="383">
        <f t="shared" si="13"/>
        <v>720</v>
      </c>
      <c r="AS49" s="383">
        <f t="shared" si="13"/>
        <v>720</v>
      </c>
      <c r="AT49" s="383">
        <f t="shared" si="13"/>
        <v>720</v>
      </c>
      <c r="AU49" s="383">
        <f t="shared" si="13"/>
        <v>720</v>
      </c>
      <c r="AV49" s="383">
        <f t="shared" si="13"/>
        <v>720</v>
      </c>
      <c r="AW49" s="383">
        <f t="shared" si="13"/>
        <v>720</v>
      </c>
      <c r="AX49" s="383">
        <f t="shared" si="13"/>
        <v>720</v>
      </c>
      <c r="AY49" s="383">
        <f t="shared" si="13"/>
        <v>720</v>
      </c>
      <c r="AZ49" s="383">
        <f t="shared" si="13"/>
        <v>720</v>
      </c>
      <c r="BA49" s="384">
        <f t="shared" si="13"/>
        <v>720</v>
      </c>
    </row>
    <row r="50" s="105" customFormat="1" spans="2:53">
      <c r="B50" s="355">
        <v>1.3</v>
      </c>
      <c r="C50" s="356" t="s">
        <v>714</v>
      </c>
      <c r="D50" s="357"/>
      <c r="E50" s="358" t="s">
        <v>130</v>
      </c>
      <c r="F50" s="357">
        <f>参数输入表!$I$630*F27</f>
        <v>0</v>
      </c>
      <c r="G50" s="357">
        <f>参数输入表!$I$630*G27</f>
        <v>0</v>
      </c>
      <c r="H50" s="357">
        <f>参数输入表!$I$630*H27</f>
        <v>0</v>
      </c>
      <c r="I50" s="357">
        <f>参数输入表!$I$630*I27</f>
        <v>0</v>
      </c>
      <c r="J50" s="357">
        <f>参数输入表!$I$630*J27</f>
        <v>0</v>
      </c>
      <c r="K50" s="357">
        <f>参数输入表!$I$630*K27</f>
        <v>0</v>
      </c>
      <c r="L50" s="357">
        <f>参数输入表!$I$630*L27</f>
        <v>0</v>
      </c>
      <c r="M50" s="357">
        <f>参数输入表!$I$630*M27</f>
        <v>12000</v>
      </c>
      <c r="N50" s="357">
        <f>参数输入表!$I$630*N27</f>
        <v>12000</v>
      </c>
      <c r="O50" s="357">
        <f>参数输入表!$I$630*O27</f>
        <v>12000</v>
      </c>
      <c r="P50" s="357">
        <f>参数输入表!$I$630*P27</f>
        <v>12000</v>
      </c>
      <c r="Q50" s="357">
        <f>参数输入表!$I$630*Q27</f>
        <v>12000</v>
      </c>
      <c r="R50" s="357">
        <f>参数输入表!$I$630*R27</f>
        <v>12000</v>
      </c>
      <c r="S50" s="357">
        <f>参数输入表!$I$630*S27</f>
        <v>12000</v>
      </c>
      <c r="T50" s="357">
        <f>参数输入表!$I$630*T27</f>
        <v>12000</v>
      </c>
      <c r="U50" s="357">
        <f>参数输入表!$I$630*U27</f>
        <v>12000</v>
      </c>
      <c r="V50" s="357">
        <f>参数输入表!$I$630*V27</f>
        <v>12000</v>
      </c>
      <c r="W50" s="357">
        <f>参数输入表!$I$630*W27</f>
        <v>12000</v>
      </c>
      <c r="X50" s="357">
        <f>参数输入表!$I$630*X27</f>
        <v>12000</v>
      </c>
      <c r="Y50" s="357">
        <f>参数输入表!$I$630*Y27</f>
        <v>12000</v>
      </c>
      <c r="Z50" s="357">
        <f>参数输入表!$I$630*Z27</f>
        <v>12000</v>
      </c>
      <c r="AA50" s="357">
        <f>参数输入表!$I$630*AA27</f>
        <v>12000</v>
      </c>
      <c r="AB50" s="357">
        <f>参数输入表!$I$630*AB27</f>
        <v>12000</v>
      </c>
      <c r="AC50" s="357">
        <f>参数输入表!$I$630*AC27</f>
        <v>12000</v>
      </c>
      <c r="AD50" s="357">
        <f>参数输入表!$I$630*AD27</f>
        <v>12000</v>
      </c>
      <c r="AE50" s="357">
        <f>参数输入表!$I$630*AE27</f>
        <v>12000</v>
      </c>
      <c r="AF50" s="357">
        <f>参数输入表!$I$630*AF27</f>
        <v>12000</v>
      </c>
      <c r="AG50" s="357">
        <f>参数输入表!$I$630*AG27</f>
        <v>12000</v>
      </c>
      <c r="AH50" s="357">
        <f>参数输入表!$I$630*AH27</f>
        <v>12000</v>
      </c>
      <c r="AI50" s="357">
        <f>参数输入表!$I$630*AI27</f>
        <v>12000</v>
      </c>
      <c r="AJ50" s="357">
        <f>参数输入表!$I$630*AJ27</f>
        <v>12000</v>
      </c>
      <c r="AK50" s="357">
        <f>参数输入表!$I$630*AK27</f>
        <v>12000</v>
      </c>
      <c r="AL50" s="357">
        <f>参数输入表!$I$630*AL27</f>
        <v>12000</v>
      </c>
      <c r="AM50" s="357">
        <f>参数输入表!$I$630*AM27</f>
        <v>12000</v>
      </c>
      <c r="AN50" s="357">
        <f>参数输入表!$I$630*AN27</f>
        <v>12000</v>
      </c>
      <c r="AO50" s="357">
        <f>参数输入表!$I$630*AO27</f>
        <v>12000</v>
      </c>
      <c r="AP50" s="357">
        <f>参数输入表!$I$630*AP27</f>
        <v>12000</v>
      </c>
      <c r="AQ50" s="357">
        <f>参数输入表!$I$630*AQ27</f>
        <v>12000</v>
      </c>
      <c r="AR50" s="357">
        <f>参数输入表!$I$630*AR27</f>
        <v>12000</v>
      </c>
      <c r="AS50" s="357">
        <f>参数输入表!$I$630*AS27</f>
        <v>12000</v>
      </c>
      <c r="AT50" s="357">
        <f>参数输入表!$I$630*AT27</f>
        <v>12000</v>
      </c>
      <c r="AU50" s="357">
        <f>参数输入表!$I$630*AU27</f>
        <v>12000</v>
      </c>
      <c r="AV50" s="357">
        <f>参数输入表!$I$630*AV27</f>
        <v>12000</v>
      </c>
      <c r="AW50" s="357">
        <f>参数输入表!$I$630*AW27</f>
        <v>12000</v>
      </c>
      <c r="AX50" s="357">
        <f>参数输入表!$I$630*AX27</f>
        <v>12000</v>
      </c>
      <c r="AY50" s="357">
        <f>参数输入表!$I$630*AY27</f>
        <v>12000</v>
      </c>
      <c r="AZ50" s="357">
        <f>参数输入表!$I$630*AZ27</f>
        <v>12000</v>
      </c>
      <c r="BA50" s="359">
        <f>参数输入表!$I$630*BA27</f>
        <v>12000</v>
      </c>
    </row>
    <row r="51" s="105" customFormat="1" spans="2:53">
      <c r="B51" s="360"/>
      <c r="C51" s="361" t="s">
        <v>703</v>
      </c>
      <c r="D51" s="362">
        <f ca="1" t="shared" ref="D51:D58" si="14">SUM(F51:BA51)</f>
        <v>12000</v>
      </c>
      <c r="E51" s="363" t="s">
        <v>130</v>
      </c>
      <c r="F51" s="362">
        <f ca="1">IF(F26-参数输入表!$I$4&gt;0,0,('表1-资金筹措及还本付息表'!F8+'表1-资金筹措及还本付息表'!G8+'表1-资金筹措及还本付息表'!F9+'表1-资金筹措及还本付息表'!G9-投资概算明细!F46-投资概算明细!G46)*(参数输入表!$I$630/(参数输入表!$I$217-参数输入表!$I$221)))</f>
        <v>1177.21816406891</v>
      </c>
      <c r="G51" s="362">
        <f ca="1">IF(G26-参数输入表!$I$4&gt;0,0,('表1-资金筹措及还本付息表'!H8+'表1-资金筹措及还本付息表'!H9-投资概算明细!H46)*(参数输入表!$I$630/(参数输入表!$I$217-参数输入表!$I$221)))</f>
        <v>1185.76765905308</v>
      </c>
      <c r="H51" s="362">
        <f ca="1">IF(H26-参数输入表!$I$4&gt;0,0,('表1-资金筹措及还本付息表'!I8+'表1-资金筹措及还本付息表'!I9-投资概算明细!I46)*(参数输入表!$I$630/(参数输入表!$I$217-参数输入表!$I$221)))</f>
        <v>1379.56419136507</v>
      </c>
      <c r="I51" s="362">
        <f ca="1">IF(I26-参数输入表!$I$4&gt;0,0,('表1-资金筹措及还本付息表'!J8+'表1-资金筹措及还本付息表'!J9-投资概算明细!J46)*(参数输入表!$I$630/(参数输入表!$I$217-参数输入表!$I$221)))</f>
        <v>1547.91145484451</v>
      </c>
      <c r="J51" s="362">
        <f ca="1">IF(J26-参数输入表!$I$4&gt;0,0,('表1-资金筹措及还本付息表'!K8+'表1-资金筹措及还本付息表'!K9-投资概算明细!K46)*(参数输入表!$I$630/(参数输入表!$I$217-参数输入表!$I$221)))</f>
        <v>2077.23464720467</v>
      </c>
      <c r="K51" s="362">
        <f ca="1">IF(K26-参数输入表!$I$4&gt;0,0,('表1-资金筹措及还本付息表'!L8+'表1-资金筹措及还本付息表'!L9-投资概算明细!L46)*(参数输入表!$I$630/(参数输入表!$I$217-参数输入表!$I$221)))</f>
        <v>1992.13876281236</v>
      </c>
      <c r="L51" s="362">
        <f ca="1">IF(L26-参数输入表!$I$4&gt;0,0,('表1-资金筹措及还本付息表'!M8+'表1-资金筹措及还本付息表'!N8+'表1-资金筹措及还本付息表'!M9+'表1-资金筹措及还本付息表'!N9-投资概算明细!M46-投资概算明细!N46)*(参数输入表!$I$630/(参数输入表!$I$217-参数输入表!$I$221)))</f>
        <v>1788.51774037931</v>
      </c>
      <c r="M51" s="362">
        <f ca="1">IF(M26-参数输入表!$I$4&gt;0,0,('表1-资金筹措及还本付息表'!O8+'表1-资金筹措及还本付息表'!Q8+'表1-资金筹措及还本付息表'!O9+'表1-资金筹措及还本付息表'!Q9-投资概算明细!O46)*(参数输入表!$I$630/(参数输入表!$I$217-参数输入表!$I$221)))</f>
        <v>851.647380272086</v>
      </c>
      <c r="N51" s="362">
        <f ca="1">IF(N26-参数输入表!$I$4&gt;0,0,('表1-资金筹措及还本付息表'!R8+'表1-资金筹措及还本付息表'!R9-投资概算明细!P46)*(参数输入表!$I$630/(参数输入表!$I$217-参数输入表!$I$221)))</f>
        <v>0</v>
      </c>
      <c r="O51" s="362">
        <f ca="1">IF(O26-参数输入表!$I$4&gt;0,0,('表1-资金筹措及还本付息表'!S8+'表1-资金筹措及还本付息表'!S9-投资概算明细!Q46)*(参数输入表!$I$630/(参数输入表!$I$217-参数输入表!$I$221)))</f>
        <v>0</v>
      </c>
      <c r="P51" s="362">
        <f ca="1">IF(P26-参数输入表!$I$4&gt;0,0,('表1-资金筹措及还本付息表'!T8+'表1-资金筹措及还本付息表'!T9-投资概算明细!R46)*(参数输入表!$I$630/(参数输入表!$I$217-参数输入表!$I$221)))</f>
        <v>0</v>
      </c>
      <c r="Q51" s="362">
        <f ca="1">IF(Q26-参数输入表!$I$4&gt;0,0,('表1-资金筹措及还本付息表'!U8+'表1-资金筹措及还本付息表'!U9-投资概算明细!S46)*(参数输入表!$I$630/(参数输入表!$I$217-参数输入表!$I$221)))</f>
        <v>0</v>
      </c>
      <c r="R51" s="362">
        <f ca="1">IF(R26-参数输入表!$I$4&gt;0,0,('表1-资金筹措及还本付息表'!V8+'表1-资金筹措及还本付息表'!V9-投资概算明细!T46)*(参数输入表!$I$630/(参数输入表!$I$217-参数输入表!$I$221)))</f>
        <v>0</v>
      </c>
      <c r="S51" s="362">
        <f ca="1">IF(S26-参数输入表!$I$4&gt;0,0,('表1-资金筹措及还本付息表'!W8+'表1-资金筹措及还本付息表'!W9-投资概算明细!U46)*(参数输入表!$I$630/(参数输入表!$I$217-参数输入表!$I$221)))</f>
        <v>0</v>
      </c>
      <c r="T51" s="362">
        <f ca="1">IF(T26-参数输入表!$I$4&gt;0,0,('表1-资金筹措及还本付息表'!X8+'表1-资金筹措及还本付息表'!X9-投资概算明细!V46)*(参数输入表!$I$630/(参数输入表!$I$217-参数输入表!$I$221)))</f>
        <v>0</v>
      </c>
      <c r="U51" s="362">
        <f ca="1">IF(U26-参数输入表!$I$4&gt;0,0,('表1-资金筹措及还本付息表'!Y8+'表1-资金筹措及还本付息表'!Y9-投资概算明细!W46)*(参数输入表!$I$630/(参数输入表!$I$217-参数输入表!$I$221)))</f>
        <v>0</v>
      </c>
      <c r="V51" s="362">
        <f ca="1">IF(V26-参数输入表!$I$4&gt;0,0,('表1-资金筹措及还本付息表'!Z8+'表1-资金筹措及还本付息表'!Z9-投资概算明细!X46)*(参数输入表!$I$630/(参数输入表!$I$217-参数输入表!$I$221)))</f>
        <v>0</v>
      </c>
      <c r="W51" s="362">
        <f ca="1">IF(W26-参数输入表!$I$4&gt;0,0,('表1-资金筹措及还本付息表'!AA8+'表1-资金筹措及还本付息表'!AA9-投资概算明细!Y46)*(参数输入表!$I$630/(参数输入表!$I$217-参数输入表!$I$221)))</f>
        <v>0</v>
      </c>
      <c r="X51" s="362">
        <f ca="1">IF(X26-参数输入表!$I$4&gt;0,0,('表1-资金筹措及还本付息表'!AB8+'表1-资金筹措及还本付息表'!AB9-投资概算明细!Z46)*(参数输入表!$I$630/(参数输入表!$I$217-参数输入表!$I$221)))</f>
        <v>0</v>
      </c>
      <c r="Y51" s="362">
        <f ca="1">IF(Y26-参数输入表!$I$4&gt;0,0,('表1-资金筹措及还本付息表'!AC8+'表1-资金筹措及还本付息表'!AC9-投资概算明细!AA46)*(参数输入表!$I$630/(参数输入表!$I$217-参数输入表!$I$221)))</f>
        <v>0</v>
      </c>
      <c r="Z51" s="362">
        <f ca="1">IF(Z26-参数输入表!$I$4&gt;0,0,('表1-资金筹措及还本付息表'!AD8+'表1-资金筹措及还本付息表'!AD9-投资概算明细!AB46)*(参数输入表!$I$630/(参数输入表!$I$217-参数输入表!$I$221)))</f>
        <v>0</v>
      </c>
      <c r="AA51" s="362">
        <f ca="1">IF(AA26-参数输入表!$I$4&gt;0,0,('表1-资金筹措及还本付息表'!AE8+'表1-资金筹措及还本付息表'!AE9-投资概算明细!AC46)*(参数输入表!$I$630/(参数输入表!$I$217-参数输入表!$I$221)))</f>
        <v>0</v>
      </c>
      <c r="AB51" s="362">
        <f ca="1">IF(AB26-参数输入表!$I$4&gt;0,0,('表1-资金筹措及还本付息表'!AF8+'表1-资金筹措及还本付息表'!AF9-投资概算明细!AD46)*(参数输入表!$I$630/(参数输入表!$I$217-参数输入表!$I$221)))</f>
        <v>0</v>
      </c>
      <c r="AC51" s="362">
        <f ca="1">IF(AC26-参数输入表!$I$4&gt;0,0,('表1-资金筹措及还本付息表'!AG8+'表1-资金筹措及还本付息表'!AG9-投资概算明细!AE46)*(参数输入表!$I$630/(参数输入表!$I$217-参数输入表!$I$221)))</f>
        <v>0</v>
      </c>
      <c r="AD51" s="362">
        <f ca="1">IF(AD26-参数输入表!$I$4&gt;0,0,('表1-资金筹措及还本付息表'!AH8+'表1-资金筹措及还本付息表'!AH9-投资概算明细!AF46)*(参数输入表!$I$630/(参数输入表!$I$217-参数输入表!$I$221)))</f>
        <v>0</v>
      </c>
      <c r="AE51" s="362">
        <f ca="1">IF(AE26-参数输入表!$I$4&gt;0,0,('表1-资金筹措及还本付息表'!AI8+'表1-资金筹措及还本付息表'!AI9-投资概算明细!AG46)*(参数输入表!$I$630/(参数输入表!$I$217-参数输入表!$I$221)))</f>
        <v>0</v>
      </c>
      <c r="AF51" s="362">
        <f ca="1">IF(AF26-参数输入表!$I$4&gt;0,0,('表1-资金筹措及还本付息表'!AJ8+'表1-资金筹措及还本付息表'!AJ9-投资概算明细!AH46)*(参数输入表!$I$630/(参数输入表!$I$217-参数输入表!$I$221)))</f>
        <v>0</v>
      </c>
      <c r="AG51" s="362">
        <f ca="1">IF(AG26-参数输入表!$I$4&gt;0,0,('表1-资金筹措及还本付息表'!AK8+'表1-资金筹措及还本付息表'!AK9-投资概算明细!AI46)*(参数输入表!$I$630/(参数输入表!$I$217-参数输入表!$I$221)))</f>
        <v>0</v>
      </c>
      <c r="AH51" s="362">
        <f ca="1">IF(AH26-参数输入表!$I$4&gt;0,0,('表1-资金筹措及还本付息表'!AL8+'表1-资金筹措及还本付息表'!AL9-投资概算明细!AJ46)*(参数输入表!$I$630/(参数输入表!$I$217-参数输入表!$I$221)))</f>
        <v>0</v>
      </c>
      <c r="AI51" s="362">
        <f ca="1">IF(AI26-参数输入表!$I$4&gt;0,0,('表1-资金筹措及还本付息表'!AM8+'表1-资金筹措及还本付息表'!AM9-投资概算明细!AK46)*(参数输入表!$I$630/(参数输入表!$I$217-参数输入表!$I$221)))</f>
        <v>0</v>
      </c>
      <c r="AJ51" s="362">
        <f ca="1">IF(AJ26-参数输入表!$I$4&gt;0,0,('表1-资金筹措及还本付息表'!AN8+'表1-资金筹措及还本付息表'!AN9-投资概算明细!AL46)*(参数输入表!$I$630/(参数输入表!$I$217-参数输入表!$I$221)))</f>
        <v>0</v>
      </c>
      <c r="AK51" s="362">
        <f ca="1">IF(AK26-参数输入表!$I$4&gt;0,0,('表1-资金筹措及还本付息表'!AO8+'表1-资金筹措及还本付息表'!AO9-投资概算明细!AM46)*(参数输入表!$I$630/(参数输入表!$I$217-参数输入表!$I$221)))</f>
        <v>0</v>
      </c>
      <c r="AL51" s="362">
        <f ca="1">IF(AL26-参数输入表!$I$4&gt;0,0,('表1-资金筹措及还本付息表'!AP8+'表1-资金筹措及还本付息表'!AP9-投资概算明细!AN46)*(参数输入表!$I$630/(参数输入表!$I$217-参数输入表!$I$221)))</f>
        <v>0</v>
      </c>
      <c r="AM51" s="362">
        <f ca="1">IF(AM26-参数输入表!$I$4&gt;0,0,('表1-资金筹措及还本付息表'!AQ8+'表1-资金筹措及还本付息表'!AQ9-投资概算明细!AO46)*(参数输入表!$I$630/(参数输入表!$I$217-参数输入表!$I$221)))</f>
        <v>0</v>
      </c>
      <c r="AN51" s="362">
        <f ca="1">IF(AN26-参数输入表!$I$4&gt;0,0,('表1-资金筹措及还本付息表'!AR8+'表1-资金筹措及还本付息表'!AR9-投资概算明细!AP46)*(参数输入表!$I$630/(参数输入表!$I$217-参数输入表!$I$221)))</f>
        <v>0</v>
      </c>
      <c r="AO51" s="362">
        <f ca="1">IF(AO26-参数输入表!$I$4&gt;0,0,('表1-资金筹措及还本付息表'!AS8+'表1-资金筹措及还本付息表'!AS9-投资概算明细!AQ46)*(参数输入表!$I$630/(参数输入表!$I$217-参数输入表!$I$221)))</f>
        <v>0</v>
      </c>
      <c r="AP51" s="362">
        <f ca="1">IF(AP26-参数输入表!$I$4&gt;0,0,('表1-资金筹措及还本付息表'!AT8+'表1-资金筹措及还本付息表'!AT9-投资概算明细!AR46)*(参数输入表!$I$630/(参数输入表!$I$217-参数输入表!$I$221)))</f>
        <v>0</v>
      </c>
      <c r="AQ51" s="362">
        <f ca="1">IF(AQ26-参数输入表!$I$4&gt;0,0,('表1-资金筹措及还本付息表'!AU8+'表1-资金筹措及还本付息表'!AU9-投资概算明细!AS46)*(参数输入表!$I$630/(参数输入表!$I$217-参数输入表!$I$221)))</f>
        <v>0</v>
      </c>
      <c r="AR51" s="362">
        <f ca="1">IF(AR26-参数输入表!$I$4&gt;0,0,('表1-资金筹措及还本付息表'!AV8+'表1-资金筹措及还本付息表'!AV9-投资概算明细!AT46)*(参数输入表!$I$630/(参数输入表!$I$217-参数输入表!$I$221)))</f>
        <v>0</v>
      </c>
      <c r="AS51" s="362">
        <f ca="1">IF(AS26-参数输入表!$I$4&gt;0,0,('表1-资金筹措及还本付息表'!AW8+'表1-资金筹措及还本付息表'!AW9-投资概算明细!AU46)*(参数输入表!$I$630/(参数输入表!$I$217-参数输入表!$I$221)))</f>
        <v>0</v>
      </c>
      <c r="AT51" s="362">
        <f ca="1">IF(AT26-参数输入表!$I$4&gt;0,0,('表1-资金筹措及还本付息表'!AX8+'表1-资金筹措及还本付息表'!AX9-投资概算明细!AV46)*(参数输入表!$I$630/(参数输入表!$I$217-参数输入表!$I$221)))</f>
        <v>0</v>
      </c>
      <c r="AU51" s="362">
        <f ca="1">IF(AU26-参数输入表!$I$4&gt;0,0,('表1-资金筹措及还本付息表'!AY8+'表1-资金筹措及还本付息表'!AY9-投资概算明细!AW46)*(参数输入表!$I$630/(参数输入表!$I$217-参数输入表!$I$221)))</f>
        <v>0</v>
      </c>
      <c r="AV51" s="362">
        <f ca="1">IF(AV26-参数输入表!$I$4&gt;0,0,('表1-资金筹措及还本付息表'!AZ8+'表1-资金筹措及还本付息表'!AZ9-投资概算明细!AX46)*(参数输入表!$I$630/(参数输入表!$I$217-参数输入表!$I$221)))</f>
        <v>0</v>
      </c>
      <c r="AW51" s="362">
        <f ca="1">IF(AW26-参数输入表!$I$4&gt;0,0,('表1-资金筹措及还本付息表'!BA8+'表1-资金筹措及还本付息表'!BA9-投资概算明细!AY46)*(参数输入表!$I$630/(参数输入表!$I$217-参数输入表!$I$221)))</f>
        <v>0</v>
      </c>
      <c r="AX51" s="362">
        <f ca="1">IF(AX26-参数输入表!$I$4&gt;0,0,('表1-资金筹措及还本付息表'!BB8+'表1-资金筹措及还本付息表'!BB9-投资概算明细!AZ46)*(参数输入表!$I$630/(参数输入表!$I$217-参数输入表!$I$221)))</f>
        <v>0</v>
      </c>
      <c r="AY51" s="362">
        <f ca="1">IF(AY26-参数输入表!$I$4&gt;0,0,('表1-资金筹措及还本付息表'!BC8+'表1-资金筹措及还本付息表'!BC9-投资概算明细!BA46)*(参数输入表!$I$630/(参数输入表!$I$217-参数输入表!$I$221)))</f>
        <v>0</v>
      </c>
      <c r="AZ51" s="362">
        <f ca="1">IF(AZ26-参数输入表!$I$4&gt;0,0,('表1-资金筹措及还本付息表'!BD8+'表1-资金筹措及还本付息表'!BD9-投资概算明细!BB46)*(参数输入表!$I$630/(参数输入表!$I$217-参数输入表!$I$221)))</f>
        <v>0</v>
      </c>
      <c r="BA51" s="362">
        <f ca="1">IF(BA26-参数输入表!$I$4&gt;0,0,('表1-资金筹措及还本付息表'!BE8+'表1-资金筹措及还本付息表'!BE9-投资概算明细!BC46)*(参数输入表!$I$630/(参数输入表!$I$217-参数输入表!$I$221)))</f>
        <v>0</v>
      </c>
    </row>
    <row r="52" s="105" customFormat="1" spans="2:53">
      <c r="B52" s="360"/>
      <c r="C52" s="365" t="s">
        <v>704</v>
      </c>
      <c r="D52" s="366"/>
      <c r="E52" s="367" t="s">
        <v>130</v>
      </c>
      <c r="F52" s="366">
        <f ca="1">F51</f>
        <v>1177.21816406891</v>
      </c>
      <c r="G52" s="366">
        <f ca="1">F52+G51</f>
        <v>2362.98582312199</v>
      </c>
      <c r="H52" s="366">
        <f ca="1" t="shared" ref="H52:BA52" si="15">G52+H51</f>
        <v>3742.55001448706</v>
      </c>
      <c r="I52" s="366">
        <f ca="1" t="shared" si="15"/>
        <v>5290.46146933157</v>
      </c>
      <c r="J52" s="366">
        <f ca="1" t="shared" si="15"/>
        <v>7367.69611653625</v>
      </c>
      <c r="K52" s="366">
        <f ca="1" t="shared" si="15"/>
        <v>9359.8348793486</v>
      </c>
      <c r="L52" s="366">
        <f ca="1" t="shared" si="15"/>
        <v>11148.3526197279</v>
      </c>
      <c r="M52" s="366">
        <f ca="1" t="shared" si="15"/>
        <v>12000</v>
      </c>
      <c r="N52" s="366">
        <f ca="1" t="shared" si="15"/>
        <v>12000</v>
      </c>
      <c r="O52" s="366">
        <f ca="1" t="shared" si="15"/>
        <v>12000</v>
      </c>
      <c r="P52" s="366">
        <f ca="1" t="shared" si="15"/>
        <v>12000</v>
      </c>
      <c r="Q52" s="366">
        <f ca="1" t="shared" si="15"/>
        <v>12000</v>
      </c>
      <c r="R52" s="366">
        <f ca="1" t="shared" si="15"/>
        <v>12000</v>
      </c>
      <c r="S52" s="366">
        <f ca="1" t="shared" si="15"/>
        <v>12000</v>
      </c>
      <c r="T52" s="366">
        <f ca="1" t="shared" si="15"/>
        <v>12000</v>
      </c>
      <c r="U52" s="366">
        <f ca="1" t="shared" si="15"/>
        <v>12000</v>
      </c>
      <c r="V52" s="366">
        <f ca="1" t="shared" si="15"/>
        <v>12000</v>
      </c>
      <c r="W52" s="366">
        <f ca="1" t="shared" si="15"/>
        <v>12000</v>
      </c>
      <c r="X52" s="366">
        <f ca="1" t="shared" si="15"/>
        <v>12000</v>
      </c>
      <c r="Y52" s="366">
        <f ca="1" t="shared" si="15"/>
        <v>12000</v>
      </c>
      <c r="Z52" s="366">
        <f ca="1" t="shared" si="15"/>
        <v>12000</v>
      </c>
      <c r="AA52" s="366">
        <f ca="1" t="shared" si="15"/>
        <v>12000</v>
      </c>
      <c r="AB52" s="366">
        <f ca="1" t="shared" si="15"/>
        <v>12000</v>
      </c>
      <c r="AC52" s="366">
        <f ca="1" t="shared" si="15"/>
        <v>12000</v>
      </c>
      <c r="AD52" s="366">
        <f ca="1" t="shared" si="15"/>
        <v>12000</v>
      </c>
      <c r="AE52" s="366">
        <f ca="1" t="shared" si="15"/>
        <v>12000</v>
      </c>
      <c r="AF52" s="366">
        <f ca="1" t="shared" si="15"/>
        <v>12000</v>
      </c>
      <c r="AG52" s="366">
        <f ca="1" t="shared" si="15"/>
        <v>12000</v>
      </c>
      <c r="AH52" s="366">
        <f ca="1" t="shared" si="15"/>
        <v>12000</v>
      </c>
      <c r="AI52" s="366">
        <f ca="1" t="shared" si="15"/>
        <v>12000</v>
      </c>
      <c r="AJ52" s="366">
        <f ca="1" t="shared" si="15"/>
        <v>12000</v>
      </c>
      <c r="AK52" s="366">
        <f ca="1" t="shared" si="15"/>
        <v>12000</v>
      </c>
      <c r="AL52" s="366">
        <f ca="1" t="shared" si="15"/>
        <v>12000</v>
      </c>
      <c r="AM52" s="366">
        <f ca="1" t="shared" si="15"/>
        <v>12000</v>
      </c>
      <c r="AN52" s="366">
        <f ca="1" t="shared" si="15"/>
        <v>12000</v>
      </c>
      <c r="AO52" s="366">
        <f ca="1" t="shared" si="15"/>
        <v>12000</v>
      </c>
      <c r="AP52" s="366">
        <f ca="1" t="shared" si="15"/>
        <v>12000</v>
      </c>
      <c r="AQ52" s="366">
        <f ca="1" t="shared" si="15"/>
        <v>12000</v>
      </c>
      <c r="AR52" s="366">
        <f ca="1" t="shared" si="15"/>
        <v>12000</v>
      </c>
      <c r="AS52" s="366">
        <f ca="1" t="shared" si="15"/>
        <v>12000</v>
      </c>
      <c r="AT52" s="366">
        <f ca="1" t="shared" si="15"/>
        <v>12000</v>
      </c>
      <c r="AU52" s="366">
        <f ca="1" t="shared" si="15"/>
        <v>12000</v>
      </c>
      <c r="AV52" s="366">
        <f ca="1" t="shared" si="15"/>
        <v>12000</v>
      </c>
      <c r="AW52" s="366">
        <f ca="1" t="shared" si="15"/>
        <v>12000</v>
      </c>
      <c r="AX52" s="366">
        <f ca="1" t="shared" si="15"/>
        <v>12000</v>
      </c>
      <c r="AY52" s="366">
        <f ca="1" t="shared" si="15"/>
        <v>12000</v>
      </c>
      <c r="AZ52" s="366">
        <f ca="1" t="shared" si="15"/>
        <v>12000</v>
      </c>
      <c r="BA52" s="385">
        <f ca="1" t="shared" si="15"/>
        <v>12000</v>
      </c>
    </row>
    <row r="53" s="105" customFormat="1" spans="2:53">
      <c r="B53" s="360"/>
      <c r="C53" s="133" t="s">
        <v>715</v>
      </c>
      <c r="D53" s="366"/>
      <c r="E53" s="367" t="s">
        <v>130</v>
      </c>
      <c r="F53" s="366">
        <f ca="1">F52-F50</f>
        <v>1177.21816406891</v>
      </c>
      <c r="G53" s="366">
        <f ca="1" t="shared" ref="G53:BA53" si="16">G52-G50</f>
        <v>2362.98582312199</v>
      </c>
      <c r="H53" s="366">
        <f ca="1" t="shared" si="16"/>
        <v>3742.55001448706</v>
      </c>
      <c r="I53" s="366">
        <f ca="1" t="shared" si="16"/>
        <v>5290.46146933157</v>
      </c>
      <c r="J53" s="366">
        <f ca="1" t="shared" si="16"/>
        <v>7367.69611653625</v>
      </c>
      <c r="K53" s="366">
        <f ca="1" t="shared" si="16"/>
        <v>9359.8348793486</v>
      </c>
      <c r="L53" s="366">
        <f ca="1" t="shared" si="16"/>
        <v>11148.3526197279</v>
      </c>
      <c r="M53" s="366">
        <f ca="1" t="shared" si="16"/>
        <v>0</v>
      </c>
      <c r="N53" s="366">
        <f ca="1" t="shared" si="16"/>
        <v>0</v>
      </c>
      <c r="O53" s="366">
        <f ca="1" t="shared" si="16"/>
        <v>0</v>
      </c>
      <c r="P53" s="366">
        <f ca="1" t="shared" si="16"/>
        <v>0</v>
      </c>
      <c r="Q53" s="366">
        <f ca="1" t="shared" si="16"/>
        <v>0</v>
      </c>
      <c r="R53" s="366">
        <f ca="1" t="shared" si="16"/>
        <v>0</v>
      </c>
      <c r="S53" s="366">
        <f ca="1" t="shared" si="16"/>
        <v>0</v>
      </c>
      <c r="T53" s="366">
        <f ca="1" t="shared" si="16"/>
        <v>0</v>
      </c>
      <c r="U53" s="366">
        <f ca="1" t="shared" si="16"/>
        <v>0</v>
      </c>
      <c r="V53" s="366">
        <f ca="1" t="shared" si="16"/>
        <v>0</v>
      </c>
      <c r="W53" s="366">
        <f ca="1" t="shared" si="16"/>
        <v>0</v>
      </c>
      <c r="X53" s="366">
        <f ca="1" t="shared" si="16"/>
        <v>0</v>
      </c>
      <c r="Y53" s="366">
        <f ca="1" t="shared" si="16"/>
        <v>0</v>
      </c>
      <c r="Z53" s="366">
        <f ca="1" t="shared" si="16"/>
        <v>0</v>
      </c>
      <c r="AA53" s="366">
        <f ca="1" t="shared" si="16"/>
        <v>0</v>
      </c>
      <c r="AB53" s="366">
        <f ca="1" t="shared" si="16"/>
        <v>0</v>
      </c>
      <c r="AC53" s="366">
        <f ca="1" t="shared" si="16"/>
        <v>0</v>
      </c>
      <c r="AD53" s="366">
        <f ca="1" t="shared" si="16"/>
        <v>0</v>
      </c>
      <c r="AE53" s="366">
        <f ca="1" t="shared" si="16"/>
        <v>0</v>
      </c>
      <c r="AF53" s="366">
        <f ca="1" t="shared" si="16"/>
        <v>0</v>
      </c>
      <c r="AG53" s="366">
        <f ca="1" t="shared" si="16"/>
        <v>0</v>
      </c>
      <c r="AH53" s="366">
        <f ca="1" t="shared" si="16"/>
        <v>0</v>
      </c>
      <c r="AI53" s="366">
        <f ca="1" t="shared" si="16"/>
        <v>0</v>
      </c>
      <c r="AJ53" s="366">
        <f ca="1" t="shared" si="16"/>
        <v>0</v>
      </c>
      <c r="AK53" s="366">
        <f ca="1" t="shared" si="16"/>
        <v>0</v>
      </c>
      <c r="AL53" s="366">
        <f ca="1" t="shared" si="16"/>
        <v>0</v>
      </c>
      <c r="AM53" s="366">
        <f ca="1" t="shared" si="16"/>
        <v>0</v>
      </c>
      <c r="AN53" s="366">
        <f ca="1" t="shared" si="16"/>
        <v>0</v>
      </c>
      <c r="AO53" s="366">
        <f ca="1" t="shared" si="16"/>
        <v>0</v>
      </c>
      <c r="AP53" s="366">
        <f ca="1" t="shared" si="16"/>
        <v>0</v>
      </c>
      <c r="AQ53" s="366">
        <f ca="1" t="shared" si="16"/>
        <v>0</v>
      </c>
      <c r="AR53" s="366">
        <f ca="1" t="shared" si="16"/>
        <v>0</v>
      </c>
      <c r="AS53" s="366">
        <f ca="1" t="shared" si="16"/>
        <v>0</v>
      </c>
      <c r="AT53" s="366">
        <f ca="1" t="shared" si="16"/>
        <v>0</v>
      </c>
      <c r="AU53" s="366">
        <f ca="1" t="shared" si="16"/>
        <v>0</v>
      </c>
      <c r="AV53" s="366">
        <f ca="1" t="shared" si="16"/>
        <v>0</v>
      </c>
      <c r="AW53" s="366">
        <f ca="1" t="shared" si="16"/>
        <v>0</v>
      </c>
      <c r="AX53" s="366">
        <f ca="1" t="shared" si="16"/>
        <v>0</v>
      </c>
      <c r="AY53" s="366">
        <f ca="1" t="shared" si="16"/>
        <v>0</v>
      </c>
      <c r="AZ53" s="366">
        <f ca="1" t="shared" si="16"/>
        <v>0</v>
      </c>
      <c r="BA53" s="385">
        <f ca="1" t="shared" si="16"/>
        <v>0</v>
      </c>
    </row>
    <row r="54" s="105" customFormat="1" spans="2:53">
      <c r="B54" s="360"/>
      <c r="C54" s="370" t="s">
        <v>716</v>
      </c>
      <c r="D54" s="371">
        <f t="shared" si="14"/>
        <v>11400</v>
      </c>
      <c r="E54" s="367" t="s">
        <v>130</v>
      </c>
      <c r="F54" s="371">
        <f>SUM(F55:F58)</f>
        <v>0</v>
      </c>
      <c r="G54" s="371">
        <f t="shared" ref="G54:BA54" si="17">SUM(G55:G58)</f>
        <v>0</v>
      </c>
      <c r="H54" s="371">
        <f t="shared" si="17"/>
        <v>0</v>
      </c>
      <c r="I54" s="371">
        <f t="shared" si="17"/>
        <v>0</v>
      </c>
      <c r="J54" s="371">
        <f t="shared" si="17"/>
        <v>0</v>
      </c>
      <c r="K54" s="371">
        <f t="shared" si="17"/>
        <v>0</v>
      </c>
      <c r="L54" s="371">
        <f t="shared" si="17"/>
        <v>0</v>
      </c>
      <c r="M54" s="371">
        <f t="shared" si="17"/>
        <v>0</v>
      </c>
      <c r="N54" s="371">
        <f t="shared" si="17"/>
        <v>807.5</v>
      </c>
      <c r="O54" s="371">
        <f t="shared" si="17"/>
        <v>570</v>
      </c>
      <c r="P54" s="371">
        <f t="shared" si="17"/>
        <v>570</v>
      </c>
      <c r="Q54" s="371">
        <f t="shared" si="17"/>
        <v>570</v>
      </c>
      <c r="R54" s="371">
        <f t="shared" si="17"/>
        <v>570</v>
      </c>
      <c r="S54" s="371">
        <f t="shared" si="17"/>
        <v>570</v>
      </c>
      <c r="T54" s="371">
        <f t="shared" si="17"/>
        <v>570</v>
      </c>
      <c r="U54" s="371">
        <f t="shared" si="17"/>
        <v>570</v>
      </c>
      <c r="V54" s="371">
        <f t="shared" si="17"/>
        <v>570</v>
      </c>
      <c r="W54" s="371">
        <f t="shared" si="17"/>
        <v>570</v>
      </c>
      <c r="X54" s="371">
        <f t="shared" si="17"/>
        <v>570</v>
      </c>
      <c r="Y54" s="371">
        <f t="shared" si="17"/>
        <v>570</v>
      </c>
      <c r="Z54" s="371">
        <f t="shared" si="17"/>
        <v>570</v>
      </c>
      <c r="AA54" s="371">
        <f t="shared" si="17"/>
        <v>570</v>
      </c>
      <c r="AB54" s="371">
        <f t="shared" si="17"/>
        <v>570</v>
      </c>
      <c r="AC54" s="371">
        <f t="shared" si="17"/>
        <v>570</v>
      </c>
      <c r="AD54" s="371">
        <f t="shared" si="17"/>
        <v>570</v>
      </c>
      <c r="AE54" s="371">
        <f t="shared" si="17"/>
        <v>570</v>
      </c>
      <c r="AF54" s="371">
        <f t="shared" si="17"/>
        <v>570</v>
      </c>
      <c r="AG54" s="371">
        <f t="shared" si="17"/>
        <v>332.5</v>
      </c>
      <c r="AH54" s="371">
        <f t="shared" si="17"/>
        <v>0</v>
      </c>
      <c r="AI54" s="371">
        <f t="shared" si="17"/>
        <v>0</v>
      </c>
      <c r="AJ54" s="371">
        <f t="shared" si="17"/>
        <v>0</v>
      </c>
      <c r="AK54" s="371">
        <f t="shared" si="17"/>
        <v>0</v>
      </c>
      <c r="AL54" s="371">
        <f t="shared" si="17"/>
        <v>0</v>
      </c>
      <c r="AM54" s="371">
        <f t="shared" si="17"/>
        <v>0</v>
      </c>
      <c r="AN54" s="371">
        <f t="shared" si="17"/>
        <v>0</v>
      </c>
      <c r="AO54" s="371">
        <f t="shared" si="17"/>
        <v>0</v>
      </c>
      <c r="AP54" s="371">
        <f t="shared" si="17"/>
        <v>0</v>
      </c>
      <c r="AQ54" s="371">
        <f t="shared" si="17"/>
        <v>0</v>
      </c>
      <c r="AR54" s="371">
        <f t="shared" si="17"/>
        <v>0</v>
      </c>
      <c r="AS54" s="371">
        <f t="shared" si="17"/>
        <v>0</v>
      </c>
      <c r="AT54" s="371">
        <f t="shared" si="17"/>
        <v>0</v>
      </c>
      <c r="AU54" s="371">
        <f t="shared" si="17"/>
        <v>0</v>
      </c>
      <c r="AV54" s="371">
        <f t="shared" si="17"/>
        <v>0</v>
      </c>
      <c r="AW54" s="371">
        <f t="shared" si="17"/>
        <v>0</v>
      </c>
      <c r="AX54" s="371">
        <f t="shared" si="17"/>
        <v>0</v>
      </c>
      <c r="AY54" s="371">
        <f t="shared" si="17"/>
        <v>0</v>
      </c>
      <c r="AZ54" s="371">
        <f t="shared" si="17"/>
        <v>0</v>
      </c>
      <c r="BA54" s="386">
        <f t="shared" si="17"/>
        <v>0</v>
      </c>
    </row>
    <row r="55" s="105" customFormat="1" spans="2:53">
      <c r="B55" s="360"/>
      <c r="C55" s="374" t="s">
        <v>471</v>
      </c>
      <c r="D55" s="375">
        <f t="shared" si="14"/>
        <v>0</v>
      </c>
      <c r="E55" s="266" t="s">
        <v>130</v>
      </c>
      <c r="F55" s="366">
        <f>参数输入表!$I$630*(1-参数输入表!$I$633)*参数输入表!$I$36*时间序列!C40/(参数输入表!$I$632*12)</f>
        <v>0</v>
      </c>
      <c r="G55" s="366">
        <f>参数输入表!$I$630*(1-参数输入表!$I$633)*参数输入表!$I$36*时间序列!D40/(参数输入表!$I$632*12)</f>
        <v>0</v>
      </c>
      <c r="H55" s="366">
        <f>参数输入表!$I$630*(1-参数输入表!$I$633)*参数输入表!$I$36*时间序列!E40/(参数输入表!$I$632*12)</f>
        <v>0</v>
      </c>
      <c r="I55" s="366">
        <f>参数输入表!$I$630*(1-参数输入表!$I$633)*参数输入表!$I$36*时间序列!F40/(参数输入表!$I$632*12)</f>
        <v>0</v>
      </c>
      <c r="J55" s="366">
        <f>参数输入表!$I$630*(1-参数输入表!$I$633)*参数输入表!$I$36*时间序列!G40/(参数输入表!$I$632*12)</f>
        <v>0</v>
      </c>
      <c r="K55" s="366">
        <f>参数输入表!$I$630*(1-参数输入表!$I$633)*参数输入表!$I$36*时间序列!H40/(参数输入表!$I$632*12)</f>
        <v>0</v>
      </c>
      <c r="L55" s="366">
        <f>参数输入表!$I$630*(1-参数输入表!$I$633)*参数输入表!$I$36*时间序列!I40/(参数输入表!$I$632*12)</f>
        <v>0</v>
      </c>
      <c r="M55" s="366">
        <f>参数输入表!$I$630*(1-参数输入表!$I$633)*参数输入表!$I$36*时间序列!J40/(参数输入表!$I$632*12)</f>
        <v>0</v>
      </c>
      <c r="N55" s="366">
        <f>参数输入表!$I$630*(1-参数输入表!$I$633)*参数输入表!$I$36*时间序列!K40/(参数输入表!$I$632*12)</f>
        <v>0</v>
      </c>
      <c r="O55" s="366">
        <f>参数输入表!$I$630*(1-参数输入表!$I$633)*参数输入表!$I$36*时间序列!L40/(参数输入表!$I$632*12)</f>
        <v>0</v>
      </c>
      <c r="P55" s="366">
        <f>参数输入表!$I$630*(1-参数输入表!$I$633)*参数输入表!$I$36*时间序列!M40/(参数输入表!$I$632*12)</f>
        <v>0</v>
      </c>
      <c r="Q55" s="366">
        <f>参数输入表!$I$630*(1-参数输入表!$I$633)*参数输入表!$I$36*时间序列!N40/(参数输入表!$I$632*12)</f>
        <v>0</v>
      </c>
      <c r="R55" s="366">
        <f>参数输入表!$I$630*(1-参数输入表!$I$633)*参数输入表!$I$36*时间序列!O40/(参数输入表!$I$632*12)</f>
        <v>0</v>
      </c>
      <c r="S55" s="366">
        <f>参数输入表!$I$630*(1-参数输入表!$I$633)*参数输入表!$I$36*时间序列!P40/(参数输入表!$I$632*12)</f>
        <v>0</v>
      </c>
      <c r="T55" s="366">
        <f>参数输入表!$I$630*(1-参数输入表!$I$633)*参数输入表!$I$36*时间序列!Q40/(参数输入表!$I$632*12)</f>
        <v>0</v>
      </c>
      <c r="U55" s="366">
        <f>参数输入表!$I$630*(1-参数输入表!$I$633)*参数输入表!$I$36*时间序列!R40/(参数输入表!$I$632*12)</f>
        <v>0</v>
      </c>
      <c r="V55" s="366">
        <f>参数输入表!$I$630*(1-参数输入表!$I$633)*参数输入表!$I$36*时间序列!S40/(参数输入表!$I$632*12)</f>
        <v>0</v>
      </c>
      <c r="W55" s="366">
        <f>参数输入表!$I$630*(1-参数输入表!$I$633)*参数输入表!$I$36*时间序列!T40/(参数输入表!$I$632*12)</f>
        <v>0</v>
      </c>
      <c r="X55" s="366">
        <f>参数输入表!$I$630*(1-参数输入表!$I$633)*参数输入表!$I$36*时间序列!U40/(参数输入表!$I$632*12)</f>
        <v>0</v>
      </c>
      <c r="Y55" s="366">
        <f>参数输入表!$I$630*(1-参数输入表!$I$633)*参数输入表!$I$36*时间序列!V40/(参数输入表!$I$632*12)</f>
        <v>0</v>
      </c>
      <c r="Z55" s="366">
        <f>参数输入表!$I$630*(1-参数输入表!$I$633)*参数输入表!$I$36*时间序列!W40/(参数输入表!$I$632*12)</f>
        <v>0</v>
      </c>
      <c r="AA55" s="366">
        <f>参数输入表!$I$630*(1-参数输入表!$I$633)*参数输入表!$I$36*时间序列!X40/(参数输入表!$I$632*12)</f>
        <v>0</v>
      </c>
      <c r="AB55" s="366">
        <f>参数输入表!$I$630*(1-参数输入表!$I$633)*参数输入表!$I$36*时间序列!Y40/(参数输入表!$I$632*12)</f>
        <v>0</v>
      </c>
      <c r="AC55" s="366">
        <f>参数输入表!$I$630*(1-参数输入表!$I$633)*参数输入表!$I$36*时间序列!Z40/(参数输入表!$I$632*12)</f>
        <v>0</v>
      </c>
      <c r="AD55" s="366">
        <f>参数输入表!$I$630*(1-参数输入表!$I$633)*参数输入表!$I$36*时间序列!AA40/(参数输入表!$I$632*12)</f>
        <v>0</v>
      </c>
      <c r="AE55" s="366">
        <f>参数输入表!$I$630*(1-参数输入表!$I$633)*参数输入表!$I$36*时间序列!AB40/(参数输入表!$I$632*12)</f>
        <v>0</v>
      </c>
      <c r="AF55" s="366">
        <f>参数输入表!$I$630*(1-参数输入表!$I$633)*参数输入表!$I$36*时间序列!AC40/(参数输入表!$I$632*12)</f>
        <v>0</v>
      </c>
      <c r="AG55" s="366">
        <f>参数输入表!$I$630*(1-参数输入表!$I$633)*参数输入表!$I$36*时间序列!AD40/(参数输入表!$I$632*12)</f>
        <v>0</v>
      </c>
      <c r="AH55" s="366">
        <f>参数输入表!$I$630*(1-参数输入表!$I$633)*参数输入表!$I$36*时间序列!AE40/(参数输入表!$I$632*12)</f>
        <v>0</v>
      </c>
      <c r="AI55" s="366">
        <f>参数输入表!$I$630*(1-参数输入表!$I$633)*参数输入表!$I$36*时间序列!AF40/(参数输入表!$I$632*12)</f>
        <v>0</v>
      </c>
      <c r="AJ55" s="366">
        <f>参数输入表!$I$630*(1-参数输入表!$I$633)*参数输入表!$I$36*时间序列!AG40/(参数输入表!$I$632*12)</f>
        <v>0</v>
      </c>
      <c r="AK55" s="366">
        <f>参数输入表!$I$630*(1-参数输入表!$I$633)*参数输入表!$I$36*时间序列!AH40/(参数输入表!$I$632*12)</f>
        <v>0</v>
      </c>
      <c r="AL55" s="366">
        <f>参数输入表!$I$630*(1-参数输入表!$I$633)*参数输入表!$I$36*时间序列!AI40/(参数输入表!$I$632*12)</f>
        <v>0</v>
      </c>
      <c r="AM55" s="366">
        <f>参数输入表!$I$630*(1-参数输入表!$I$633)*参数输入表!$I$36*时间序列!AJ40/(参数输入表!$I$632*12)</f>
        <v>0</v>
      </c>
      <c r="AN55" s="366">
        <f>参数输入表!$I$630*(1-参数输入表!$I$633)*参数输入表!$I$36*时间序列!AK40/(参数输入表!$I$632*12)</f>
        <v>0</v>
      </c>
      <c r="AO55" s="366">
        <f>参数输入表!$I$630*(1-参数输入表!$I$633)*参数输入表!$I$36*时间序列!AL40/(参数输入表!$I$632*12)</f>
        <v>0</v>
      </c>
      <c r="AP55" s="366">
        <f>参数输入表!$I$630*(1-参数输入表!$I$633)*参数输入表!$I$36*时间序列!AM40/(参数输入表!$I$632*12)</f>
        <v>0</v>
      </c>
      <c r="AQ55" s="366">
        <f>参数输入表!$I$630*(1-参数输入表!$I$633)*参数输入表!$I$36*时间序列!AN40/(参数输入表!$I$632*12)</f>
        <v>0</v>
      </c>
      <c r="AR55" s="366">
        <f>参数输入表!$I$630*(1-参数输入表!$I$633)*参数输入表!$I$36*时间序列!AO40/(参数输入表!$I$632*12)</f>
        <v>0</v>
      </c>
      <c r="AS55" s="366">
        <f>参数输入表!$I$630*(1-参数输入表!$I$633)*参数输入表!$I$36*时间序列!AP40/(参数输入表!$I$632*12)</f>
        <v>0</v>
      </c>
      <c r="AT55" s="366">
        <f>参数输入表!$I$630*(1-参数输入表!$I$633)*参数输入表!$I$36*时间序列!AQ40/(参数输入表!$I$632*12)</f>
        <v>0</v>
      </c>
      <c r="AU55" s="366">
        <f>参数输入表!$I$630*(1-参数输入表!$I$633)*参数输入表!$I$36*时间序列!AR40/(参数输入表!$I$632*12)</f>
        <v>0</v>
      </c>
      <c r="AV55" s="366">
        <f>参数输入表!$I$630*(1-参数输入表!$I$633)*参数输入表!$I$36*时间序列!AS40/(参数输入表!$I$632*12)</f>
        <v>0</v>
      </c>
      <c r="AW55" s="366">
        <f>参数输入表!$I$630*(1-参数输入表!$I$633)*参数输入表!$I$36*时间序列!AT40/(参数输入表!$I$632*12)</f>
        <v>0</v>
      </c>
      <c r="AX55" s="366">
        <f>参数输入表!$I$630*(1-参数输入表!$I$633)*参数输入表!$I$36*时间序列!AU40/(参数输入表!$I$632*12)</f>
        <v>0</v>
      </c>
      <c r="AY55" s="366">
        <f>参数输入表!$I$630*(1-参数输入表!$I$633)*参数输入表!$I$36*时间序列!AV40/(参数输入表!$I$632*12)</f>
        <v>0</v>
      </c>
      <c r="AZ55" s="366">
        <f>参数输入表!$I$630*(1-参数输入表!$I$633)*参数输入表!$I$36*时间序列!AW40/(参数输入表!$I$632*12)</f>
        <v>0</v>
      </c>
      <c r="BA55" s="385">
        <f>参数输入表!$I$630*(1-参数输入表!$I$633)*参数输入表!$I$36*时间序列!AX40/(参数输入表!$I$632*12)</f>
        <v>0</v>
      </c>
    </row>
    <row r="56" s="105" customFormat="1" spans="2:53">
      <c r="B56" s="360"/>
      <c r="C56" s="374" t="s">
        <v>472</v>
      </c>
      <c r="D56" s="375">
        <f t="shared" si="14"/>
        <v>0</v>
      </c>
      <c r="E56" s="266" t="s">
        <v>130</v>
      </c>
      <c r="F56" s="366">
        <f>参数输入表!$I$630*(1-参数输入表!$I$633)*参数输入表!$I$37*时间序列!C68/(参数输入表!$I$632*12)</f>
        <v>0</v>
      </c>
      <c r="G56" s="366">
        <f>参数输入表!$I$630*(1-参数输入表!$I$633)*参数输入表!$I$37*时间序列!D68/(参数输入表!$I$632*12)</f>
        <v>0</v>
      </c>
      <c r="H56" s="366">
        <f>参数输入表!$I$630*(1-参数输入表!$I$633)*参数输入表!$I$37*时间序列!E68/(参数输入表!$I$632*12)</f>
        <v>0</v>
      </c>
      <c r="I56" s="366">
        <f>参数输入表!$I$630*(1-参数输入表!$I$633)*参数输入表!$I$37*时间序列!F68/(参数输入表!$I$632*12)</f>
        <v>0</v>
      </c>
      <c r="J56" s="366">
        <f>参数输入表!$I$630*(1-参数输入表!$I$633)*参数输入表!$I$37*时间序列!G68/(参数输入表!$I$632*12)</f>
        <v>0</v>
      </c>
      <c r="K56" s="366">
        <f>参数输入表!$I$630*(1-参数输入表!$I$633)*参数输入表!$I$37*时间序列!H68/(参数输入表!$I$632*12)</f>
        <v>0</v>
      </c>
      <c r="L56" s="366">
        <f>参数输入表!$I$630*(1-参数输入表!$I$633)*参数输入表!$I$37*时间序列!I68/(参数输入表!$I$632*12)</f>
        <v>0</v>
      </c>
      <c r="M56" s="366">
        <f>参数输入表!$I$630*(1-参数输入表!$I$633)*参数输入表!$I$37*时间序列!J68/(参数输入表!$I$632*12)</f>
        <v>0</v>
      </c>
      <c r="N56" s="366">
        <f>参数输入表!$I$630*(1-参数输入表!$I$633)*参数输入表!$I$37*时间序列!K68/(参数输入表!$I$632*12)</f>
        <v>0</v>
      </c>
      <c r="O56" s="366">
        <f>参数输入表!$I$630*(1-参数输入表!$I$633)*参数输入表!$I$37*时间序列!L68/(参数输入表!$I$632*12)</f>
        <v>0</v>
      </c>
      <c r="P56" s="366">
        <f>参数输入表!$I$630*(1-参数输入表!$I$633)*参数输入表!$I$37*时间序列!M68/(参数输入表!$I$632*12)</f>
        <v>0</v>
      </c>
      <c r="Q56" s="366">
        <f>参数输入表!$I$630*(1-参数输入表!$I$633)*参数输入表!$I$37*时间序列!N68/(参数输入表!$I$632*12)</f>
        <v>0</v>
      </c>
      <c r="R56" s="366">
        <f>参数输入表!$I$630*(1-参数输入表!$I$633)*参数输入表!$I$37*时间序列!O68/(参数输入表!$I$632*12)</f>
        <v>0</v>
      </c>
      <c r="S56" s="366">
        <f>参数输入表!$I$630*(1-参数输入表!$I$633)*参数输入表!$I$37*时间序列!P68/(参数输入表!$I$632*12)</f>
        <v>0</v>
      </c>
      <c r="T56" s="366">
        <f>参数输入表!$I$630*(1-参数输入表!$I$633)*参数输入表!$I$37*时间序列!Q68/(参数输入表!$I$632*12)</f>
        <v>0</v>
      </c>
      <c r="U56" s="366">
        <f>参数输入表!$I$630*(1-参数输入表!$I$633)*参数输入表!$I$37*时间序列!R68/(参数输入表!$I$632*12)</f>
        <v>0</v>
      </c>
      <c r="V56" s="366">
        <f>参数输入表!$I$630*(1-参数输入表!$I$633)*参数输入表!$I$37*时间序列!S68/(参数输入表!$I$632*12)</f>
        <v>0</v>
      </c>
      <c r="W56" s="366">
        <f>参数输入表!$I$630*(1-参数输入表!$I$633)*参数输入表!$I$37*时间序列!T68/(参数输入表!$I$632*12)</f>
        <v>0</v>
      </c>
      <c r="X56" s="366">
        <f>参数输入表!$I$630*(1-参数输入表!$I$633)*参数输入表!$I$37*时间序列!U68/(参数输入表!$I$632*12)</f>
        <v>0</v>
      </c>
      <c r="Y56" s="366">
        <f>参数输入表!$I$630*(1-参数输入表!$I$633)*参数输入表!$I$37*时间序列!V68/(参数输入表!$I$632*12)</f>
        <v>0</v>
      </c>
      <c r="Z56" s="366">
        <f>参数输入表!$I$630*(1-参数输入表!$I$633)*参数输入表!$I$37*时间序列!W68/(参数输入表!$I$632*12)</f>
        <v>0</v>
      </c>
      <c r="AA56" s="366">
        <f>参数输入表!$I$630*(1-参数输入表!$I$633)*参数输入表!$I$37*时间序列!X68/(参数输入表!$I$632*12)</f>
        <v>0</v>
      </c>
      <c r="AB56" s="366">
        <f>参数输入表!$I$630*(1-参数输入表!$I$633)*参数输入表!$I$37*时间序列!Y68/(参数输入表!$I$632*12)</f>
        <v>0</v>
      </c>
      <c r="AC56" s="366">
        <f>参数输入表!$I$630*(1-参数输入表!$I$633)*参数输入表!$I$37*时间序列!Z68/(参数输入表!$I$632*12)</f>
        <v>0</v>
      </c>
      <c r="AD56" s="366">
        <f>参数输入表!$I$630*(1-参数输入表!$I$633)*参数输入表!$I$37*时间序列!AA68/(参数输入表!$I$632*12)</f>
        <v>0</v>
      </c>
      <c r="AE56" s="366">
        <f>参数输入表!$I$630*(1-参数输入表!$I$633)*参数输入表!$I$37*时间序列!AB68/(参数输入表!$I$632*12)</f>
        <v>0</v>
      </c>
      <c r="AF56" s="366">
        <f>参数输入表!$I$630*(1-参数输入表!$I$633)*参数输入表!$I$37*时间序列!AC68/(参数输入表!$I$632*12)</f>
        <v>0</v>
      </c>
      <c r="AG56" s="366">
        <f>参数输入表!$I$630*(1-参数输入表!$I$633)*参数输入表!$I$37*时间序列!AD68/(参数输入表!$I$632*12)</f>
        <v>0</v>
      </c>
      <c r="AH56" s="366">
        <f>参数输入表!$I$630*(1-参数输入表!$I$633)*参数输入表!$I$37*时间序列!AE68/(参数输入表!$I$632*12)</f>
        <v>0</v>
      </c>
      <c r="AI56" s="366">
        <f>参数输入表!$I$630*(1-参数输入表!$I$633)*参数输入表!$I$37*时间序列!AF68/(参数输入表!$I$632*12)</f>
        <v>0</v>
      </c>
      <c r="AJ56" s="366">
        <f>参数输入表!$I$630*(1-参数输入表!$I$633)*参数输入表!$I$37*时间序列!AG68/(参数输入表!$I$632*12)</f>
        <v>0</v>
      </c>
      <c r="AK56" s="366">
        <f>参数输入表!$I$630*(1-参数输入表!$I$633)*参数输入表!$I$37*时间序列!AH68/(参数输入表!$I$632*12)</f>
        <v>0</v>
      </c>
      <c r="AL56" s="366">
        <f>参数输入表!$I$630*(1-参数输入表!$I$633)*参数输入表!$I$37*时间序列!AI68/(参数输入表!$I$632*12)</f>
        <v>0</v>
      </c>
      <c r="AM56" s="366">
        <f>参数输入表!$I$630*(1-参数输入表!$I$633)*参数输入表!$I$37*时间序列!AJ68/(参数输入表!$I$632*12)</f>
        <v>0</v>
      </c>
      <c r="AN56" s="366">
        <f>参数输入表!$I$630*(1-参数输入表!$I$633)*参数输入表!$I$37*时间序列!AK68/(参数输入表!$I$632*12)</f>
        <v>0</v>
      </c>
      <c r="AO56" s="366">
        <f>参数输入表!$I$630*(1-参数输入表!$I$633)*参数输入表!$I$37*时间序列!AL68/(参数输入表!$I$632*12)</f>
        <v>0</v>
      </c>
      <c r="AP56" s="366">
        <f>参数输入表!$I$630*(1-参数输入表!$I$633)*参数输入表!$I$37*时间序列!AM68/(参数输入表!$I$632*12)</f>
        <v>0</v>
      </c>
      <c r="AQ56" s="366">
        <f>参数输入表!$I$630*(1-参数输入表!$I$633)*参数输入表!$I$37*时间序列!AN68/(参数输入表!$I$632*12)</f>
        <v>0</v>
      </c>
      <c r="AR56" s="366">
        <f>参数输入表!$I$630*(1-参数输入表!$I$633)*参数输入表!$I$37*时间序列!AO68/(参数输入表!$I$632*12)</f>
        <v>0</v>
      </c>
      <c r="AS56" s="366">
        <f>参数输入表!$I$630*(1-参数输入表!$I$633)*参数输入表!$I$37*时间序列!AP68/(参数输入表!$I$632*12)</f>
        <v>0</v>
      </c>
      <c r="AT56" s="366">
        <f>参数输入表!$I$630*(1-参数输入表!$I$633)*参数输入表!$I$37*时间序列!AQ68/(参数输入表!$I$632*12)</f>
        <v>0</v>
      </c>
      <c r="AU56" s="366">
        <f>参数输入表!$I$630*(1-参数输入表!$I$633)*参数输入表!$I$37*时间序列!AR68/(参数输入表!$I$632*12)</f>
        <v>0</v>
      </c>
      <c r="AV56" s="366">
        <f>参数输入表!$I$630*(1-参数输入表!$I$633)*参数输入表!$I$37*时间序列!AS68/(参数输入表!$I$632*12)</f>
        <v>0</v>
      </c>
      <c r="AW56" s="366">
        <f>参数输入表!$I$630*(1-参数输入表!$I$633)*参数输入表!$I$37*时间序列!AT68/(参数输入表!$I$632*12)</f>
        <v>0</v>
      </c>
      <c r="AX56" s="366">
        <f>参数输入表!$I$630*(1-参数输入表!$I$633)*参数输入表!$I$37*时间序列!AU68/(参数输入表!$I$632*12)</f>
        <v>0</v>
      </c>
      <c r="AY56" s="366">
        <f>参数输入表!$I$630*(1-参数输入表!$I$633)*参数输入表!$I$37*时间序列!AV68/(参数输入表!$I$632*12)</f>
        <v>0</v>
      </c>
      <c r="AZ56" s="366">
        <f>参数输入表!$I$630*(1-参数输入表!$I$633)*参数输入表!$I$37*时间序列!AW68/(参数输入表!$I$632*12)</f>
        <v>0</v>
      </c>
      <c r="BA56" s="385">
        <f>参数输入表!$I$630*(1-参数输入表!$I$633)*参数输入表!$I$37*时间序列!AX68/(参数输入表!$I$632*12)</f>
        <v>0</v>
      </c>
    </row>
    <row r="57" s="105" customFormat="1" spans="2:53">
      <c r="B57" s="360"/>
      <c r="C57" s="374" t="s">
        <v>473</v>
      </c>
      <c r="D57" s="375">
        <f t="shared" si="14"/>
        <v>0</v>
      </c>
      <c r="E57" s="266" t="s">
        <v>130</v>
      </c>
      <c r="F57" s="366">
        <f>参数输入表!$I$630*(1-参数输入表!$I$633)*参数输入表!$I$38*时间序列!C96/(参数输入表!$I$632*12)</f>
        <v>0</v>
      </c>
      <c r="G57" s="366">
        <f>参数输入表!$I$630*(1-参数输入表!$I$633)*参数输入表!$I$38*时间序列!D96/(参数输入表!$I$632*12)</f>
        <v>0</v>
      </c>
      <c r="H57" s="366">
        <f>参数输入表!$I$630*(1-参数输入表!$I$633)*参数输入表!$I$38*时间序列!E96/(参数输入表!$I$632*12)</f>
        <v>0</v>
      </c>
      <c r="I57" s="366">
        <f>参数输入表!$I$630*(1-参数输入表!$I$633)*参数输入表!$I$38*时间序列!F96/(参数输入表!$I$632*12)</f>
        <v>0</v>
      </c>
      <c r="J57" s="366">
        <f>参数输入表!$I$630*(1-参数输入表!$I$633)*参数输入表!$I$38*时间序列!G96/(参数输入表!$I$632*12)</f>
        <v>0</v>
      </c>
      <c r="K57" s="366">
        <f>参数输入表!$I$630*(1-参数输入表!$I$633)*参数输入表!$I$38*时间序列!H96/(参数输入表!$I$632*12)</f>
        <v>0</v>
      </c>
      <c r="L57" s="366">
        <f>参数输入表!$I$630*(1-参数输入表!$I$633)*参数输入表!$I$38*时间序列!I96/(参数输入表!$I$632*12)</f>
        <v>0</v>
      </c>
      <c r="M57" s="366">
        <f>参数输入表!$I$630*(1-参数输入表!$I$633)*参数输入表!$I$38*时间序列!J96/(参数输入表!$I$632*12)</f>
        <v>0</v>
      </c>
      <c r="N57" s="366">
        <f>参数输入表!$I$630*(1-参数输入表!$I$633)*参数输入表!$I$38*时间序列!K96/(参数输入表!$I$632*12)</f>
        <v>0</v>
      </c>
      <c r="O57" s="366">
        <f>参数输入表!$I$630*(1-参数输入表!$I$633)*参数输入表!$I$38*时间序列!L96/(参数输入表!$I$632*12)</f>
        <v>0</v>
      </c>
      <c r="P57" s="366">
        <f>参数输入表!$I$630*(1-参数输入表!$I$633)*参数输入表!$I$38*时间序列!M96/(参数输入表!$I$632*12)</f>
        <v>0</v>
      </c>
      <c r="Q57" s="366">
        <f>参数输入表!$I$630*(1-参数输入表!$I$633)*参数输入表!$I$38*时间序列!N96/(参数输入表!$I$632*12)</f>
        <v>0</v>
      </c>
      <c r="R57" s="366">
        <f>参数输入表!$I$630*(1-参数输入表!$I$633)*参数输入表!$I$38*时间序列!O96/(参数输入表!$I$632*12)</f>
        <v>0</v>
      </c>
      <c r="S57" s="366">
        <f>参数输入表!$I$630*(1-参数输入表!$I$633)*参数输入表!$I$38*时间序列!P96/(参数输入表!$I$632*12)</f>
        <v>0</v>
      </c>
      <c r="T57" s="366">
        <f>参数输入表!$I$630*(1-参数输入表!$I$633)*参数输入表!$I$38*时间序列!Q96/(参数输入表!$I$632*12)</f>
        <v>0</v>
      </c>
      <c r="U57" s="366">
        <f>参数输入表!$I$630*(1-参数输入表!$I$633)*参数输入表!$I$38*时间序列!R96/(参数输入表!$I$632*12)</f>
        <v>0</v>
      </c>
      <c r="V57" s="366">
        <f>参数输入表!$I$630*(1-参数输入表!$I$633)*参数输入表!$I$38*时间序列!S96/(参数输入表!$I$632*12)</f>
        <v>0</v>
      </c>
      <c r="W57" s="366">
        <f>参数输入表!$I$630*(1-参数输入表!$I$633)*参数输入表!$I$38*时间序列!T96/(参数输入表!$I$632*12)</f>
        <v>0</v>
      </c>
      <c r="X57" s="366">
        <f>参数输入表!$I$630*(1-参数输入表!$I$633)*参数输入表!$I$38*时间序列!U96/(参数输入表!$I$632*12)</f>
        <v>0</v>
      </c>
      <c r="Y57" s="366">
        <f>参数输入表!$I$630*(1-参数输入表!$I$633)*参数输入表!$I$38*时间序列!V96/(参数输入表!$I$632*12)</f>
        <v>0</v>
      </c>
      <c r="Z57" s="366">
        <f>参数输入表!$I$630*(1-参数输入表!$I$633)*参数输入表!$I$38*时间序列!W96/(参数输入表!$I$632*12)</f>
        <v>0</v>
      </c>
      <c r="AA57" s="366">
        <f>参数输入表!$I$630*(1-参数输入表!$I$633)*参数输入表!$I$38*时间序列!X96/(参数输入表!$I$632*12)</f>
        <v>0</v>
      </c>
      <c r="AB57" s="366">
        <f>参数输入表!$I$630*(1-参数输入表!$I$633)*参数输入表!$I$38*时间序列!Y96/(参数输入表!$I$632*12)</f>
        <v>0</v>
      </c>
      <c r="AC57" s="366">
        <f>参数输入表!$I$630*(1-参数输入表!$I$633)*参数输入表!$I$38*时间序列!Z96/(参数输入表!$I$632*12)</f>
        <v>0</v>
      </c>
      <c r="AD57" s="366">
        <f>参数输入表!$I$630*(1-参数输入表!$I$633)*参数输入表!$I$38*时间序列!AA96/(参数输入表!$I$632*12)</f>
        <v>0</v>
      </c>
      <c r="AE57" s="366">
        <f>参数输入表!$I$630*(1-参数输入表!$I$633)*参数输入表!$I$38*时间序列!AB96/(参数输入表!$I$632*12)</f>
        <v>0</v>
      </c>
      <c r="AF57" s="366">
        <f>参数输入表!$I$630*(1-参数输入表!$I$633)*参数输入表!$I$38*时间序列!AC96/(参数输入表!$I$632*12)</f>
        <v>0</v>
      </c>
      <c r="AG57" s="366">
        <f>参数输入表!$I$630*(1-参数输入表!$I$633)*参数输入表!$I$38*时间序列!AD96/(参数输入表!$I$632*12)</f>
        <v>0</v>
      </c>
      <c r="AH57" s="366">
        <f>参数输入表!$I$630*(1-参数输入表!$I$633)*参数输入表!$I$38*时间序列!AE96/(参数输入表!$I$632*12)</f>
        <v>0</v>
      </c>
      <c r="AI57" s="366">
        <f>参数输入表!$I$630*(1-参数输入表!$I$633)*参数输入表!$I$38*时间序列!AF96/(参数输入表!$I$632*12)</f>
        <v>0</v>
      </c>
      <c r="AJ57" s="366">
        <f>参数输入表!$I$630*(1-参数输入表!$I$633)*参数输入表!$I$38*时间序列!AG96/(参数输入表!$I$632*12)</f>
        <v>0</v>
      </c>
      <c r="AK57" s="366">
        <f>参数输入表!$I$630*(1-参数输入表!$I$633)*参数输入表!$I$38*时间序列!AH96/(参数输入表!$I$632*12)</f>
        <v>0</v>
      </c>
      <c r="AL57" s="366">
        <f>参数输入表!$I$630*(1-参数输入表!$I$633)*参数输入表!$I$38*时间序列!AI96/(参数输入表!$I$632*12)</f>
        <v>0</v>
      </c>
      <c r="AM57" s="366">
        <f>参数输入表!$I$630*(1-参数输入表!$I$633)*参数输入表!$I$38*时间序列!AJ96/(参数输入表!$I$632*12)</f>
        <v>0</v>
      </c>
      <c r="AN57" s="366">
        <f>参数输入表!$I$630*(1-参数输入表!$I$633)*参数输入表!$I$38*时间序列!AK96/(参数输入表!$I$632*12)</f>
        <v>0</v>
      </c>
      <c r="AO57" s="366">
        <f>参数输入表!$I$630*(1-参数输入表!$I$633)*参数输入表!$I$38*时间序列!AL96/(参数输入表!$I$632*12)</f>
        <v>0</v>
      </c>
      <c r="AP57" s="366">
        <f>参数输入表!$I$630*(1-参数输入表!$I$633)*参数输入表!$I$38*时间序列!AM96/(参数输入表!$I$632*12)</f>
        <v>0</v>
      </c>
      <c r="AQ57" s="366">
        <f>参数输入表!$I$630*(1-参数输入表!$I$633)*参数输入表!$I$38*时间序列!AN96/(参数输入表!$I$632*12)</f>
        <v>0</v>
      </c>
      <c r="AR57" s="366">
        <f>参数输入表!$I$630*(1-参数输入表!$I$633)*参数输入表!$I$38*时间序列!AO96/(参数输入表!$I$632*12)</f>
        <v>0</v>
      </c>
      <c r="AS57" s="366">
        <f>参数输入表!$I$630*(1-参数输入表!$I$633)*参数输入表!$I$38*时间序列!AP96/(参数输入表!$I$632*12)</f>
        <v>0</v>
      </c>
      <c r="AT57" s="366">
        <f>参数输入表!$I$630*(1-参数输入表!$I$633)*参数输入表!$I$38*时间序列!AQ96/(参数输入表!$I$632*12)</f>
        <v>0</v>
      </c>
      <c r="AU57" s="366">
        <f>参数输入表!$I$630*(1-参数输入表!$I$633)*参数输入表!$I$38*时间序列!AR96/(参数输入表!$I$632*12)</f>
        <v>0</v>
      </c>
      <c r="AV57" s="366">
        <f>参数输入表!$I$630*(1-参数输入表!$I$633)*参数输入表!$I$38*时间序列!AS96/(参数输入表!$I$632*12)</f>
        <v>0</v>
      </c>
      <c r="AW57" s="366">
        <f>参数输入表!$I$630*(1-参数输入表!$I$633)*参数输入表!$I$38*时间序列!AT96/(参数输入表!$I$632*12)</f>
        <v>0</v>
      </c>
      <c r="AX57" s="366">
        <f>参数输入表!$I$630*(1-参数输入表!$I$633)*参数输入表!$I$38*时间序列!AU96/(参数输入表!$I$632*12)</f>
        <v>0</v>
      </c>
      <c r="AY57" s="366">
        <f>参数输入表!$I$630*(1-参数输入表!$I$633)*参数输入表!$I$38*时间序列!AV96/(参数输入表!$I$632*12)</f>
        <v>0</v>
      </c>
      <c r="AZ57" s="366">
        <f>参数输入表!$I$630*(1-参数输入表!$I$633)*参数输入表!$I$38*时间序列!AW96/(参数输入表!$I$632*12)</f>
        <v>0</v>
      </c>
      <c r="BA57" s="385">
        <f>参数输入表!$I$630*(1-参数输入表!$I$633)*参数输入表!$I$38*时间序列!AX96/(参数输入表!$I$632*12)</f>
        <v>0</v>
      </c>
    </row>
    <row r="58" s="105" customFormat="1" spans="2:53">
      <c r="B58" s="360"/>
      <c r="C58" s="374" t="s">
        <v>474</v>
      </c>
      <c r="D58" s="375">
        <f t="shared" si="14"/>
        <v>11400</v>
      </c>
      <c r="E58" s="266" t="s">
        <v>130</v>
      </c>
      <c r="F58" s="366">
        <f>参数输入表!$I$630*(1-参数输入表!$I$633)*参数输入表!$I$39*时间序列!C124/(参数输入表!$I$632*12)</f>
        <v>0</v>
      </c>
      <c r="G58" s="366">
        <f>参数输入表!$I$630*(1-参数输入表!$I$633)*参数输入表!$I$39*时间序列!D124/(参数输入表!$I$632*12)</f>
        <v>0</v>
      </c>
      <c r="H58" s="366">
        <f>参数输入表!$I$630*(1-参数输入表!$I$633)*参数输入表!$I$39*时间序列!E124/(参数输入表!$I$632*12)</f>
        <v>0</v>
      </c>
      <c r="I58" s="366">
        <f>参数输入表!$I$630*(1-参数输入表!$I$633)*参数输入表!$I$39*时间序列!F124/(参数输入表!$I$632*12)</f>
        <v>0</v>
      </c>
      <c r="J58" s="366">
        <f>参数输入表!$I$630*(1-参数输入表!$I$633)*参数输入表!$I$39*时间序列!G124/(参数输入表!$I$632*12)</f>
        <v>0</v>
      </c>
      <c r="K58" s="366">
        <f>参数输入表!$I$630*(1-参数输入表!$I$633)*参数输入表!$I$39*时间序列!H124/(参数输入表!$I$632*12)</f>
        <v>0</v>
      </c>
      <c r="L58" s="366">
        <f>参数输入表!$I$630*(1-参数输入表!$I$633)*参数输入表!$I$39*时间序列!I124/(参数输入表!$I$632*12)</f>
        <v>0</v>
      </c>
      <c r="M58" s="366">
        <f>参数输入表!$I$630*(1-参数输入表!$I$633)*参数输入表!$I$39*时间序列!J124/(参数输入表!$I$632*12)</f>
        <v>0</v>
      </c>
      <c r="N58" s="366">
        <f>参数输入表!$I$630*(1-参数输入表!$I$633)*参数输入表!$I$39*时间序列!K124/(参数输入表!$I$632*12)</f>
        <v>807.5</v>
      </c>
      <c r="O58" s="366">
        <f>参数输入表!$I$630*(1-参数输入表!$I$633)*参数输入表!$I$39*时间序列!L124/(参数输入表!$I$632*12)</f>
        <v>570</v>
      </c>
      <c r="P58" s="366">
        <f>参数输入表!$I$630*(1-参数输入表!$I$633)*参数输入表!$I$39*时间序列!M124/(参数输入表!$I$632*12)</f>
        <v>570</v>
      </c>
      <c r="Q58" s="366">
        <f>参数输入表!$I$630*(1-参数输入表!$I$633)*参数输入表!$I$39*时间序列!N124/(参数输入表!$I$632*12)</f>
        <v>570</v>
      </c>
      <c r="R58" s="366">
        <f>参数输入表!$I$630*(1-参数输入表!$I$633)*参数输入表!$I$39*时间序列!O124/(参数输入表!$I$632*12)</f>
        <v>570</v>
      </c>
      <c r="S58" s="366">
        <f>参数输入表!$I$630*(1-参数输入表!$I$633)*参数输入表!$I$39*时间序列!P124/(参数输入表!$I$632*12)</f>
        <v>570</v>
      </c>
      <c r="T58" s="366">
        <f>参数输入表!$I$630*(1-参数输入表!$I$633)*参数输入表!$I$39*时间序列!Q124/(参数输入表!$I$632*12)</f>
        <v>570</v>
      </c>
      <c r="U58" s="366">
        <f>参数输入表!$I$630*(1-参数输入表!$I$633)*参数输入表!$I$39*时间序列!R124/(参数输入表!$I$632*12)</f>
        <v>570</v>
      </c>
      <c r="V58" s="366">
        <f>参数输入表!$I$630*(1-参数输入表!$I$633)*参数输入表!$I$39*时间序列!S124/(参数输入表!$I$632*12)</f>
        <v>570</v>
      </c>
      <c r="W58" s="366">
        <f>参数输入表!$I$630*(1-参数输入表!$I$633)*参数输入表!$I$39*时间序列!T124/(参数输入表!$I$632*12)</f>
        <v>570</v>
      </c>
      <c r="X58" s="366">
        <f>参数输入表!$I$630*(1-参数输入表!$I$633)*参数输入表!$I$39*时间序列!U124/(参数输入表!$I$632*12)</f>
        <v>570</v>
      </c>
      <c r="Y58" s="366">
        <f>参数输入表!$I$630*(1-参数输入表!$I$633)*参数输入表!$I$39*时间序列!V124/(参数输入表!$I$632*12)</f>
        <v>570</v>
      </c>
      <c r="Z58" s="366">
        <f>参数输入表!$I$630*(1-参数输入表!$I$633)*参数输入表!$I$39*时间序列!W124/(参数输入表!$I$632*12)</f>
        <v>570</v>
      </c>
      <c r="AA58" s="366">
        <f>参数输入表!$I$630*(1-参数输入表!$I$633)*参数输入表!$I$39*时间序列!X124/(参数输入表!$I$632*12)</f>
        <v>570</v>
      </c>
      <c r="AB58" s="366">
        <f>参数输入表!$I$630*(1-参数输入表!$I$633)*参数输入表!$I$39*时间序列!Y124/(参数输入表!$I$632*12)</f>
        <v>570</v>
      </c>
      <c r="AC58" s="366">
        <f>参数输入表!$I$630*(1-参数输入表!$I$633)*参数输入表!$I$39*时间序列!Z124/(参数输入表!$I$632*12)</f>
        <v>570</v>
      </c>
      <c r="AD58" s="366">
        <f>参数输入表!$I$630*(1-参数输入表!$I$633)*参数输入表!$I$39*时间序列!AA124/(参数输入表!$I$632*12)</f>
        <v>570</v>
      </c>
      <c r="AE58" s="366">
        <f>参数输入表!$I$630*(1-参数输入表!$I$633)*参数输入表!$I$39*时间序列!AB124/(参数输入表!$I$632*12)</f>
        <v>570</v>
      </c>
      <c r="AF58" s="366">
        <f>参数输入表!$I$630*(1-参数输入表!$I$633)*参数输入表!$I$39*时间序列!AC124/(参数输入表!$I$632*12)</f>
        <v>570</v>
      </c>
      <c r="AG58" s="366">
        <f>参数输入表!$I$630*(1-参数输入表!$I$633)*参数输入表!$I$39*时间序列!AD124/(参数输入表!$I$632*12)</f>
        <v>332.5</v>
      </c>
      <c r="AH58" s="366">
        <f>参数输入表!$I$630*(1-参数输入表!$I$633)*参数输入表!$I$39*时间序列!AE124/(参数输入表!$I$632*12)</f>
        <v>0</v>
      </c>
      <c r="AI58" s="366">
        <f>参数输入表!$I$630*(1-参数输入表!$I$633)*参数输入表!$I$39*时间序列!AF124/(参数输入表!$I$632*12)</f>
        <v>0</v>
      </c>
      <c r="AJ58" s="366">
        <f>参数输入表!$I$630*(1-参数输入表!$I$633)*参数输入表!$I$39*时间序列!AG124/(参数输入表!$I$632*12)</f>
        <v>0</v>
      </c>
      <c r="AK58" s="366">
        <f>参数输入表!$I$630*(1-参数输入表!$I$633)*参数输入表!$I$39*时间序列!AH124/(参数输入表!$I$632*12)</f>
        <v>0</v>
      </c>
      <c r="AL58" s="366">
        <f>参数输入表!$I$630*(1-参数输入表!$I$633)*参数输入表!$I$39*时间序列!AI124/(参数输入表!$I$632*12)</f>
        <v>0</v>
      </c>
      <c r="AM58" s="366">
        <f>参数输入表!$I$630*(1-参数输入表!$I$633)*参数输入表!$I$39*时间序列!AJ124/(参数输入表!$I$632*12)</f>
        <v>0</v>
      </c>
      <c r="AN58" s="366">
        <f>参数输入表!$I$630*(1-参数输入表!$I$633)*参数输入表!$I$39*时间序列!AK124/(参数输入表!$I$632*12)</f>
        <v>0</v>
      </c>
      <c r="AO58" s="366">
        <f>参数输入表!$I$630*(1-参数输入表!$I$633)*参数输入表!$I$39*时间序列!AL124/(参数输入表!$I$632*12)</f>
        <v>0</v>
      </c>
      <c r="AP58" s="366">
        <f>参数输入表!$I$630*(1-参数输入表!$I$633)*参数输入表!$I$39*时间序列!AM124/(参数输入表!$I$632*12)</f>
        <v>0</v>
      </c>
      <c r="AQ58" s="366">
        <f>参数输入表!$I$630*(1-参数输入表!$I$633)*参数输入表!$I$39*时间序列!AN124/(参数输入表!$I$632*12)</f>
        <v>0</v>
      </c>
      <c r="AR58" s="366">
        <f>参数输入表!$I$630*(1-参数输入表!$I$633)*参数输入表!$I$39*时间序列!AO124/(参数输入表!$I$632*12)</f>
        <v>0</v>
      </c>
      <c r="AS58" s="366">
        <f>参数输入表!$I$630*(1-参数输入表!$I$633)*参数输入表!$I$39*时间序列!AP124/(参数输入表!$I$632*12)</f>
        <v>0</v>
      </c>
      <c r="AT58" s="366">
        <f>参数输入表!$I$630*(1-参数输入表!$I$633)*参数输入表!$I$39*时间序列!AQ124/(参数输入表!$I$632*12)</f>
        <v>0</v>
      </c>
      <c r="AU58" s="366">
        <f>参数输入表!$I$630*(1-参数输入表!$I$633)*参数输入表!$I$39*时间序列!AR124/(参数输入表!$I$632*12)</f>
        <v>0</v>
      </c>
      <c r="AV58" s="366">
        <f>参数输入表!$I$630*(1-参数输入表!$I$633)*参数输入表!$I$39*时间序列!AS124/(参数输入表!$I$632*12)</f>
        <v>0</v>
      </c>
      <c r="AW58" s="366">
        <f>参数输入表!$I$630*(1-参数输入表!$I$633)*参数输入表!$I$39*时间序列!AT124/(参数输入表!$I$632*12)</f>
        <v>0</v>
      </c>
      <c r="AX58" s="366">
        <f>参数输入表!$I$630*(1-参数输入表!$I$633)*参数输入表!$I$39*时间序列!AU124/(参数输入表!$I$632*12)</f>
        <v>0</v>
      </c>
      <c r="AY58" s="366">
        <f>参数输入表!$I$630*(1-参数输入表!$I$633)*参数输入表!$I$39*时间序列!AV124/(参数输入表!$I$632*12)</f>
        <v>0</v>
      </c>
      <c r="AZ58" s="366">
        <f>参数输入表!$I$630*(1-参数输入表!$I$633)*参数输入表!$I$39*时间序列!AW124/(参数输入表!$I$632*12)</f>
        <v>0</v>
      </c>
      <c r="BA58" s="385">
        <f>参数输入表!$I$630*(1-参数输入表!$I$633)*参数输入表!$I$39*时间序列!AX124/(参数输入表!$I$632*12)</f>
        <v>0</v>
      </c>
    </row>
    <row r="59" s="105" customFormat="1" spans="2:53">
      <c r="B59" s="360"/>
      <c r="C59" s="378" t="s">
        <v>717</v>
      </c>
      <c r="D59" s="376"/>
      <c r="E59" s="266" t="s">
        <v>130</v>
      </c>
      <c r="F59" s="366">
        <f>F54</f>
        <v>0</v>
      </c>
      <c r="G59" s="366">
        <f>F59+G54</f>
        <v>0</v>
      </c>
      <c r="H59" s="366">
        <f t="shared" ref="H59:BA59" si="18">G59+H54</f>
        <v>0</v>
      </c>
      <c r="I59" s="366">
        <f t="shared" si="18"/>
        <v>0</v>
      </c>
      <c r="J59" s="366">
        <f t="shared" si="18"/>
        <v>0</v>
      </c>
      <c r="K59" s="366">
        <f t="shared" si="18"/>
        <v>0</v>
      </c>
      <c r="L59" s="366">
        <f t="shared" si="18"/>
        <v>0</v>
      </c>
      <c r="M59" s="366">
        <f t="shared" si="18"/>
        <v>0</v>
      </c>
      <c r="N59" s="366">
        <f t="shared" si="18"/>
        <v>807.5</v>
      </c>
      <c r="O59" s="366">
        <f t="shared" si="18"/>
        <v>1377.5</v>
      </c>
      <c r="P59" s="366">
        <f t="shared" si="18"/>
        <v>1947.5</v>
      </c>
      <c r="Q59" s="366">
        <f t="shared" si="18"/>
        <v>2517.5</v>
      </c>
      <c r="R59" s="366">
        <f t="shared" si="18"/>
        <v>3087.5</v>
      </c>
      <c r="S59" s="366">
        <f t="shared" si="18"/>
        <v>3657.5</v>
      </c>
      <c r="T59" s="366">
        <f t="shared" si="18"/>
        <v>4227.5</v>
      </c>
      <c r="U59" s="366">
        <f t="shared" si="18"/>
        <v>4797.5</v>
      </c>
      <c r="V59" s="366">
        <f t="shared" si="18"/>
        <v>5367.5</v>
      </c>
      <c r="W59" s="366">
        <f t="shared" si="18"/>
        <v>5937.5</v>
      </c>
      <c r="X59" s="366">
        <f t="shared" si="18"/>
        <v>6507.5</v>
      </c>
      <c r="Y59" s="366">
        <f t="shared" si="18"/>
        <v>7077.5</v>
      </c>
      <c r="Z59" s="366">
        <f t="shared" si="18"/>
        <v>7647.5</v>
      </c>
      <c r="AA59" s="366">
        <f t="shared" si="18"/>
        <v>8217.5</v>
      </c>
      <c r="AB59" s="366">
        <f t="shared" si="18"/>
        <v>8787.5</v>
      </c>
      <c r="AC59" s="366">
        <f t="shared" si="18"/>
        <v>9357.5</v>
      </c>
      <c r="AD59" s="366">
        <f t="shared" si="18"/>
        <v>9927.5</v>
      </c>
      <c r="AE59" s="366">
        <f t="shared" si="18"/>
        <v>10497.5</v>
      </c>
      <c r="AF59" s="366">
        <f t="shared" si="18"/>
        <v>11067.5</v>
      </c>
      <c r="AG59" s="366">
        <f t="shared" si="18"/>
        <v>11400</v>
      </c>
      <c r="AH59" s="366">
        <f t="shared" si="18"/>
        <v>11400</v>
      </c>
      <c r="AI59" s="366">
        <f t="shared" si="18"/>
        <v>11400</v>
      </c>
      <c r="AJ59" s="366">
        <f t="shared" si="18"/>
        <v>11400</v>
      </c>
      <c r="AK59" s="366">
        <f t="shared" si="18"/>
        <v>11400</v>
      </c>
      <c r="AL59" s="366">
        <f t="shared" si="18"/>
        <v>11400</v>
      </c>
      <c r="AM59" s="366">
        <f t="shared" si="18"/>
        <v>11400</v>
      </c>
      <c r="AN59" s="366">
        <f t="shared" si="18"/>
        <v>11400</v>
      </c>
      <c r="AO59" s="366">
        <f t="shared" si="18"/>
        <v>11400</v>
      </c>
      <c r="AP59" s="366">
        <f t="shared" si="18"/>
        <v>11400</v>
      </c>
      <c r="AQ59" s="366">
        <f t="shared" si="18"/>
        <v>11400</v>
      </c>
      <c r="AR59" s="366">
        <f t="shared" si="18"/>
        <v>11400</v>
      </c>
      <c r="AS59" s="366">
        <f t="shared" si="18"/>
        <v>11400</v>
      </c>
      <c r="AT59" s="366">
        <f t="shared" si="18"/>
        <v>11400</v>
      </c>
      <c r="AU59" s="366">
        <f t="shared" si="18"/>
        <v>11400</v>
      </c>
      <c r="AV59" s="366">
        <f t="shared" si="18"/>
        <v>11400</v>
      </c>
      <c r="AW59" s="366">
        <f t="shared" si="18"/>
        <v>11400</v>
      </c>
      <c r="AX59" s="366">
        <f t="shared" si="18"/>
        <v>11400</v>
      </c>
      <c r="AY59" s="366">
        <f t="shared" si="18"/>
        <v>11400</v>
      </c>
      <c r="AZ59" s="366">
        <f t="shared" si="18"/>
        <v>11400</v>
      </c>
      <c r="BA59" s="385">
        <f t="shared" si="18"/>
        <v>11400</v>
      </c>
    </row>
    <row r="60" s="105" customFormat="1" ht="17.25" spans="2:53">
      <c r="B60" s="379"/>
      <c r="C60" s="380" t="s">
        <v>718</v>
      </c>
      <c r="D60" s="381"/>
      <c r="E60" s="382" t="s">
        <v>130</v>
      </c>
      <c r="F60" s="387">
        <f>F50-F59</f>
        <v>0</v>
      </c>
      <c r="G60" s="387">
        <f t="shared" ref="G60:BA60" si="19">G50-G59</f>
        <v>0</v>
      </c>
      <c r="H60" s="387">
        <f t="shared" si="19"/>
        <v>0</v>
      </c>
      <c r="I60" s="387">
        <f t="shared" si="19"/>
        <v>0</v>
      </c>
      <c r="J60" s="387">
        <f t="shared" si="19"/>
        <v>0</v>
      </c>
      <c r="K60" s="387">
        <f t="shared" si="19"/>
        <v>0</v>
      </c>
      <c r="L60" s="387">
        <f t="shared" si="19"/>
        <v>0</v>
      </c>
      <c r="M60" s="387">
        <f t="shared" si="19"/>
        <v>12000</v>
      </c>
      <c r="N60" s="387">
        <f t="shared" si="19"/>
        <v>11192.5</v>
      </c>
      <c r="O60" s="387">
        <f t="shared" si="19"/>
        <v>10622.5</v>
      </c>
      <c r="P60" s="387">
        <f t="shared" si="19"/>
        <v>10052.5</v>
      </c>
      <c r="Q60" s="387">
        <f t="shared" si="19"/>
        <v>9482.5</v>
      </c>
      <c r="R60" s="387">
        <f t="shared" si="19"/>
        <v>8912.5</v>
      </c>
      <c r="S60" s="387">
        <f t="shared" si="19"/>
        <v>8342.5</v>
      </c>
      <c r="T60" s="387">
        <f t="shared" si="19"/>
        <v>7772.5</v>
      </c>
      <c r="U60" s="387">
        <f t="shared" si="19"/>
        <v>7202.5</v>
      </c>
      <c r="V60" s="387">
        <f t="shared" si="19"/>
        <v>6632.5</v>
      </c>
      <c r="W60" s="387">
        <f t="shared" si="19"/>
        <v>6062.5</v>
      </c>
      <c r="X60" s="387">
        <f t="shared" si="19"/>
        <v>5492.5</v>
      </c>
      <c r="Y60" s="387">
        <f t="shared" si="19"/>
        <v>4922.5</v>
      </c>
      <c r="Z60" s="387">
        <f t="shared" si="19"/>
        <v>4352.5</v>
      </c>
      <c r="AA60" s="387">
        <f t="shared" si="19"/>
        <v>3782.5</v>
      </c>
      <c r="AB60" s="387">
        <f t="shared" si="19"/>
        <v>3212.5</v>
      </c>
      <c r="AC60" s="387">
        <f t="shared" si="19"/>
        <v>2642.5</v>
      </c>
      <c r="AD60" s="387">
        <f t="shared" si="19"/>
        <v>2072.5</v>
      </c>
      <c r="AE60" s="387">
        <f t="shared" si="19"/>
        <v>1502.5</v>
      </c>
      <c r="AF60" s="387">
        <f t="shared" si="19"/>
        <v>932.5</v>
      </c>
      <c r="AG60" s="387">
        <f t="shared" si="19"/>
        <v>600</v>
      </c>
      <c r="AH60" s="387">
        <f t="shared" si="19"/>
        <v>600</v>
      </c>
      <c r="AI60" s="387">
        <f t="shared" si="19"/>
        <v>600</v>
      </c>
      <c r="AJ60" s="387">
        <f t="shared" si="19"/>
        <v>600</v>
      </c>
      <c r="AK60" s="387">
        <f t="shared" si="19"/>
        <v>600</v>
      </c>
      <c r="AL60" s="387">
        <f t="shared" si="19"/>
        <v>600</v>
      </c>
      <c r="AM60" s="387">
        <f t="shared" si="19"/>
        <v>600</v>
      </c>
      <c r="AN60" s="387">
        <f t="shared" si="19"/>
        <v>600</v>
      </c>
      <c r="AO60" s="387">
        <f t="shared" si="19"/>
        <v>600</v>
      </c>
      <c r="AP60" s="387">
        <f t="shared" si="19"/>
        <v>600</v>
      </c>
      <c r="AQ60" s="387">
        <f t="shared" si="19"/>
        <v>600</v>
      </c>
      <c r="AR60" s="387">
        <f t="shared" si="19"/>
        <v>600</v>
      </c>
      <c r="AS60" s="387">
        <f t="shared" si="19"/>
        <v>600</v>
      </c>
      <c r="AT60" s="387">
        <f t="shared" si="19"/>
        <v>600</v>
      </c>
      <c r="AU60" s="387">
        <f t="shared" si="19"/>
        <v>600</v>
      </c>
      <c r="AV60" s="387">
        <f t="shared" si="19"/>
        <v>600</v>
      </c>
      <c r="AW60" s="387">
        <f t="shared" si="19"/>
        <v>600</v>
      </c>
      <c r="AX60" s="387">
        <f t="shared" si="19"/>
        <v>600</v>
      </c>
      <c r="AY60" s="387">
        <f t="shared" si="19"/>
        <v>600</v>
      </c>
      <c r="AZ60" s="387">
        <f t="shared" si="19"/>
        <v>600</v>
      </c>
      <c r="BA60" s="388">
        <f t="shared" si="19"/>
        <v>600</v>
      </c>
    </row>
    <row r="61" s="105" customFormat="1" spans="2:53">
      <c r="B61" s="355">
        <v>2</v>
      </c>
      <c r="C61" s="356" t="s">
        <v>719</v>
      </c>
      <c r="D61" s="357"/>
      <c r="E61" s="358" t="s">
        <v>130</v>
      </c>
      <c r="F61" s="357">
        <v>0</v>
      </c>
      <c r="G61" s="357">
        <f>F112</f>
        <v>0</v>
      </c>
      <c r="H61" s="357">
        <f t="shared" ref="H61:O61" si="20">G112</f>
        <v>0</v>
      </c>
      <c r="I61" s="357">
        <f t="shared" si="20"/>
        <v>0</v>
      </c>
      <c r="J61" s="357">
        <f t="shared" si="20"/>
        <v>0</v>
      </c>
      <c r="K61" s="357">
        <f t="shared" si="20"/>
        <v>0</v>
      </c>
      <c r="L61" s="357">
        <f t="shared" si="20"/>
        <v>0</v>
      </c>
      <c r="M61" s="357">
        <f t="shared" si="20"/>
        <v>0</v>
      </c>
      <c r="N61" s="357">
        <f t="shared" si="20"/>
        <v>0</v>
      </c>
      <c r="O61" s="357">
        <f t="shared" si="20"/>
        <v>366.97247706422</v>
      </c>
      <c r="P61" s="357">
        <f t="shared" ref="P61:AL61" si="21">O112</f>
        <v>275.229357798165</v>
      </c>
      <c r="Q61" s="357">
        <f t="shared" si="21"/>
        <v>183.48623853211</v>
      </c>
      <c r="R61" s="357">
        <f t="shared" si="21"/>
        <v>91.7431192660551</v>
      </c>
      <c r="S61" s="357">
        <f t="shared" si="21"/>
        <v>0</v>
      </c>
      <c r="T61" s="357">
        <f t="shared" si="21"/>
        <v>366.97247706422</v>
      </c>
      <c r="U61" s="357">
        <f t="shared" si="21"/>
        <v>275.229357798165</v>
      </c>
      <c r="V61" s="357">
        <f t="shared" si="21"/>
        <v>183.48623853211</v>
      </c>
      <c r="W61" s="357">
        <f t="shared" si="21"/>
        <v>91.7431192660551</v>
      </c>
      <c r="X61" s="357">
        <f t="shared" si="21"/>
        <v>0</v>
      </c>
      <c r="Y61" s="357">
        <f t="shared" si="21"/>
        <v>366.97247706422</v>
      </c>
      <c r="Z61" s="357">
        <f t="shared" si="21"/>
        <v>275.229357798165</v>
      </c>
      <c r="AA61" s="357">
        <f t="shared" si="21"/>
        <v>183.48623853211</v>
      </c>
      <c r="AB61" s="357">
        <f t="shared" si="21"/>
        <v>91.7431192660551</v>
      </c>
      <c r="AC61" s="357">
        <f t="shared" si="21"/>
        <v>0</v>
      </c>
      <c r="AD61" s="357">
        <f t="shared" si="21"/>
        <v>366.97247706422</v>
      </c>
      <c r="AE61" s="357">
        <f t="shared" si="21"/>
        <v>275.229357798165</v>
      </c>
      <c r="AF61" s="357">
        <f t="shared" si="21"/>
        <v>183.48623853211</v>
      </c>
      <c r="AG61" s="357">
        <f t="shared" si="21"/>
        <v>91.7431192660551</v>
      </c>
      <c r="AH61" s="357">
        <f t="shared" si="21"/>
        <v>0</v>
      </c>
      <c r="AI61" s="357">
        <f t="shared" si="21"/>
        <v>366.97247706422</v>
      </c>
      <c r="AJ61" s="357">
        <f t="shared" si="21"/>
        <v>275.229357798165</v>
      </c>
      <c r="AK61" s="357">
        <f t="shared" si="21"/>
        <v>183.48623853211</v>
      </c>
      <c r="AL61" s="357">
        <f t="shared" si="21"/>
        <v>91.7431192660551</v>
      </c>
      <c r="AM61" s="357">
        <f t="shared" ref="AM61" si="22">AL112</f>
        <v>0</v>
      </c>
      <c r="AN61" s="357">
        <f t="shared" ref="AN61" si="23">AM112</f>
        <v>366.97247706422</v>
      </c>
      <c r="AO61" s="357">
        <f t="shared" ref="AO61" si="24">AN112</f>
        <v>275.229357798165</v>
      </c>
      <c r="AP61" s="357">
        <f t="shared" ref="AP61" si="25">AO112</f>
        <v>183.48623853211</v>
      </c>
      <c r="AQ61" s="357">
        <f t="shared" ref="AQ61" si="26">AP112</f>
        <v>91.7431192660551</v>
      </c>
      <c r="AR61" s="357">
        <f t="shared" ref="AR61" si="27">AQ112</f>
        <v>0</v>
      </c>
      <c r="AS61" s="357">
        <f t="shared" ref="AS61" si="28">AR112</f>
        <v>366.97247706422</v>
      </c>
      <c r="AT61" s="357">
        <f t="shared" ref="AT61" si="29">AS112</f>
        <v>275.229357798165</v>
      </c>
      <c r="AU61" s="357">
        <f t="shared" ref="AU61" si="30">AT112</f>
        <v>183.48623853211</v>
      </c>
      <c r="AV61" s="357">
        <f t="shared" ref="AV61" si="31">AU112</f>
        <v>91.7431192660551</v>
      </c>
      <c r="AW61" s="357">
        <f t="shared" ref="AW61" si="32">AV112</f>
        <v>0</v>
      </c>
      <c r="AX61" s="357">
        <f t="shared" ref="AX61" si="33">AW112</f>
        <v>366.97247706422</v>
      </c>
      <c r="AY61" s="357">
        <f t="shared" ref="AY61" si="34">AX112</f>
        <v>275.229357798165</v>
      </c>
      <c r="AZ61" s="357">
        <f t="shared" ref="AZ61" si="35">AY112</f>
        <v>489.296636085627</v>
      </c>
      <c r="BA61" s="359">
        <f t="shared" ref="BA61" si="36">AZ112</f>
        <v>244.648318042813</v>
      </c>
    </row>
    <row r="62" s="105" customFormat="1" spans="2:53">
      <c r="B62" s="360"/>
      <c r="C62" s="133" t="s">
        <v>720</v>
      </c>
      <c r="D62" s="366">
        <f>SUM(F62:BA62)</f>
        <v>4128.44036697248</v>
      </c>
      <c r="E62" s="367" t="s">
        <v>130</v>
      </c>
      <c r="F62" s="366">
        <f>参数输入表!I642/(1+参数输入表!I692)</f>
        <v>0</v>
      </c>
      <c r="G62" s="366">
        <f>参数输入表!I643/(1+参数输入表!I692)</f>
        <v>0</v>
      </c>
      <c r="H62" s="366">
        <f>参数输入表!I644/(1+参数输入表!I692)</f>
        <v>0</v>
      </c>
      <c r="I62" s="366">
        <f>参数输入表!I645/(1+参数输入表!I692)</f>
        <v>0</v>
      </c>
      <c r="J62" s="366">
        <f>参数输入表!I646/(1+参数输入表!I692)</f>
        <v>0</v>
      </c>
      <c r="K62" s="366">
        <f>参数输入表!I647/(1+参数输入表!I692)</f>
        <v>0</v>
      </c>
      <c r="L62" s="366">
        <f>参数输入表!I648/(1+参数输入表!I692)</f>
        <v>0</v>
      </c>
      <c r="M62" s="366">
        <f>参数输入表!I649/(1+参数输入表!I692)</f>
        <v>0</v>
      </c>
      <c r="N62" s="366">
        <f>参数输入表!I650/(1+参数输入表!I692)</f>
        <v>458.715596330275</v>
      </c>
      <c r="O62" s="366">
        <f>参数输入表!I651/(1+参数输入表!I692)</f>
        <v>0</v>
      </c>
      <c r="P62" s="366">
        <f>参数输入表!I652/(1+参数输入表!I692)</f>
        <v>0</v>
      </c>
      <c r="Q62" s="366">
        <f>参数输入表!I653/(1+参数输入表!I692)</f>
        <v>0</v>
      </c>
      <c r="R62" s="366">
        <f>参数输入表!I654/(1+参数输入表!I692)</f>
        <v>0</v>
      </c>
      <c r="S62" s="366">
        <f>参数输入表!I655/(1+参数输入表!I692)</f>
        <v>458.715596330275</v>
      </c>
      <c r="T62" s="366">
        <f>参数输入表!I656/(1+参数输入表!I692)</f>
        <v>0</v>
      </c>
      <c r="U62" s="366">
        <f>参数输入表!I657/(1+参数输入表!I692)</f>
        <v>0</v>
      </c>
      <c r="V62" s="366">
        <f>参数输入表!I658/(1+参数输入表!I692)</f>
        <v>0</v>
      </c>
      <c r="W62" s="366">
        <f>参数输入表!I659/(1+参数输入表!I692)</f>
        <v>0</v>
      </c>
      <c r="X62" s="366">
        <f>参数输入表!I660/(1+参数输入表!I692)</f>
        <v>458.715596330275</v>
      </c>
      <c r="Y62" s="366">
        <f>参数输入表!I661/(1+参数输入表!I692)</f>
        <v>0</v>
      </c>
      <c r="Z62" s="366">
        <f>参数输入表!I662/(1+参数输入表!I692)</f>
        <v>0</v>
      </c>
      <c r="AA62" s="366">
        <f>参数输入表!I663/(1+参数输入表!I692)</f>
        <v>0</v>
      </c>
      <c r="AB62" s="366">
        <f>参数输入表!I664/(1+参数输入表!I692)</f>
        <v>0</v>
      </c>
      <c r="AC62" s="366">
        <f>参数输入表!I665/(1+参数输入表!I692)</f>
        <v>458.715596330275</v>
      </c>
      <c r="AD62" s="366">
        <f>参数输入表!I666/(1+参数输入表!I692)</f>
        <v>0</v>
      </c>
      <c r="AE62" s="366">
        <f>参数输入表!I667/(1+参数输入表!I692)</f>
        <v>0</v>
      </c>
      <c r="AF62" s="366">
        <f>参数输入表!I668/(1+参数输入表!I692)</f>
        <v>0</v>
      </c>
      <c r="AG62" s="366">
        <f>参数输入表!I669/(1+参数输入表!I692)</f>
        <v>0</v>
      </c>
      <c r="AH62" s="366">
        <f>参数输入表!I670/(1+参数输入表!I692)</f>
        <v>458.715596330275</v>
      </c>
      <c r="AI62" s="366">
        <f>参数输入表!I671/(1+参数输入表!I692)</f>
        <v>0</v>
      </c>
      <c r="AJ62" s="366">
        <f>参数输入表!I672/(1+参数输入表!I692)</f>
        <v>0</v>
      </c>
      <c r="AK62" s="366">
        <f>参数输入表!I673/(1+参数输入表!I692)</f>
        <v>0</v>
      </c>
      <c r="AL62" s="366">
        <f>参数输入表!I674/(1+参数输入表!I692)</f>
        <v>0</v>
      </c>
      <c r="AM62" s="366">
        <f>参数输入表!I675/(1+参数输入表!I692)</f>
        <v>458.715596330275</v>
      </c>
      <c r="AN62" s="366">
        <f>参数输入表!I676/(1+参数输入表!I692)</f>
        <v>0</v>
      </c>
      <c r="AO62" s="366">
        <f>参数输入表!I677/(1+参数输入表!I692)</f>
        <v>0</v>
      </c>
      <c r="AP62" s="366">
        <f>参数输入表!I678/(1+参数输入表!I692)</f>
        <v>0</v>
      </c>
      <c r="AQ62" s="366">
        <f>参数输入表!I679/(1+参数输入表!I692)</f>
        <v>0</v>
      </c>
      <c r="AR62" s="366">
        <f>参数输入表!I680/(1+参数输入表!I692)</f>
        <v>458.715596330275</v>
      </c>
      <c r="AS62" s="366">
        <f>参数输入表!I681/(1+参数输入表!I692)</f>
        <v>0</v>
      </c>
      <c r="AT62" s="366">
        <f>参数输入表!I682/(1+参数输入表!I692)</f>
        <v>0</v>
      </c>
      <c r="AU62" s="366">
        <f>参数输入表!I683/(1+参数输入表!I692)</f>
        <v>0</v>
      </c>
      <c r="AV62" s="366">
        <f>参数输入表!I684/(1+参数输入表!I692)</f>
        <v>0</v>
      </c>
      <c r="AW62" s="366">
        <f>参数输入表!I685/(1+参数输入表!I692)</f>
        <v>458.715596330275</v>
      </c>
      <c r="AX62" s="366">
        <f>参数输入表!I686/(1+参数输入表!I692)</f>
        <v>0</v>
      </c>
      <c r="AY62" s="366">
        <f>参数输入表!I687/(1+参数输入表!I692)</f>
        <v>458.715596330275</v>
      </c>
      <c r="AZ62" s="366">
        <f>参数输入表!I688/(1+参数输入表!I692)</f>
        <v>0</v>
      </c>
      <c r="BA62" s="385">
        <f>参数输入表!I689/(1+参数输入表!I692)</f>
        <v>0</v>
      </c>
    </row>
    <row r="63" s="105" customFormat="1" spans="2:53">
      <c r="B63" s="360"/>
      <c r="C63" s="370" t="s">
        <v>721</v>
      </c>
      <c r="D63" s="371">
        <f>SUM(F63:BA63)</f>
        <v>4128.44036697248</v>
      </c>
      <c r="E63" s="367" t="s">
        <v>130</v>
      </c>
      <c r="F63" s="371">
        <f>SUM(F64:F111)</f>
        <v>0</v>
      </c>
      <c r="G63" s="371">
        <f t="shared" ref="G63:BA63" si="37">SUM(G64:G111)</f>
        <v>0</v>
      </c>
      <c r="H63" s="371">
        <f t="shared" si="37"/>
        <v>0</v>
      </c>
      <c r="I63" s="371">
        <f t="shared" si="37"/>
        <v>0</v>
      </c>
      <c r="J63" s="371">
        <f t="shared" si="37"/>
        <v>0</v>
      </c>
      <c r="K63" s="371">
        <f t="shared" si="37"/>
        <v>0</v>
      </c>
      <c r="L63" s="371">
        <f t="shared" si="37"/>
        <v>0</v>
      </c>
      <c r="M63" s="371">
        <f t="shared" si="37"/>
        <v>0</v>
      </c>
      <c r="N63" s="371">
        <f t="shared" si="37"/>
        <v>91.743119266055</v>
      </c>
      <c r="O63" s="371">
        <f t="shared" si="37"/>
        <v>91.743119266055</v>
      </c>
      <c r="P63" s="371">
        <f t="shared" si="37"/>
        <v>91.743119266055</v>
      </c>
      <c r="Q63" s="371">
        <f t="shared" si="37"/>
        <v>91.743119266055</v>
      </c>
      <c r="R63" s="371">
        <f t="shared" si="37"/>
        <v>91.743119266055</v>
      </c>
      <c r="S63" s="371">
        <f t="shared" si="37"/>
        <v>91.743119266055</v>
      </c>
      <c r="T63" s="371">
        <f t="shared" si="37"/>
        <v>91.743119266055</v>
      </c>
      <c r="U63" s="371">
        <f t="shared" si="37"/>
        <v>91.743119266055</v>
      </c>
      <c r="V63" s="371">
        <f t="shared" si="37"/>
        <v>91.743119266055</v>
      </c>
      <c r="W63" s="371">
        <f t="shared" si="37"/>
        <v>91.743119266055</v>
      </c>
      <c r="X63" s="371">
        <f t="shared" si="37"/>
        <v>91.743119266055</v>
      </c>
      <c r="Y63" s="371">
        <f t="shared" si="37"/>
        <v>91.743119266055</v>
      </c>
      <c r="Z63" s="371">
        <f t="shared" si="37"/>
        <v>91.743119266055</v>
      </c>
      <c r="AA63" s="371">
        <f t="shared" si="37"/>
        <v>91.743119266055</v>
      </c>
      <c r="AB63" s="371">
        <f t="shared" si="37"/>
        <v>91.743119266055</v>
      </c>
      <c r="AC63" s="371">
        <f t="shared" si="37"/>
        <v>91.743119266055</v>
      </c>
      <c r="AD63" s="371">
        <f t="shared" si="37"/>
        <v>91.743119266055</v>
      </c>
      <c r="AE63" s="371">
        <f t="shared" si="37"/>
        <v>91.743119266055</v>
      </c>
      <c r="AF63" s="371">
        <f t="shared" si="37"/>
        <v>91.743119266055</v>
      </c>
      <c r="AG63" s="371">
        <f t="shared" si="37"/>
        <v>91.743119266055</v>
      </c>
      <c r="AH63" s="371">
        <f t="shared" si="37"/>
        <v>91.743119266055</v>
      </c>
      <c r="AI63" s="371">
        <f t="shared" si="37"/>
        <v>91.743119266055</v>
      </c>
      <c r="AJ63" s="371">
        <f t="shared" si="37"/>
        <v>91.743119266055</v>
      </c>
      <c r="AK63" s="371">
        <f t="shared" si="37"/>
        <v>91.743119266055</v>
      </c>
      <c r="AL63" s="371">
        <f t="shared" si="37"/>
        <v>91.743119266055</v>
      </c>
      <c r="AM63" s="371">
        <f t="shared" si="37"/>
        <v>91.743119266055</v>
      </c>
      <c r="AN63" s="371">
        <f t="shared" si="37"/>
        <v>91.743119266055</v>
      </c>
      <c r="AO63" s="371">
        <f t="shared" si="37"/>
        <v>91.743119266055</v>
      </c>
      <c r="AP63" s="371">
        <f t="shared" si="37"/>
        <v>91.743119266055</v>
      </c>
      <c r="AQ63" s="371">
        <f t="shared" si="37"/>
        <v>91.743119266055</v>
      </c>
      <c r="AR63" s="371">
        <f t="shared" si="37"/>
        <v>91.743119266055</v>
      </c>
      <c r="AS63" s="371">
        <f t="shared" si="37"/>
        <v>91.743119266055</v>
      </c>
      <c r="AT63" s="371">
        <f t="shared" si="37"/>
        <v>91.743119266055</v>
      </c>
      <c r="AU63" s="371">
        <f t="shared" si="37"/>
        <v>91.743119266055</v>
      </c>
      <c r="AV63" s="371">
        <f t="shared" si="37"/>
        <v>91.743119266055</v>
      </c>
      <c r="AW63" s="371">
        <f t="shared" si="37"/>
        <v>91.743119266055</v>
      </c>
      <c r="AX63" s="371">
        <f t="shared" si="37"/>
        <v>91.743119266055</v>
      </c>
      <c r="AY63" s="371">
        <f t="shared" si="37"/>
        <v>244.648318042813</v>
      </c>
      <c r="AZ63" s="371">
        <f t="shared" si="37"/>
        <v>244.648318042813</v>
      </c>
      <c r="BA63" s="386">
        <f t="shared" si="37"/>
        <v>244.648318042813</v>
      </c>
    </row>
    <row r="64" s="307" customFormat="1" ht="14.5" spans="2:53">
      <c r="B64" s="360"/>
      <c r="C64" s="389" t="s">
        <v>74</v>
      </c>
      <c r="D64" s="375">
        <f t="shared" ref="D64:D111" si="38">SUM(F64:BA64)</f>
        <v>0</v>
      </c>
      <c r="E64" s="266" t="s">
        <v>130</v>
      </c>
      <c r="F64" s="376">
        <f>IF('表2-折旧摊销表'!$BA$26+1-'表2-折旧摊销表'!$F$26&gt;='表2-折旧摊销表'!$D$14,$F$62/$D$14,$F$62/('表2-折旧摊销表'!$BA$26+1-'表2-折旧摊销表'!$F$26))</f>
        <v>0</v>
      </c>
      <c r="G64" s="376">
        <f>IF('表2-折旧摊销表'!$BA$26+1-'表2-折旧摊销表'!$F$26&gt;='表2-折旧摊销表'!$D$14,$F$62/$D$14,$F$62/('表2-折旧摊销表'!$BA$26+1-'表2-折旧摊销表'!$F$26))</f>
        <v>0</v>
      </c>
      <c r="H64" s="376">
        <f>IF('表2-折旧摊销表'!$BA$26+1-'表2-折旧摊销表'!$F$26&gt;='表2-折旧摊销表'!$D$14,$F$62/$D$14,$F$62/('表2-折旧摊销表'!$BA$26+1-'表2-折旧摊销表'!$F$26))</f>
        <v>0</v>
      </c>
      <c r="I64" s="376">
        <f>IF('表2-折旧摊销表'!$BA$26+1-'表2-折旧摊销表'!$F$26&gt;='表2-折旧摊销表'!$D$14,$F$62/$D$14,$F$62/('表2-折旧摊销表'!$BA$26+1-'表2-折旧摊销表'!$F$26))</f>
        <v>0</v>
      </c>
      <c r="J64" s="376">
        <f>IF('表2-折旧摊销表'!$BA$26+1-'表2-折旧摊销表'!$F$26&gt;='表2-折旧摊销表'!$D$14,$F$62/$D$14,$F$62/('表2-折旧摊销表'!$BA$26+1-'表2-折旧摊销表'!$F$26))</f>
        <v>0</v>
      </c>
      <c r="K64" s="376"/>
      <c r="L64" s="376"/>
      <c r="M64" s="376"/>
      <c r="N64" s="376"/>
      <c r="O64" s="376"/>
      <c r="P64" s="376"/>
      <c r="Q64" s="376"/>
      <c r="R64" s="376"/>
      <c r="S64" s="376"/>
      <c r="T64" s="376"/>
      <c r="U64" s="376"/>
      <c r="V64" s="376"/>
      <c r="W64" s="376"/>
      <c r="X64" s="376"/>
      <c r="Y64" s="376"/>
      <c r="Z64" s="376"/>
      <c r="AA64" s="376"/>
      <c r="AB64" s="376"/>
      <c r="AC64" s="376"/>
      <c r="AD64" s="376"/>
      <c r="AE64" s="376"/>
      <c r="AF64" s="376"/>
      <c r="AG64" s="376"/>
      <c r="AH64" s="376"/>
      <c r="AI64" s="376"/>
      <c r="AJ64" s="376"/>
      <c r="AK64" s="376"/>
      <c r="AL64" s="376"/>
      <c r="AM64" s="376"/>
      <c r="AN64" s="376"/>
      <c r="AO64" s="376"/>
      <c r="AP64" s="376"/>
      <c r="AQ64" s="376"/>
      <c r="AR64" s="376"/>
      <c r="AS64" s="376"/>
      <c r="AT64" s="376"/>
      <c r="AU64" s="376"/>
      <c r="AV64" s="376"/>
      <c r="AW64" s="376"/>
      <c r="AX64" s="376"/>
      <c r="AY64" s="376"/>
      <c r="AZ64" s="376"/>
      <c r="BA64" s="377"/>
    </row>
    <row r="65" s="307" customFormat="1" ht="14.5" spans="2:53">
      <c r="B65" s="360"/>
      <c r="C65" s="389" t="s">
        <v>75</v>
      </c>
      <c r="D65" s="375">
        <f t="shared" si="38"/>
        <v>0</v>
      </c>
      <c r="E65" s="266" t="s">
        <v>130</v>
      </c>
      <c r="F65" s="376"/>
      <c r="G65" s="376">
        <f>IF('表2-折旧摊销表'!$BA$26+1-'表2-折旧摊销表'!$G$26&gt;='表2-折旧摊销表'!$D$14,$G$62/$D$14,$G$62/('表2-折旧摊销表'!$BA$26+1-'表2-折旧摊销表'!$G$26))</f>
        <v>0</v>
      </c>
      <c r="H65" s="376">
        <f>IF('表2-折旧摊销表'!$BA$26+1-'表2-折旧摊销表'!$G$26&gt;='表2-折旧摊销表'!$D$14,$G$62/$D$14,$G$62/('表2-折旧摊销表'!$BA$26+1-'表2-折旧摊销表'!$G$26))</f>
        <v>0</v>
      </c>
      <c r="I65" s="376">
        <f>IF('表2-折旧摊销表'!$BA$26+1-'表2-折旧摊销表'!$G$26&gt;='表2-折旧摊销表'!$D$14,$G$62/$D$14,$G$62/('表2-折旧摊销表'!$BA$26+1-'表2-折旧摊销表'!$G$26))</f>
        <v>0</v>
      </c>
      <c r="J65" s="376">
        <f>IF('表2-折旧摊销表'!$BA$26+1-'表2-折旧摊销表'!$G$26&gt;='表2-折旧摊销表'!$D$14,$G$62/$D$14,$G$62/('表2-折旧摊销表'!$BA$26+1-'表2-折旧摊销表'!$G$26))</f>
        <v>0</v>
      </c>
      <c r="K65" s="376">
        <f>IF('表2-折旧摊销表'!$BA$26+1-'表2-折旧摊销表'!$G$26&gt;='表2-折旧摊销表'!$D$14,$G$62/$D$14,$G$62/('表2-折旧摊销表'!$BA$26+1-'表2-折旧摊销表'!$G$26))</f>
        <v>0</v>
      </c>
      <c r="L65" s="376"/>
      <c r="M65" s="376"/>
      <c r="N65" s="376"/>
      <c r="O65" s="376"/>
      <c r="P65" s="376"/>
      <c r="Q65" s="376"/>
      <c r="R65" s="376"/>
      <c r="S65" s="376"/>
      <c r="T65" s="376"/>
      <c r="U65" s="376"/>
      <c r="V65" s="376"/>
      <c r="W65" s="376"/>
      <c r="X65" s="376"/>
      <c r="Y65" s="376"/>
      <c r="Z65" s="376"/>
      <c r="AA65" s="376"/>
      <c r="AB65" s="376"/>
      <c r="AC65" s="376"/>
      <c r="AD65" s="376"/>
      <c r="AE65" s="376"/>
      <c r="AF65" s="376"/>
      <c r="AG65" s="376"/>
      <c r="AH65" s="376"/>
      <c r="AI65" s="376"/>
      <c r="AJ65" s="376"/>
      <c r="AK65" s="376"/>
      <c r="AL65" s="376"/>
      <c r="AM65" s="376"/>
      <c r="AN65" s="376"/>
      <c r="AO65" s="376"/>
      <c r="AP65" s="376"/>
      <c r="AQ65" s="376"/>
      <c r="AR65" s="376"/>
      <c r="AS65" s="376"/>
      <c r="AT65" s="376"/>
      <c r="AU65" s="376"/>
      <c r="AV65" s="376"/>
      <c r="AW65" s="376"/>
      <c r="AX65" s="376"/>
      <c r="AY65" s="376"/>
      <c r="AZ65" s="376"/>
      <c r="BA65" s="377"/>
    </row>
    <row r="66" s="307" customFormat="1" ht="14.5" spans="2:53">
      <c r="B66" s="360"/>
      <c r="C66" s="389" t="s">
        <v>76</v>
      </c>
      <c r="D66" s="375">
        <f t="shared" si="38"/>
        <v>0</v>
      </c>
      <c r="E66" s="266" t="s">
        <v>130</v>
      </c>
      <c r="F66" s="376"/>
      <c r="G66" s="376"/>
      <c r="H66" s="376">
        <f>IF('表2-折旧摊销表'!$BA$26+1-'表2-折旧摊销表'!$H$26&gt;='表2-折旧摊销表'!$D$14,$H$62/$D$14,$H$62/('表2-折旧摊销表'!$BA$26+1-'表2-折旧摊销表'!$H$26))</f>
        <v>0</v>
      </c>
      <c r="I66" s="376">
        <f>IF('表2-折旧摊销表'!$BA$26+1-'表2-折旧摊销表'!$H$26&gt;='表2-折旧摊销表'!$D$14,$H$62/$D$14,$H$62/('表2-折旧摊销表'!$BA$26+1-'表2-折旧摊销表'!$H$26))</f>
        <v>0</v>
      </c>
      <c r="J66" s="376">
        <f>IF('表2-折旧摊销表'!$BA$26+1-'表2-折旧摊销表'!$H$26&gt;='表2-折旧摊销表'!$D$14,$H$62/$D$14,$H$62/('表2-折旧摊销表'!$BA$26+1-'表2-折旧摊销表'!$H$26))</f>
        <v>0</v>
      </c>
      <c r="K66" s="376">
        <f>IF('表2-折旧摊销表'!$BA$26+1-'表2-折旧摊销表'!$H$26&gt;='表2-折旧摊销表'!$D$14,$H$62/$D$14,$H$62/('表2-折旧摊销表'!$BA$26+1-'表2-折旧摊销表'!$H$26))</f>
        <v>0</v>
      </c>
      <c r="L66" s="376">
        <f>IF('表2-折旧摊销表'!$BA$26+1-'表2-折旧摊销表'!$H$26&gt;='表2-折旧摊销表'!$D$14,$H$62/$D$14,$H$62/('表2-折旧摊销表'!$BA$26+1-'表2-折旧摊销表'!$H$26))</f>
        <v>0</v>
      </c>
      <c r="M66" s="376"/>
      <c r="N66" s="376"/>
      <c r="O66" s="376"/>
      <c r="P66" s="376"/>
      <c r="Q66" s="376"/>
      <c r="R66" s="376"/>
      <c r="S66" s="376"/>
      <c r="T66" s="376"/>
      <c r="U66" s="376"/>
      <c r="V66" s="376"/>
      <c r="W66" s="376"/>
      <c r="X66" s="376"/>
      <c r="Y66" s="376"/>
      <c r="Z66" s="376"/>
      <c r="AA66" s="376"/>
      <c r="AB66" s="376"/>
      <c r="AC66" s="376"/>
      <c r="AD66" s="376"/>
      <c r="AE66" s="376"/>
      <c r="AF66" s="376"/>
      <c r="AG66" s="376"/>
      <c r="AH66" s="376"/>
      <c r="AI66" s="376"/>
      <c r="AJ66" s="376"/>
      <c r="AK66" s="376"/>
      <c r="AL66" s="376"/>
      <c r="AM66" s="376"/>
      <c r="AN66" s="376"/>
      <c r="AO66" s="376"/>
      <c r="AP66" s="376"/>
      <c r="AQ66" s="376"/>
      <c r="AR66" s="376"/>
      <c r="AS66" s="376"/>
      <c r="AT66" s="376"/>
      <c r="AU66" s="376"/>
      <c r="AV66" s="376"/>
      <c r="AW66" s="376"/>
      <c r="AX66" s="376"/>
      <c r="AY66" s="376"/>
      <c r="AZ66" s="376"/>
      <c r="BA66" s="377"/>
    </row>
    <row r="67" s="307" customFormat="1" ht="14.5" spans="2:53">
      <c r="B67" s="360"/>
      <c r="C67" s="389" t="s">
        <v>77</v>
      </c>
      <c r="D67" s="375">
        <f t="shared" si="38"/>
        <v>0</v>
      </c>
      <c r="E67" s="266" t="s">
        <v>130</v>
      </c>
      <c r="F67" s="376"/>
      <c r="G67" s="376"/>
      <c r="H67" s="376"/>
      <c r="I67" s="376">
        <f>IF('表2-折旧摊销表'!$BA$26+1-'表2-折旧摊销表'!$I$26&gt;='表2-折旧摊销表'!$D$14,$I$62/$D$14,$I$62/('表2-折旧摊销表'!$BA$26+1-'表2-折旧摊销表'!$I$26))</f>
        <v>0</v>
      </c>
      <c r="J67" s="376">
        <f>IF('表2-折旧摊销表'!$BA$26+1-'表2-折旧摊销表'!$I$26&gt;='表2-折旧摊销表'!$D$14,$I$62/$D$14,$I$62/('表2-折旧摊销表'!$BA$26+1-'表2-折旧摊销表'!$I$26))</f>
        <v>0</v>
      </c>
      <c r="K67" s="376">
        <f>IF('表2-折旧摊销表'!$BA$26+1-'表2-折旧摊销表'!$I$26&gt;='表2-折旧摊销表'!$D$14,$I$62/$D$14,$I$62/('表2-折旧摊销表'!$BA$26+1-'表2-折旧摊销表'!$I$26))</f>
        <v>0</v>
      </c>
      <c r="L67" s="376">
        <f>IF('表2-折旧摊销表'!$BA$26+1-'表2-折旧摊销表'!$I$26&gt;='表2-折旧摊销表'!$D$14,$I$62/$D$14,$I$62/('表2-折旧摊销表'!$BA$26+1-'表2-折旧摊销表'!$I$26))</f>
        <v>0</v>
      </c>
      <c r="M67" s="376">
        <f>IF('表2-折旧摊销表'!$BA$26+1-'表2-折旧摊销表'!$I$26&gt;='表2-折旧摊销表'!$D$14,$I$62/$D$14,$I$62/('表2-折旧摊销表'!$BA$26+1-'表2-折旧摊销表'!$I$26))</f>
        <v>0</v>
      </c>
      <c r="N67" s="376"/>
      <c r="O67" s="376"/>
      <c r="P67" s="376"/>
      <c r="Q67" s="376"/>
      <c r="R67" s="376"/>
      <c r="S67" s="376"/>
      <c r="T67" s="376"/>
      <c r="U67" s="376"/>
      <c r="V67" s="376"/>
      <c r="W67" s="376"/>
      <c r="X67" s="376"/>
      <c r="Y67" s="376"/>
      <c r="Z67" s="376"/>
      <c r="AA67" s="376"/>
      <c r="AB67" s="376"/>
      <c r="AC67" s="376"/>
      <c r="AD67" s="376"/>
      <c r="AE67" s="376"/>
      <c r="AF67" s="376"/>
      <c r="AG67" s="376"/>
      <c r="AH67" s="376"/>
      <c r="AI67" s="376"/>
      <c r="AJ67" s="376"/>
      <c r="AK67" s="376"/>
      <c r="AL67" s="376"/>
      <c r="AM67" s="376"/>
      <c r="AN67" s="376"/>
      <c r="AO67" s="376"/>
      <c r="AP67" s="376"/>
      <c r="AQ67" s="376"/>
      <c r="AR67" s="376"/>
      <c r="AS67" s="376"/>
      <c r="AT67" s="376"/>
      <c r="AU67" s="376"/>
      <c r="AV67" s="376"/>
      <c r="AW67" s="376"/>
      <c r="AX67" s="376"/>
      <c r="AY67" s="376"/>
      <c r="AZ67" s="376"/>
      <c r="BA67" s="377"/>
    </row>
    <row r="68" s="307" customFormat="1" ht="14.5" spans="2:53">
      <c r="B68" s="360"/>
      <c r="C68" s="389" t="s">
        <v>78</v>
      </c>
      <c r="D68" s="375">
        <f t="shared" si="38"/>
        <v>0</v>
      </c>
      <c r="E68" s="266" t="s">
        <v>130</v>
      </c>
      <c r="F68" s="376"/>
      <c r="G68" s="376"/>
      <c r="H68" s="376"/>
      <c r="I68" s="376"/>
      <c r="J68" s="376">
        <f>IF('表2-折旧摊销表'!$BA$26+1-'表2-折旧摊销表'!$J$26&gt;='表2-折旧摊销表'!$D$14,$J$62/$D$14,$J$62/('表2-折旧摊销表'!$BA$26+1-'表2-折旧摊销表'!$J$26))</f>
        <v>0</v>
      </c>
      <c r="K68" s="376">
        <f>IF('表2-折旧摊销表'!$BA$26+1-'表2-折旧摊销表'!$J$26&gt;='表2-折旧摊销表'!$D$14,$J$62/$D$14,$J$62/('表2-折旧摊销表'!$BA$26+1-'表2-折旧摊销表'!$J$26))</f>
        <v>0</v>
      </c>
      <c r="L68" s="376">
        <f>IF('表2-折旧摊销表'!$BA$26+1-'表2-折旧摊销表'!$J$26&gt;='表2-折旧摊销表'!$D$14,$J$62/$D$14,$J$62/('表2-折旧摊销表'!$BA$26+1-'表2-折旧摊销表'!$J$26))</f>
        <v>0</v>
      </c>
      <c r="M68" s="376">
        <f>IF('表2-折旧摊销表'!$BA$26+1-'表2-折旧摊销表'!$J$26&gt;='表2-折旧摊销表'!$D$14,$J$62/$D$14,$J$62/('表2-折旧摊销表'!$BA$26+1-'表2-折旧摊销表'!$J$26))</f>
        <v>0</v>
      </c>
      <c r="N68" s="376">
        <f>IF('表2-折旧摊销表'!$BA$26+1-'表2-折旧摊销表'!$J$26&gt;='表2-折旧摊销表'!$D$14,$J$62/$D$14,$J$62/('表2-折旧摊销表'!$BA$26+1-'表2-折旧摊销表'!$J$26))</f>
        <v>0</v>
      </c>
      <c r="O68" s="376"/>
      <c r="P68" s="376"/>
      <c r="Q68" s="376"/>
      <c r="R68" s="376"/>
      <c r="S68" s="376"/>
      <c r="T68" s="376"/>
      <c r="U68" s="376"/>
      <c r="V68" s="376"/>
      <c r="W68" s="376"/>
      <c r="X68" s="376"/>
      <c r="Y68" s="376"/>
      <c r="Z68" s="376"/>
      <c r="AA68" s="376"/>
      <c r="AB68" s="376"/>
      <c r="AC68" s="376"/>
      <c r="AD68" s="376"/>
      <c r="AE68" s="376"/>
      <c r="AF68" s="376"/>
      <c r="AG68" s="376"/>
      <c r="AH68" s="376"/>
      <c r="AI68" s="376"/>
      <c r="AJ68" s="376"/>
      <c r="AK68" s="376"/>
      <c r="AL68" s="376"/>
      <c r="AM68" s="376"/>
      <c r="AN68" s="376"/>
      <c r="AO68" s="376"/>
      <c r="AP68" s="376"/>
      <c r="AQ68" s="376"/>
      <c r="AR68" s="376"/>
      <c r="AS68" s="376"/>
      <c r="AT68" s="376"/>
      <c r="AU68" s="376"/>
      <c r="AV68" s="376"/>
      <c r="AW68" s="376"/>
      <c r="AX68" s="376"/>
      <c r="AY68" s="376"/>
      <c r="AZ68" s="376"/>
      <c r="BA68" s="377"/>
    </row>
    <row r="69" s="307" customFormat="1" ht="14.5" spans="2:53">
      <c r="B69" s="360"/>
      <c r="C69" s="389" t="s">
        <v>79</v>
      </c>
      <c r="D69" s="375">
        <f t="shared" si="38"/>
        <v>0</v>
      </c>
      <c r="E69" s="266" t="s">
        <v>130</v>
      </c>
      <c r="F69" s="376"/>
      <c r="G69" s="376"/>
      <c r="H69" s="376"/>
      <c r="I69" s="376"/>
      <c r="J69" s="376"/>
      <c r="K69" s="376">
        <f>IF('表2-折旧摊销表'!$BA$26+1-'表2-折旧摊销表'!$K$26&gt;='表2-折旧摊销表'!$D$14,$K$62/$D$14,$K$62/('表2-折旧摊销表'!$BA$26+1-'表2-折旧摊销表'!$K$26))</f>
        <v>0</v>
      </c>
      <c r="L69" s="376">
        <f>IF('表2-折旧摊销表'!$BA$26+1-'表2-折旧摊销表'!$K$26&gt;='表2-折旧摊销表'!$D$14,$K$62/$D$14,$K$62/('表2-折旧摊销表'!$BA$26+1-'表2-折旧摊销表'!$K$26))</f>
        <v>0</v>
      </c>
      <c r="M69" s="376">
        <f>IF('表2-折旧摊销表'!$BA$26+1-'表2-折旧摊销表'!$K$26&gt;='表2-折旧摊销表'!$D$14,$K$62/$D$14,$K$62/('表2-折旧摊销表'!$BA$26+1-'表2-折旧摊销表'!$K$26))</f>
        <v>0</v>
      </c>
      <c r="N69" s="376">
        <f>IF('表2-折旧摊销表'!$BA$26+1-'表2-折旧摊销表'!$K$26&gt;='表2-折旧摊销表'!$D$14,$K$62/$D$14,$K$62/('表2-折旧摊销表'!$BA$26+1-'表2-折旧摊销表'!$K$26))</f>
        <v>0</v>
      </c>
      <c r="O69" s="376">
        <f>IF('表2-折旧摊销表'!$BA$26+1-'表2-折旧摊销表'!$K$26&gt;='表2-折旧摊销表'!$D$14,$K$62/$D$14,$K$62/('表2-折旧摊销表'!$BA$26+1-'表2-折旧摊销表'!$K$26))</f>
        <v>0</v>
      </c>
      <c r="P69" s="376"/>
      <c r="Q69" s="376"/>
      <c r="R69" s="376"/>
      <c r="S69" s="376"/>
      <c r="T69" s="376"/>
      <c r="U69" s="376"/>
      <c r="V69" s="376"/>
      <c r="W69" s="376"/>
      <c r="X69" s="376"/>
      <c r="Y69" s="376"/>
      <c r="Z69" s="376"/>
      <c r="AA69" s="376"/>
      <c r="AB69" s="376"/>
      <c r="AC69" s="376"/>
      <c r="AD69" s="376"/>
      <c r="AE69" s="376"/>
      <c r="AF69" s="376"/>
      <c r="AG69" s="376"/>
      <c r="AH69" s="376"/>
      <c r="AI69" s="376"/>
      <c r="AJ69" s="376"/>
      <c r="AK69" s="376"/>
      <c r="AL69" s="376"/>
      <c r="AM69" s="376"/>
      <c r="AN69" s="376"/>
      <c r="AO69" s="376"/>
      <c r="AP69" s="376"/>
      <c r="AQ69" s="376"/>
      <c r="AR69" s="376"/>
      <c r="AS69" s="376"/>
      <c r="AT69" s="376"/>
      <c r="AU69" s="376"/>
      <c r="AV69" s="376"/>
      <c r="AW69" s="376"/>
      <c r="AX69" s="376"/>
      <c r="AY69" s="376"/>
      <c r="AZ69" s="376"/>
      <c r="BA69" s="377"/>
    </row>
    <row r="70" s="307" customFormat="1" ht="14.5" spans="2:53">
      <c r="B70" s="360"/>
      <c r="C70" s="389" t="s">
        <v>80</v>
      </c>
      <c r="D70" s="375">
        <f t="shared" si="38"/>
        <v>0</v>
      </c>
      <c r="E70" s="266" t="s">
        <v>130</v>
      </c>
      <c r="F70" s="376"/>
      <c r="G70" s="376"/>
      <c r="H70" s="376"/>
      <c r="I70" s="376"/>
      <c r="J70" s="376"/>
      <c r="K70" s="376"/>
      <c r="L70" s="376">
        <f>IF('表2-折旧摊销表'!$BA$26+1-'表2-折旧摊销表'!$L$26&gt;='表2-折旧摊销表'!$D$14,$L$62/$D$14,$L$62/('表2-折旧摊销表'!$BA$26+1-'表2-折旧摊销表'!$L$26))</f>
        <v>0</v>
      </c>
      <c r="M70" s="376">
        <f>IF('表2-折旧摊销表'!$BA$26+1-'表2-折旧摊销表'!$L$26&gt;='表2-折旧摊销表'!$D$14,$L$62/$D$14,$L$62/('表2-折旧摊销表'!$BA$26+1-'表2-折旧摊销表'!$L$26))</f>
        <v>0</v>
      </c>
      <c r="N70" s="376">
        <f>IF('表2-折旧摊销表'!$BA$26+1-'表2-折旧摊销表'!$L$26&gt;='表2-折旧摊销表'!$D$14,$L$62/$D$14,$L$62/('表2-折旧摊销表'!$BA$26+1-'表2-折旧摊销表'!$L$26))</f>
        <v>0</v>
      </c>
      <c r="O70" s="376">
        <f>IF('表2-折旧摊销表'!$BA$26+1-'表2-折旧摊销表'!$L$26&gt;='表2-折旧摊销表'!$D$14,$L$62/$D$14,$L$62/('表2-折旧摊销表'!$BA$26+1-'表2-折旧摊销表'!$L$26))</f>
        <v>0</v>
      </c>
      <c r="P70" s="376">
        <f>IF('表2-折旧摊销表'!$BA$26+1-'表2-折旧摊销表'!$L$26&gt;='表2-折旧摊销表'!$D$14,$L$62/$D$14,$L$62/('表2-折旧摊销表'!$BA$26+1-'表2-折旧摊销表'!$L$26))</f>
        <v>0</v>
      </c>
      <c r="Q70" s="376"/>
      <c r="R70" s="376"/>
      <c r="S70" s="376"/>
      <c r="T70" s="376"/>
      <c r="U70" s="376"/>
      <c r="V70" s="376"/>
      <c r="W70" s="376"/>
      <c r="X70" s="376"/>
      <c r="Y70" s="376"/>
      <c r="Z70" s="376"/>
      <c r="AA70" s="376"/>
      <c r="AB70" s="376"/>
      <c r="AC70" s="376"/>
      <c r="AD70" s="376"/>
      <c r="AE70" s="376"/>
      <c r="AF70" s="376"/>
      <c r="AG70" s="376"/>
      <c r="AH70" s="376"/>
      <c r="AI70" s="376"/>
      <c r="AJ70" s="376"/>
      <c r="AK70" s="376"/>
      <c r="AL70" s="376"/>
      <c r="AM70" s="376"/>
      <c r="AN70" s="376"/>
      <c r="AO70" s="376"/>
      <c r="AP70" s="376"/>
      <c r="AQ70" s="376"/>
      <c r="AR70" s="376"/>
      <c r="AS70" s="376"/>
      <c r="AT70" s="376"/>
      <c r="AU70" s="376"/>
      <c r="AV70" s="376"/>
      <c r="AW70" s="376"/>
      <c r="AX70" s="376"/>
      <c r="AY70" s="376"/>
      <c r="AZ70" s="376"/>
      <c r="BA70" s="377"/>
    </row>
    <row r="71" s="307" customFormat="1" ht="14.5" spans="2:53">
      <c r="B71" s="360"/>
      <c r="C71" s="389" t="s">
        <v>81</v>
      </c>
      <c r="D71" s="375">
        <f t="shared" si="38"/>
        <v>0</v>
      </c>
      <c r="E71" s="266" t="s">
        <v>130</v>
      </c>
      <c r="F71" s="376"/>
      <c r="G71" s="376"/>
      <c r="H71" s="376"/>
      <c r="I71" s="376"/>
      <c r="J71" s="376"/>
      <c r="K71" s="376"/>
      <c r="L71" s="376"/>
      <c r="M71" s="376">
        <f>IF('表2-折旧摊销表'!$BA$26+1-'表2-折旧摊销表'!$M$26&gt;='表2-折旧摊销表'!$D$14,$M$62/$D$14,$M$62/('表2-折旧摊销表'!$BA$26+1-'表2-折旧摊销表'!$M$26))</f>
        <v>0</v>
      </c>
      <c r="N71" s="376">
        <f>IF('表2-折旧摊销表'!$BA$26+1-'表2-折旧摊销表'!$M$26&gt;='表2-折旧摊销表'!$D$14,$M$62/$D$14,$M$62/('表2-折旧摊销表'!$BA$26+1-'表2-折旧摊销表'!$M$26))</f>
        <v>0</v>
      </c>
      <c r="O71" s="376">
        <f>IF('表2-折旧摊销表'!$BA$26+1-'表2-折旧摊销表'!$M$26&gt;='表2-折旧摊销表'!$D$14,$M$62/$D$14,$M$62/('表2-折旧摊销表'!$BA$26+1-'表2-折旧摊销表'!$M$26))</f>
        <v>0</v>
      </c>
      <c r="P71" s="376">
        <f>IF('表2-折旧摊销表'!$BA$26+1-'表2-折旧摊销表'!$M$26&gt;='表2-折旧摊销表'!$D$14,$M$62/$D$14,$M$62/('表2-折旧摊销表'!$BA$26+1-'表2-折旧摊销表'!$M$26))</f>
        <v>0</v>
      </c>
      <c r="Q71" s="376">
        <f>IF('表2-折旧摊销表'!$BA$26+1-'表2-折旧摊销表'!$M$26&gt;='表2-折旧摊销表'!$D$14,$M$62/$D$14,$M$62/('表2-折旧摊销表'!$BA$26+1-'表2-折旧摊销表'!$M$26))</f>
        <v>0</v>
      </c>
      <c r="R71" s="376"/>
      <c r="S71" s="376"/>
      <c r="T71" s="376"/>
      <c r="U71" s="376"/>
      <c r="V71" s="376"/>
      <c r="W71" s="376"/>
      <c r="X71" s="376"/>
      <c r="Y71" s="376"/>
      <c r="Z71" s="376"/>
      <c r="AA71" s="376"/>
      <c r="AB71" s="376"/>
      <c r="AC71" s="376"/>
      <c r="AD71" s="376"/>
      <c r="AE71" s="376"/>
      <c r="AF71" s="376"/>
      <c r="AG71" s="376"/>
      <c r="AH71" s="376"/>
      <c r="AI71" s="376"/>
      <c r="AJ71" s="376"/>
      <c r="AK71" s="376"/>
      <c r="AL71" s="376"/>
      <c r="AM71" s="376"/>
      <c r="AN71" s="376"/>
      <c r="AO71" s="376"/>
      <c r="AP71" s="376"/>
      <c r="AQ71" s="376"/>
      <c r="AR71" s="376"/>
      <c r="AS71" s="376"/>
      <c r="AT71" s="376"/>
      <c r="AU71" s="376"/>
      <c r="AV71" s="376"/>
      <c r="AW71" s="376"/>
      <c r="AX71" s="376"/>
      <c r="AY71" s="376"/>
      <c r="AZ71" s="376"/>
      <c r="BA71" s="377"/>
    </row>
    <row r="72" s="307" customFormat="1" ht="14.5" spans="2:53">
      <c r="B72" s="360"/>
      <c r="C72" s="389" t="s">
        <v>82</v>
      </c>
      <c r="D72" s="375">
        <f t="shared" si="38"/>
        <v>458.715596330275</v>
      </c>
      <c r="E72" s="266" t="s">
        <v>130</v>
      </c>
      <c r="F72" s="376"/>
      <c r="G72" s="376"/>
      <c r="H72" s="376"/>
      <c r="I72" s="376"/>
      <c r="J72" s="376"/>
      <c r="K72" s="376"/>
      <c r="L72" s="376"/>
      <c r="M72" s="376"/>
      <c r="N72" s="376">
        <f>IF('表2-折旧摊销表'!$BA$26+1-'表2-折旧摊销表'!$N$26&gt;='表2-折旧摊销表'!$D$14,$N$62/$D$14,$N$62/('表2-折旧摊销表'!$BA$26+1-'表2-折旧摊销表'!$N$26))</f>
        <v>91.743119266055</v>
      </c>
      <c r="O72" s="376">
        <f>IF('表2-折旧摊销表'!$BA$26+1-'表2-折旧摊销表'!$N$26&gt;='表2-折旧摊销表'!$D$14,$N$62/$D$14,$N$62/('表2-折旧摊销表'!$BA$26+1-'表2-折旧摊销表'!$N$26))</f>
        <v>91.743119266055</v>
      </c>
      <c r="P72" s="376">
        <f>IF('表2-折旧摊销表'!$BA$26+1-'表2-折旧摊销表'!$N$26&gt;='表2-折旧摊销表'!$D$14,$N$62/$D$14,$N$62/('表2-折旧摊销表'!$BA$26+1-'表2-折旧摊销表'!$N$26))</f>
        <v>91.743119266055</v>
      </c>
      <c r="Q72" s="376">
        <f>IF('表2-折旧摊销表'!$BA$26+1-'表2-折旧摊销表'!$N$26&gt;='表2-折旧摊销表'!$D$14,$N$62/$D$14,$N$62/('表2-折旧摊销表'!$BA$26+1-'表2-折旧摊销表'!$N$26))</f>
        <v>91.743119266055</v>
      </c>
      <c r="R72" s="376">
        <f>IF('表2-折旧摊销表'!$BA$26+1-'表2-折旧摊销表'!$N$26&gt;='表2-折旧摊销表'!$D$14,$N$62/$D$14,$N$62/('表2-折旧摊销表'!$BA$26+1-'表2-折旧摊销表'!$N$26))</f>
        <v>91.743119266055</v>
      </c>
      <c r="S72" s="376"/>
      <c r="T72" s="376"/>
      <c r="U72" s="376"/>
      <c r="V72" s="376"/>
      <c r="W72" s="376"/>
      <c r="X72" s="376"/>
      <c r="Y72" s="376"/>
      <c r="Z72" s="376"/>
      <c r="AA72" s="376"/>
      <c r="AB72" s="376"/>
      <c r="AC72" s="376"/>
      <c r="AD72" s="376"/>
      <c r="AE72" s="376"/>
      <c r="AF72" s="376"/>
      <c r="AG72" s="376"/>
      <c r="AH72" s="376"/>
      <c r="AI72" s="376"/>
      <c r="AJ72" s="376"/>
      <c r="AK72" s="376"/>
      <c r="AL72" s="376"/>
      <c r="AM72" s="376"/>
      <c r="AN72" s="376"/>
      <c r="AO72" s="376"/>
      <c r="AP72" s="376"/>
      <c r="AQ72" s="376"/>
      <c r="AR72" s="376"/>
      <c r="AS72" s="376"/>
      <c r="AT72" s="376"/>
      <c r="AU72" s="376"/>
      <c r="AV72" s="376"/>
      <c r="AW72" s="376"/>
      <c r="AX72" s="376"/>
      <c r="AY72" s="376"/>
      <c r="AZ72" s="376"/>
      <c r="BA72" s="377"/>
    </row>
    <row r="73" s="307" customFormat="1" ht="14.5" spans="2:53">
      <c r="B73" s="360"/>
      <c r="C73" s="389" t="s">
        <v>83</v>
      </c>
      <c r="D73" s="375">
        <f t="shared" si="38"/>
        <v>0</v>
      </c>
      <c r="E73" s="266" t="s">
        <v>130</v>
      </c>
      <c r="F73" s="376"/>
      <c r="G73" s="376"/>
      <c r="H73" s="376"/>
      <c r="I73" s="376"/>
      <c r="J73" s="376"/>
      <c r="K73" s="376"/>
      <c r="L73" s="376"/>
      <c r="M73" s="376"/>
      <c r="N73" s="376"/>
      <c r="O73" s="376">
        <f>IF('表2-折旧摊销表'!$BA$26+1-'表2-折旧摊销表'!$O$26&gt;='表2-折旧摊销表'!$D$14,$O$62/$D$14,$O$62/('表2-折旧摊销表'!$BA$26+1-'表2-折旧摊销表'!$O$26))</f>
        <v>0</v>
      </c>
      <c r="P73" s="376">
        <f>IF('表2-折旧摊销表'!$BA$26+1-'表2-折旧摊销表'!$O$26&gt;='表2-折旧摊销表'!$D$14,$O$62/$D$14,$O$62/('表2-折旧摊销表'!$BA$26+1-'表2-折旧摊销表'!$O$26))</f>
        <v>0</v>
      </c>
      <c r="Q73" s="376">
        <f>IF('表2-折旧摊销表'!$BA$26+1-'表2-折旧摊销表'!$O$26&gt;='表2-折旧摊销表'!$D$14,$O$62/$D$14,$O$62/('表2-折旧摊销表'!$BA$26+1-'表2-折旧摊销表'!$O$26))</f>
        <v>0</v>
      </c>
      <c r="R73" s="376">
        <f>IF('表2-折旧摊销表'!$BA$26+1-'表2-折旧摊销表'!$O$26&gt;='表2-折旧摊销表'!$D$14,$O$62/$D$14,$O$62/('表2-折旧摊销表'!$BA$26+1-'表2-折旧摊销表'!$O$26))</f>
        <v>0</v>
      </c>
      <c r="S73" s="376">
        <f>IF('表2-折旧摊销表'!$BA$26+1-'表2-折旧摊销表'!$O$26&gt;='表2-折旧摊销表'!$D$14,$O$62/$D$14,$O$62/('表2-折旧摊销表'!$BA$26+1-'表2-折旧摊销表'!$O$26))</f>
        <v>0</v>
      </c>
      <c r="T73" s="376"/>
      <c r="U73" s="376"/>
      <c r="V73" s="376"/>
      <c r="W73" s="376"/>
      <c r="X73" s="376"/>
      <c r="Y73" s="376"/>
      <c r="Z73" s="376"/>
      <c r="AA73" s="376"/>
      <c r="AB73" s="376"/>
      <c r="AC73" s="376"/>
      <c r="AD73" s="376"/>
      <c r="AE73" s="376"/>
      <c r="AF73" s="376"/>
      <c r="AG73" s="376"/>
      <c r="AH73" s="376"/>
      <c r="AI73" s="376"/>
      <c r="AJ73" s="376"/>
      <c r="AK73" s="376"/>
      <c r="AL73" s="376"/>
      <c r="AM73" s="376"/>
      <c r="AN73" s="376"/>
      <c r="AO73" s="376"/>
      <c r="AP73" s="376"/>
      <c r="AQ73" s="376"/>
      <c r="AR73" s="376"/>
      <c r="AS73" s="376"/>
      <c r="AT73" s="376"/>
      <c r="AU73" s="376"/>
      <c r="AV73" s="376"/>
      <c r="AW73" s="376"/>
      <c r="AX73" s="376"/>
      <c r="AY73" s="376"/>
      <c r="AZ73" s="376"/>
      <c r="BA73" s="377"/>
    </row>
    <row r="74" s="307" customFormat="1" ht="14.5" spans="2:53">
      <c r="B74" s="360"/>
      <c r="C74" s="389" t="s">
        <v>84</v>
      </c>
      <c r="D74" s="375">
        <f t="shared" si="38"/>
        <v>0</v>
      </c>
      <c r="E74" s="266" t="s">
        <v>130</v>
      </c>
      <c r="F74" s="376"/>
      <c r="G74" s="376"/>
      <c r="H74" s="376"/>
      <c r="I74" s="376"/>
      <c r="J74" s="376"/>
      <c r="K74" s="376"/>
      <c r="L74" s="376"/>
      <c r="M74" s="376"/>
      <c r="N74" s="376"/>
      <c r="O74" s="376"/>
      <c r="P74" s="376">
        <f>IF('表2-折旧摊销表'!$BA$26+1-'表2-折旧摊销表'!$P$26&gt;='表2-折旧摊销表'!$D$14,$P$62/$D$14,$P$62/('表2-折旧摊销表'!$BA$26+1-'表2-折旧摊销表'!$P$26))</f>
        <v>0</v>
      </c>
      <c r="Q74" s="376">
        <f>IF('表2-折旧摊销表'!$BA$26+1-'表2-折旧摊销表'!$P$26&gt;='表2-折旧摊销表'!$D$14,$P$62/$D$14,$P$62/('表2-折旧摊销表'!$BA$26+1-'表2-折旧摊销表'!$P$26))</f>
        <v>0</v>
      </c>
      <c r="R74" s="376">
        <f>IF('表2-折旧摊销表'!$BA$26+1-'表2-折旧摊销表'!$P$26&gt;='表2-折旧摊销表'!$D$14,$P$62/$D$14,$P$62/('表2-折旧摊销表'!$BA$26+1-'表2-折旧摊销表'!$P$26))</f>
        <v>0</v>
      </c>
      <c r="S74" s="376">
        <f>IF('表2-折旧摊销表'!$BA$26+1-'表2-折旧摊销表'!$P$26&gt;='表2-折旧摊销表'!$D$14,$P$62/$D$14,$P$62/('表2-折旧摊销表'!$BA$26+1-'表2-折旧摊销表'!$P$26))</f>
        <v>0</v>
      </c>
      <c r="T74" s="376">
        <f>IF('表2-折旧摊销表'!$BA$26+1-'表2-折旧摊销表'!$P$26&gt;='表2-折旧摊销表'!$D$14,$P$62/$D$14,$P$62/('表2-折旧摊销表'!$BA$26+1-'表2-折旧摊销表'!$P$26))</f>
        <v>0</v>
      </c>
      <c r="U74" s="376"/>
      <c r="V74" s="376"/>
      <c r="W74" s="376"/>
      <c r="X74" s="376"/>
      <c r="Y74" s="376"/>
      <c r="Z74" s="376"/>
      <c r="AA74" s="376"/>
      <c r="AB74" s="376"/>
      <c r="AC74" s="376"/>
      <c r="AD74" s="376"/>
      <c r="AE74" s="376"/>
      <c r="AF74" s="376"/>
      <c r="AG74" s="376"/>
      <c r="AH74" s="376"/>
      <c r="AI74" s="376"/>
      <c r="AJ74" s="376"/>
      <c r="AK74" s="376"/>
      <c r="AL74" s="376"/>
      <c r="AM74" s="376"/>
      <c r="AN74" s="376"/>
      <c r="AO74" s="376"/>
      <c r="AP74" s="376"/>
      <c r="AQ74" s="376"/>
      <c r="AR74" s="376"/>
      <c r="AS74" s="376"/>
      <c r="AT74" s="376"/>
      <c r="AU74" s="376"/>
      <c r="AV74" s="376"/>
      <c r="AW74" s="376"/>
      <c r="AX74" s="376"/>
      <c r="AY74" s="376"/>
      <c r="AZ74" s="376"/>
      <c r="BA74" s="377"/>
    </row>
    <row r="75" s="307" customFormat="1" ht="14.5" spans="2:53">
      <c r="B75" s="360"/>
      <c r="C75" s="389" t="s">
        <v>85</v>
      </c>
      <c r="D75" s="375">
        <f t="shared" si="38"/>
        <v>0</v>
      </c>
      <c r="E75" s="266" t="s">
        <v>130</v>
      </c>
      <c r="F75" s="376"/>
      <c r="G75" s="376"/>
      <c r="H75" s="376"/>
      <c r="I75" s="376"/>
      <c r="J75" s="376"/>
      <c r="K75" s="376"/>
      <c r="L75" s="376"/>
      <c r="M75" s="376"/>
      <c r="N75" s="376"/>
      <c r="O75" s="376"/>
      <c r="P75" s="376"/>
      <c r="Q75" s="376">
        <f>IF('表2-折旧摊销表'!$BA$26+1-'表2-折旧摊销表'!$Q$26&gt;='表2-折旧摊销表'!$D$14,$Q$62/$D$14,$Q$62/('表2-折旧摊销表'!$BA$26+1-'表2-折旧摊销表'!$Q$26))</f>
        <v>0</v>
      </c>
      <c r="R75" s="376">
        <f>IF('表2-折旧摊销表'!$BA$26+1-'表2-折旧摊销表'!$Q$26&gt;='表2-折旧摊销表'!$D$14,$Q$62/$D$14,$Q$62/('表2-折旧摊销表'!$BA$26+1-'表2-折旧摊销表'!$Q$26))</f>
        <v>0</v>
      </c>
      <c r="S75" s="376">
        <f>IF('表2-折旧摊销表'!$BA$26+1-'表2-折旧摊销表'!$Q$26&gt;='表2-折旧摊销表'!$D$14,$Q$62/$D$14,$Q$62/('表2-折旧摊销表'!$BA$26+1-'表2-折旧摊销表'!$Q$26))</f>
        <v>0</v>
      </c>
      <c r="T75" s="376">
        <f>IF('表2-折旧摊销表'!$BA$26+1-'表2-折旧摊销表'!$Q$26&gt;='表2-折旧摊销表'!$D$14,$Q$62/$D$14,$Q$62/('表2-折旧摊销表'!$BA$26+1-'表2-折旧摊销表'!$Q$26))</f>
        <v>0</v>
      </c>
      <c r="U75" s="376">
        <f>IF('表2-折旧摊销表'!$BA$26+1-'表2-折旧摊销表'!$Q$26&gt;='表2-折旧摊销表'!$D$14,$Q$62/$D$14,$Q$62/('表2-折旧摊销表'!$BA$26+1-'表2-折旧摊销表'!$Q$26))</f>
        <v>0</v>
      </c>
      <c r="V75" s="376"/>
      <c r="W75" s="376"/>
      <c r="X75" s="376"/>
      <c r="Y75" s="376"/>
      <c r="Z75" s="376"/>
      <c r="AA75" s="376"/>
      <c r="AB75" s="376"/>
      <c r="AC75" s="376"/>
      <c r="AD75" s="376"/>
      <c r="AE75" s="376"/>
      <c r="AF75" s="376"/>
      <c r="AG75" s="376"/>
      <c r="AH75" s="376"/>
      <c r="AI75" s="376"/>
      <c r="AJ75" s="376"/>
      <c r="AK75" s="376"/>
      <c r="AL75" s="376"/>
      <c r="AM75" s="376"/>
      <c r="AN75" s="376"/>
      <c r="AO75" s="376"/>
      <c r="AP75" s="376"/>
      <c r="AQ75" s="376"/>
      <c r="AR75" s="376"/>
      <c r="AS75" s="376"/>
      <c r="AT75" s="376"/>
      <c r="AU75" s="376"/>
      <c r="AV75" s="376"/>
      <c r="AW75" s="376"/>
      <c r="AX75" s="376"/>
      <c r="AY75" s="376"/>
      <c r="AZ75" s="376"/>
      <c r="BA75" s="377"/>
    </row>
    <row r="76" s="307" customFormat="1" ht="14.5" spans="2:53">
      <c r="B76" s="360"/>
      <c r="C76" s="389" t="s">
        <v>86</v>
      </c>
      <c r="D76" s="375">
        <f t="shared" si="38"/>
        <v>0</v>
      </c>
      <c r="E76" s="266" t="s">
        <v>130</v>
      </c>
      <c r="F76" s="376"/>
      <c r="G76" s="376"/>
      <c r="H76" s="376"/>
      <c r="I76" s="376"/>
      <c r="J76" s="376"/>
      <c r="K76" s="376"/>
      <c r="L76" s="376"/>
      <c r="M76" s="376"/>
      <c r="N76" s="376"/>
      <c r="O76" s="376"/>
      <c r="P76" s="376"/>
      <c r="Q76" s="376"/>
      <c r="R76" s="376">
        <f>IF('表2-折旧摊销表'!$BA$26+1-'表2-折旧摊销表'!$R$26&gt;='表2-折旧摊销表'!$D$14,$R$62/$D$14,$R$62/('表2-折旧摊销表'!$BA$26+1-'表2-折旧摊销表'!$R$26))</f>
        <v>0</v>
      </c>
      <c r="S76" s="376">
        <f>IF('表2-折旧摊销表'!$BA$26+1-'表2-折旧摊销表'!$R$26&gt;='表2-折旧摊销表'!$D$14,$R$62/$D$14,$R$62/('表2-折旧摊销表'!$BA$26+1-'表2-折旧摊销表'!$R$26))</f>
        <v>0</v>
      </c>
      <c r="T76" s="376">
        <f>IF('表2-折旧摊销表'!$BA$26+1-'表2-折旧摊销表'!$R$26&gt;='表2-折旧摊销表'!$D$14,$R$62/$D$14,$R$62/('表2-折旧摊销表'!$BA$26+1-'表2-折旧摊销表'!$R$26))</f>
        <v>0</v>
      </c>
      <c r="U76" s="376">
        <f>IF('表2-折旧摊销表'!$BA$26+1-'表2-折旧摊销表'!$R$26&gt;='表2-折旧摊销表'!$D$14,$R$62/$D$14,$R$62/('表2-折旧摊销表'!$BA$26+1-'表2-折旧摊销表'!$R$26))</f>
        <v>0</v>
      </c>
      <c r="V76" s="376">
        <f>IF('表2-折旧摊销表'!$BA$26+1-'表2-折旧摊销表'!$R$26&gt;='表2-折旧摊销表'!$D$14,$R$62/$D$14,$R$62/('表2-折旧摊销表'!$BA$26+1-'表2-折旧摊销表'!$R$26))</f>
        <v>0</v>
      </c>
      <c r="W76" s="376"/>
      <c r="X76" s="376"/>
      <c r="Y76" s="376"/>
      <c r="Z76" s="376"/>
      <c r="AA76" s="376"/>
      <c r="AB76" s="376"/>
      <c r="AC76" s="376"/>
      <c r="AD76" s="376"/>
      <c r="AE76" s="376"/>
      <c r="AF76" s="376"/>
      <c r="AG76" s="376"/>
      <c r="AH76" s="376"/>
      <c r="AI76" s="376"/>
      <c r="AJ76" s="376"/>
      <c r="AK76" s="376"/>
      <c r="AL76" s="376"/>
      <c r="AM76" s="376"/>
      <c r="AN76" s="376"/>
      <c r="AO76" s="376"/>
      <c r="AP76" s="376"/>
      <c r="AQ76" s="376"/>
      <c r="AR76" s="376"/>
      <c r="AS76" s="376"/>
      <c r="AT76" s="376"/>
      <c r="AU76" s="376"/>
      <c r="AV76" s="376"/>
      <c r="AW76" s="376"/>
      <c r="AX76" s="376"/>
      <c r="AY76" s="376"/>
      <c r="AZ76" s="376"/>
      <c r="BA76" s="377"/>
    </row>
    <row r="77" s="307" customFormat="1" ht="14.5" spans="2:53">
      <c r="B77" s="360"/>
      <c r="C77" s="389" t="s">
        <v>87</v>
      </c>
      <c r="D77" s="375">
        <f t="shared" si="38"/>
        <v>458.715596330275</v>
      </c>
      <c r="E77" s="266" t="s">
        <v>130</v>
      </c>
      <c r="F77" s="376"/>
      <c r="G77" s="376"/>
      <c r="H77" s="376"/>
      <c r="I77" s="376"/>
      <c r="J77" s="376"/>
      <c r="K77" s="376"/>
      <c r="L77" s="376"/>
      <c r="M77" s="376"/>
      <c r="N77" s="376"/>
      <c r="O77" s="376"/>
      <c r="P77" s="376"/>
      <c r="Q77" s="376"/>
      <c r="R77" s="376"/>
      <c r="S77" s="376">
        <f>IF('表2-折旧摊销表'!$BA$26+1-'表2-折旧摊销表'!$S$26&gt;='表2-折旧摊销表'!$D$14,$S$62/$D$14,$S$62/('表2-折旧摊销表'!$BA$26+1-'表2-折旧摊销表'!$S$26))</f>
        <v>91.743119266055</v>
      </c>
      <c r="T77" s="376">
        <f>IF('表2-折旧摊销表'!$BA$26+1-'表2-折旧摊销表'!$S$26&gt;='表2-折旧摊销表'!$D$14,$S$62/$D$14,$S$62/('表2-折旧摊销表'!$BA$26+1-'表2-折旧摊销表'!$S$26))</f>
        <v>91.743119266055</v>
      </c>
      <c r="U77" s="376">
        <f>IF('表2-折旧摊销表'!$BA$26+1-'表2-折旧摊销表'!$S$26&gt;='表2-折旧摊销表'!$D$14,$S$62/$D$14,$S$62/('表2-折旧摊销表'!$BA$26+1-'表2-折旧摊销表'!$S$26))</f>
        <v>91.743119266055</v>
      </c>
      <c r="V77" s="376">
        <f>IF('表2-折旧摊销表'!$BA$26+1-'表2-折旧摊销表'!$S$26&gt;='表2-折旧摊销表'!$D$14,$S$62/$D$14,$S$62/('表2-折旧摊销表'!$BA$26+1-'表2-折旧摊销表'!$S$26))</f>
        <v>91.743119266055</v>
      </c>
      <c r="W77" s="376">
        <f>IF('表2-折旧摊销表'!$BA$26+1-'表2-折旧摊销表'!$S$26&gt;='表2-折旧摊销表'!$D$14,$S$62/$D$14,$S$62/('表2-折旧摊销表'!$BA$26+1-'表2-折旧摊销表'!$S$26))</f>
        <v>91.743119266055</v>
      </c>
      <c r="X77" s="376"/>
      <c r="Y77" s="376"/>
      <c r="Z77" s="376"/>
      <c r="AA77" s="376"/>
      <c r="AB77" s="376"/>
      <c r="AC77" s="376"/>
      <c r="AD77" s="376"/>
      <c r="AE77" s="376"/>
      <c r="AF77" s="376"/>
      <c r="AG77" s="376"/>
      <c r="AH77" s="376"/>
      <c r="AI77" s="376"/>
      <c r="AJ77" s="376"/>
      <c r="AK77" s="376"/>
      <c r="AL77" s="376"/>
      <c r="AM77" s="376"/>
      <c r="AN77" s="376"/>
      <c r="AO77" s="376"/>
      <c r="AP77" s="376"/>
      <c r="AQ77" s="376"/>
      <c r="AR77" s="376"/>
      <c r="AS77" s="376"/>
      <c r="AT77" s="376"/>
      <c r="AU77" s="376"/>
      <c r="AV77" s="376"/>
      <c r="AW77" s="376"/>
      <c r="AX77" s="376"/>
      <c r="AY77" s="376"/>
      <c r="AZ77" s="376"/>
      <c r="BA77" s="377"/>
    </row>
    <row r="78" s="307" customFormat="1" ht="14.5" spans="2:53">
      <c r="B78" s="360"/>
      <c r="C78" s="389" t="s">
        <v>88</v>
      </c>
      <c r="D78" s="375">
        <f t="shared" si="38"/>
        <v>0</v>
      </c>
      <c r="E78" s="266" t="s">
        <v>130</v>
      </c>
      <c r="F78" s="376"/>
      <c r="G78" s="376"/>
      <c r="H78" s="376"/>
      <c r="I78" s="376"/>
      <c r="J78" s="376"/>
      <c r="K78" s="376"/>
      <c r="L78" s="376"/>
      <c r="M78" s="376"/>
      <c r="N78" s="376"/>
      <c r="O78" s="376"/>
      <c r="P78" s="376"/>
      <c r="Q78" s="376"/>
      <c r="R78" s="376"/>
      <c r="S78" s="376"/>
      <c r="T78" s="376">
        <f>IF('表2-折旧摊销表'!$BA$26+1-'表2-折旧摊销表'!$T$26&gt;='表2-折旧摊销表'!$D$14,$T$62/$D$14,$T$62/('表2-折旧摊销表'!$BA$26+1-'表2-折旧摊销表'!$T$26))</f>
        <v>0</v>
      </c>
      <c r="U78" s="376">
        <f>IF('表2-折旧摊销表'!$BA$26+1-'表2-折旧摊销表'!$T$26&gt;='表2-折旧摊销表'!$D$14,$T$62/$D$14,$T$62/('表2-折旧摊销表'!$BA$26+1-'表2-折旧摊销表'!$T$26))</f>
        <v>0</v>
      </c>
      <c r="V78" s="376">
        <f>IF('表2-折旧摊销表'!$BA$26+1-'表2-折旧摊销表'!$T$26&gt;='表2-折旧摊销表'!$D$14,$T$62/$D$14,$T$62/('表2-折旧摊销表'!$BA$26+1-'表2-折旧摊销表'!$T$26))</f>
        <v>0</v>
      </c>
      <c r="W78" s="376">
        <f>IF('表2-折旧摊销表'!$BA$26+1-'表2-折旧摊销表'!$T$26&gt;='表2-折旧摊销表'!$D$14,$T$62/$D$14,$T$62/('表2-折旧摊销表'!$BA$26+1-'表2-折旧摊销表'!$T$26))</f>
        <v>0</v>
      </c>
      <c r="X78" s="376">
        <f>IF('表2-折旧摊销表'!$BA$26+1-'表2-折旧摊销表'!$T$26&gt;='表2-折旧摊销表'!$D$14,$T$62/$D$14,$T$62/('表2-折旧摊销表'!$BA$26+1-'表2-折旧摊销表'!$T$26))</f>
        <v>0</v>
      </c>
      <c r="Y78" s="376"/>
      <c r="Z78" s="376"/>
      <c r="AA78" s="376"/>
      <c r="AB78" s="376"/>
      <c r="AC78" s="376"/>
      <c r="AD78" s="376"/>
      <c r="AE78" s="376"/>
      <c r="AF78" s="376"/>
      <c r="AG78" s="376"/>
      <c r="AH78" s="376"/>
      <c r="AI78" s="376"/>
      <c r="AJ78" s="376"/>
      <c r="AK78" s="376"/>
      <c r="AL78" s="376"/>
      <c r="AM78" s="376"/>
      <c r="AN78" s="376"/>
      <c r="AO78" s="376"/>
      <c r="AP78" s="376"/>
      <c r="AQ78" s="376"/>
      <c r="AR78" s="376"/>
      <c r="AS78" s="376"/>
      <c r="AT78" s="376"/>
      <c r="AU78" s="376"/>
      <c r="AV78" s="376"/>
      <c r="AW78" s="376"/>
      <c r="AX78" s="376"/>
      <c r="AY78" s="376"/>
      <c r="AZ78" s="376"/>
      <c r="BA78" s="377"/>
    </row>
    <row r="79" s="307" customFormat="1" ht="14.5" spans="2:53">
      <c r="B79" s="360"/>
      <c r="C79" s="389" t="s">
        <v>89</v>
      </c>
      <c r="D79" s="375">
        <f t="shared" si="38"/>
        <v>0</v>
      </c>
      <c r="E79" s="266" t="s">
        <v>130</v>
      </c>
      <c r="F79" s="376"/>
      <c r="G79" s="376"/>
      <c r="H79" s="376"/>
      <c r="I79" s="376"/>
      <c r="J79" s="376"/>
      <c r="K79" s="376"/>
      <c r="L79" s="376"/>
      <c r="M79" s="376"/>
      <c r="N79" s="376"/>
      <c r="O79" s="376"/>
      <c r="P79" s="376"/>
      <c r="Q79" s="376"/>
      <c r="R79" s="376"/>
      <c r="S79" s="376"/>
      <c r="T79" s="376"/>
      <c r="U79" s="376">
        <f>IF('表2-折旧摊销表'!$BA$26+1-'表2-折旧摊销表'!$U$26&gt;='表2-折旧摊销表'!$D$14,$U$62/$D$14,$U$62/('表2-折旧摊销表'!$BA$26+1-'表2-折旧摊销表'!$U$26))</f>
        <v>0</v>
      </c>
      <c r="V79" s="376">
        <f>IF('表2-折旧摊销表'!$BA$26+1-'表2-折旧摊销表'!$U$26&gt;='表2-折旧摊销表'!$D$14,$U$62/$D$14,$U$62/('表2-折旧摊销表'!$BA$26+1-'表2-折旧摊销表'!$U$26))</f>
        <v>0</v>
      </c>
      <c r="W79" s="376">
        <f>IF('表2-折旧摊销表'!$BA$26+1-'表2-折旧摊销表'!$U$26&gt;='表2-折旧摊销表'!$D$14,$U$62/$D$14,$U$62/('表2-折旧摊销表'!$BA$26+1-'表2-折旧摊销表'!$U$26))</f>
        <v>0</v>
      </c>
      <c r="X79" s="376">
        <f>IF('表2-折旧摊销表'!$BA$26+1-'表2-折旧摊销表'!$U$26&gt;='表2-折旧摊销表'!$D$14,$U$62/$D$14,$U$62/('表2-折旧摊销表'!$BA$26+1-'表2-折旧摊销表'!$U$26))</f>
        <v>0</v>
      </c>
      <c r="Y79" s="376">
        <f>IF('表2-折旧摊销表'!$BA$26+1-'表2-折旧摊销表'!$U$26&gt;='表2-折旧摊销表'!$D$14,$U$62/$D$14,$U$62/('表2-折旧摊销表'!$BA$26+1-'表2-折旧摊销表'!$U$26))</f>
        <v>0</v>
      </c>
      <c r="Z79" s="376"/>
      <c r="AA79" s="376"/>
      <c r="AB79" s="376"/>
      <c r="AC79" s="376"/>
      <c r="AD79" s="376"/>
      <c r="AE79" s="376"/>
      <c r="AF79" s="376"/>
      <c r="AG79" s="376"/>
      <c r="AH79" s="376"/>
      <c r="AI79" s="376"/>
      <c r="AJ79" s="376"/>
      <c r="AK79" s="376"/>
      <c r="AL79" s="376"/>
      <c r="AM79" s="376"/>
      <c r="AN79" s="376"/>
      <c r="AO79" s="376"/>
      <c r="AP79" s="376"/>
      <c r="AQ79" s="376"/>
      <c r="AR79" s="376"/>
      <c r="AS79" s="376"/>
      <c r="AT79" s="376"/>
      <c r="AU79" s="376"/>
      <c r="AV79" s="376"/>
      <c r="AW79" s="376"/>
      <c r="AX79" s="376"/>
      <c r="AY79" s="376"/>
      <c r="AZ79" s="376"/>
      <c r="BA79" s="377"/>
    </row>
    <row r="80" s="307" customFormat="1" ht="14.5" spans="2:53">
      <c r="B80" s="360"/>
      <c r="C80" s="389" t="s">
        <v>90</v>
      </c>
      <c r="D80" s="375">
        <f t="shared" si="38"/>
        <v>0</v>
      </c>
      <c r="E80" s="266" t="s">
        <v>130</v>
      </c>
      <c r="F80" s="376"/>
      <c r="G80" s="376"/>
      <c r="H80" s="376"/>
      <c r="I80" s="376"/>
      <c r="J80" s="376"/>
      <c r="K80" s="376"/>
      <c r="L80" s="376"/>
      <c r="M80" s="376"/>
      <c r="N80" s="376"/>
      <c r="O80" s="376"/>
      <c r="P80" s="376"/>
      <c r="Q80" s="376"/>
      <c r="R80" s="376"/>
      <c r="S80" s="376"/>
      <c r="T80" s="376"/>
      <c r="U80" s="376"/>
      <c r="V80" s="376">
        <f>IF('表2-折旧摊销表'!$BA$26+1-'表2-折旧摊销表'!$V$26&gt;='表2-折旧摊销表'!$D$14,$V$62/$D$14,$V$62/('表2-折旧摊销表'!$BA$26+1-'表2-折旧摊销表'!$V$26))</f>
        <v>0</v>
      </c>
      <c r="W80" s="376">
        <f>IF('表2-折旧摊销表'!$BA$26+1-'表2-折旧摊销表'!$V$26&gt;='表2-折旧摊销表'!$D$14,$V$62/$D$14,$V$62/('表2-折旧摊销表'!$BA$26+1-'表2-折旧摊销表'!$V$26))</f>
        <v>0</v>
      </c>
      <c r="X80" s="376">
        <f>IF('表2-折旧摊销表'!$BA$26+1-'表2-折旧摊销表'!$V$26&gt;='表2-折旧摊销表'!$D$14,$V$62/$D$14,$V$62/('表2-折旧摊销表'!$BA$26+1-'表2-折旧摊销表'!$V$26))</f>
        <v>0</v>
      </c>
      <c r="Y80" s="376">
        <f>IF('表2-折旧摊销表'!$BA$26+1-'表2-折旧摊销表'!$V$26&gt;='表2-折旧摊销表'!$D$14,$V$62/$D$14,$V$62/('表2-折旧摊销表'!$BA$26+1-'表2-折旧摊销表'!$V$26))</f>
        <v>0</v>
      </c>
      <c r="Z80" s="376">
        <f>IF('表2-折旧摊销表'!$BA$26+1-'表2-折旧摊销表'!$V$26&gt;='表2-折旧摊销表'!$D$14,$V$62/$D$14,$V$62/('表2-折旧摊销表'!$BA$26+1-'表2-折旧摊销表'!$V$26))</f>
        <v>0</v>
      </c>
      <c r="AA80" s="376"/>
      <c r="AB80" s="376"/>
      <c r="AC80" s="376"/>
      <c r="AD80" s="376"/>
      <c r="AE80" s="376"/>
      <c r="AF80" s="376"/>
      <c r="AG80" s="376"/>
      <c r="AH80" s="376"/>
      <c r="AI80" s="376"/>
      <c r="AJ80" s="376"/>
      <c r="AK80" s="376"/>
      <c r="AL80" s="376"/>
      <c r="AM80" s="376"/>
      <c r="AN80" s="376"/>
      <c r="AO80" s="376"/>
      <c r="AP80" s="376"/>
      <c r="AQ80" s="376"/>
      <c r="AR80" s="376"/>
      <c r="AS80" s="376"/>
      <c r="AT80" s="376"/>
      <c r="AU80" s="376"/>
      <c r="AV80" s="376"/>
      <c r="AW80" s="376"/>
      <c r="AX80" s="376"/>
      <c r="AY80" s="376"/>
      <c r="AZ80" s="376"/>
      <c r="BA80" s="377"/>
    </row>
    <row r="81" s="307" customFormat="1" ht="14.5" spans="2:53">
      <c r="B81" s="360"/>
      <c r="C81" s="389" t="s">
        <v>91</v>
      </c>
      <c r="D81" s="375">
        <f t="shared" si="38"/>
        <v>0</v>
      </c>
      <c r="E81" s="266" t="s">
        <v>130</v>
      </c>
      <c r="F81" s="376"/>
      <c r="G81" s="376"/>
      <c r="H81" s="376"/>
      <c r="I81" s="376"/>
      <c r="J81" s="376"/>
      <c r="K81" s="376"/>
      <c r="L81" s="376"/>
      <c r="M81" s="376"/>
      <c r="N81" s="376"/>
      <c r="O81" s="376"/>
      <c r="P81" s="376"/>
      <c r="Q81" s="376"/>
      <c r="R81" s="376"/>
      <c r="S81" s="376"/>
      <c r="T81" s="376"/>
      <c r="U81" s="376"/>
      <c r="V81" s="376"/>
      <c r="W81" s="376">
        <f>IF('表2-折旧摊销表'!$BA$26+1-'表2-折旧摊销表'!$W$26&gt;='表2-折旧摊销表'!$D$14,$W$62/$D$14,$W$62/('表2-折旧摊销表'!$BA$26+1-'表2-折旧摊销表'!$W$26))</f>
        <v>0</v>
      </c>
      <c r="X81" s="376">
        <f>IF('表2-折旧摊销表'!$BA$26+1-'表2-折旧摊销表'!$W$26&gt;='表2-折旧摊销表'!$D$14,$W$62/$D$14,$W$62/('表2-折旧摊销表'!$BA$26+1-'表2-折旧摊销表'!$W$26))</f>
        <v>0</v>
      </c>
      <c r="Y81" s="376">
        <f>IF('表2-折旧摊销表'!$BA$26+1-'表2-折旧摊销表'!$W$26&gt;='表2-折旧摊销表'!$D$14,$W$62/$D$14,$W$62/('表2-折旧摊销表'!$BA$26+1-'表2-折旧摊销表'!$W$26))</f>
        <v>0</v>
      </c>
      <c r="Z81" s="376">
        <f>IF('表2-折旧摊销表'!$BA$26+1-'表2-折旧摊销表'!$W$26&gt;='表2-折旧摊销表'!$D$14,$W$62/$D$14,$W$62/('表2-折旧摊销表'!$BA$26+1-'表2-折旧摊销表'!$W$26))</f>
        <v>0</v>
      </c>
      <c r="AA81" s="376">
        <f>IF('表2-折旧摊销表'!$BA$26+1-'表2-折旧摊销表'!$W$26&gt;='表2-折旧摊销表'!$D$14,$W$62/$D$14,$W$62/('表2-折旧摊销表'!$BA$26+1-'表2-折旧摊销表'!$W$26))</f>
        <v>0</v>
      </c>
      <c r="AB81" s="376"/>
      <c r="AC81" s="376"/>
      <c r="AD81" s="376"/>
      <c r="AE81" s="376"/>
      <c r="AF81" s="376"/>
      <c r="AG81" s="376"/>
      <c r="AH81" s="376"/>
      <c r="AI81" s="376"/>
      <c r="AJ81" s="376"/>
      <c r="AK81" s="376"/>
      <c r="AL81" s="376"/>
      <c r="AM81" s="376"/>
      <c r="AN81" s="376"/>
      <c r="AO81" s="376"/>
      <c r="AP81" s="376"/>
      <c r="AQ81" s="376"/>
      <c r="AR81" s="376"/>
      <c r="AS81" s="376"/>
      <c r="AT81" s="376"/>
      <c r="AU81" s="376"/>
      <c r="AV81" s="376"/>
      <c r="AW81" s="376"/>
      <c r="AX81" s="376"/>
      <c r="AY81" s="376"/>
      <c r="AZ81" s="376"/>
      <c r="BA81" s="377"/>
    </row>
    <row r="82" s="307" customFormat="1" ht="14.5" spans="2:53">
      <c r="B82" s="360"/>
      <c r="C82" s="389" t="s">
        <v>92</v>
      </c>
      <c r="D82" s="375">
        <f t="shared" si="38"/>
        <v>458.715596330275</v>
      </c>
      <c r="E82" s="266" t="s">
        <v>130</v>
      </c>
      <c r="F82" s="376"/>
      <c r="G82" s="376"/>
      <c r="H82" s="376"/>
      <c r="I82" s="376"/>
      <c r="J82" s="376"/>
      <c r="K82" s="376"/>
      <c r="L82" s="376"/>
      <c r="M82" s="376"/>
      <c r="N82" s="376"/>
      <c r="O82" s="376"/>
      <c r="P82" s="376"/>
      <c r="Q82" s="376"/>
      <c r="R82" s="376"/>
      <c r="S82" s="376"/>
      <c r="T82" s="376"/>
      <c r="U82" s="376"/>
      <c r="V82" s="376"/>
      <c r="W82" s="376"/>
      <c r="X82" s="376">
        <f>IF('表2-折旧摊销表'!$BA$26+1-'表2-折旧摊销表'!$X$26&gt;='表2-折旧摊销表'!$D$14,$X$62/$D$14,$X$62/('表2-折旧摊销表'!$BA$26+1-'表2-折旧摊销表'!$X$26))</f>
        <v>91.743119266055</v>
      </c>
      <c r="Y82" s="376">
        <f>IF('表2-折旧摊销表'!$BA$26+1-'表2-折旧摊销表'!$X$26&gt;='表2-折旧摊销表'!$D$14,$X$62/$D$14,$X$62/('表2-折旧摊销表'!$BA$26+1-'表2-折旧摊销表'!$X$26))</f>
        <v>91.743119266055</v>
      </c>
      <c r="Z82" s="376">
        <f>IF('表2-折旧摊销表'!$BA$26+1-'表2-折旧摊销表'!$X$26&gt;='表2-折旧摊销表'!$D$14,$X$62/$D$14,$X$62/('表2-折旧摊销表'!$BA$26+1-'表2-折旧摊销表'!$X$26))</f>
        <v>91.743119266055</v>
      </c>
      <c r="AA82" s="376">
        <f>IF('表2-折旧摊销表'!$BA$26+1-'表2-折旧摊销表'!$X$26&gt;='表2-折旧摊销表'!$D$14,$X$62/$D$14,$X$62/('表2-折旧摊销表'!$BA$26+1-'表2-折旧摊销表'!$X$26))</f>
        <v>91.743119266055</v>
      </c>
      <c r="AB82" s="376">
        <f>IF('表2-折旧摊销表'!$BA$26+1-'表2-折旧摊销表'!$X$26&gt;='表2-折旧摊销表'!$D$14,$X$62/$D$14,$X$62/('表2-折旧摊销表'!$BA$26+1-'表2-折旧摊销表'!$X$26))</f>
        <v>91.743119266055</v>
      </c>
      <c r="AC82" s="376"/>
      <c r="AD82" s="376"/>
      <c r="AE82" s="376"/>
      <c r="AF82" s="376"/>
      <c r="AG82" s="376"/>
      <c r="AH82" s="376"/>
      <c r="AI82" s="376"/>
      <c r="AJ82" s="376"/>
      <c r="AK82" s="376"/>
      <c r="AL82" s="376"/>
      <c r="AM82" s="376"/>
      <c r="AN82" s="376"/>
      <c r="AO82" s="376"/>
      <c r="AP82" s="376"/>
      <c r="AQ82" s="376"/>
      <c r="AR82" s="376"/>
      <c r="AS82" s="376"/>
      <c r="AT82" s="376"/>
      <c r="AU82" s="376"/>
      <c r="AV82" s="376"/>
      <c r="AW82" s="376"/>
      <c r="AX82" s="376"/>
      <c r="AY82" s="376"/>
      <c r="AZ82" s="376"/>
      <c r="BA82" s="377"/>
    </row>
    <row r="83" s="307" customFormat="1" ht="14.5" spans="2:53">
      <c r="B83" s="360"/>
      <c r="C83" s="389" t="s">
        <v>93</v>
      </c>
      <c r="D83" s="375">
        <f t="shared" si="38"/>
        <v>0</v>
      </c>
      <c r="E83" s="266" t="s">
        <v>130</v>
      </c>
      <c r="F83" s="376"/>
      <c r="G83" s="376"/>
      <c r="H83" s="376"/>
      <c r="I83" s="376"/>
      <c r="J83" s="376"/>
      <c r="K83" s="376"/>
      <c r="L83" s="376"/>
      <c r="M83" s="376"/>
      <c r="N83" s="376"/>
      <c r="O83" s="376"/>
      <c r="P83" s="376"/>
      <c r="Q83" s="376"/>
      <c r="R83" s="376"/>
      <c r="S83" s="376"/>
      <c r="T83" s="376"/>
      <c r="U83" s="376"/>
      <c r="V83" s="376"/>
      <c r="W83" s="376"/>
      <c r="X83" s="376"/>
      <c r="Y83" s="376">
        <f>IF('表2-折旧摊销表'!$BA$26+1-'表2-折旧摊销表'!$Y$26&gt;='表2-折旧摊销表'!$D$14,$Y$62/$D$14,$Y$62/('表2-折旧摊销表'!$BA$26+1-'表2-折旧摊销表'!$Y$26))</f>
        <v>0</v>
      </c>
      <c r="Z83" s="376">
        <f>IF('表2-折旧摊销表'!$BA$26+1-'表2-折旧摊销表'!$Y$26&gt;='表2-折旧摊销表'!$D$14,$Y$62/$D$14,$Y$62/('表2-折旧摊销表'!$BA$26+1-'表2-折旧摊销表'!$Y$26))</f>
        <v>0</v>
      </c>
      <c r="AA83" s="376">
        <f>IF('表2-折旧摊销表'!$BA$26+1-'表2-折旧摊销表'!$Y$26&gt;='表2-折旧摊销表'!$D$14,$Y$62/$D$14,$Y$62/('表2-折旧摊销表'!$BA$26+1-'表2-折旧摊销表'!$Y$26))</f>
        <v>0</v>
      </c>
      <c r="AB83" s="376">
        <f>IF('表2-折旧摊销表'!$BA$26+1-'表2-折旧摊销表'!$Y$26&gt;='表2-折旧摊销表'!$D$14,$Y$62/$D$14,$Y$62/('表2-折旧摊销表'!$BA$26+1-'表2-折旧摊销表'!$Y$26))</f>
        <v>0</v>
      </c>
      <c r="AC83" s="376">
        <f>IF('表2-折旧摊销表'!$BA$26+1-'表2-折旧摊销表'!$Y$26&gt;='表2-折旧摊销表'!$D$14,$Y$62/$D$14,$Y$62/('表2-折旧摊销表'!$BA$26+1-'表2-折旧摊销表'!$Y$26))</f>
        <v>0</v>
      </c>
      <c r="AD83" s="376"/>
      <c r="AE83" s="376"/>
      <c r="AF83" s="376"/>
      <c r="AG83" s="376"/>
      <c r="AH83" s="376"/>
      <c r="AI83" s="376"/>
      <c r="AJ83" s="376"/>
      <c r="AK83" s="376"/>
      <c r="AL83" s="376"/>
      <c r="AM83" s="376"/>
      <c r="AN83" s="376"/>
      <c r="AO83" s="376"/>
      <c r="AP83" s="376"/>
      <c r="AQ83" s="376"/>
      <c r="AR83" s="376"/>
      <c r="AS83" s="376"/>
      <c r="AT83" s="376"/>
      <c r="AU83" s="376"/>
      <c r="AV83" s="376"/>
      <c r="AW83" s="376"/>
      <c r="AX83" s="376"/>
      <c r="AY83" s="376"/>
      <c r="AZ83" s="376"/>
      <c r="BA83" s="377"/>
    </row>
    <row r="84" s="307" customFormat="1" ht="14.5" spans="2:53">
      <c r="B84" s="360"/>
      <c r="C84" s="389" t="s">
        <v>94</v>
      </c>
      <c r="D84" s="375">
        <f t="shared" si="38"/>
        <v>0</v>
      </c>
      <c r="E84" s="266" t="s">
        <v>130</v>
      </c>
      <c r="F84" s="376"/>
      <c r="G84" s="376"/>
      <c r="H84" s="376"/>
      <c r="I84" s="376"/>
      <c r="J84" s="376"/>
      <c r="K84" s="376"/>
      <c r="L84" s="376"/>
      <c r="M84" s="376"/>
      <c r="N84" s="376"/>
      <c r="O84" s="376"/>
      <c r="P84" s="376"/>
      <c r="Q84" s="376"/>
      <c r="R84" s="376"/>
      <c r="S84" s="376"/>
      <c r="T84" s="376"/>
      <c r="U84" s="376"/>
      <c r="V84" s="376"/>
      <c r="W84" s="376"/>
      <c r="X84" s="376"/>
      <c r="Y84" s="376"/>
      <c r="Z84" s="376">
        <f>IF('表2-折旧摊销表'!$BA$26+1-'表2-折旧摊销表'!$Z$26&gt;='表2-折旧摊销表'!$D$14,$Z$62/$D$14,$Z$62/('表2-折旧摊销表'!$BA$26+1-'表2-折旧摊销表'!$Z$26))</f>
        <v>0</v>
      </c>
      <c r="AA84" s="376">
        <f>IF('表2-折旧摊销表'!$BA$26+1-'表2-折旧摊销表'!$Z$26&gt;='表2-折旧摊销表'!$D$14,$Z$62/$D$14,$Z$62/('表2-折旧摊销表'!$BA$26+1-'表2-折旧摊销表'!$Z$26))</f>
        <v>0</v>
      </c>
      <c r="AB84" s="376">
        <f>IF('表2-折旧摊销表'!$BA$26+1-'表2-折旧摊销表'!$Z$26&gt;='表2-折旧摊销表'!$D$14,$Z$62/$D$14,$Z$62/('表2-折旧摊销表'!$BA$26+1-'表2-折旧摊销表'!$Z$26))</f>
        <v>0</v>
      </c>
      <c r="AC84" s="376">
        <f>IF('表2-折旧摊销表'!$BA$26+1-'表2-折旧摊销表'!$Z$26&gt;='表2-折旧摊销表'!$D$14,$Z$62/$D$14,$Z$62/('表2-折旧摊销表'!$BA$26+1-'表2-折旧摊销表'!$Z$26))</f>
        <v>0</v>
      </c>
      <c r="AD84" s="376">
        <f>IF('表2-折旧摊销表'!$BA$26+1-'表2-折旧摊销表'!$Z$26&gt;='表2-折旧摊销表'!$D$14,$Z$62/$D$14,$Z$62/('表2-折旧摊销表'!$BA$26+1-'表2-折旧摊销表'!$Z$26))</f>
        <v>0</v>
      </c>
      <c r="AE84" s="376"/>
      <c r="AF84" s="376"/>
      <c r="AG84" s="376"/>
      <c r="AH84" s="376"/>
      <c r="AI84" s="376"/>
      <c r="AJ84" s="376"/>
      <c r="AK84" s="376"/>
      <c r="AL84" s="376"/>
      <c r="AM84" s="376"/>
      <c r="AN84" s="376"/>
      <c r="AO84" s="376"/>
      <c r="AP84" s="376"/>
      <c r="AQ84" s="376"/>
      <c r="AR84" s="376"/>
      <c r="AS84" s="376"/>
      <c r="AT84" s="376"/>
      <c r="AU84" s="376"/>
      <c r="AV84" s="376"/>
      <c r="AW84" s="376"/>
      <c r="AX84" s="376"/>
      <c r="AY84" s="376"/>
      <c r="AZ84" s="376"/>
      <c r="BA84" s="377"/>
    </row>
    <row r="85" s="307" customFormat="1" ht="14.5" spans="2:53">
      <c r="B85" s="360"/>
      <c r="C85" s="389" t="s">
        <v>95</v>
      </c>
      <c r="D85" s="375">
        <f t="shared" si="38"/>
        <v>0</v>
      </c>
      <c r="E85" s="266" t="s">
        <v>130</v>
      </c>
      <c r="F85" s="376"/>
      <c r="G85" s="376"/>
      <c r="H85" s="376"/>
      <c r="I85" s="376"/>
      <c r="J85" s="376"/>
      <c r="K85" s="376"/>
      <c r="L85" s="376"/>
      <c r="M85" s="376"/>
      <c r="N85" s="376"/>
      <c r="O85" s="376"/>
      <c r="P85" s="376"/>
      <c r="Q85" s="376"/>
      <c r="R85" s="376"/>
      <c r="S85" s="376"/>
      <c r="T85" s="376"/>
      <c r="U85" s="376"/>
      <c r="V85" s="376"/>
      <c r="W85" s="376"/>
      <c r="X85" s="376"/>
      <c r="Y85" s="376"/>
      <c r="Z85" s="376"/>
      <c r="AA85" s="376">
        <f>IF('表2-折旧摊销表'!$BA$26+1-'表2-折旧摊销表'!$AA$26&gt;='表2-折旧摊销表'!$D$14,$AA$62/$D$14,$AA$62/('表2-折旧摊销表'!$BA$26+1-'表2-折旧摊销表'!$AA$26))</f>
        <v>0</v>
      </c>
      <c r="AB85" s="376">
        <f>IF('表2-折旧摊销表'!$BA$26+1-'表2-折旧摊销表'!$AA$26&gt;='表2-折旧摊销表'!$D$14,$AA$62/$D$14,$AA$62/('表2-折旧摊销表'!$BA$26+1-'表2-折旧摊销表'!$AA$26))</f>
        <v>0</v>
      </c>
      <c r="AC85" s="376">
        <f>IF('表2-折旧摊销表'!$BA$26+1-'表2-折旧摊销表'!$AA$26&gt;='表2-折旧摊销表'!$D$14,$AA$62/$D$14,$AA$62/('表2-折旧摊销表'!$BA$26+1-'表2-折旧摊销表'!$AA$26))</f>
        <v>0</v>
      </c>
      <c r="AD85" s="376">
        <f>IF('表2-折旧摊销表'!$BA$26+1-'表2-折旧摊销表'!$AA$26&gt;='表2-折旧摊销表'!$D$14,$AA$62/$D$14,$AA$62/('表2-折旧摊销表'!$BA$26+1-'表2-折旧摊销表'!$AA$26))</f>
        <v>0</v>
      </c>
      <c r="AE85" s="376">
        <f>IF('表2-折旧摊销表'!$BA$26+1-'表2-折旧摊销表'!$AA$26&gt;='表2-折旧摊销表'!$D$14,$AA$62/$D$14,$AA$62/('表2-折旧摊销表'!$BA$26+1-'表2-折旧摊销表'!$AA$26))</f>
        <v>0</v>
      </c>
      <c r="AF85" s="376"/>
      <c r="AG85" s="376"/>
      <c r="AH85" s="376"/>
      <c r="AI85" s="376"/>
      <c r="AJ85" s="376"/>
      <c r="AK85" s="376"/>
      <c r="AL85" s="376"/>
      <c r="AM85" s="376"/>
      <c r="AN85" s="376"/>
      <c r="AO85" s="376"/>
      <c r="AP85" s="376"/>
      <c r="AQ85" s="376"/>
      <c r="AR85" s="376"/>
      <c r="AS85" s="376"/>
      <c r="AT85" s="376"/>
      <c r="AU85" s="376"/>
      <c r="AV85" s="376"/>
      <c r="AW85" s="376"/>
      <c r="AX85" s="376"/>
      <c r="AY85" s="376"/>
      <c r="AZ85" s="376"/>
      <c r="BA85" s="377"/>
    </row>
    <row r="86" s="307" customFormat="1" ht="14.5" spans="2:53">
      <c r="B86" s="360"/>
      <c r="C86" s="389" t="s">
        <v>96</v>
      </c>
      <c r="D86" s="375">
        <f t="shared" si="38"/>
        <v>0</v>
      </c>
      <c r="E86" s="266" t="s">
        <v>130</v>
      </c>
      <c r="F86" s="376"/>
      <c r="G86" s="376"/>
      <c r="H86" s="376"/>
      <c r="I86" s="376"/>
      <c r="J86" s="376"/>
      <c r="K86" s="376"/>
      <c r="L86" s="376"/>
      <c r="M86" s="376"/>
      <c r="N86" s="376"/>
      <c r="O86" s="376"/>
      <c r="P86" s="376"/>
      <c r="Q86" s="376"/>
      <c r="R86" s="376"/>
      <c r="S86" s="376"/>
      <c r="T86" s="376"/>
      <c r="U86" s="376"/>
      <c r="V86" s="376"/>
      <c r="W86" s="376"/>
      <c r="X86" s="376"/>
      <c r="Y86" s="376"/>
      <c r="Z86" s="376"/>
      <c r="AA86" s="376"/>
      <c r="AB86" s="376">
        <f>IF('表2-折旧摊销表'!$BA$26+1-'表2-折旧摊销表'!$AB$26&gt;='表2-折旧摊销表'!$D$14,$AB$62/$D$14,$AB$62/('表2-折旧摊销表'!$BA$26+1-'表2-折旧摊销表'!$AB$26))</f>
        <v>0</v>
      </c>
      <c r="AC86" s="376">
        <f>IF('表2-折旧摊销表'!$BA$26+1-'表2-折旧摊销表'!$AB$26&gt;='表2-折旧摊销表'!$D$14,$AB$62/$D$14,$AB$62/('表2-折旧摊销表'!$BA$26+1-'表2-折旧摊销表'!$AB$26))</f>
        <v>0</v>
      </c>
      <c r="AD86" s="376">
        <f>IF('表2-折旧摊销表'!$BA$26+1-'表2-折旧摊销表'!$AB$26&gt;='表2-折旧摊销表'!$D$14,$AB$62/$D$14,$AB$62/('表2-折旧摊销表'!$BA$26+1-'表2-折旧摊销表'!$AB$26))</f>
        <v>0</v>
      </c>
      <c r="AE86" s="376">
        <f>IF('表2-折旧摊销表'!$BA$26+1-'表2-折旧摊销表'!$AB$26&gt;='表2-折旧摊销表'!$D$14,$AB$62/$D$14,$AB$62/('表2-折旧摊销表'!$BA$26+1-'表2-折旧摊销表'!$AB$26))</f>
        <v>0</v>
      </c>
      <c r="AF86" s="376">
        <f>IF('表2-折旧摊销表'!$BA$26+1-'表2-折旧摊销表'!$AB$26&gt;='表2-折旧摊销表'!$D$14,$AB$62/$D$14,$AB$62/('表2-折旧摊销表'!$BA$26+1-'表2-折旧摊销表'!$AB$26))</f>
        <v>0</v>
      </c>
      <c r="AG86" s="376"/>
      <c r="AH86" s="376"/>
      <c r="AI86" s="376"/>
      <c r="AJ86" s="376"/>
      <c r="AK86" s="376"/>
      <c r="AL86" s="376"/>
      <c r="AM86" s="376"/>
      <c r="AN86" s="376"/>
      <c r="AO86" s="376"/>
      <c r="AP86" s="376"/>
      <c r="AQ86" s="376"/>
      <c r="AR86" s="376"/>
      <c r="AS86" s="376"/>
      <c r="AT86" s="376"/>
      <c r="AU86" s="376"/>
      <c r="AV86" s="376"/>
      <c r="AW86" s="376"/>
      <c r="AX86" s="376"/>
      <c r="AY86" s="376"/>
      <c r="AZ86" s="376"/>
      <c r="BA86" s="377"/>
    </row>
    <row r="87" s="307" customFormat="1" ht="14.5" spans="2:53">
      <c r="B87" s="360"/>
      <c r="C87" s="389" t="s">
        <v>97</v>
      </c>
      <c r="D87" s="375">
        <f t="shared" si="38"/>
        <v>458.715596330275</v>
      </c>
      <c r="E87" s="266" t="s">
        <v>130</v>
      </c>
      <c r="F87" s="376"/>
      <c r="G87" s="376"/>
      <c r="H87" s="376"/>
      <c r="I87" s="376"/>
      <c r="J87" s="376"/>
      <c r="K87" s="376"/>
      <c r="L87" s="376"/>
      <c r="M87" s="376"/>
      <c r="N87" s="376"/>
      <c r="O87" s="376"/>
      <c r="P87" s="376"/>
      <c r="Q87" s="376"/>
      <c r="R87" s="376"/>
      <c r="S87" s="376"/>
      <c r="T87" s="376"/>
      <c r="U87" s="376"/>
      <c r="V87" s="376"/>
      <c r="W87" s="376"/>
      <c r="X87" s="376"/>
      <c r="Y87" s="376"/>
      <c r="Z87" s="376"/>
      <c r="AA87" s="376"/>
      <c r="AB87" s="376"/>
      <c r="AC87" s="376">
        <f>IF('表2-折旧摊销表'!$BA$26+1-'表2-折旧摊销表'!$AC$26&gt;='表2-折旧摊销表'!$D$14,$AC$62/$D$14,$AC$62/('表2-折旧摊销表'!$BA$26+1-'表2-折旧摊销表'!$AC$26))</f>
        <v>91.743119266055</v>
      </c>
      <c r="AD87" s="376">
        <f>IF('表2-折旧摊销表'!$BA$26+1-'表2-折旧摊销表'!$AC$26&gt;='表2-折旧摊销表'!$D$14,$AC$62/$D$14,$AC$62/('表2-折旧摊销表'!$BA$26+1-'表2-折旧摊销表'!$AC$26))</f>
        <v>91.743119266055</v>
      </c>
      <c r="AE87" s="376">
        <f>IF('表2-折旧摊销表'!$BA$26+1-'表2-折旧摊销表'!$AC$26&gt;='表2-折旧摊销表'!$D$14,$AC$62/$D$14,$AC$62/('表2-折旧摊销表'!$BA$26+1-'表2-折旧摊销表'!$AC$26))</f>
        <v>91.743119266055</v>
      </c>
      <c r="AF87" s="376">
        <f>IF('表2-折旧摊销表'!$BA$26+1-'表2-折旧摊销表'!$AC$26&gt;='表2-折旧摊销表'!$D$14,$AC$62/$D$14,$AC$62/('表2-折旧摊销表'!$BA$26+1-'表2-折旧摊销表'!$AC$26))</f>
        <v>91.743119266055</v>
      </c>
      <c r="AG87" s="376">
        <f>IF('表2-折旧摊销表'!$BA$26+1-'表2-折旧摊销表'!$AC$26&gt;='表2-折旧摊销表'!$D$14,$AC$62/$D$14,$AC$62/('表2-折旧摊销表'!$BA$26+1-'表2-折旧摊销表'!$AC$26))</f>
        <v>91.743119266055</v>
      </c>
      <c r="AH87" s="376"/>
      <c r="AI87" s="376"/>
      <c r="AJ87" s="376"/>
      <c r="AK87" s="376"/>
      <c r="AL87" s="376"/>
      <c r="AM87" s="376"/>
      <c r="AN87" s="376"/>
      <c r="AO87" s="376"/>
      <c r="AP87" s="376"/>
      <c r="AQ87" s="376"/>
      <c r="AR87" s="376"/>
      <c r="AS87" s="376"/>
      <c r="AT87" s="376"/>
      <c r="AU87" s="376"/>
      <c r="AV87" s="376"/>
      <c r="AW87" s="376"/>
      <c r="AX87" s="376"/>
      <c r="AY87" s="376"/>
      <c r="AZ87" s="376"/>
      <c r="BA87" s="377"/>
    </row>
    <row r="88" s="307" customFormat="1" ht="14.5" spans="2:53">
      <c r="B88" s="360"/>
      <c r="C88" s="389" t="s">
        <v>98</v>
      </c>
      <c r="D88" s="375">
        <f t="shared" si="38"/>
        <v>0</v>
      </c>
      <c r="E88" s="266" t="s">
        <v>130</v>
      </c>
      <c r="F88" s="376"/>
      <c r="G88" s="376"/>
      <c r="H88" s="376"/>
      <c r="I88" s="376"/>
      <c r="J88" s="376"/>
      <c r="K88" s="376"/>
      <c r="L88" s="376"/>
      <c r="M88" s="376"/>
      <c r="N88" s="376"/>
      <c r="O88" s="376"/>
      <c r="P88" s="376"/>
      <c r="Q88" s="376"/>
      <c r="R88" s="376"/>
      <c r="S88" s="376"/>
      <c r="T88" s="376"/>
      <c r="U88" s="376"/>
      <c r="V88" s="376"/>
      <c r="W88" s="376"/>
      <c r="X88" s="376"/>
      <c r="Y88" s="376"/>
      <c r="Z88" s="376"/>
      <c r="AA88" s="376"/>
      <c r="AB88" s="376"/>
      <c r="AC88" s="376"/>
      <c r="AD88" s="376">
        <f>IF('表2-折旧摊销表'!$BA$26+1-'表2-折旧摊销表'!$AD$26&gt;='表2-折旧摊销表'!$D$14,$AD$62/$D$14,$AD$62/('表2-折旧摊销表'!$BA$26+1-'表2-折旧摊销表'!$AD$26))</f>
        <v>0</v>
      </c>
      <c r="AE88" s="376">
        <f>IF('表2-折旧摊销表'!$BA$26+1-'表2-折旧摊销表'!$AD$26&gt;='表2-折旧摊销表'!$D$14,$AD$62/$D$14,$AD$62/('表2-折旧摊销表'!$BA$26+1-'表2-折旧摊销表'!$AD$26))</f>
        <v>0</v>
      </c>
      <c r="AF88" s="376">
        <f>IF('表2-折旧摊销表'!$BA$26+1-'表2-折旧摊销表'!$AD$26&gt;='表2-折旧摊销表'!$D$14,$AD$62/$D$14,$AD$62/('表2-折旧摊销表'!$BA$26+1-'表2-折旧摊销表'!$AD$26))</f>
        <v>0</v>
      </c>
      <c r="AG88" s="376">
        <f>IF('表2-折旧摊销表'!$BA$26+1-'表2-折旧摊销表'!$AD$26&gt;='表2-折旧摊销表'!$D$14,$AD$62/$D$14,$AD$62/('表2-折旧摊销表'!$BA$26+1-'表2-折旧摊销表'!$AD$26))</f>
        <v>0</v>
      </c>
      <c r="AH88" s="376">
        <f>IF('表2-折旧摊销表'!$BA$26+1-'表2-折旧摊销表'!$AD$26&gt;='表2-折旧摊销表'!$D$14,$AD$62/$D$14,$AD$62/('表2-折旧摊销表'!$BA$26+1-'表2-折旧摊销表'!$AD$26))</f>
        <v>0</v>
      </c>
      <c r="AI88" s="376"/>
      <c r="AJ88" s="376"/>
      <c r="AK88" s="376"/>
      <c r="AL88" s="376"/>
      <c r="AM88" s="376"/>
      <c r="AN88" s="376"/>
      <c r="AO88" s="376"/>
      <c r="AP88" s="376"/>
      <c r="AQ88" s="376"/>
      <c r="AR88" s="376"/>
      <c r="AS88" s="376"/>
      <c r="AT88" s="376"/>
      <c r="AU88" s="376"/>
      <c r="AV88" s="376"/>
      <c r="AW88" s="376"/>
      <c r="AX88" s="376"/>
      <c r="AY88" s="376"/>
      <c r="AZ88" s="376"/>
      <c r="BA88" s="377"/>
    </row>
    <row r="89" s="307" customFormat="1" ht="14.5" spans="2:53">
      <c r="B89" s="360"/>
      <c r="C89" s="389" t="s">
        <v>99</v>
      </c>
      <c r="D89" s="375">
        <f t="shared" si="38"/>
        <v>0</v>
      </c>
      <c r="E89" s="266" t="s">
        <v>130</v>
      </c>
      <c r="F89" s="376"/>
      <c r="G89" s="376"/>
      <c r="H89" s="376"/>
      <c r="I89" s="376"/>
      <c r="J89" s="376"/>
      <c r="K89" s="376"/>
      <c r="L89" s="376"/>
      <c r="M89" s="376"/>
      <c r="N89" s="376"/>
      <c r="O89" s="376"/>
      <c r="P89" s="376"/>
      <c r="Q89" s="376"/>
      <c r="R89" s="376"/>
      <c r="S89" s="376"/>
      <c r="T89" s="376"/>
      <c r="U89" s="376"/>
      <c r="V89" s="376"/>
      <c r="W89" s="376"/>
      <c r="X89" s="376"/>
      <c r="Y89" s="376"/>
      <c r="Z89" s="376"/>
      <c r="AA89" s="376"/>
      <c r="AB89" s="376"/>
      <c r="AC89" s="376"/>
      <c r="AD89" s="376"/>
      <c r="AE89" s="376">
        <f>IF('表2-折旧摊销表'!$BA$26+1-'表2-折旧摊销表'!$AE$26&gt;='表2-折旧摊销表'!$D$14,$AE$62/$D$14,$AE$62/('表2-折旧摊销表'!$BA$26+1-'表2-折旧摊销表'!$AE$26))</f>
        <v>0</v>
      </c>
      <c r="AF89" s="376">
        <f>IF('表2-折旧摊销表'!$BA$26+1-'表2-折旧摊销表'!$AE$26&gt;='表2-折旧摊销表'!$D$14,$AE$62/$D$14,$AE$62/('表2-折旧摊销表'!$BA$26+1-'表2-折旧摊销表'!$AE$26))</f>
        <v>0</v>
      </c>
      <c r="AG89" s="376">
        <f>IF('表2-折旧摊销表'!$BA$26+1-'表2-折旧摊销表'!$AE$26&gt;='表2-折旧摊销表'!$D$14,$AE$62/$D$14,$AE$62/('表2-折旧摊销表'!$BA$26+1-'表2-折旧摊销表'!$AE$26))</f>
        <v>0</v>
      </c>
      <c r="AH89" s="376">
        <f>IF('表2-折旧摊销表'!$BA$26+1-'表2-折旧摊销表'!$AE$26&gt;='表2-折旧摊销表'!$D$14,$AE$62/$D$14,$AE$62/('表2-折旧摊销表'!$BA$26+1-'表2-折旧摊销表'!$AE$26))</f>
        <v>0</v>
      </c>
      <c r="AI89" s="376">
        <f>IF('表2-折旧摊销表'!$BA$26+1-'表2-折旧摊销表'!$AE$26&gt;='表2-折旧摊销表'!$D$14,$AE$62/$D$14,$AE$62/('表2-折旧摊销表'!$BA$26+1-'表2-折旧摊销表'!$AE$26))</f>
        <v>0</v>
      </c>
      <c r="AJ89" s="376"/>
      <c r="AK89" s="376"/>
      <c r="AL89" s="376"/>
      <c r="AM89" s="376"/>
      <c r="AN89" s="376"/>
      <c r="AO89" s="376"/>
      <c r="AP89" s="376"/>
      <c r="AQ89" s="376"/>
      <c r="AR89" s="376"/>
      <c r="AS89" s="376"/>
      <c r="AT89" s="376"/>
      <c r="AU89" s="376"/>
      <c r="AV89" s="376"/>
      <c r="AW89" s="376"/>
      <c r="AX89" s="376"/>
      <c r="AY89" s="376"/>
      <c r="AZ89" s="376"/>
      <c r="BA89" s="377"/>
    </row>
    <row r="90" s="307" customFormat="1" ht="14.5" spans="2:53">
      <c r="B90" s="360"/>
      <c r="C90" s="389" t="s">
        <v>100</v>
      </c>
      <c r="D90" s="375">
        <f t="shared" si="38"/>
        <v>0</v>
      </c>
      <c r="E90" s="266" t="s">
        <v>130</v>
      </c>
      <c r="F90" s="376"/>
      <c r="G90" s="376"/>
      <c r="H90" s="376"/>
      <c r="I90" s="376"/>
      <c r="J90" s="376"/>
      <c r="K90" s="376"/>
      <c r="L90" s="376"/>
      <c r="M90" s="376"/>
      <c r="N90" s="376"/>
      <c r="O90" s="376"/>
      <c r="P90" s="376"/>
      <c r="Q90" s="376"/>
      <c r="R90" s="376"/>
      <c r="S90" s="376"/>
      <c r="T90" s="376"/>
      <c r="U90" s="376"/>
      <c r="V90" s="376"/>
      <c r="W90" s="376"/>
      <c r="X90" s="376"/>
      <c r="Y90" s="376"/>
      <c r="Z90" s="376"/>
      <c r="AA90" s="376"/>
      <c r="AB90" s="376"/>
      <c r="AC90" s="376"/>
      <c r="AD90" s="376"/>
      <c r="AE90" s="376"/>
      <c r="AF90" s="376">
        <f>IF('表2-折旧摊销表'!$BA$26+1-'表2-折旧摊销表'!$AF$26&gt;='表2-折旧摊销表'!$D$14,$AF$62/$D$14,$AF$62/('表2-折旧摊销表'!$BA$26+1-'表2-折旧摊销表'!$AF$26))</f>
        <v>0</v>
      </c>
      <c r="AG90" s="376">
        <f>IF('表2-折旧摊销表'!$BA$26+1-'表2-折旧摊销表'!$AF$26&gt;='表2-折旧摊销表'!$D$14,$AF$62/$D$14,$AF$62/('表2-折旧摊销表'!$BA$26+1-'表2-折旧摊销表'!$AF$26))</f>
        <v>0</v>
      </c>
      <c r="AH90" s="376">
        <f>IF('表2-折旧摊销表'!$BA$26+1-'表2-折旧摊销表'!$AF$26&gt;='表2-折旧摊销表'!$D$14,$AF$62/$D$14,$AF$62/('表2-折旧摊销表'!$BA$26+1-'表2-折旧摊销表'!$AF$26))</f>
        <v>0</v>
      </c>
      <c r="AI90" s="376">
        <f>IF('表2-折旧摊销表'!$BA$26+1-'表2-折旧摊销表'!$AF$26&gt;='表2-折旧摊销表'!$D$14,$AF$62/$D$14,$AF$62/('表2-折旧摊销表'!$BA$26+1-'表2-折旧摊销表'!$AF$26))</f>
        <v>0</v>
      </c>
      <c r="AJ90" s="376">
        <f>IF('表2-折旧摊销表'!$BA$26+1-'表2-折旧摊销表'!$AF$26&gt;='表2-折旧摊销表'!$D$14,$AF$62/$D$14,$AF$62/('表2-折旧摊销表'!$BA$26+1-'表2-折旧摊销表'!$AF$26))</f>
        <v>0</v>
      </c>
      <c r="AK90" s="376"/>
      <c r="AL90" s="376"/>
      <c r="AM90" s="376"/>
      <c r="AN90" s="376"/>
      <c r="AO90" s="376"/>
      <c r="AP90" s="376"/>
      <c r="AQ90" s="376"/>
      <c r="AR90" s="376"/>
      <c r="AS90" s="376"/>
      <c r="AT90" s="376"/>
      <c r="AU90" s="376"/>
      <c r="AV90" s="376"/>
      <c r="AW90" s="376"/>
      <c r="AX90" s="376"/>
      <c r="AY90" s="376"/>
      <c r="AZ90" s="376"/>
      <c r="BA90" s="377"/>
    </row>
    <row r="91" s="307" customFormat="1" ht="14.5" spans="2:53">
      <c r="B91" s="360"/>
      <c r="C91" s="389" t="s">
        <v>101</v>
      </c>
      <c r="D91" s="375">
        <f t="shared" si="38"/>
        <v>0</v>
      </c>
      <c r="E91" s="266" t="s">
        <v>130</v>
      </c>
      <c r="F91" s="376"/>
      <c r="G91" s="376"/>
      <c r="H91" s="376"/>
      <c r="I91" s="376"/>
      <c r="J91" s="376"/>
      <c r="K91" s="376"/>
      <c r="L91" s="376"/>
      <c r="M91" s="376"/>
      <c r="N91" s="376"/>
      <c r="O91" s="376"/>
      <c r="P91" s="376"/>
      <c r="Q91" s="376"/>
      <c r="R91" s="376"/>
      <c r="S91" s="376"/>
      <c r="T91" s="376"/>
      <c r="U91" s="376"/>
      <c r="V91" s="376"/>
      <c r="W91" s="376"/>
      <c r="X91" s="376"/>
      <c r="Y91" s="376"/>
      <c r="Z91" s="376"/>
      <c r="AA91" s="376"/>
      <c r="AB91" s="376"/>
      <c r="AC91" s="376"/>
      <c r="AD91" s="376"/>
      <c r="AE91" s="376"/>
      <c r="AF91" s="376"/>
      <c r="AG91" s="376">
        <f>IF('表2-折旧摊销表'!$BA$26+1-'表2-折旧摊销表'!$AG$26&gt;='表2-折旧摊销表'!$D$14,$AG$62/$D$14,$AG$62/('表2-折旧摊销表'!$BA$26+1-'表2-折旧摊销表'!$AG$26))</f>
        <v>0</v>
      </c>
      <c r="AH91" s="376">
        <f>IF('表2-折旧摊销表'!$BA$26+1-'表2-折旧摊销表'!$AG$26&gt;='表2-折旧摊销表'!$D$14,$AG$62/$D$14,$AG$62/('表2-折旧摊销表'!$BA$26+1-'表2-折旧摊销表'!$AG$26))</f>
        <v>0</v>
      </c>
      <c r="AI91" s="376">
        <f>IF('表2-折旧摊销表'!$BA$26+1-'表2-折旧摊销表'!$AG$26&gt;='表2-折旧摊销表'!$D$14,$AG$62/$D$14,$AG$62/('表2-折旧摊销表'!$BA$26+1-'表2-折旧摊销表'!$AG$26))</f>
        <v>0</v>
      </c>
      <c r="AJ91" s="376">
        <f>IF('表2-折旧摊销表'!$BA$26+1-'表2-折旧摊销表'!$AG$26&gt;='表2-折旧摊销表'!$D$14,$AG$62/$D$14,$AG$62/('表2-折旧摊销表'!$BA$26+1-'表2-折旧摊销表'!$AG$26))</f>
        <v>0</v>
      </c>
      <c r="AK91" s="376">
        <f>IF('表2-折旧摊销表'!$BA$26+1-'表2-折旧摊销表'!$AG$26&gt;='表2-折旧摊销表'!$D$14,$AG$62/$D$14,$AG$62/('表2-折旧摊销表'!$BA$26+1-'表2-折旧摊销表'!$AG$26))</f>
        <v>0</v>
      </c>
      <c r="AL91" s="376"/>
      <c r="AM91" s="376"/>
      <c r="AN91" s="376"/>
      <c r="AO91" s="376"/>
      <c r="AP91" s="376"/>
      <c r="AQ91" s="376"/>
      <c r="AR91" s="376"/>
      <c r="AS91" s="376"/>
      <c r="AT91" s="376"/>
      <c r="AU91" s="376"/>
      <c r="AV91" s="376"/>
      <c r="AW91" s="376"/>
      <c r="AX91" s="376"/>
      <c r="AY91" s="376"/>
      <c r="AZ91" s="376"/>
      <c r="BA91" s="377"/>
    </row>
    <row r="92" s="307" customFormat="1" ht="14.5" spans="2:53">
      <c r="B92" s="360"/>
      <c r="C92" s="389" t="s">
        <v>102</v>
      </c>
      <c r="D92" s="375">
        <f t="shared" si="38"/>
        <v>458.715596330275</v>
      </c>
      <c r="E92" s="266" t="s">
        <v>130</v>
      </c>
      <c r="F92" s="376"/>
      <c r="G92" s="376"/>
      <c r="H92" s="376"/>
      <c r="I92" s="376"/>
      <c r="J92" s="376"/>
      <c r="K92" s="376"/>
      <c r="L92" s="376"/>
      <c r="M92" s="376"/>
      <c r="N92" s="376"/>
      <c r="O92" s="376"/>
      <c r="P92" s="376"/>
      <c r="Q92" s="376"/>
      <c r="R92" s="376"/>
      <c r="S92" s="376"/>
      <c r="T92" s="376"/>
      <c r="U92" s="376"/>
      <c r="V92" s="376"/>
      <c r="W92" s="376"/>
      <c r="X92" s="376"/>
      <c r="Y92" s="376"/>
      <c r="Z92" s="376"/>
      <c r="AA92" s="376"/>
      <c r="AB92" s="376"/>
      <c r="AC92" s="376"/>
      <c r="AD92" s="376"/>
      <c r="AE92" s="376"/>
      <c r="AF92" s="376"/>
      <c r="AG92" s="376"/>
      <c r="AH92" s="376">
        <f>IF('表2-折旧摊销表'!$BA$26+1-'表2-折旧摊销表'!$AH$26&gt;='表2-折旧摊销表'!$D$14,$AH$62/$D$14,$AH$62/('表2-折旧摊销表'!$BA$26+1-'表2-折旧摊销表'!$AH$26))</f>
        <v>91.743119266055</v>
      </c>
      <c r="AI92" s="376">
        <f>IF('表2-折旧摊销表'!$BA$26+1-'表2-折旧摊销表'!$AH$26&gt;='表2-折旧摊销表'!$D$14,$AH$62/$D$14,$AH$62/('表2-折旧摊销表'!$BA$26+1-'表2-折旧摊销表'!$AH$26))</f>
        <v>91.743119266055</v>
      </c>
      <c r="AJ92" s="376">
        <f>IF('表2-折旧摊销表'!$BA$26+1-'表2-折旧摊销表'!$AH$26&gt;='表2-折旧摊销表'!$D$14,$AH$62/$D$14,$AH$62/('表2-折旧摊销表'!$BA$26+1-'表2-折旧摊销表'!$AH$26))</f>
        <v>91.743119266055</v>
      </c>
      <c r="AK92" s="376">
        <f>IF('表2-折旧摊销表'!$BA$26+1-'表2-折旧摊销表'!$AH$26&gt;='表2-折旧摊销表'!$D$14,$AH$62/$D$14,$AH$62/('表2-折旧摊销表'!$BA$26+1-'表2-折旧摊销表'!$AH$26))</f>
        <v>91.743119266055</v>
      </c>
      <c r="AL92" s="376">
        <f>IF('表2-折旧摊销表'!$BA$26+1-'表2-折旧摊销表'!$AH$26&gt;='表2-折旧摊销表'!$D$14,$AH$62/$D$14,$AH$62/('表2-折旧摊销表'!$BA$26+1-'表2-折旧摊销表'!$AH$26))</f>
        <v>91.743119266055</v>
      </c>
      <c r="AM92" s="376"/>
      <c r="AN92" s="376"/>
      <c r="AO92" s="376"/>
      <c r="AP92" s="376"/>
      <c r="AQ92" s="376"/>
      <c r="AR92" s="376"/>
      <c r="AS92" s="376"/>
      <c r="AT92" s="376"/>
      <c r="AU92" s="376"/>
      <c r="AV92" s="376"/>
      <c r="AW92" s="376"/>
      <c r="AX92" s="376"/>
      <c r="AY92" s="376"/>
      <c r="AZ92" s="376"/>
      <c r="BA92" s="377"/>
    </row>
    <row r="93" s="307" customFormat="1" ht="14.5" spans="2:53">
      <c r="B93" s="360"/>
      <c r="C93" s="389" t="s">
        <v>103</v>
      </c>
      <c r="D93" s="375">
        <f t="shared" si="38"/>
        <v>0</v>
      </c>
      <c r="E93" s="266" t="s">
        <v>130</v>
      </c>
      <c r="F93" s="376"/>
      <c r="G93" s="376"/>
      <c r="H93" s="376"/>
      <c r="I93" s="376"/>
      <c r="J93" s="376"/>
      <c r="K93" s="376"/>
      <c r="L93" s="376"/>
      <c r="M93" s="376"/>
      <c r="N93" s="376"/>
      <c r="O93" s="376"/>
      <c r="P93" s="376"/>
      <c r="Q93" s="376"/>
      <c r="R93" s="376"/>
      <c r="S93" s="376"/>
      <c r="T93" s="376"/>
      <c r="U93" s="376"/>
      <c r="V93" s="376"/>
      <c r="W93" s="376"/>
      <c r="X93" s="376"/>
      <c r="Y93" s="376"/>
      <c r="Z93" s="376"/>
      <c r="AA93" s="376"/>
      <c r="AB93" s="376"/>
      <c r="AC93" s="376"/>
      <c r="AD93" s="376"/>
      <c r="AE93" s="376"/>
      <c r="AF93" s="376"/>
      <c r="AG93" s="376"/>
      <c r="AH93" s="376"/>
      <c r="AI93" s="376">
        <f>IF('表2-折旧摊销表'!$BA$26+1-'表2-折旧摊销表'!$AI$26&gt;='表2-折旧摊销表'!$D$14,$AI$62/$D$14,$AI$62/('表2-折旧摊销表'!$BA$26+1-'表2-折旧摊销表'!$AI$26))</f>
        <v>0</v>
      </c>
      <c r="AJ93" s="376">
        <f>IF('表2-折旧摊销表'!$BA$26+1-'表2-折旧摊销表'!$AI$26&gt;='表2-折旧摊销表'!$D$14,$AI$62/$D$14,$AI$62/('表2-折旧摊销表'!$BA$26+1-'表2-折旧摊销表'!$AI$26))</f>
        <v>0</v>
      </c>
      <c r="AK93" s="376">
        <f>IF('表2-折旧摊销表'!$BA$26+1-'表2-折旧摊销表'!$AI$26&gt;='表2-折旧摊销表'!$D$14,$AI$62/$D$14,$AI$62/('表2-折旧摊销表'!$BA$26+1-'表2-折旧摊销表'!$AI$26))</f>
        <v>0</v>
      </c>
      <c r="AL93" s="376">
        <f>IF('表2-折旧摊销表'!$BA$26+1-'表2-折旧摊销表'!$AI$26&gt;='表2-折旧摊销表'!$D$14,$AI$62/$D$14,$AI$62/('表2-折旧摊销表'!$BA$26+1-'表2-折旧摊销表'!$AI$26))</f>
        <v>0</v>
      </c>
      <c r="AM93" s="376">
        <f>IF('表2-折旧摊销表'!$BA$26+1-'表2-折旧摊销表'!$AI$26&gt;='表2-折旧摊销表'!$D$14,$AI$62/$D$14,$AI$62/('表2-折旧摊销表'!$BA$26+1-'表2-折旧摊销表'!$AI$26))</f>
        <v>0</v>
      </c>
      <c r="AN93" s="376"/>
      <c r="AO93" s="376"/>
      <c r="AP93" s="376"/>
      <c r="AQ93" s="376"/>
      <c r="AR93" s="376"/>
      <c r="AS93" s="376"/>
      <c r="AT93" s="376"/>
      <c r="AU93" s="376"/>
      <c r="AV93" s="376"/>
      <c r="AW93" s="376"/>
      <c r="AX93" s="376"/>
      <c r="AY93" s="376"/>
      <c r="AZ93" s="376"/>
      <c r="BA93" s="377"/>
    </row>
    <row r="94" s="307" customFormat="1" ht="14.5" spans="2:53">
      <c r="B94" s="360"/>
      <c r="C94" s="389" t="s">
        <v>104</v>
      </c>
      <c r="D94" s="375">
        <f t="shared" si="38"/>
        <v>0</v>
      </c>
      <c r="E94" s="266" t="s">
        <v>130</v>
      </c>
      <c r="F94" s="376"/>
      <c r="G94" s="376"/>
      <c r="H94" s="376"/>
      <c r="I94" s="376"/>
      <c r="J94" s="376"/>
      <c r="K94" s="376"/>
      <c r="L94" s="376"/>
      <c r="M94" s="376"/>
      <c r="N94" s="376"/>
      <c r="O94" s="376"/>
      <c r="P94" s="376"/>
      <c r="Q94" s="376"/>
      <c r="R94" s="376"/>
      <c r="S94" s="376"/>
      <c r="T94" s="376"/>
      <c r="U94" s="376"/>
      <c r="V94" s="376"/>
      <c r="W94" s="376"/>
      <c r="X94" s="376"/>
      <c r="Y94" s="376"/>
      <c r="Z94" s="376"/>
      <c r="AA94" s="376"/>
      <c r="AB94" s="376"/>
      <c r="AC94" s="376"/>
      <c r="AD94" s="376"/>
      <c r="AE94" s="376"/>
      <c r="AF94" s="376"/>
      <c r="AG94" s="376"/>
      <c r="AH94" s="376"/>
      <c r="AI94" s="376"/>
      <c r="AJ94" s="376">
        <f>IF('表2-折旧摊销表'!$BA$26+1-'表2-折旧摊销表'!$AJ$26&gt;='表2-折旧摊销表'!$D$14,$AJ$62/$D$14,$AJ$62/('表2-折旧摊销表'!$BA$26+1-'表2-折旧摊销表'!$AJ$26))</f>
        <v>0</v>
      </c>
      <c r="AK94" s="376">
        <f>IF('表2-折旧摊销表'!$BA$26+1-'表2-折旧摊销表'!$AJ$26&gt;='表2-折旧摊销表'!$D$14,$AJ$62/$D$14,$AJ$62/('表2-折旧摊销表'!$BA$26+1-'表2-折旧摊销表'!$AJ$26))</f>
        <v>0</v>
      </c>
      <c r="AL94" s="376">
        <f>IF('表2-折旧摊销表'!$BA$26+1-'表2-折旧摊销表'!$AJ$26&gt;='表2-折旧摊销表'!$D$14,$AJ$62/$D$14,$AJ$62/('表2-折旧摊销表'!$BA$26+1-'表2-折旧摊销表'!$AJ$26))</f>
        <v>0</v>
      </c>
      <c r="AM94" s="376">
        <f>IF('表2-折旧摊销表'!$BA$26+1-'表2-折旧摊销表'!$AJ$26&gt;='表2-折旧摊销表'!$D$14,$AJ$62/$D$14,$AJ$62/('表2-折旧摊销表'!$BA$26+1-'表2-折旧摊销表'!$AJ$26))</f>
        <v>0</v>
      </c>
      <c r="AN94" s="376">
        <f>IF('表2-折旧摊销表'!$BA$26+1-'表2-折旧摊销表'!$AJ$26&gt;='表2-折旧摊销表'!$D$14,$AJ$62/$D$14,$AJ$62/('表2-折旧摊销表'!$BA$26+1-'表2-折旧摊销表'!$AJ$26))</f>
        <v>0</v>
      </c>
      <c r="AO94" s="376"/>
      <c r="AP94" s="376"/>
      <c r="AQ94" s="376"/>
      <c r="AR94" s="376"/>
      <c r="AS94" s="376"/>
      <c r="AT94" s="376"/>
      <c r="AU94" s="376"/>
      <c r="AV94" s="376"/>
      <c r="AW94" s="376"/>
      <c r="AX94" s="376"/>
      <c r="AY94" s="376"/>
      <c r="AZ94" s="376"/>
      <c r="BA94" s="377"/>
    </row>
    <row r="95" s="307" customFormat="1" ht="14.5" spans="2:53">
      <c r="B95" s="360"/>
      <c r="C95" s="389" t="s">
        <v>105</v>
      </c>
      <c r="D95" s="375">
        <f t="shared" si="38"/>
        <v>0</v>
      </c>
      <c r="E95" s="266" t="s">
        <v>130</v>
      </c>
      <c r="F95" s="376"/>
      <c r="G95" s="376"/>
      <c r="H95" s="376"/>
      <c r="I95" s="376"/>
      <c r="J95" s="376"/>
      <c r="K95" s="376"/>
      <c r="L95" s="376"/>
      <c r="M95" s="376"/>
      <c r="N95" s="376"/>
      <c r="O95" s="376"/>
      <c r="P95" s="376"/>
      <c r="Q95" s="376"/>
      <c r="R95" s="376"/>
      <c r="S95" s="376"/>
      <c r="T95" s="376"/>
      <c r="U95" s="376"/>
      <c r="V95" s="376"/>
      <c r="W95" s="376"/>
      <c r="X95" s="376"/>
      <c r="Y95" s="376"/>
      <c r="Z95" s="376"/>
      <c r="AA95" s="376"/>
      <c r="AB95" s="376"/>
      <c r="AC95" s="376"/>
      <c r="AD95" s="376"/>
      <c r="AE95" s="376"/>
      <c r="AF95" s="376"/>
      <c r="AG95" s="376"/>
      <c r="AH95" s="376"/>
      <c r="AI95" s="376"/>
      <c r="AJ95" s="376"/>
      <c r="AK95" s="376">
        <f>IF('表2-折旧摊销表'!$BA$26+1-'表2-折旧摊销表'!$AK$26&gt;='表2-折旧摊销表'!$D$14,$AK$62/$D$14,$AK$62/('表2-折旧摊销表'!$BA$26+1-'表2-折旧摊销表'!$AK$26))</f>
        <v>0</v>
      </c>
      <c r="AL95" s="376">
        <f>IF('表2-折旧摊销表'!$BA$26+1-'表2-折旧摊销表'!$AK$26&gt;='表2-折旧摊销表'!$D$14,$AK$62/$D$14,$AK$62/('表2-折旧摊销表'!$BA$26+1-'表2-折旧摊销表'!$AK$26))</f>
        <v>0</v>
      </c>
      <c r="AM95" s="376">
        <f>IF('表2-折旧摊销表'!$BA$26+1-'表2-折旧摊销表'!$AK$26&gt;='表2-折旧摊销表'!$D$14,$AK$62/$D$14,$AK$62/('表2-折旧摊销表'!$BA$26+1-'表2-折旧摊销表'!$AK$26))</f>
        <v>0</v>
      </c>
      <c r="AN95" s="376">
        <f>IF('表2-折旧摊销表'!$BA$26+1-'表2-折旧摊销表'!$AK$26&gt;='表2-折旧摊销表'!$D$14,$AK$62/$D$14,$AK$62/('表2-折旧摊销表'!$BA$26+1-'表2-折旧摊销表'!$AK$26))</f>
        <v>0</v>
      </c>
      <c r="AO95" s="376">
        <f>IF('表2-折旧摊销表'!$BA$26+1-'表2-折旧摊销表'!$AK$26&gt;='表2-折旧摊销表'!$D$14,$AK$62/$D$14,$AK$62/('表2-折旧摊销表'!$BA$26+1-'表2-折旧摊销表'!$AK$26))</f>
        <v>0</v>
      </c>
      <c r="AP95" s="376"/>
      <c r="AQ95" s="376"/>
      <c r="AR95" s="376"/>
      <c r="AS95" s="376"/>
      <c r="AT95" s="376"/>
      <c r="AU95" s="376"/>
      <c r="AV95" s="376"/>
      <c r="AW95" s="376"/>
      <c r="AX95" s="376"/>
      <c r="AY95" s="376"/>
      <c r="AZ95" s="376"/>
      <c r="BA95" s="377"/>
    </row>
    <row r="96" s="307" customFormat="1" ht="14.5" spans="2:53">
      <c r="B96" s="360"/>
      <c r="C96" s="389" t="s">
        <v>106</v>
      </c>
      <c r="D96" s="375">
        <f t="shared" si="38"/>
        <v>0</v>
      </c>
      <c r="E96" s="266" t="s">
        <v>130</v>
      </c>
      <c r="F96" s="376"/>
      <c r="G96" s="376"/>
      <c r="H96" s="376"/>
      <c r="I96" s="376"/>
      <c r="J96" s="376"/>
      <c r="K96" s="376"/>
      <c r="L96" s="376"/>
      <c r="M96" s="376"/>
      <c r="N96" s="376"/>
      <c r="O96" s="376"/>
      <c r="P96" s="376"/>
      <c r="Q96" s="376"/>
      <c r="R96" s="376"/>
      <c r="S96" s="376"/>
      <c r="T96" s="376"/>
      <c r="U96" s="376"/>
      <c r="V96" s="376"/>
      <c r="W96" s="376"/>
      <c r="X96" s="376"/>
      <c r="Y96" s="376"/>
      <c r="Z96" s="376"/>
      <c r="AA96" s="376"/>
      <c r="AB96" s="376"/>
      <c r="AC96" s="376"/>
      <c r="AD96" s="376"/>
      <c r="AE96" s="376"/>
      <c r="AF96" s="376"/>
      <c r="AG96" s="376"/>
      <c r="AH96" s="376"/>
      <c r="AI96" s="376"/>
      <c r="AJ96" s="376"/>
      <c r="AK96" s="376"/>
      <c r="AL96" s="376">
        <f>IF('表2-折旧摊销表'!$BA$26+1-'表2-折旧摊销表'!$AL$26&gt;='表2-折旧摊销表'!$D$14,$AL$62/$D$14,$AL$62/('表2-折旧摊销表'!$BA$26+1-'表2-折旧摊销表'!$AL$26))</f>
        <v>0</v>
      </c>
      <c r="AM96" s="376">
        <f>IF('表2-折旧摊销表'!$BA$26+1-'表2-折旧摊销表'!$AL$26&gt;='表2-折旧摊销表'!$D$14,$AL$62/$D$14,$AL$62/('表2-折旧摊销表'!$BA$26+1-'表2-折旧摊销表'!$AL$26))</f>
        <v>0</v>
      </c>
      <c r="AN96" s="376">
        <f>IF('表2-折旧摊销表'!$BA$26+1-'表2-折旧摊销表'!$AL$26&gt;='表2-折旧摊销表'!$D$14,$AL$62/$D$14,$AL$62/('表2-折旧摊销表'!$BA$26+1-'表2-折旧摊销表'!$AL$26))</f>
        <v>0</v>
      </c>
      <c r="AO96" s="376">
        <f>IF('表2-折旧摊销表'!$BA$26+1-'表2-折旧摊销表'!$AL$26&gt;='表2-折旧摊销表'!$D$14,$AL$62/$D$14,$AL$62/('表2-折旧摊销表'!$BA$26+1-'表2-折旧摊销表'!$AL$26))</f>
        <v>0</v>
      </c>
      <c r="AP96" s="376">
        <f>IF('表2-折旧摊销表'!$BA$26+1-'表2-折旧摊销表'!$AL$26&gt;='表2-折旧摊销表'!$D$14,$AL$62/$D$14,$AL$62/('表2-折旧摊销表'!$BA$26+1-'表2-折旧摊销表'!$AL$26))</f>
        <v>0</v>
      </c>
      <c r="AQ96" s="376"/>
      <c r="AR96" s="376"/>
      <c r="AS96" s="376"/>
      <c r="AT96" s="376"/>
      <c r="AU96" s="376"/>
      <c r="AV96" s="376"/>
      <c r="AW96" s="376"/>
      <c r="AX96" s="376"/>
      <c r="AY96" s="376"/>
      <c r="AZ96" s="376"/>
      <c r="BA96" s="377"/>
    </row>
    <row r="97" s="307" customFormat="1" ht="14.5" spans="2:53">
      <c r="B97" s="360"/>
      <c r="C97" s="389" t="s">
        <v>107</v>
      </c>
      <c r="D97" s="375">
        <f t="shared" si="38"/>
        <v>458.715596330275</v>
      </c>
      <c r="E97" s="266" t="s">
        <v>130</v>
      </c>
      <c r="F97" s="376"/>
      <c r="G97" s="376"/>
      <c r="H97" s="376"/>
      <c r="I97" s="376"/>
      <c r="J97" s="376"/>
      <c r="K97" s="376"/>
      <c r="L97" s="376"/>
      <c r="M97" s="376"/>
      <c r="N97" s="376"/>
      <c r="O97" s="376"/>
      <c r="P97" s="376"/>
      <c r="Q97" s="376"/>
      <c r="R97" s="376"/>
      <c r="S97" s="376"/>
      <c r="T97" s="376"/>
      <c r="U97" s="376"/>
      <c r="V97" s="376"/>
      <c r="W97" s="376"/>
      <c r="X97" s="376"/>
      <c r="Y97" s="376"/>
      <c r="Z97" s="376"/>
      <c r="AA97" s="376"/>
      <c r="AB97" s="376"/>
      <c r="AC97" s="376"/>
      <c r="AD97" s="376"/>
      <c r="AE97" s="376"/>
      <c r="AF97" s="376"/>
      <c r="AG97" s="376"/>
      <c r="AH97" s="376"/>
      <c r="AI97" s="376"/>
      <c r="AJ97" s="376"/>
      <c r="AK97" s="376"/>
      <c r="AL97" s="376"/>
      <c r="AM97" s="376">
        <f>IF('表2-折旧摊销表'!$BA$26+1-'表2-折旧摊销表'!$AM$26&gt;='表2-折旧摊销表'!$D$14,$AM$62/$D$14,$AM$62/('表2-折旧摊销表'!$BA$26+1-'表2-折旧摊销表'!$AM$26))</f>
        <v>91.743119266055</v>
      </c>
      <c r="AN97" s="376">
        <f>IF('表2-折旧摊销表'!$BA$26+1-'表2-折旧摊销表'!$AM$26&gt;='表2-折旧摊销表'!$D$14,$AM$62/$D$14,$AM$62/('表2-折旧摊销表'!$BA$26+1-'表2-折旧摊销表'!$AM$26))</f>
        <v>91.743119266055</v>
      </c>
      <c r="AO97" s="376">
        <f>IF('表2-折旧摊销表'!$BA$26+1-'表2-折旧摊销表'!$AM$26&gt;='表2-折旧摊销表'!$D$14,$AM$62/$D$14,$AM$62/('表2-折旧摊销表'!$BA$26+1-'表2-折旧摊销表'!$AM$26))</f>
        <v>91.743119266055</v>
      </c>
      <c r="AP97" s="376">
        <f>IF('表2-折旧摊销表'!$BA$26+1-'表2-折旧摊销表'!$AM$26&gt;='表2-折旧摊销表'!$D$14,$AM$62/$D$14,$AM$62/('表2-折旧摊销表'!$BA$26+1-'表2-折旧摊销表'!$AM$26))</f>
        <v>91.743119266055</v>
      </c>
      <c r="AQ97" s="376">
        <f>IF('表2-折旧摊销表'!$BA$26+1-'表2-折旧摊销表'!$AM$26&gt;='表2-折旧摊销表'!$D$14,$AM$62/$D$14,$AM$62/('表2-折旧摊销表'!$BA$26+1-'表2-折旧摊销表'!$AM$26))</f>
        <v>91.743119266055</v>
      </c>
      <c r="AR97" s="376"/>
      <c r="AS97" s="376"/>
      <c r="AT97" s="376"/>
      <c r="AU97" s="376"/>
      <c r="AV97" s="376"/>
      <c r="AW97" s="376"/>
      <c r="AX97" s="376"/>
      <c r="AY97" s="376"/>
      <c r="AZ97" s="376"/>
      <c r="BA97" s="377"/>
    </row>
    <row r="98" s="307" customFormat="1" ht="14.5" spans="2:53">
      <c r="B98" s="360"/>
      <c r="C98" s="389" t="s">
        <v>108</v>
      </c>
      <c r="D98" s="375">
        <f t="shared" si="38"/>
        <v>0</v>
      </c>
      <c r="E98" s="266" t="s">
        <v>130</v>
      </c>
      <c r="F98" s="376"/>
      <c r="G98" s="376"/>
      <c r="H98" s="376"/>
      <c r="I98" s="376"/>
      <c r="J98" s="376"/>
      <c r="K98" s="376"/>
      <c r="L98" s="376"/>
      <c r="M98" s="376"/>
      <c r="N98" s="376"/>
      <c r="O98" s="376"/>
      <c r="P98" s="376"/>
      <c r="Q98" s="376"/>
      <c r="R98" s="376"/>
      <c r="S98" s="376"/>
      <c r="T98" s="376"/>
      <c r="U98" s="376"/>
      <c r="V98" s="376"/>
      <c r="W98" s="376"/>
      <c r="X98" s="376"/>
      <c r="Y98" s="376"/>
      <c r="Z98" s="376"/>
      <c r="AA98" s="376"/>
      <c r="AB98" s="376"/>
      <c r="AC98" s="376"/>
      <c r="AD98" s="376"/>
      <c r="AE98" s="376"/>
      <c r="AF98" s="376"/>
      <c r="AG98" s="376"/>
      <c r="AH98" s="376"/>
      <c r="AI98" s="376"/>
      <c r="AJ98" s="376"/>
      <c r="AK98" s="376"/>
      <c r="AL98" s="376"/>
      <c r="AM98" s="376"/>
      <c r="AN98" s="376">
        <f>IF('表2-折旧摊销表'!$BA$26+1-'表2-折旧摊销表'!$AN$26&gt;='表2-折旧摊销表'!$D$14,$AN$62/$D$14,$AN$62/('表2-折旧摊销表'!$BA$26+1-'表2-折旧摊销表'!$AN$26))</f>
        <v>0</v>
      </c>
      <c r="AO98" s="376">
        <f>IF('表2-折旧摊销表'!$BA$26+1-'表2-折旧摊销表'!$AN$26&gt;='表2-折旧摊销表'!$D$14,$AN$62/$D$14,$AN$62/('表2-折旧摊销表'!$BA$26+1-'表2-折旧摊销表'!$AN$26))</f>
        <v>0</v>
      </c>
      <c r="AP98" s="376">
        <f>IF('表2-折旧摊销表'!$BA$26+1-'表2-折旧摊销表'!$AN$26&gt;='表2-折旧摊销表'!$D$14,$AN$62/$D$14,$AN$62/('表2-折旧摊销表'!$BA$26+1-'表2-折旧摊销表'!$AN$26))</f>
        <v>0</v>
      </c>
      <c r="AQ98" s="376">
        <f>IF('表2-折旧摊销表'!$BA$26+1-'表2-折旧摊销表'!$AN$26&gt;='表2-折旧摊销表'!$D$14,$AN$62/$D$14,$AN$62/('表2-折旧摊销表'!$BA$26+1-'表2-折旧摊销表'!$AN$26))</f>
        <v>0</v>
      </c>
      <c r="AR98" s="376">
        <f>IF('表2-折旧摊销表'!$BA$26+1-'表2-折旧摊销表'!$AN$26&gt;='表2-折旧摊销表'!$D$14,$AN$62/$D$14,$AN$62/('表2-折旧摊销表'!$BA$26+1-'表2-折旧摊销表'!$AN$26))</f>
        <v>0</v>
      </c>
      <c r="AS98" s="376"/>
      <c r="AT98" s="376"/>
      <c r="AU98" s="376"/>
      <c r="AV98" s="376"/>
      <c r="AW98" s="376"/>
      <c r="AX98" s="376"/>
      <c r="AY98" s="376"/>
      <c r="AZ98" s="376"/>
      <c r="BA98" s="377"/>
    </row>
    <row r="99" s="307" customFormat="1" ht="14.5" spans="2:53">
      <c r="B99" s="360"/>
      <c r="C99" s="389" t="s">
        <v>109</v>
      </c>
      <c r="D99" s="375">
        <f t="shared" si="38"/>
        <v>0</v>
      </c>
      <c r="E99" s="266" t="s">
        <v>130</v>
      </c>
      <c r="F99" s="376"/>
      <c r="G99" s="376"/>
      <c r="H99" s="376"/>
      <c r="I99" s="376"/>
      <c r="J99" s="376"/>
      <c r="K99" s="376"/>
      <c r="L99" s="376"/>
      <c r="M99" s="376"/>
      <c r="N99" s="376"/>
      <c r="O99" s="376"/>
      <c r="P99" s="376"/>
      <c r="Q99" s="376"/>
      <c r="R99" s="376"/>
      <c r="S99" s="376"/>
      <c r="T99" s="376"/>
      <c r="U99" s="376"/>
      <c r="V99" s="376"/>
      <c r="W99" s="376"/>
      <c r="X99" s="376"/>
      <c r="Y99" s="376"/>
      <c r="Z99" s="376"/>
      <c r="AA99" s="376"/>
      <c r="AB99" s="376"/>
      <c r="AC99" s="376"/>
      <c r="AD99" s="376"/>
      <c r="AE99" s="376"/>
      <c r="AF99" s="376"/>
      <c r="AG99" s="376"/>
      <c r="AH99" s="376"/>
      <c r="AI99" s="376"/>
      <c r="AJ99" s="376"/>
      <c r="AK99" s="376"/>
      <c r="AL99" s="376"/>
      <c r="AM99" s="376"/>
      <c r="AN99" s="376"/>
      <c r="AO99" s="376">
        <f>IF('表2-折旧摊销表'!$BA$26+1-'表2-折旧摊销表'!$AO$26&gt;='表2-折旧摊销表'!$D$14,$AO$62/$D$14,$AO$62/('表2-折旧摊销表'!$BA$26+1-'表2-折旧摊销表'!$AO$26))</f>
        <v>0</v>
      </c>
      <c r="AP99" s="376">
        <f>IF('表2-折旧摊销表'!$BA$26+1-'表2-折旧摊销表'!$AO$26&gt;='表2-折旧摊销表'!$D$14,$AO$62/$D$14,$AO$62/('表2-折旧摊销表'!$BA$26+1-'表2-折旧摊销表'!$AO$26))</f>
        <v>0</v>
      </c>
      <c r="AQ99" s="376">
        <f>IF('表2-折旧摊销表'!$BA$26+1-'表2-折旧摊销表'!$AO$26&gt;='表2-折旧摊销表'!$D$14,$AO$62/$D$14,$AO$62/('表2-折旧摊销表'!$BA$26+1-'表2-折旧摊销表'!$AO$26))</f>
        <v>0</v>
      </c>
      <c r="AR99" s="376">
        <f>IF('表2-折旧摊销表'!$BA$26+1-'表2-折旧摊销表'!$AO$26&gt;='表2-折旧摊销表'!$D$14,$AO$62/$D$14,$AO$62/('表2-折旧摊销表'!$BA$26+1-'表2-折旧摊销表'!$AO$26))</f>
        <v>0</v>
      </c>
      <c r="AS99" s="376">
        <f>IF('表2-折旧摊销表'!$BA$26+1-'表2-折旧摊销表'!$AO$26&gt;='表2-折旧摊销表'!$D$14,$AO$62/$D$14,$AO$62/('表2-折旧摊销表'!$BA$26+1-'表2-折旧摊销表'!$AO$26))</f>
        <v>0</v>
      </c>
      <c r="AT99" s="376"/>
      <c r="AU99" s="376"/>
      <c r="AV99" s="376"/>
      <c r="AW99" s="376"/>
      <c r="AX99" s="376"/>
      <c r="AY99" s="376"/>
      <c r="AZ99" s="376"/>
      <c r="BA99" s="377"/>
    </row>
    <row r="100" s="307" customFormat="1" ht="14.5" spans="2:53">
      <c r="B100" s="360"/>
      <c r="C100" s="389" t="s">
        <v>110</v>
      </c>
      <c r="D100" s="375">
        <f t="shared" si="38"/>
        <v>0</v>
      </c>
      <c r="E100" s="266" t="s">
        <v>130</v>
      </c>
      <c r="F100" s="376"/>
      <c r="G100" s="376"/>
      <c r="H100" s="376"/>
      <c r="I100" s="376"/>
      <c r="J100" s="376"/>
      <c r="K100" s="376"/>
      <c r="L100" s="376"/>
      <c r="M100" s="376"/>
      <c r="N100" s="376"/>
      <c r="O100" s="376"/>
      <c r="P100" s="376"/>
      <c r="Q100" s="376"/>
      <c r="R100" s="376"/>
      <c r="S100" s="376"/>
      <c r="T100" s="376"/>
      <c r="U100" s="376"/>
      <c r="V100" s="376"/>
      <c r="W100" s="376"/>
      <c r="X100" s="376"/>
      <c r="Y100" s="376"/>
      <c r="Z100" s="376"/>
      <c r="AA100" s="376"/>
      <c r="AB100" s="376"/>
      <c r="AC100" s="376"/>
      <c r="AD100" s="376"/>
      <c r="AE100" s="376"/>
      <c r="AF100" s="376"/>
      <c r="AG100" s="376"/>
      <c r="AH100" s="376"/>
      <c r="AI100" s="376"/>
      <c r="AJ100" s="376"/>
      <c r="AK100" s="376"/>
      <c r="AL100" s="376"/>
      <c r="AM100" s="376"/>
      <c r="AN100" s="376"/>
      <c r="AO100" s="376"/>
      <c r="AP100" s="376">
        <f>IF('表2-折旧摊销表'!$BA$26+1-'表2-折旧摊销表'!$AP$26&gt;='表2-折旧摊销表'!$D$14,$AP$62/$D$14,$AP$62/('表2-折旧摊销表'!$BA$26+1-'表2-折旧摊销表'!$AP$26))</f>
        <v>0</v>
      </c>
      <c r="AQ100" s="376">
        <f>IF('表2-折旧摊销表'!$BA$26+1-'表2-折旧摊销表'!$AP$26&gt;='表2-折旧摊销表'!$D$14,$AP$62/$D$14,$AP$62/('表2-折旧摊销表'!$BA$26+1-'表2-折旧摊销表'!$AP$26))</f>
        <v>0</v>
      </c>
      <c r="AR100" s="376">
        <f>IF('表2-折旧摊销表'!$BA$26+1-'表2-折旧摊销表'!$AP$26&gt;='表2-折旧摊销表'!$D$14,$AP$62/$D$14,$AP$62/('表2-折旧摊销表'!$BA$26+1-'表2-折旧摊销表'!$AP$26))</f>
        <v>0</v>
      </c>
      <c r="AS100" s="376">
        <f>IF('表2-折旧摊销表'!$BA$26+1-'表2-折旧摊销表'!$AP$26&gt;='表2-折旧摊销表'!$D$14,$AP$62/$D$14,$AP$62/('表2-折旧摊销表'!$BA$26+1-'表2-折旧摊销表'!$AP$26))</f>
        <v>0</v>
      </c>
      <c r="AT100" s="376">
        <f>IF('表2-折旧摊销表'!$BA$26+1-'表2-折旧摊销表'!$AP$26&gt;='表2-折旧摊销表'!$D$14,$AP$62/$D$14,$AP$62/('表2-折旧摊销表'!$BA$26+1-'表2-折旧摊销表'!$AP$26))</f>
        <v>0</v>
      </c>
      <c r="AU100" s="376"/>
      <c r="AV100" s="376"/>
      <c r="AW100" s="376"/>
      <c r="AX100" s="376"/>
      <c r="AY100" s="376"/>
      <c r="AZ100" s="376"/>
      <c r="BA100" s="377"/>
    </row>
    <row r="101" s="307" customFormat="1" ht="14.5" spans="2:53">
      <c r="B101" s="360"/>
      <c r="C101" s="389" t="s">
        <v>111</v>
      </c>
      <c r="D101" s="375">
        <f t="shared" si="38"/>
        <v>0</v>
      </c>
      <c r="E101" s="266" t="s">
        <v>130</v>
      </c>
      <c r="F101" s="376"/>
      <c r="G101" s="376"/>
      <c r="H101" s="376"/>
      <c r="I101" s="376"/>
      <c r="J101" s="376"/>
      <c r="K101" s="376"/>
      <c r="L101" s="376"/>
      <c r="M101" s="376"/>
      <c r="N101" s="376"/>
      <c r="O101" s="376"/>
      <c r="P101" s="376"/>
      <c r="Q101" s="376"/>
      <c r="R101" s="376"/>
      <c r="S101" s="376"/>
      <c r="T101" s="376"/>
      <c r="U101" s="376"/>
      <c r="V101" s="376"/>
      <c r="W101" s="376"/>
      <c r="X101" s="376"/>
      <c r="Y101" s="376"/>
      <c r="Z101" s="376"/>
      <c r="AA101" s="376"/>
      <c r="AB101" s="376"/>
      <c r="AC101" s="376"/>
      <c r="AD101" s="376"/>
      <c r="AE101" s="376"/>
      <c r="AF101" s="376"/>
      <c r="AG101" s="376"/>
      <c r="AH101" s="376"/>
      <c r="AI101" s="376"/>
      <c r="AJ101" s="376"/>
      <c r="AK101" s="376"/>
      <c r="AL101" s="376"/>
      <c r="AM101" s="376"/>
      <c r="AN101" s="376"/>
      <c r="AO101" s="376"/>
      <c r="AP101" s="376"/>
      <c r="AQ101" s="376">
        <f>IF('表2-折旧摊销表'!$BA$26+1-'表2-折旧摊销表'!$AQ$26&gt;='表2-折旧摊销表'!$D$14,$AQ$62/$D$14,$AQ$62/('表2-折旧摊销表'!$BA$26+1-'表2-折旧摊销表'!$AQ$26))</f>
        <v>0</v>
      </c>
      <c r="AR101" s="376">
        <f>IF('表2-折旧摊销表'!$BA$26+1-'表2-折旧摊销表'!$AQ$26&gt;='表2-折旧摊销表'!$D$14,$AQ$62/$D$14,$AQ$62/('表2-折旧摊销表'!$BA$26+1-'表2-折旧摊销表'!$AQ$26))</f>
        <v>0</v>
      </c>
      <c r="AS101" s="376">
        <f>IF('表2-折旧摊销表'!$BA$26+1-'表2-折旧摊销表'!$AQ$26&gt;='表2-折旧摊销表'!$D$14,$AQ$62/$D$14,$AQ$62/('表2-折旧摊销表'!$BA$26+1-'表2-折旧摊销表'!$AQ$26))</f>
        <v>0</v>
      </c>
      <c r="AT101" s="376">
        <f>IF('表2-折旧摊销表'!$BA$26+1-'表2-折旧摊销表'!$AQ$26&gt;='表2-折旧摊销表'!$D$14,$AQ$62/$D$14,$AQ$62/('表2-折旧摊销表'!$BA$26+1-'表2-折旧摊销表'!$AQ$26))</f>
        <v>0</v>
      </c>
      <c r="AU101" s="376">
        <f>IF('表2-折旧摊销表'!$BA$26+1-'表2-折旧摊销表'!$AQ$26&gt;='表2-折旧摊销表'!$D$14,$AQ$62/$D$14,$AQ$62/('表2-折旧摊销表'!$BA$26+1-'表2-折旧摊销表'!$AQ$26))</f>
        <v>0</v>
      </c>
      <c r="AV101" s="376"/>
      <c r="AW101" s="376"/>
      <c r="AX101" s="376"/>
      <c r="AY101" s="376"/>
      <c r="AZ101" s="376"/>
      <c r="BA101" s="377"/>
    </row>
    <row r="102" s="307" customFormat="1" ht="14.5" spans="2:53">
      <c r="B102" s="360"/>
      <c r="C102" s="389" t="s">
        <v>112</v>
      </c>
      <c r="D102" s="375">
        <f t="shared" si="38"/>
        <v>458.715596330275</v>
      </c>
      <c r="E102" s="266" t="s">
        <v>130</v>
      </c>
      <c r="F102" s="376"/>
      <c r="G102" s="376"/>
      <c r="H102" s="376"/>
      <c r="I102" s="376"/>
      <c r="J102" s="376"/>
      <c r="K102" s="376"/>
      <c r="L102" s="376"/>
      <c r="M102" s="376"/>
      <c r="N102" s="376"/>
      <c r="O102" s="376"/>
      <c r="P102" s="376"/>
      <c r="Q102" s="376"/>
      <c r="R102" s="376"/>
      <c r="S102" s="376"/>
      <c r="T102" s="376"/>
      <c r="U102" s="376"/>
      <c r="V102" s="376"/>
      <c r="W102" s="376"/>
      <c r="X102" s="376"/>
      <c r="Y102" s="376"/>
      <c r="Z102" s="376"/>
      <c r="AA102" s="376"/>
      <c r="AB102" s="376"/>
      <c r="AC102" s="376"/>
      <c r="AD102" s="376"/>
      <c r="AE102" s="376"/>
      <c r="AF102" s="376"/>
      <c r="AG102" s="376"/>
      <c r="AH102" s="376"/>
      <c r="AI102" s="376"/>
      <c r="AJ102" s="376"/>
      <c r="AK102" s="376"/>
      <c r="AL102" s="376"/>
      <c r="AM102" s="376"/>
      <c r="AN102" s="376"/>
      <c r="AO102" s="376"/>
      <c r="AP102" s="376"/>
      <c r="AQ102" s="376"/>
      <c r="AR102" s="376">
        <f>IF('表2-折旧摊销表'!$BA$26+1-'表2-折旧摊销表'!$AR$26&gt;='表2-折旧摊销表'!$D$14,$AR$62/$D$14,$AR$62/('表2-折旧摊销表'!$BA$26+1-'表2-折旧摊销表'!$AR$26))</f>
        <v>91.743119266055</v>
      </c>
      <c r="AS102" s="376">
        <f>IF('表2-折旧摊销表'!$BA$26+1-'表2-折旧摊销表'!$AR$26&gt;='表2-折旧摊销表'!$D$14,$AR$62/$D$14,$AR$62/('表2-折旧摊销表'!$BA$26+1-'表2-折旧摊销表'!$AR$26))</f>
        <v>91.743119266055</v>
      </c>
      <c r="AT102" s="376">
        <f>IF('表2-折旧摊销表'!$BA$26+1-'表2-折旧摊销表'!$AR$26&gt;='表2-折旧摊销表'!$D$14,$AR$62/$D$14,$AR$62/('表2-折旧摊销表'!$BA$26+1-'表2-折旧摊销表'!$AR$26))</f>
        <v>91.743119266055</v>
      </c>
      <c r="AU102" s="376">
        <f>IF('表2-折旧摊销表'!$BA$26+1-'表2-折旧摊销表'!$AR$26&gt;='表2-折旧摊销表'!$D$14,$AR$62/$D$14,$AR$62/('表2-折旧摊销表'!$BA$26+1-'表2-折旧摊销表'!$AR$26))</f>
        <v>91.743119266055</v>
      </c>
      <c r="AV102" s="376">
        <f>IF('表2-折旧摊销表'!$BA$26+1-'表2-折旧摊销表'!$AR$26&gt;='表2-折旧摊销表'!$D$14,$AR$62/$D$14,$AR$62/('表2-折旧摊销表'!$BA$26+1-'表2-折旧摊销表'!$AR$26))</f>
        <v>91.743119266055</v>
      </c>
      <c r="AW102" s="376"/>
      <c r="AX102" s="376"/>
      <c r="AY102" s="376"/>
      <c r="AZ102" s="376"/>
      <c r="BA102" s="377"/>
    </row>
    <row r="103" s="307" customFormat="1" ht="14.5" spans="2:53">
      <c r="B103" s="360"/>
      <c r="C103" s="389" t="s">
        <v>113</v>
      </c>
      <c r="D103" s="375">
        <f t="shared" si="38"/>
        <v>0</v>
      </c>
      <c r="E103" s="266" t="s">
        <v>130</v>
      </c>
      <c r="F103" s="376"/>
      <c r="G103" s="376"/>
      <c r="H103" s="376"/>
      <c r="I103" s="376"/>
      <c r="J103" s="376"/>
      <c r="K103" s="376"/>
      <c r="L103" s="376"/>
      <c r="M103" s="376"/>
      <c r="N103" s="376"/>
      <c r="O103" s="376"/>
      <c r="P103" s="376"/>
      <c r="Q103" s="376"/>
      <c r="R103" s="376"/>
      <c r="S103" s="376"/>
      <c r="T103" s="376"/>
      <c r="U103" s="376"/>
      <c r="V103" s="376"/>
      <c r="W103" s="376"/>
      <c r="X103" s="376"/>
      <c r="Y103" s="376"/>
      <c r="Z103" s="376"/>
      <c r="AA103" s="376"/>
      <c r="AB103" s="376"/>
      <c r="AC103" s="376"/>
      <c r="AD103" s="376"/>
      <c r="AE103" s="376"/>
      <c r="AF103" s="376"/>
      <c r="AG103" s="376"/>
      <c r="AH103" s="376"/>
      <c r="AI103" s="376"/>
      <c r="AJ103" s="376"/>
      <c r="AK103" s="376"/>
      <c r="AL103" s="376"/>
      <c r="AM103" s="376"/>
      <c r="AN103" s="376"/>
      <c r="AO103" s="376"/>
      <c r="AP103" s="376"/>
      <c r="AQ103" s="376"/>
      <c r="AR103" s="376"/>
      <c r="AS103" s="376">
        <f>IF('表2-折旧摊销表'!$BA$26+1-'表2-折旧摊销表'!$AS$26&gt;='表2-折旧摊销表'!$D$14,$AS$62/$D$14,$AS$62/('表2-折旧摊销表'!$BA$26+1-'表2-折旧摊销表'!$AS$26))</f>
        <v>0</v>
      </c>
      <c r="AT103" s="376">
        <f>IF('表2-折旧摊销表'!$BA$26+1-'表2-折旧摊销表'!$AS$26&gt;='表2-折旧摊销表'!$D$14,$AS$62/$D$14,$AS$62/('表2-折旧摊销表'!$BA$26+1-'表2-折旧摊销表'!$AS$26))</f>
        <v>0</v>
      </c>
      <c r="AU103" s="376">
        <f>IF('表2-折旧摊销表'!$BA$26+1-'表2-折旧摊销表'!$AS$26&gt;='表2-折旧摊销表'!$D$14,$AS$62/$D$14,$AS$62/('表2-折旧摊销表'!$BA$26+1-'表2-折旧摊销表'!$AS$26))</f>
        <v>0</v>
      </c>
      <c r="AV103" s="376">
        <f>IF('表2-折旧摊销表'!$BA$26+1-'表2-折旧摊销表'!$AS$26&gt;='表2-折旧摊销表'!$D$14,$AS$62/$D$14,$AS$62/('表2-折旧摊销表'!$BA$26+1-'表2-折旧摊销表'!$AS$26))</f>
        <v>0</v>
      </c>
      <c r="AW103" s="376">
        <f>IF('表2-折旧摊销表'!$BA$26+1-'表2-折旧摊销表'!$AS$26&gt;='表2-折旧摊销表'!$D$14,$AS$62/$D$14,$AS$62/('表2-折旧摊销表'!$BA$26+1-'表2-折旧摊销表'!$AS$26))</f>
        <v>0</v>
      </c>
      <c r="AX103" s="376"/>
      <c r="AY103" s="376"/>
      <c r="AZ103" s="376"/>
      <c r="BA103" s="377"/>
    </row>
    <row r="104" s="307" customFormat="1" ht="14.5" spans="2:53">
      <c r="B104" s="360"/>
      <c r="C104" s="389" t="s">
        <v>114</v>
      </c>
      <c r="D104" s="375">
        <f t="shared" si="38"/>
        <v>0</v>
      </c>
      <c r="E104" s="266" t="s">
        <v>130</v>
      </c>
      <c r="F104" s="376"/>
      <c r="G104" s="376"/>
      <c r="H104" s="376"/>
      <c r="I104" s="376"/>
      <c r="J104" s="376"/>
      <c r="K104" s="376"/>
      <c r="L104" s="376"/>
      <c r="M104" s="376"/>
      <c r="N104" s="376"/>
      <c r="O104" s="376"/>
      <c r="P104" s="376"/>
      <c r="Q104" s="376"/>
      <c r="R104" s="376"/>
      <c r="S104" s="376"/>
      <c r="T104" s="376"/>
      <c r="U104" s="376"/>
      <c r="V104" s="376"/>
      <c r="W104" s="376"/>
      <c r="X104" s="376"/>
      <c r="Y104" s="376"/>
      <c r="Z104" s="376"/>
      <c r="AA104" s="376"/>
      <c r="AB104" s="376"/>
      <c r="AC104" s="376"/>
      <c r="AD104" s="376"/>
      <c r="AE104" s="376"/>
      <c r="AF104" s="376"/>
      <c r="AG104" s="376"/>
      <c r="AH104" s="376"/>
      <c r="AI104" s="376"/>
      <c r="AJ104" s="376"/>
      <c r="AK104" s="376"/>
      <c r="AL104" s="376"/>
      <c r="AM104" s="376"/>
      <c r="AN104" s="376"/>
      <c r="AO104" s="376"/>
      <c r="AP104" s="376"/>
      <c r="AQ104" s="376"/>
      <c r="AR104" s="376"/>
      <c r="AS104" s="376"/>
      <c r="AT104" s="376">
        <f>IF('表2-折旧摊销表'!$BA$26+1-'表2-折旧摊销表'!$AT$26&gt;='表2-折旧摊销表'!$D$14,$AT$62/$D$14,$AT$62/('表2-折旧摊销表'!$BA$26+1-'表2-折旧摊销表'!$AT$26))</f>
        <v>0</v>
      </c>
      <c r="AU104" s="376">
        <f>IF('表2-折旧摊销表'!$BA$26+1-'表2-折旧摊销表'!$AT$26&gt;='表2-折旧摊销表'!$D$14,$AT$62/$D$14,$AT$62/('表2-折旧摊销表'!$BA$26+1-'表2-折旧摊销表'!$AT$26))</f>
        <v>0</v>
      </c>
      <c r="AV104" s="376">
        <f>IF('表2-折旧摊销表'!$BA$26+1-'表2-折旧摊销表'!$AT$26&gt;='表2-折旧摊销表'!$D$14,$AT$62/$D$14,$AT$62/('表2-折旧摊销表'!$BA$26+1-'表2-折旧摊销表'!$AT$26))</f>
        <v>0</v>
      </c>
      <c r="AW104" s="376">
        <f>IF('表2-折旧摊销表'!$BA$26+1-'表2-折旧摊销表'!$AT$26&gt;='表2-折旧摊销表'!$D$14,$AT$62/$D$14,$AT$62/('表2-折旧摊销表'!$BA$26+1-'表2-折旧摊销表'!$AT$26))</f>
        <v>0</v>
      </c>
      <c r="AX104" s="376">
        <f>IF('表2-折旧摊销表'!$BA$26+1-'表2-折旧摊销表'!$AT$26&gt;='表2-折旧摊销表'!$D$14,$AT$62/$D$14,$AT$62/('表2-折旧摊销表'!$BA$26+1-'表2-折旧摊销表'!$AT$26))</f>
        <v>0</v>
      </c>
      <c r="AY104" s="376"/>
      <c r="AZ104" s="376"/>
      <c r="BA104" s="377"/>
    </row>
    <row r="105" s="307" customFormat="1" ht="14.5" spans="2:53">
      <c r="B105" s="360"/>
      <c r="C105" s="389" t="s">
        <v>115</v>
      </c>
      <c r="D105" s="375">
        <f t="shared" si="38"/>
        <v>0</v>
      </c>
      <c r="E105" s="266" t="s">
        <v>130</v>
      </c>
      <c r="F105" s="376"/>
      <c r="G105" s="376"/>
      <c r="H105" s="376"/>
      <c r="I105" s="376"/>
      <c r="J105" s="376"/>
      <c r="K105" s="376"/>
      <c r="L105" s="376"/>
      <c r="M105" s="376"/>
      <c r="N105" s="376"/>
      <c r="O105" s="376"/>
      <c r="P105" s="376"/>
      <c r="Q105" s="376"/>
      <c r="R105" s="376"/>
      <c r="S105" s="376"/>
      <c r="T105" s="376"/>
      <c r="U105" s="376"/>
      <c r="V105" s="376"/>
      <c r="W105" s="376"/>
      <c r="X105" s="376"/>
      <c r="Y105" s="376"/>
      <c r="Z105" s="376"/>
      <c r="AA105" s="376"/>
      <c r="AB105" s="376"/>
      <c r="AC105" s="376"/>
      <c r="AD105" s="376"/>
      <c r="AE105" s="376"/>
      <c r="AF105" s="376"/>
      <c r="AG105" s="376"/>
      <c r="AH105" s="376"/>
      <c r="AI105" s="376"/>
      <c r="AJ105" s="376"/>
      <c r="AK105" s="376"/>
      <c r="AL105" s="376"/>
      <c r="AM105" s="376"/>
      <c r="AN105" s="376"/>
      <c r="AO105" s="376"/>
      <c r="AP105" s="376"/>
      <c r="AQ105" s="376"/>
      <c r="AR105" s="376"/>
      <c r="AS105" s="376"/>
      <c r="AT105" s="376"/>
      <c r="AU105" s="376">
        <f>IF('表2-折旧摊销表'!$BA$26+1-'表2-折旧摊销表'!$AU$26&gt;='表2-折旧摊销表'!$D$14,$AU$62/$D$14,$AU$62/('表2-折旧摊销表'!$BA$26+1-'表2-折旧摊销表'!$AU$26))</f>
        <v>0</v>
      </c>
      <c r="AV105" s="376">
        <f>IF('表2-折旧摊销表'!$BA$26+1-'表2-折旧摊销表'!$AU$26&gt;='表2-折旧摊销表'!$D$14,$AU$62/$D$14,$AU$62/('表2-折旧摊销表'!$BA$26+1-'表2-折旧摊销表'!$AU$26))</f>
        <v>0</v>
      </c>
      <c r="AW105" s="376">
        <f>IF('表2-折旧摊销表'!$BA$26+1-'表2-折旧摊销表'!$AU$26&gt;='表2-折旧摊销表'!$D$14,$AU$62/$D$14,$AU$62/('表2-折旧摊销表'!$BA$26+1-'表2-折旧摊销表'!$AU$26))</f>
        <v>0</v>
      </c>
      <c r="AX105" s="376">
        <f>IF('表2-折旧摊销表'!$BA$26+1-'表2-折旧摊销表'!$AU$26&gt;='表2-折旧摊销表'!$D$14,$AU$62/$D$14,$AU$62/('表2-折旧摊销表'!$BA$26+1-'表2-折旧摊销表'!$AU$26))</f>
        <v>0</v>
      </c>
      <c r="AY105" s="376">
        <f>IF('表2-折旧摊销表'!$BA$26+1-'表2-折旧摊销表'!$AU$26&gt;='表2-折旧摊销表'!$D$14,$AU$62/$D$14,$AU$62/('表2-折旧摊销表'!$BA$26+1-'表2-折旧摊销表'!$AU$26))</f>
        <v>0</v>
      </c>
      <c r="AZ105" s="376"/>
      <c r="BA105" s="377"/>
    </row>
    <row r="106" s="307" customFormat="1" ht="14.5" spans="2:53">
      <c r="B106" s="360"/>
      <c r="C106" s="389" t="s">
        <v>116</v>
      </c>
      <c r="D106" s="375">
        <f t="shared" si="38"/>
        <v>0</v>
      </c>
      <c r="E106" s="266" t="s">
        <v>130</v>
      </c>
      <c r="F106" s="376"/>
      <c r="G106" s="376"/>
      <c r="H106" s="376"/>
      <c r="I106" s="376"/>
      <c r="J106" s="376"/>
      <c r="K106" s="376"/>
      <c r="L106" s="376"/>
      <c r="M106" s="376"/>
      <c r="N106" s="376"/>
      <c r="O106" s="376"/>
      <c r="P106" s="376"/>
      <c r="Q106" s="376"/>
      <c r="R106" s="376"/>
      <c r="S106" s="376"/>
      <c r="T106" s="376"/>
      <c r="U106" s="376"/>
      <c r="V106" s="376"/>
      <c r="W106" s="376"/>
      <c r="X106" s="376"/>
      <c r="Y106" s="376"/>
      <c r="Z106" s="376"/>
      <c r="AA106" s="376"/>
      <c r="AB106" s="376"/>
      <c r="AC106" s="376"/>
      <c r="AD106" s="376"/>
      <c r="AE106" s="376"/>
      <c r="AF106" s="376"/>
      <c r="AG106" s="376"/>
      <c r="AH106" s="376"/>
      <c r="AI106" s="376"/>
      <c r="AJ106" s="376"/>
      <c r="AK106" s="376"/>
      <c r="AL106" s="376"/>
      <c r="AM106" s="376"/>
      <c r="AN106" s="376"/>
      <c r="AO106" s="376"/>
      <c r="AP106" s="376"/>
      <c r="AQ106" s="376"/>
      <c r="AR106" s="376"/>
      <c r="AS106" s="376"/>
      <c r="AT106" s="376"/>
      <c r="AU106" s="376"/>
      <c r="AV106" s="376">
        <f>IF('表2-折旧摊销表'!$BA$26+1-'表2-折旧摊销表'!$AV$26&gt;='表2-折旧摊销表'!$D$14,$AV$62/$D$14,$AV$62/('表2-折旧摊销表'!$BA$26+1-'表2-折旧摊销表'!$AV$26))</f>
        <v>0</v>
      </c>
      <c r="AW106" s="376">
        <f>IF('表2-折旧摊销表'!$BA$26+1-'表2-折旧摊销表'!$AV$26&gt;='表2-折旧摊销表'!$D$14,$AV$62/$D$14,$AV$62/('表2-折旧摊销表'!$BA$26+1-'表2-折旧摊销表'!$AV$26))</f>
        <v>0</v>
      </c>
      <c r="AX106" s="376">
        <f>IF('表2-折旧摊销表'!$BA$26+1-'表2-折旧摊销表'!$AV$26&gt;='表2-折旧摊销表'!$D$14,$AV$62/$D$14,$AV$62/('表2-折旧摊销表'!$BA$26+1-'表2-折旧摊销表'!$AV$26))</f>
        <v>0</v>
      </c>
      <c r="AY106" s="376">
        <f>IF('表2-折旧摊销表'!$BA$26+1-'表2-折旧摊销表'!$AV$26&gt;='表2-折旧摊销表'!$D$14,$AV$62/$D$14,$AV$62/('表2-折旧摊销表'!$BA$26+1-'表2-折旧摊销表'!$AV$26))</f>
        <v>0</v>
      </c>
      <c r="AZ106" s="376">
        <f>IF('表2-折旧摊销表'!$BA$26+1-'表2-折旧摊销表'!$AV$26&gt;='表2-折旧摊销表'!$D$14,$AV$62/$D$14,$AV$62/('表2-折旧摊销表'!$BA$26+1-'表2-折旧摊销表'!$AV$26))</f>
        <v>0</v>
      </c>
      <c r="BA106" s="377"/>
    </row>
    <row r="107" s="307" customFormat="1" ht="14.5" spans="2:53">
      <c r="B107" s="360"/>
      <c r="C107" s="389" t="s">
        <v>117</v>
      </c>
      <c r="D107" s="375">
        <f t="shared" si="38"/>
        <v>458.715596330275</v>
      </c>
      <c r="E107" s="266" t="s">
        <v>130</v>
      </c>
      <c r="F107" s="376"/>
      <c r="G107" s="376"/>
      <c r="H107" s="376"/>
      <c r="I107" s="376"/>
      <c r="J107" s="376"/>
      <c r="K107" s="376"/>
      <c r="L107" s="376"/>
      <c r="M107" s="376"/>
      <c r="N107" s="376"/>
      <c r="O107" s="376"/>
      <c r="P107" s="376"/>
      <c r="Q107" s="376"/>
      <c r="R107" s="376"/>
      <c r="S107" s="376"/>
      <c r="T107" s="376"/>
      <c r="U107" s="376"/>
      <c r="V107" s="376"/>
      <c r="W107" s="376"/>
      <c r="X107" s="376"/>
      <c r="Y107" s="376"/>
      <c r="Z107" s="376"/>
      <c r="AA107" s="376"/>
      <c r="AB107" s="376"/>
      <c r="AC107" s="376"/>
      <c r="AD107" s="376"/>
      <c r="AE107" s="376"/>
      <c r="AF107" s="376"/>
      <c r="AG107" s="376"/>
      <c r="AH107" s="376"/>
      <c r="AI107" s="376"/>
      <c r="AJ107" s="376"/>
      <c r="AK107" s="376"/>
      <c r="AL107" s="376"/>
      <c r="AM107" s="376"/>
      <c r="AN107" s="376"/>
      <c r="AO107" s="376"/>
      <c r="AP107" s="376"/>
      <c r="AQ107" s="376"/>
      <c r="AR107" s="376"/>
      <c r="AS107" s="376"/>
      <c r="AT107" s="376"/>
      <c r="AU107" s="376"/>
      <c r="AV107" s="376"/>
      <c r="AW107" s="376">
        <f>IF('表2-折旧摊销表'!$BA$26+1-'表2-折旧摊销表'!$AW$26&gt;='表2-折旧摊销表'!$D$14,$AW$62/$D$14,$AW$62/('表2-折旧摊销表'!$BA$26+1-'表2-折旧摊销表'!$AW$26))</f>
        <v>91.743119266055</v>
      </c>
      <c r="AX107" s="376">
        <f>IF('表2-折旧摊销表'!$BA$26+1-'表2-折旧摊销表'!$AW$26&gt;='表2-折旧摊销表'!$D$14,$AW$62/$D$14,$AW$62/('表2-折旧摊销表'!$BA$26+1-'表2-折旧摊销表'!$AW$26))</f>
        <v>91.743119266055</v>
      </c>
      <c r="AY107" s="376">
        <f>IF('表2-折旧摊销表'!$BA$26+1-'表2-折旧摊销表'!$AW$26&gt;='表2-折旧摊销表'!$D$14,$AW$62/$D$14,$AW$62/('表2-折旧摊销表'!$BA$26+1-'表2-折旧摊销表'!$AW$26))</f>
        <v>91.743119266055</v>
      </c>
      <c r="AZ107" s="376">
        <f>IF('表2-折旧摊销表'!$BA$26+1-'表2-折旧摊销表'!$AW$26&gt;='表2-折旧摊销表'!$D$14,$AW$62/$D$14,$AW$62/('表2-折旧摊销表'!$BA$26+1-'表2-折旧摊销表'!$AW$26))</f>
        <v>91.743119266055</v>
      </c>
      <c r="BA107" s="377">
        <f>IF('表2-折旧摊销表'!$BA$26+1-'表2-折旧摊销表'!$AW$26&gt;='表2-折旧摊销表'!$D$14,$AW$62/$D$14,$AW$62/('表2-折旧摊销表'!$BA$26+1-'表2-折旧摊销表'!$AW$26))</f>
        <v>91.743119266055</v>
      </c>
    </row>
    <row r="108" s="307" customFormat="1" ht="14.5" spans="2:53">
      <c r="B108" s="360"/>
      <c r="C108" s="389" t="s">
        <v>118</v>
      </c>
      <c r="D108" s="375">
        <f t="shared" si="38"/>
        <v>0</v>
      </c>
      <c r="E108" s="266" t="s">
        <v>130</v>
      </c>
      <c r="F108" s="376"/>
      <c r="G108" s="376"/>
      <c r="H108" s="376"/>
      <c r="I108" s="376"/>
      <c r="J108" s="376"/>
      <c r="K108" s="376"/>
      <c r="L108" s="376"/>
      <c r="M108" s="376"/>
      <c r="N108" s="376"/>
      <c r="O108" s="376"/>
      <c r="P108" s="376"/>
      <c r="Q108" s="376"/>
      <c r="R108" s="376"/>
      <c r="S108" s="376"/>
      <c r="T108" s="376"/>
      <c r="U108" s="376"/>
      <c r="V108" s="376"/>
      <c r="W108" s="376"/>
      <c r="X108" s="376"/>
      <c r="Y108" s="376"/>
      <c r="Z108" s="376"/>
      <c r="AA108" s="376"/>
      <c r="AB108" s="376"/>
      <c r="AC108" s="376"/>
      <c r="AD108" s="376"/>
      <c r="AE108" s="376"/>
      <c r="AF108" s="376"/>
      <c r="AG108" s="376"/>
      <c r="AH108" s="376"/>
      <c r="AI108" s="376"/>
      <c r="AJ108" s="376"/>
      <c r="AK108" s="376"/>
      <c r="AL108" s="376"/>
      <c r="AM108" s="376"/>
      <c r="AN108" s="376"/>
      <c r="AO108" s="376"/>
      <c r="AP108" s="376"/>
      <c r="AQ108" s="376"/>
      <c r="AR108" s="376"/>
      <c r="AS108" s="376"/>
      <c r="AT108" s="376"/>
      <c r="AU108" s="376"/>
      <c r="AV108" s="376"/>
      <c r="AW108" s="376"/>
      <c r="AX108" s="376">
        <f>IF('表2-折旧摊销表'!$BA$26+1-'表2-折旧摊销表'!$AX$26&gt;='表2-折旧摊销表'!$D$14,$AX$62/$D$14,$AX$62/('表2-折旧摊销表'!$BA$26+1-'表2-折旧摊销表'!$AX$26))</f>
        <v>0</v>
      </c>
      <c r="AY108" s="376">
        <f>IF('表2-折旧摊销表'!$BA$26+1-'表2-折旧摊销表'!$AX$26&gt;='表2-折旧摊销表'!$D$14,$AX$62/$D$14,$AX$62/('表2-折旧摊销表'!$BA$26+1-'表2-折旧摊销表'!$AX$26))</f>
        <v>0</v>
      </c>
      <c r="AZ108" s="376">
        <f>IF('表2-折旧摊销表'!$BA$26+1-'表2-折旧摊销表'!$AX$26&gt;='表2-折旧摊销表'!$D$14,$AX$62/$D$14,$AX$62/('表2-折旧摊销表'!$BA$26+1-'表2-折旧摊销表'!$AX$26))</f>
        <v>0</v>
      </c>
      <c r="BA108" s="377">
        <f>IF('表2-折旧摊销表'!$BA$26+1-'表2-折旧摊销表'!$AX$26&gt;='表2-折旧摊销表'!$D$14,$AX$62/$D$14,$AX$62/('表2-折旧摊销表'!$BA$26+1-'表2-折旧摊销表'!$AX$26))</f>
        <v>0</v>
      </c>
    </row>
    <row r="109" s="307" customFormat="1" ht="14.5" spans="2:53">
      <c r="B109" s="360"/>
      <c r="C109" s="389" t="s">
        <v>119</v>
      </c>
      <c r="D109" s="375">
        <f t="shared" si="38"/>
        <v>458.715596330275</v>
      </c>
      <c r="E109" s="266" t="s">
        <v>130</v>
      </c>
      <c r="F109" s="376"/>
      <c r="G109" s="376"/>
      <c r="H109" s="376"/>
      <c r="I109" s="376"/>
      <c r="J109" s="376"/>
      <c r="K109" s="376"/>
      <c r="L109" s="376"/>
      <c r="M109" s="376"/>
      <c r="N109" s="376"/>
      <c r="O109" s="376"/>
      <c r="P109" s="376"/>
      <c r="Q109" s="376"/>
      <c r="R109" s="376"/>
      <c r="S109" s="376"/>
      <c r="T109" s="376"/>
      <c r="U109" s="376"/>
      <c r="V109" s="376"/>
      <c r="W109" s="376"/>
      <c r="X109" s="376"/>
      <c r="Y109" s="376"/>
      <c r="Z109" s="376"/>
      <c r="AA109" s="376"/>
      <c r="AB109" s="376"/>
      <c r="AC109" s="376"/>
      <c r="AD109" s="376"/>
      <c r="AE109" s="376"/>
      <c r="AF109" s="376"/>
      <c r="AG109" s="376"/>
      <c r="AH109" s="376"/>
      <c r="AI109" s="376"/>
      <c r="AJ109" s="376"/>
      <c r="AK109" s="376"/>
      <c r="AL109" s="376"/>
      <c r="AM109" s="376"/>
      <c r="AN109" s="376"/>
      <c r="AO109" s="376"/>
      <c r="AP109" s="376"/>
      <c r="AQ109" s="376"/>
      <c r="AR109" s="376"/>
      <c r="AS109" s="376"/>
      <c r="AT109" s="376"/>
      <c r="AU109" s="376"/>
      <c r="AV109" s="376"/>
      <c r="AW109" s="376"/>
      <c r="AX109" s="376"/>
      <c r="AY109" s="376">
        <f>IF('表2-折旧摊销表'!$BA$26+1-'表2-折旧摊销表'!$AY$26&gt;='表2-折旧摊销表'!$D$14,$AY$62/$D$14,$AY$62/('表2-折旧摊销表'!$BA$26+1-'表2-折旧摊销表'!$AY$26))</f>
        <v>152.905198776758</v>
      </c>
      <c r="AZ109" s="376">
        <f>IF('表2-折旧摊销表'!$BA$26+1-'表2-折旧摊销表'!$AY$26&gt;='表2-折旧摊销表'!$D$14,$AY$62/$D$14,$AY$62/('表2-折旧摊销表'!$BA$26+1-'表2-折旧摊销表'!$AY$26))</f>
        <v>152.905198776758</v>
      </c>
      <c r="BA109" s="377">
        <f>IF('表2-折旧摊销表'!$BA$26+1-'表2-折旧摊销表'!$AY$26&gt;='表2-折旧摊销表'!$D$14,$AY$62/$D$14,$AY$62/('表2-折旧摊销表'!$BA$26+1-'表2-折旧摊销表'!$AY$26))</f>
        <v>152.905198776758</v>
      </c>
    </row>
    <row r="110" s="307" customFormat="1" ht="14.5" spans="2:53">
      <c r="B110" s="360"/>
      <c r="C110" s="389" t="s">
        <v>120</v>
      </c>
      <c r="D110" s="375">
        <f t="shared" si="38"/>
        <v>0</v>
      </c>
      <c r="E110" s="266" t="s">
        <v>130</v>
      </c>
      <c r="F110" s="376"/>
      <c r="G110" s="376"/>
      <c r="H110" s="376"/>
      <c r="I110" s="376"/>
      <c r="J110" s="376"/>
      <c r="K110" s="376"/>
      <c r="L110" s="376"/>
      <c r="M110" s="376"/>
      <c r="N110" s="376"/>
      <c r="O110" s="376"/>
      <c r="P110" s="376"/>
      <c r="Q110" s="376"/>
      <c r="R110" s="376"/>
      <c r="S110" s="376"/>
      <c r="T110" s="376"/>
      <c r="U110" s="376"/>
      <c r="V110" s="376"/>
      <c r="W110" s="376"/>
      <c r="X110" s="376"/>
      <c r="Y110" s="376"/>
      <c r="Z110" s="376"/>
      <c r="AA110" s="376"/>
      <c r="AB110" s="376"/>
      <c r="AC110" s="376"/>
      <c r="AD110" s="376"/>
      <c r="AE110" s="376"/>
      <c r="AF110" s="376"/>
      <c r="AG110" s="376"/>
      <c r="AH110" s="376"/>
      <c r="AI110" s="376"/>
      <c r="AJ110" s="376"/>
      <c r="AK110" s="376"/>
      <c r="AL110" s="376"/>
      <c r="AM110" s="376"/>
      <c r="AN110" s="376"/>
      <c r="AO110" s="376"/>
      <c r="AP110" s="376"/>
      <c r="AQ110" s="376"/>
      <c r="AR110" s="376"/>
      <c r="AS110" s="376"/>
      <c r="AT110" s="376"/>
      <c r="AU110" s="376"/>
      <c r="AV110" s="376"/>
      <c r="AW110" s="376"/>
      <c r="AX110" s="376"/>
      <c r="AY110" s="376"/>
      <c r="AZ110" s="376">
        <f>IF('表2-折旧摊销表'!$BA$26+1-'表2-折旧摊销表'!$AZ$26&gt;='表2-折旧摊销表'!$D$14,$AZ$62/$D$14,$AZ$62/('表2-折旧摊销表'!$BA$26+1-'表2-折旧摊销表'!$AZ$26))</f>
        <v>0</v>
      </c>
      <c r="BA110" s="377">
        <f>IF('表2-折旧摊销表'!$BA$26+1-'表2-折旧摊销表'!$AZ$26&gt;='表2-折旧摊销表'!$D$14,$AZ$62/$D$14,$AZ$62/('表2-折旧摊销表'!$BA$26+1-'表2-折旧摊销表'!$AZ$26))</f>
        <v>0</v>
      </c>
    </row>
    <row r="111" s="307" customFormat="1" ht="14.5" spans="2:53">
      <c r="B111" s="360"/>
      <c r="C111" s="389" t="s">
        <v>121</v>
      </c>
      <c r="D111" s="375">
        <f t="shared" si="38"/>
        <v>0</v>
      </c>
      <c r="E111" s="266" t="s">
        <v>130</v>
      </c>
      <c r="F111" s="376"/>
      <c r="G111" s="376"/>
      <c r="H111" s="376"/>
      <c r="I111" s="376"/>
      <c r="J111" s="376"/>
      <c r="K111" s="376"/>
      <c r="L111" s="376"/>
      <c r="M111" s="376"/>
      <c r="N111" s="376"/>
      <c r="O111" s="376"/>
      <c r="P111" s="376"/>
      <c r="Q111" s="376"/>
      <c r="R111" s="376"/>
      <c r="S111" s="376"/>
      <c r="T111" s="376"/>
      <c r="U111" s="376"/>
      <c r="V111" s="376"/>
      <c r="W111" s="376"/>
      <c r="X111" s="376"/>
      <c r="Y111" s="376"/>
      <c r="Z111" s="376"/>
      <c r="AA111" s="376"/>
      <c r="AB111" s="376"/>
      <c r="AC111" s="376"/>
      <c r="AD111" s="376"/>
      <c r="AE111" s="376"/>
      <c r="AF111" s="376"/>
      <c r="AG111" s="376"/>
      <c r="AH111" s="376"/>
      <c r="AI111" s="376"/>
      <c r="AJ111" s="376"/>
      <c r="AK111" s="376"/>
      <c r="AL111" s="376"/>
      <c r="AM111" s="376"/>
      <c r="AN111" s="376"/>
      <c r="AO111" s="376"/>
      <c r="AP111" s="376"/>
      <c r="AQ111" s="376"/>
      <c r="AR111" s="376"/>
      <c r="AS111" s="376"/>
      <c r="AT111" s="376"/>
      <c r="AU111" s="376"/>
      <c r="AV111" s="376"/>
      <c r="AW111" s="376"/>
      <c r="AX111" s="376"/>
      <c r="AY111" s="376"/>
      <c r="AZ111" s="376"/>
      <c r="BA111" s="377">
        <f>IF('表2-折旧摊销表'!$BA$26+1-'表2-折旧摊销表'!$BA$26&gt;='表2-折旧摊销表'!$D$14,$BA$62/$D$14,$BA$62/('表2-折旧摊销表'!$BA$26+1-'表2-折旧摊销表'!$BA$26))</f>
        <v>0</v>
      </c>
    </row>
    <row r="112" s="105" customFormat="1" ht="17.25" spans="2:53">
      <c r="B112" s="360"/>
      <c r="C112" s="390" t="s">
        <v>722</v>
      </c>
      <c r="D112" s="368"/>
      <c r="E112" s="391" t="s">
        <v>130</v>
      </c>
      <c r="F112" s="368">
        <f>F61+F62-F63</f>
        <v>0</v>
      </c>
      <c r="G112" s="368">
        <f t="shared" ref="G112:N112" si="39">G61+G62-G63</f>
        <v>0</v>
      </c>
      <c r="H112" s="368">
        <f t="shared" si="39"/>
        <v>0</v>
      </c>
      <c r="I112" s="368">
        <f t="shared" si="39"/>
        <v>0</v>
      </c>
      <c r="J112" s="368">
        <f t="shared" si="39"/>
        <v>0</v>
      </c>
      <c r="K112" s="368">
        <f t="shared" si="39"/>
        <v>0</v>
      </c>
      <c r="L112" s="368">
        <f t="shared" si="39"/>
        <v>0</v>
      </c>
      <c r="M112" s="368">
        <f t="shared" si="39"/>
        <v>0</v>
      </c>
      <c r="N112" s="368">
        <f t="shared" si="39"/>
        <v>366.97247706422</v>
      </c>
      <c r="O112" s="368">
        <f t="shared" ref="O112:AL112" si="40">O61+O62-O63</f>
        <v>275.229357798165</v>
      </c>
      <c r="P112" s="368">
        <f t="shared" si="40"/>
        <v>183.48623853211</v>
      </c>
      <c r="Q112" s="368">
        <f t="shared" si="40"/>
        <v>91.7431192660551</v>
      </c>
      <c r="R112" s="368">
        <f t="shared" si="40"/>
        <v>0</v>
      </c>
      <c r="S112" s="368">
        <f t="shared" si="40"/>
        <v>366.97247706422</v>
      </c>
      <c r="T112" s="368">
        <f t="shared" si="40"/>
        <v>275.229357798165</v>
      </c>
      <c r="U112" s="368">
        <f t="shared" si="40"/>
        <v>183.48623853211</v>
      </c>
      <c r="V112" s="368">
        <f t="shared" si="40"/>
        <v>91.7431192660551</v>
      </c>
      <c r="W112" s="368">
        <f t="shared" si="40"/>
        <v>0</v>
      </c>
      <c r="X112" s="368">
        <f t="shared" si="40"/>
        <v>366.97247706422</v>
      </c>
      <c r="Y112" s="368">
        <f t="shared" si="40"/>
        <v>275.229357798165</v>
      </c>
      <c r="Z112" s="368">
        <f t="shared" si="40"/>
        <v>183.48623853211</v>
      </c>
      <c r="AA112" s="368">
        <f t="shared" si="40"/>
        <v>91.7431192660551</v>
      </c>
      <c r="AB112" s="368">
        <f t="shared" si="40"/>
        <v>0</v>
      </c>
      <c r="AC112" s="368">
        <f t="shared" si="40"/>
        <v>366.97247706422</v>
      </c>
      <c r="AD112" s="368">
        <f t="shared" si="40"/>
        <v>275.229357798165</v>
      </c>
      <c r="AE112" s="368">
        <f t="shared" si="40"/>
        <v>183.48623853211</v>
      </c>
      <c r="AF112" s="368">
        <f t="shared" si="40"/>
        <v>91.7431192660551</v>
      </c>
      <c r="AG112" s="368">
        <f t="shared" si="40"/>
        <v>0</v>
      </c>
      <c r="AH112" s="368">
        <f t="shared" si="40"/>
        <v>366.97247706422</v>
      </c>
      <c r="AI112" s="368">
        <f t="shared" si="40"/>
        <v>275.229357798165</v>
      </c>
      <c r="AJ112" s="368">
        <f t="shared" si="40"/>
        <v>183.48623853211</v>
      </c>
      <c r="AK112" s="368">
        <f t="shared" si="40"/>
        <v>91.7431192660551</v>
      </c>
      <c r="AL112" s="368">
        <f t="shared" si="40"/>
        <v>0</v>
      </c>
      <c r="AM112" s="368">
        <f t="shared" ref="AM112:BA112" si="41">AM61+AM62-AM63</f>
        <v>366.97247706422</v>
      </c>
      <c r="AN112" s="368">
        <f t="shared" si="41"/>
        <v>275.229357798165</v>
      </c>
      <c r="AO112" s="368">
        <f t="shared" si="41"/>
        <v>183.48623853211</v>
      </c>
      <c r="AP112" s="368">
        <f t="shared" si="41"/>
        <v>91.7431192660551</v>
      </c>
      <c r="AQ112" s="368">
        <f t="shared" si="41"/>
        <v>0</v>
      </c>
      <c r="AR112" s="368">
        <f t="shared" si="41"/>
        <v>366.97247706422</v>
      </c>
      <c r="AS112" s="368">
        <f t="shared" si="41"/>
        <v>275.229357798165</v>
      </c>
      <c r="AT112" s="368">
        <f t="shared" si="41"/>
        <v>183.48623853211</v>
      </c>
      <c r="AU112" s="368">
        <f t="shared" si="41"/>
        <v>91.7431192660551</v>
      </c>
      <c r="AV112" s="368">
        <f t="shared" si="41"/>
        <v>0</v>
      </c>
      <c r="AW112" s="368">
        <f t="shared" si="41"/>
        <v>366.97247706422</v>
      </c>
      <c r="AX112" s="368">
        <f t="shared" si="41"/>
        <v>275.229357798165</v>
      </c>
      <c r="AY112" s="368">
        <f t="shared" si="41"/>
        <v>489.296636085627</v>
      </c>
      <c r="AZ112" s="368">
        <f t="shared" si="41"/>
        <v>244.648318042813</v>
      </c>
      <c r="BA112" s="369">
        <f t="shared" si="41"/>
        <v>0</v>
      </c>
    </row>
    <row r="113" s="105" customFormat="1" spans="1:53">
      <c r="B113" s="355">
        <v>3</v>
      </c>
      <c r="C113" s="356" t="s">
        <v>723</v>
      </c>
      <c r="D113" s="357"/>
      <c r="E113" s="358" t="s">
        <v>130</v>
      </c>
      <c r="F113" s="392">
        <f>参数输入表!$I$636*F27</f>
        <v>0</v>
      </c>
      <c r="G113" s="392">
        <f>参数输入表!$I$636*G27</f>
        <v>0</v>
      </c>
      <c r="H113" s="392">
        <f>参数输入表!$I$636*H27</f>
        <v>0</v>
      </c>
      <c r="I113" s="392">
        <f>参数输入表!$I$636*I27</f>
        <v>0</v>
      </c>
      <c r="J113" s="392">
        <f>参数输入表!$I$636*J27</f>
        <v>0</v>
      </c>
      <c r="K113" s="392">
        <f>参数输入表!$I$636*K27</f>
        <v>0</v>
      </c>
      <c r="L113" s="392">
        <f>参数输入表!$I$636*L27</f>
        <v>0</v>
      </c>
      <c r="M113" s="392">
        <f>参数输入表!$I$636*M27</f>
        <v>80000</v>
      </c>
      <c r="N113" s="392">
        <f>参数输入表!$I$636*N27</f>
        <v>80000</v>
      </c>
      <c r="O113" s="392">
        <f>参数输入表!$I$636*O27</f>
        <v>80000</v>
      </c>
      <c r="P113" s="392">
        <f>参数输入表!$I$636*P27</f>
        <v>80000</v>
      </c>
      <c r="Q113" s="392">
        <f>参数输入表!$I$636*Q27</f>
        <v>80000</v>
      </c>
      <c r="R113" s="392">
        <f>参数输入表!$I$636*R27</f>
        <v>80000</v>
      </c>
      <c r="S113" s="392">
        <f>参数输入表!$I$636*S27</f>
        <v>80000</v>
      </c>
      <c r="T113" s="392">
        <f>参数输入表!$I$636*T27</f>
        <v>80000</v>
      </c>
      <c r="U113" s="392">
        <f>参数输入表!$I$636*U27</f>
        <v>80000</v>
      </c>
      <c r="V113" s="392">
        <f>参数输入表!$I$636*V27</f>
        <v>80000</v>
      </c>
      <c r="W113" s="392">
        <f>参数输入表!$I$636*W27</f>
        <v>80000</v>
      </c>
      <c r="X113" s="392">
        <f>参数输入表!$I$636*X27</f>
        <v>80000</v>
      </c>
      <c r="Y113" s="392">
        <f>参数输入表!$I$636*Y27</f>
        <v>80000</v>
      </c>
      <c r="Z113" s="392">
        <f>参数输入表!$I$636*Z27</f>
        <v>80000</v>
      </c>
      <c r="AA113" s="392">
        <f>参数输入表!$I$636*AA27</f>
        <v>80000</v>
      </c>
      <c r="AB113" s="392">
        <f>参数输入表!$I$636*AB27</f>
        <v>80000</v>
      </c>
      <c r="AC113" s="392">
        <f>参数输入表!$I$636*AC27</f>
        <v>80000</v>
      </c>
      <c r="AD113" s="392">
        <f>参数输入表!$I$636*AD27</f>
        <v>80000</v>
      </c>
      <c r="AE113" s="392">
        <f>参数输入表!$I$636*AE27</f>
        <v>80000</v>
      </c>
      <c r="AF113" s="392">
        <f>参数输入表!$I$636*AF27</f>
        <v>80000</v>
      </c>
      <c r="AG113" s="392">
        <f>参数输入表!$I$636*AG27</f>
        <v>80000</v>
      </c>
      <c r="AH113" s="392">
        <f>参数输入表!$I$636*AH27</f>
        <v>80000</v>
      </c>
      <c r="AI113" s="392">
        <f>参数输入表!$I$636*AI27</f>
        <v>80000</v>
      </c>
      <c r="AJ113" s="392">
        <f>参数输入表!$I$636*AJ27</f>
        <v>80000</v>
      </c>
      <c r="AK113" s="392">
        <f>参数输入表!$I$636*AK27</f>
        <v>80000</v>
      </c>
      <c r="AL113" s="392">
        <f>参数输入表!$I$636*AL27</f>
        <v>80000</v>
      </c>
      <c r="AM113" s="392">
        <f>参数输入表!$I$636*AM27</f>
        <v>80000</v>
      </c>
      <c r="AN113" s="392">
        <f>参数输入表!$I$636*AN27</f>
        <v>80000</v>
      </c>
      <c r="AO113" s="392">
        <f>参数输入表!$I$636*AO27</f>
        <v>80000</v>
      </c>
      <c r="AP113" s="392">
        <f>参数输入表!$I$636*AP27</f>
        <v>80000</v>
      </c>
      <c r="AQ113" s="392">
        <f>参数输入表!$I$636*AQ27</f>
        <v>80000</v>
      </c>
      <c r="AR113" s="392">
        <f>参数输入表!$I$636*AR27</f>
        <v>80000</v>
      </c>
      <c r="AS113" s="392">
        <f>参数输入表!$I$636*AS27</f>
        <v>80000</v>
      </c>
      <c r="AT113" s="392">
        <f>参数输入表!$I$636*AT27</f>
        <v>80000</v>
      </c>
      <c r="AU113" s="392">
        <f>参数输入表!$I$636*AU27</f>
        <v>80000</v>
      </c>
      <c r="AV113" s="392">
        <f>参数输入表!$I$636*AV27</f>
        <v>80000</v>
      </c>
      <c r="AW113" s="392">
        <f>参数输入表!$I$636*AW27</f>
        <v>80000</v>
      </c>
      <c r="AX113" s="392">
        <f>参数输入表!$I$636*AX27</f>
        <v>80000</v>
      </c>
      <c r="AY113" s="392">
        <f>参数输入表!$I$636*AY27</f>
        <v>80000</v>
      </c>
      <c r="AZ113" s="392">
        <f>参数输入表!$I$636*AZ27</f>
        <v>80000</v>
      </c>
      <c r="BA113" s="393">
        <f>参数输入表!$I$636*BA27</f>
        <v>80000</v>
      </c>
    </row>
    <row r="114" s="105" customFormat="1" spans="1:53">
      <c r="B114" s="360"/>
      <c r="C114" s="394" t="s">
        <v>724</v>
      </c>
      <c r="D114" s="395">
        <f ca="1">SUM(F114:BA114)</f>
        <v>80000</v>
      </c>
      <c r="E114" s="396" t="s">
        <v>130</v>
      </c>
      <c r="F114" s="362">
        <f ca="1">IF(F26-参数输入表!$I$4&gt;0,0,('表1-资金筹措及还本付息表'!F8+'表1-资金筹措及还本付息表'!G8+'表1-资金筹措及还本付息表'!F9+'表1-资金筹措及还本付息表'!G9-投资概算明细!F46-投资概算明细!G46)*(参数输入表!$I$636/(参数输入表!$I$217-参数输入表!$I$221)))</f>
        <v>7848.12109379273</v>
      </c>
      <c r="G114" s="362">
        <f ca="1">IF(G26-参数输入表!$I$4&gt;0,0,('表1-资金筹措及还本付息表'!H8+'表1-资金筹措及还本付息表'!H9-投资概算明细!H46)*(参数输入表!$I$636/(参数输入表!$I$217-参数输入表!$I$221)))</f>
        <v>7905.11772702055</v>
      </c>
      <c r="H114" s="362">
        <f ca="1">IF(H26-参数输入表!$I$4&gt;0,0,('表1-资金筹措及还本付息表'!I8+'表1-资金筹措及还本付息表'!I9-投资概算明细!I46)*(参数输入表!$I$636/(参数输入表!$I$217-参数输入表!$I$221)))</f>
        <v>9197.09460910046</v>
      </c>
      <c r="I114" s="362">
        <f ca="1">IF(I26-参数输入表!$I$4&gt;0,0,('表1-资金筹措及还本付息表'!J8+'表1-资金筹措及还本付息表'!J9-投资概算明细!J46)*(参数输入表!$I$636/(参数输入表!$I$217-参数输入表!$I$221)))</f>
        <v>10319.4096989634</v>
      </c>
      <c r="J114" s="362">
        <f ca="1">IF(J26-参数输入表!$I$4&gt;0,0,('表1-资金筹措及还本付息表'!K8+'表1-资金筹措及还本付息表'!K9-投资概算明细!K46)*(参数输入表!$I$636/(参数输入表!$I$217-参数输入表!$I$221)))</f>
        <v>13848.2309813645</v>
      </c>
      <c r="K114" s="362">
        <f ca="1">IF(K26-参数输入表!$I$4&gt;0,0,('表1-资金筹措及还本付息表'!L8+'表1-资金筹措及还本付息表'!L9-投资概算明细!L46)*(参数输入表!$I$636/(参数输入表!$I$217-参数输入表!$I$221)))</f>
        <v>13280.9250854157</v>
      </c>
      <c r="L114" s="362">
        <f ca="1">IF(L26-参数输入表!$I$4&gt;0,0,('表1-资金筹措及还本付息表'!M8+'表1-资金筹措及还本付息表'!N8+'表1-资金筹措及还本付息表'!M9+'表1-资金筹措及还本付息表'!N9-投资概算明细!M46-投资概算明细!N46)*(参数输入表!$I$636/(参数输入表!$I$217-参数输入表!$I$221)))</f>
        <v>11923.4516025288</v>
      </c>
      <c r="M114" s="362">
        <f ca="1">IF(M26-参数输入表!$I$4&gt;0,0,('表1-资金筹措及还本付息表'!O8+'表1-资金筹措及还本付息表'!Q8+'表1-资金筹措及还本付息表'!O9+'表1-资金筹措及还本付息表'!Q9-投资概算明细!O46)*(参数输入表!$I$636/(参数输入表!$I$217-参数输入表!$I$221)))</f>
        <v>5677.64920181391</v>
      </c>
      <c r="N114" s="362">
        <f ca="1">IF(N26-参数输入表!$I$4&gt;0,0,('表1-资金筹措及还本付息表'!R8+'表1-资金筹措及还本付息表'!R9-投资概算明细!P46)*(参数输入表!$I$636/(参数输入表!$I$217-参数输入表!$I$221)))</f>
        <v>0</v>
      </c>
      <c r="O114" s="362">
        <f ca="1">IF(O26-参数输入表!$I$4&gt;0,0,('表1-资金筹措及还本付息表'!S8+'表1-资金筹措及还本付息表'!S9-投资概算明细!Q46)*(参数输入表!$I$636/(参数输入表!$I$217-参数输入表!$I$221)))</f>
        <v>0</v>
      </c>
      <c r="P114" s="362">
        <f ca="1">IF(P26-参数输入表!$I$4&gt;0,0,('表1-资金筹措及还本付息表'!T8+'表1-资金筹措及还本付息表'!T9-投资概算明细!R46)*(参数输入表!$I$636/(参数输入表!$I$217-参数输入表!$I$221)))</f>
        <v>0</v>
      </c>
      <c r="Q114" s="362">
        <f ca="1">IF(Q26-参数输入表!$I$4&gt;0,0,('表1-资金筹措及还本付息表'!U8+'表1-资金筹措及还本付息表'!U9-投资概算明细!S46)*(参数输入表!$I$636/(参数输入表!$I$217-参数输入表!$I$221)))</f>
        <v>0</v>
      </c>
      <c r="R114" s="362">
        <f ca="1">IF(R26-参数输入表!$I$4&gt;0,0,('表1-资金筹措及还本付息表'!V8+'表1-资金筹措及还本付息表'!V9-投资概算明细!T46)*(参数输入表!$I$636/(参数输入表!$I$217-参数输入表!$I$221)))</f>
        <v>0</v>
      </c>
      <c r="S114" s="362">
        <f ca="1">IF(S26-参数输入表!$I$4&gt;0,0,('表1-资金筹措及还本付息表'!W8+'表1-资金筹措及还本付息表'!W9-投资概算明细!U46)*(参数输入表!$I$636/(参数输入表!$I$217-参数输入表!$I$221)))</f>
        <v>0</v>
      </c>
      <c r="T114" s="362">
        <f ca="1">IF(T26-参数输入表!$I$4&gt;0,0,('表1-资金筹措及还本付息表'!X8+'表1-资金筹措及还本付息表'!X9-投资概算明细!V46)*(参数输入表!$I$636/(参数输入表!$I$217-参数输入表!$I$221)))</f>
        <v>0</v>
      </c>
      <c r="U114" s="362">
        <f ca="1">IF(U26-参数输入表!$I$4&gt;0,0,('表1-资金筹措及还本付息表'!Y8+'表1-资金筹措及还本付息表'!Y9-投资概算明细!W46)*(参数输入表!$I$636/(参数输入表!$I$217-参数输入表!$I$221)))</f>
        <v>0</v>
      </c>
      <c r="V114" s="362">
        <f ca="1">IF(V26-参数输入表!$I$4&gt;0,0,('表1-资金筹措及还本付息表'!Z8+'表1-资金筹措及还本付息表'!Z9-投资概算明细!X46)*(参数输入表!$I$636/(参数输入表!$I$217-参数输入表!$I$221)))</f>
        <v>0</v>
      </c>
      <c r="W114" s="362">
        <f ca="1">IF(W26-参数输入表!$I$4&gt;0,0,('表1-资金筹措及还本付息表'!AA8+'表1-资金筹措及还本付息表'!AA9-投资概算明细!Y46)*(参数输入表!$I$636/(参数输入表!$I$217-参数输入表!$I$221)))</f>
        <v>0</v>
      </c>
      <c r="X114" s="362">
        <f ca="1">IF(X26-参数输入表!$I$4&gt;0,0,('表1-资金筹措及还本付息表'!AB8+'表1-资金筹措及还本付息表'!AB9-投资概算明细!Z46)*(参数输入表!$I$636/(参数输入表!$I$217-参数输入表!$I$221)))</f>
        <v>0</v>
      </c>
      <c r="Y114" s="362">
        <f ca="1">IF(Y26-参数输入表!$I$4&gt;0,0,('表1-资金筹措及还本付息表'!AC8+'表1-资金筹措及还本付息表'!AC9-投资概算明细!AA46)*(参数输入表!$I$636/(参数输入表!$I$217-参数输入表!$I$221)))</f>
        <v>0</v>
      </c>
      <c r="Z114" s="362">
        <f ca="1">IF(Z26-参数输入表!$I$4&gt;0,0,('表1-资金筹措及还本付息表'!AD8+'表1-资金筹措及还本付息表'!AD9-投资概算明细!AB46)*(参数输入表!$I$636/(参数输入表!$I$217-参数输入表!$I$221)))</f>
        <v>0</v>
      </c>
      <c r="AA114" s="362">
        <f ca="1">IF(AA26-参数输入表!$I$4&gt;0,0,('表1-资金筹措及还本付息表'!AE8+'表1-资金筹措及还本付息表'!AE9-投资概算明细!AC46)*(参数输入表!$I$636/(参数输入表!$I$217-参数输入表!$I$221)))</f>
        <v>0</v>
      </c>
      <c r="AB114" s="362">
        <f ca="1">IF(AB26-参数输入表!$I$4&gt;0,0,('表1-资金筹措及还本付息表'!AF8+'表1-资金筹措及还本付息表'!AF9-投资概算明细!AD46)*(参数输入表!$I$636/(参数输入表!$I$217-参数输入表!$I$221)))</f>
        <v>0</v>
      </c>
      <c r="AC114" s="362">
        <f ca="1">IF(AC26-参数输入表!$I$4&gt;0,0,('表1-资金筹措及还本付息表'!AG8+'表1-资金筹措及还本付息表'!AG9-投资概算明细!AE46)*(参数输入表!$I$636/(参数输入表!$I$217-参数输入表!$I$221)))</f>
        <v>0</v>
      </c>
      <c r="AD114" s="362">
        <f ca="1">IF(AD26-参数输入表!$I$4&gt;0,0,('表1-资金筹措及还本付息表'!AH8+'表1-资金筹措及还本付息表'!AH9-投资概算明细!AF46)*(参数输入表!$I$636/(参数输入表!$I$217-参数输入表!$I$221)))</f>
        <v>0</v>
      </c>
      <c r="AE114" s="362">
        <f ca="1">IF(AE26-参数输入表!$I$4&gt;0,0,('表1-资金筹措及还本付息表'!AI8+'表1-资金筹措及还本付息表'!AI9-投资概算明细!AG46)*(参数输入表!$I$636/(参数输入表!$I$217-参数输入表!$I$221)))</f>
        <v>0</v>
      </c>
      <c r="AF114" s="362">
        <f ca="1">IF(AF26-参数输入表!$I$4&gt;0,0,('表1-资金筹措及还本付息表'!AJ8+'表1-资金筹措及还本付息表'!AJ9-投资概算明细!AH46)*(参数输入表!$I$636/(参数输入表!$I$217-参数输入表!$I$221)))</f>
        <v>0</v>
      </c>
      <c r="AG114" s="362">
        <f ca="1">IF(AG26-参数输入表!$I$4&gt;0,0,('表1-资金筹措及还本付息表'!AK8+'表1-资金筹措及还本付息表'!AK9-投资概算明细!AI46)*(参数输入表!$I$636/(参数输入表!$I$217-参数输入表!$I$221)))</f>
        <v>0</v>
      </c>
      <c r="AH114" s="362">
        <f ca="1">IF(AH26-参数输入表!$I$4&gt;0,0,('表1-资金筹措及还本付息表'!AL8+'表1-资金筹措及还本付息表'!AL9-投资概算明细!AJ46)*(参数输入表!$I$636/(参数输入表!$I$217-参数输入表!$I$221)))</f>
        <v>0</v>
      </c>
      <c r="AI114" s="362">
        <f ca="1">IF(AI26-参数输入表!$I$4&gt;0,0,('表1-资金筹措及还本付息表'!AM8+'表1-资金筹措及还本付息表'!AM9-投资概算明细!AK46)*(参数输入表!$I$636/(参数输入表!$I$217-参数输入表!$I$221)))</f>
        <v>0</v>
      </c>
      <c r="AJ114" s="362">
        <f ca="1">IF(AJ26-参数输入表!$I$4&gt;0,0,('表1-资金筹措及还本付息表'!AN8+'表1-资金筹措及还本付息表'!AN9-投资概算明细!AL46)*(参数输入表!$I$636/(参数输入表!$I$217-参数输入表!$I$221)))</f>
        <v>0</v>
      </c>
      <c r="AK114" s="362">
        <f ca="1">IF(AK26-参数输入表!$I$4&gt;0,0,('表1-资金筹措及还本付息表'!AO8+'表1-资金筹措及还本付息表'!AO9-投资概算明细!AM46)*(参数输入表!$I$636/(参数输入表!$I$217-参数输入表!$I$221)))</f>
        <v>0</v>
      </c>
      <c r="AL114" s="362">
        <f ca="1">IF(AL26-参数输入表!$I$4&gt;0,0,('表1-资金筹措及还本付息表'!AP8+'表1-资金筹措及还本付息表'!AP9-投资概算明细!AN46)*(参数输入表!$I$636/(参数输入表!$I$217-参数输入表!$I$221)))</f>
        <v>0</v>
      </c>
      <c r="AM114" s="362">
        <f ca="1">IF(AM26-参数输入表!$I$4&gt;0,0,('表1-资金筹措及还本付息表'!AQ8+'表1-资金筹措及还本付息表'!AQ9-投资概算明细!AO46)*(参数输入表!$I$636/(参数输入表!$I$217-参数输入表!$I$221)))</f>
        <v>0</v>
      </c>
      <c r="AN114" s="362">
        <f ca="1">IF(AN26-参数输入表!$I$4&gt;0,0,('表1-资金筹措及还本付息表'!AR8+'表1-资金筹措及还本付息表'!AR9-投资概算明细!AP46)*(参数输入表!$I$636/(参数输入表!$I$217-参数输入表!$I$221)))</f>
        <v>0</v>
      </c>
      <c r="AO114" s="362">
        <f ca="1">IF(AO26-参数输入表!$I$4&gt;0,0,('表1-资金筹措及还本付息表'!AS8+'表1-资金筹措及还本付息表'!AS9-投资概算明细!AQ46)*(参数输入表!$I$636/(参数输入表!$I$217-参数输入表!$I$221)))</f>
        <v>0</v>
      </c>
      <c r="AP114" s="362">
        <f ca="1">IF(AP26-参数输入表!$I$4&gt;0,0,('表1-资金筹措及还本付息表'!AT8+'表1-资金筹措及还本付息表'!AT9-投资概算明细!AR46)*(参数输入表!$I$636/(参数输入表!$I$217-参数输入表!$I$221)))</f>
        <v>0</v>
      </c>
      <c r="AQ114" s="362">
        <f ca="1">IF(AQ26-参数输入表!$I$4&gt;0,0,('表1-资金筹措及还本付息表'!AU8+'表1-资金筹措及还本付息表'!AU9-投资概算明细!AS46)*(参数输入表!$I$636/(参数输入表!$I$217-参数输入表!$I$221)))</f>
        <v>0</v>
      </c>
      <c r="AR114" s="362">
        <f ca="1">IF(AR26-参数输入表!$I$4&gt;0,0,('表1-资金筹措及还本付息表'!AV8+'表1-资金筹措及还本付息表'!AV9-投资概算明细!AT46)*(参数输入表!$I$636/(参数输入表!$I$217-参数输入表!$I$221)))</f>
        <v>0</v>
      </c>
      <c r="AS114" s="362">
        <f ca="1">IF(AS26-参数输入表!$I$4&gt;0,0,('表1-资金筹措及还本付息表'!AW8+'表1-资金筹措及还本付息表'!AW9-投资概算明细!AU46)*(参数输入表!$I$636/(参数输入表!$I$217-参数输入表!$I$221)))</f>
        <v>0</v>
      </c>
      <c r="AT114" s="362">
        <f ca="1">IF(AT26-参数输入表!$I$4&gt;0,0,('表1-资金筹措及还本付息表'!AX8+'表1-资金筹措及还本付息表'!AX9-投资概算明细!AV46)*(参数输入表!$I$636/(参数输入表!$I$217-参数输入表!$I$221)))</f>
        <v>0</v>
      </c>
      <c r="AU114" s="362">
        <f ca="1">IF(AU26-参数输入表!$I$4&gt;0,0,('表1-资金筹措及还本付息表'!AY8+'表1-资金筹措及还本付息表'!AY9-投资概算明细!AW46)*(参数输入表!$I$636/(参数输入表!$I$217-参数输入表!$I$221)))</f>
        <v>0</v>
      </c>
      <c r="AV114" s="362">
        <f ca="1">IF(AV26-参数输入表!$I$4&gt;0,0,('表1-资金筹措及还本付息表'!AZ8+'表1-资金筹措及还本付息表'!AZ9-投资概算明细!AX46)*(参数输入表!$I$636/(参数输入表!$I$217-参数输入表!$I$221)))</f>
        <v>0</v>
      </c>
      <c r="AW114" s="362">
        <f ca="1">IF(AW26-参数输入表!$I$4&gt;0,0,('表1-资金筹措及还本付息表'!BA8+'表1-资金筹措及还本付息表'!BA9-投资概算明细!AY46)*(参数输入表!$I$636/(参数输入表!$I$217-参数输入表!$I$221)))</f>
        <v>0</v>
      </c>
      <c r="AX114" s="362">
        <f ca="1">IF(AX26-参数输入表!$I$4&gt;0,0,('表1-资金筹措及还本付息表'!BB8+'表1-资金筹措及还本付息表'!BB9-投资概算明细!AZ46)*(参数输入表!$I$636/(参数输入表!$I$217-参数输入表!$I$221)))</f>
        <v>0</v>
      </c>
      <c r="AY114" s="362">
        <f ca="1">IF(AY26-参数输入表!$I$4&gt;0,0,('表1-资金筹措及还本付息表'!BC8+'表1-资金筹措及还本付息表'!BC9-投资概算明细!BA46)*(参数输入表!$I$636/(参数输入表!$I$217-参数输入表!$I$221)))</f>
        <v>0</v>
      </c>
      <c r="AZ114" s="362">
        <f ca="1">IF(AZ26-参数输入表!$I$4&gt;0,0,('表1-资金筹措及还本付息表'!BD8+'表1-资金筹措及还本付息表'!BD9-投资概算明细!BB46)*(参数输入表!$I$636/(参数输入表!$I$217-参数输入表!$I$221)))</f>
        <v>0</v>
      </c>
      <c r="BA114" s="362">
        <f ca="1">IF(BA26-参数输入表!$I$4&gt;0,0,('表1-资金筹措及还本付息表'!BE8+'表1-资金筹措及还本付息表'!BE9-投资概算明细!BC46)*(参数输入表!$I$636/(参数输入表!$I$217-参数输入表!$I$221)))</f>
        <v>0</v>
      </c>
    </row>
    <row r="115" s="105" customFormat="1" spans="1:53">
      <c r="B115" s="360"/>
      <c r="C115" s="365" t="s">
        <v>725</v>
      </c>
      <c r="D115" s="397"/>
      <c r="E115" s="398" t="s">
        <v>130</v>
      </c>
      <c r="F115" s="399">
        <f ca="1">F114</f>
        <v>7848.12109379273</v>
      </c>
      <c r="G115" s="366">
        <f ca="1">F115+G114</f>
        <v>15753.2388208133</v>
      </c>
      <c r="H115" s="366">
        <f ca="1" t="shared" ref="H115:M115" si="42">G115+H114</f>
        <v>24950.3334299137</v>
      </c>
      <c r="I115" s="366">
        <f ca="1" t="shared" si="42"/>
        <v>35269.7431288772</v>
      </c>
      <c r="J115" s="366">
        <f ca="1" t="shared" si="42"/>
        <v>49117.9741102417</v>
      </c>
      <c r="K115" s="366">
        <f ca="1" t="shared" si="42"/>
        <v>62398.8991956574</v>
      </c>
      <c r="L115" s="366">
        <f ca="1" t="shared" si="42"/>
        <v>74322.3507981861</v>
      </c>
      <c r="M115" s="366">
        <f ca="1" t="shared" si="42"/>
        <v>80000</v>
      </c>
      <c r="N115" s="366">
        <f ca="1" t="shared" ref="N115" si="43">M115+N114</f>
        <v>80000</v>
      </c>
      <c r="O115" s="366">
        <f ca="1" t="shared" ref="O115" si="44">N115+O114</f>
        <v>80000</v>
      </c>
      <c r="P115" s="366">
        <f ca="1" t="shared" ref="P115" si="45">O115+P114</f>
        <v>80000</v>
      </c>
      <c r="Q115" s="366">
        <f ca="1" t="shared" ref="Q115" si="46">P115+Q114</f>
        <v>80000</v>
      </c>
      <c r="R115" s="366">
        <f ca="1" t="shared" ref="R115" si="47">Q115+R114</f>
        <v>80000</v>
      </c>
      <c r="S115" s="366">
        <f ca="1" t="shared" ref="S115" si="48">R115+S114</f>
        <v>80000</v>
      </c>
      <c r="T115" s="366">
        <f ca="1" t="shared" ref="T115" si="49">S115+T114</f>
        <v>80000</v>
      </c>
      <c r="U115" s="366">
        <f ca="1" t="shared" ref="U115" si="50">T115+U114</f>
        <v>80000</v>
      </c>
      <c r="V115" s="366">
        <f ca="1" t="shared" ref="V115" si="51">U115+V114</f>
        <v>80000</v>
      </c>
      <c r="W115" s="366">
        <f ca="1" t="shared" ref="W115" si="52">V115+W114</f>
        <v>80000</v>
      </c>
      <c r="X115" s="366">
        <f ca="1" t="shared" ref="X115" si="53">W115+X114</f>
        <v>80000</v>
      </c>
      <c r="Y115" s="366">
        <f ca="1" t="shared" ref="Y115" si="54">X115+Y114</f>
        <v>80000</v>
      </c>
      <c r="Z115" s="366">
        <f ca="1" t="shared" ref="Z115" si="55">Y115+Z114</f>
        <v>80000</v>
      </c>
      <c r="AA115" s="366">
        <f ca="1" t="shared" ref="AA115" si="56">Z115+AA114</f>
        <v>80000</v>
      </c>
      <c r="AB115" s="366">
        <f ca="1" t="shared" ref="AB115" si="57">AA115+AB114</f>
        <v>80000</v>
      </c>
      <c r="AC115" s="366">
        <f ca="1" t="shared" ref="AC115" si="58">AB115+AC114</f>
        <v>80000</v>
      </c>
      <c r="AD115" s="366">
        <f ca="1" t="shared" ref="AD115" si="59">AC115+AD114</f>
        <v>80000</v>
      </c>
      <c r="AE115" s="366">
        <f ca="1" t="shared" ref="AE115" si="60">AD115+AE114</f>
        <v>80000</v>
      </c>
      <c r="AF115" s="366">
        <f ca="1" t="shared" ref="AF115" si="61">AE115+AF114</f>
        <v>80000</v>
      </c>
      <c r="AG115" s="366">
        <f ca="1" t="shared" ref="AG115" si="62">AF115+AG114</f>
        <v>80000</v>
      </c>
      <c r="AH115" s="366">
        <f ca="1" t="shared" ref="AH115" si="63">AG115+AH114</f>
        <v>80000</v>
      </c>
      <c r="AI115" s="366">
        <f ca="1" t="shared" ref="AI115" si="64">AH115+AI114</f>
        <v>80000</v>
      </c>
      <c r="AJ115" s="366">
        <f ca="1" t="shared" ref="AJ115" si="65">AI115+AJ114</f>
        <v>80000</v>
      </c>
      <c r="AK115" s="366">
        <f ca="1" t="shared" ref="AK115" si="66">AJ115+AK114</f>
        <v>80000</v>
      </c>
      <c r="AL115" s="366">
        <f ca="1" t="shared" ref="AL115" si="67">AK115+AL114</f>
        <v>80000</v>
      </c>
      <c r="AM115" s="366">
        <f ca="1" t="shared" ref="AM115" si="68">AL115+AM114</f>
        <v>80000</v>
      </c>
      <c r="AN115" s="366">
        <f ca="1" t="shared" ref="AN115" si="69">AM115+AN114</f>
        <v>80000</v>
      </c>
      <c r="AO115" s="366">
        <f ca="1" t="shared" ref="AO115" si="70">AN115+AO114</f>
        <v>80000</v>
      </c>
      <c r="AP115" s="366">
        <f ca="1" t="shared" ref="AP115" si="71">AO115+AP114</f>
        <v>80000</v>
      </c>
      <c r="AQ115" s="366">
        <f ca="1" t="shared" ref="AQ115" si="72">AP115+AQ114</f>
        <v>80000</v>
      </c>
      <c r="AR115" s="366">
        <f ca="1" t="shared" ref="AR115" si="73">AQ115+AR114</f>
        <v>80000</v>
      </c>
      <c r="AS115" s="366">
        <f ca="1" t="shared" ref="AS115" si="74">AR115+AS114</f>
        <v>80000</v>
      </c>
      <c r="AT115" s="366">
        <f ca="1" t="shared" ref="AT115" si="75">AS115+AT114</f>
        <v>80000</v>
      </c>
      <c r="AU115" s="366">
        <f ca="1" t="shared" ref="AU115" si="76">AT115+AU114</f>
        <v>80000</v>
      </c>
      <c r="AV115" s="366">
        <f ca="1" t="shared" ref="AV115" si="77">AU115+AV114</f>
        <v>80000</v>
      </c>
      <c r="AW115" s="366">
        <f ca="1" t="shared" ref="AW115" si="78">AV115+AW114</f>
        <v>80000</v>
      </c>
      <c r="AX115" s="366">
        <f ca="1" t="shared" ref="AX115" si="79">AW115+AX114</f>
        <v>80000</v>
      </c>
      <c r="AY115" s="366">
        <f ca="1" t="shared" ref="AY115" si="80">AX115+AY114</f>
        <v>80000</v>
      </c>
      <c r="AZ115" s="366">
        <f ca="1" t="shared" ref="AZ115" si="81">AY115+AZ114</f>
        <v>80000</v>
      </c>
      <c r="BA115" s="385">
        <f ca="1" t="shared" ref="BA115" si="82">AZ115+BA114</f>
        <v>80000</v>
      </c>
    </row>
    <row r="116" s="105" customFormat="1" spans="1:53">
      <c r="B116" s="360"/>
      <c r="C116" s="133" t="s">
        <v>726</v>
      </c>
      <c r="D116" s="397"/>
      <c r="E116" s="398" t="s">
        <v>130</v>
      </c>
      <c r="F116" s="399">
        <f ca="1">F115-F113</f>
        <v>7848.12109379273</v>
      </c>
      <c r="G116" s="399">
        <f ca="1" t="shared" ref="G116:N116" si="83">G115-G113</f>
        <v>15753.2388208133</v>
      </c>
      <c r="H116" s="399">
        <f ca="1" t="shared" si="83"/>
        <v>24950.3334299137</v>
      </c>
      <c r="I116" s="399">
        <f ca="1" t="shared" si="83"/>
        <v>35269.7431288772</v>
      </c>
      <c r="J116" s="399">
        <f ca="1" t="shared" si="83"/>
        <v>49117.9741102417</v>
      </c>
      <c r="K116" s="399">
        <f ca="1" t="shared" si="83"/>
        <v>62398.8991956574</v>
      </c>
      <c r="L116" s="399">
        <f ca="1" t="shared" si="83"/>
        <v>74322.3507981861</v>
      </c>
      <c r="M116" s="399">
        <f ca="1" t="shared" si="83"/>
        <v>0</v>
      </c>
      <c r="N116" s="399">
        <f ca="1" t="shared" si="83"/>
        <v>0</v>
      </c>
      <c r="O116" s="399">
        <f ca="1" t="shared" ref="O116" si="84">O115-O113</f>
        <v>0</v>
      </c>
      <c r="P116" s="399">
        <f ca="1" t="shared" ref="P116" si="85">P115-P113</f>
        <v>0</v>
      </c>
      <c r="Q116" s="399">
        <f ca="1" t="shared" ref="Q116" si="86">Q115-Q113</f>
        <v>0</v>
      </c>
      <c r="R116" s="399">
        <f ca="1" t="shared" ref="R116" si="87">R115-R113</f>
        <v>0</v>
      </c>
      <c r="S116" s="399">
        <f ca="1" t="shared" ref="S116" si="88">S115-S113</f>
        <v>0</v>
      </c>
      <c r="T116" s="399">
        <f ca="1" t="shared" ref="T116" si="89">T115-T113</f>
        <v>0</v>
      </c>
      <c r="U116" s="399">
        <f ca="1" t="shared" ref="U116:V116" si="90">U115-U113</f>
        <v>0</v>
      </c>
      <c r="V116" s="399">
        <f ca="1" t="shared" si="90"/>
        <v>0</v>
      </c>
      <c r="W116" s="399">
        <f ca="1" t="shared" ref="W116" si="91">W115-W113</f>
        <v>0</v>
      </c>
      <c r="X116" s="399">
        <f ca="1" t="shared" ref="X116" si="92">X115-X113</f>
        <v>0</v>
      </c>
      <c r="Y116" s="399">
        <f ca="1" t="shared" ref="Y116" si="93">Y115-Y113</f>
        <v>0</v>
      </c>
      <c r="Z116" s="399">
        <f ca="1" t="shared" ref="Z116" si="94">Z115-Z113</f>
        <v>0</v>
      </c>
      <c r="AA116" s="399">
        <f ca="1" t="shared" ref="AA116" si="95">AA115-AA113</f>
        <v>0</v>
      </c>
      <c r="AB116" s="399">
        <f ca="1" t="shared" ref="AB116" si="96">AB115-AB113</f>
        <v>0</v>
      </c>
      <c r="AC116" s="399">
        <f ca="1" t="shared" ref="AC116:AD116" si="97">AC115-AC113</f>
        <v>0</v>
      </c>
      <c r="AD116" s="399">
        <f ca="1" t="shared" si="97"/>
        <v>0</v>
      </c>
      <c r="AE116" s="399">
        <f ca="1" t="shared" ref="AE116" si="98">AE115-AE113</f>
        <v>0</v>
      </c>
      <c r="AF116" s="399">
        <f ca="1" t="shared" ref="AF116" si="99">AF115-AF113</f>
        <v>0</v>
      </c>
      <c r="AG116" s="399">
        <f ca="1" t="shared" ref="AG116" si="100">AG115-AG113</f>
        <v>0</v>
      </c>
      <c r="AH116" s="399">
        <f ca="1" t="shared" ref="AH116" si="101">AH115-AH113</f>
        <v>0</v>
      </c>
      <c r="AI116" s="399">
        <f ca="1" t="shared" ref="AI116" si="102">AI115-AI113</f>
        <v>0</v>
      </c>
      <c r="AJ116" s="399">
        <f ca="1" t="shared" ref="AJ116" si="103">AJ115-AJ113</f>
        <v>0</v>
      </c>
      <c r="AK116" s="399">
        <f ca="1" t="shared" ref="AK116:AL116" si="104">AK115-AK113</f>
        <v>0</v>
      </c>
      <c r="AL116" s="399">
        <f ca="1" t="shared" si="104"/>
        <v>0</v>
      </c>
      <c r="AM116" s="399">
        <f ca="1" t="shared" ref="AM116" si="105">AM115-AM113</f>
        <v>0</v>
      </c>
      <c r="AN116" s="399">
        <f ca="1" t="shared" ref="AN116" si="106">AN115-AN113</f>
        <v>0</v>
      </c>
      <c r="AO116" s="399">
        <f ca="1" t="shared" ref="AO116" si="107">AO115-AO113</f>
        <v>0</v>
      </c>
      <c r="AP116" s="399">
        <f ca="1" t="shared" ref="AP116" si="108">AP115-AP113</f>
        <v>0</v>
      </c>
      <c r="AQ116" s="399">
        <f ca="1" t="shared" ref="AQ116" si="109">AQ115-AQ113</f>
        <v>0</v>
      </c>
      <c r="AR116" s="399">
        <f ca="1" t="shared" ref="AR116" si="110">AR115-AR113</f>
        <v>0</v>
      </c>
      <c r="AS116" s="399">
        <f ca="1" t="shared" ref="AS116:AT116" si="111">AS115-AS113</f>
        <v>0</v>
      </c>
      <c r="AT116" s="399">
        <f ca="1" t="shared" si="111"/>
        <v>0</v>
      </c>
      <c r="AU116" s="399">
        <f ca="1" t="shared" ref="AU116" si="112">AU115-AU113</f>
        <v>0</v>
      </c>
      <c r="AV116" s="399">
        <f ca="1" t="shared" ref="AV116" si="113">AV115-AV113</f>
        <v>0</v>
      </c>
      <c r="AW116" s="399">
        <f ca="1" t="shared" ref="AW116" si="114">AW115-AW113</f>
        <v>0</v>
      </c>
      <c r="AX116" s="399">
        <f ca="1" t="shared" ref="AX116" si="115">AX115-AX113</f>
        <v>0</v>
      </c>
      <c r="AY116" s="399">
        <f ca="1" t="shared" ref="AY116" si="116">AY115-AY113</f>
        <v>0</v>
      </c>
      <c r="AZ116" s="399">
        <f ca="1" t="shared" ref="AZ116" si="117">AZ115-AZ113</f>
        <v>0</v>
      </c>
      <c r="BA116" s="400">
        <f ca="1" t="shared" ref="BA116" si="118">BA115-BA113</f>
        <v>0</v>
      </c>
    </row>
    <row r="117" s="308" customFormat="1" spans="1:53">
      <c r="A117" s="309"/>
      <c r="B117" s="360"/>
      <c r="C117" s="370" t="s">
        <v>727</v>
      </c>
      <c r="D117" s="401">
        <f ca="1">SUM(F117:BA117)</f>
        <v>76000</v>
      </c>
      <c r="E117" s="367" t="s">
        <v>130</v>
      </c>
      <c r="F117" s="371">
        <f ca="1">SUM(F118:F121)</f>
        <v>0</v>
      </c>
      <c r="G117" s="371">
        <f ca="1" t="shared" ref="G117:BA117" si="119">SUM(G118:G121)</f>
        <v>0</v>
      </c>
      <c r="H117" s="371">
        <f ca="1" t="shared" si="119"/>
        <v>0</v>
      </c>
      <c r="I117" s="371">
        <f ca="1" t="shared" si="119"/>
        <v>0</v>
      </c>
      <c r="J117" s="371">
        <f ca="1" t="shared" si="119"/>
        <v>0</v>
      </c>
      <c r="K117" s="371">
        <f ca="1" t="shared" si="119"/>
        <v>0</v>
      </c>
      <c r="L117" s="371">
        <f ca="1" t="shared" si="119"/>
        <v>0</v>
      </c>
      <c r="M117" s="371">
        <f ca="1" t="shared" si="119"/>
        <v>1759.25925925926</v>
      </c>
      <c r="N117" s="371">
        <f ca="1" t="shared" si="119"/>
        <v>4222.22222222222</v>
      </c>
      <c r="O117" s="371">
        <f ca="1" t="shared" si="119"/>
        <v>4222.22222222222</v>
      </c>
      <c r="P117" s="371">
        <f ca="1" t="shared" si="119"/>
        <v>4222.22222222222</v>
      </c>
      <c r="Q117" s="371">
        <f ca="1" t="shared" si="119"/>
        <v>4222.22222222222</v>
      </c>
      <c r="R117" s="371">
        <f ca="1" t="shared" si="119"/>
        <v>4222.22222222222</v>
      </c>
      <c r="S117" s="371">
        <f ca="1" t="shared" si="119"/>
        <v>4222.22222222222</v>
      </c>
      <c r="T117" s="371">
        <f ca="1" t="shared" si="119"/>
        <v>4222.22222222222</v>
      </c>
      <c r="U117" s="371">
        <f ca="1" t="shared" si="119"/>
        <v>4222.22222222222</v>
      </c>
      <c r="V117" s="371">
        <f ca="1" t="shared" si="119"/>
        <v>4222.22222222222</v>
      </c>
      <c r="W117" s="371">
        <f ca="1" t="shared" si="119"/>
        <v>4222.22222222222</v>
      </c>
      <c r="X117" s="371">
        <f ca="1" t="shared" si="119"/>
        <v>4222.22222222222</v>
      </c>
      <c r="Y117" s="371">
        <f ca="1" t="shared" si="119"/>
        <v>4222.22222222222</v>
      </c>
      <c r="Z117" s="371">
        <f ca="1" t="shared" si="119"/>
        <v>4222.22222222222</v>
      </c>
      <c r="AA117" s="371">
        <f ca="1" t="shared" si="119"/>
        <v>4222.22222222222</v>
      </c>
      <c r="AB117" s="371">
        <f ca="1" t="shared" si="119"/>
        <v>4222.22222222222</v>
      </c>
      <c r="AC117" s="371">
        <f ca="1" t="shared" si="119"/>
        <v>4222.22222222222</v>
      </c>
      <c r="AD117" s="371">
        <f ca="1" t="shared" si="119"/>
        <v>4222.22222222222</v>
      </c>
      <c r="AE117" s="371">
        <f ca="1" t="shared" si="119"/>
        <v>2462.96296296296</v>
      </c>
      <c r="AF117" s="371">
        <f ca="1" t="shared" si="119"/>
        <v>0</v>
      </c>
      <c r="AG117" s="371">
        <f ca="1" t="shared" si="119"/>
        <v>0</v>
      </c>
      <c r="AH117" s="371">
        <f ca="1" t="shared" si="119"/>
        <v>0</v>
      </c>
      <c r="AI117" s="371">
        <f ca="1" t="shared" si="119"/>
        <v>0</v>
      </c>
      <c r="AJ117" s="371">
        <f ca="1" t="shared" si="119"/>
        <v>0</v>
      </c>
      <c r="AK117" s="371">
        <f ca="1" t="shared" si="119"/>
        <v>0</v>
      </c>
      <c r="AL117" s="371">
        <f ca="1" t="shared" si="119"/>
        <v>0</v>
      </c>
      <c r="AM117" s="371">
        <f ca="1" t="shared" si="119"/>
        <v>0</v>
      </c>
      <c r="AN117" s="371">
        <f ca="1" t="shared" si="119"/>
        <v>0</v>
      </c>
      <c r="AO117" s="371">
        <f ca="1" t="shared" si="119"/>
        <v>0</v>
      </c>
      <c r="AP117" s="371">
        <f ca="1" t="shared" si="119"/>
        <v>0</v>
      </c>
      <c r="AQ117" s="371">
        <f ca="1" t="shared" si="119"/>
        <v>0</v>
      </c>
      <c r="AR117" s="371">
        <f ca="1" t="shared" si="119"/>
        <v>0</v>
      </c>
      <c r="AS117" s="371">
        <f ca="1" t="shared" si="119"/>
        <v>0</v>
      </c>
      <c r="AT117" s="371">
        <f ca="1" t="shared" si="119"/>
        <v>0</v>
      </c>
      <c r="AU117" s="371">
        <f ca="1" t="shared" si="119"/>
        <v>0</v>
      </c>
      <c r="AV117" s="371">
        <f ca="1" t="shared" si="119"/>
        <v>0</v>
      </c>
      <c r="AW117" s="371">
        <f ca="1" t="shared" si="119"/>
        <v>0</v>
      </c>
      <c r="AX117" s="371">
        <f ca="1" t="shared" si="119"/>
        <v>0</v>
      </c>
      <c r="AY117" s="371">
        <f ca="1" t="shared" si="119"/>
        <v>0</v>
      </c>
      <c r="AZ117" s="371">
        <f ca="1" t="shared" si="119"/>
        <v>0</v>
      </c>
      <c r="BA117" s="386">
        <f ca="1" t="shared" si="119"/>
        <v>0</v>
      </c>
    </row>
    <row r="118" s="192" customFormat="1" spans="1:53">
      <c r="A118" s="105"/>
      <c r="B118" s="360"/>
      <c r="C118" s="402" t="s">
        <v>471</v>
      </c>
      <c r="D118" s="375">
        <f t="shared" ref="D118:D121" si="120">SUM(F118:BA118)</f>
        <v>0</v>
      </c>
      <c r="E118" s="266" t="s">
        <v>130</v>
      </c>
      <c r="F118" s="366">
        <f>参数输入表!$I$636*(1-参数输入表!$I$639)*参数输入表!$I$36*时间序列!C28/(参数输入表!$I$638*12)</f>
        <v>0</v>
      </c>
      <c r="G118" s="366">
        <f>参数输入表!$I$636*(1-参数输入表!$I$639)*参数输入表!$I$36*时间序列!D28/(参数输入表!$I$638*12)</f>
        <v>0</v>
      </c>
      <c r="H118" s="366">
        <f>参数输入表!$I$636*(1-参数输入表!$I$639)*参数输入表!$I$36*时间序列!E28/(参数输入表!$I$638*12)</f>
        <v>0</v>
      </c>
      <c r="I118" s="366">
        <f>参数输入表!$I$636*(1-参数输入表!$I$639)*参数输入表!$I$36*时间序列!F28/(参数输入表!$I$638*12)</f>
        <v>0</v>
      </c>
      <c r="J118" s="366">
        <f>参数输入表!$I$636*(1-参数输入表!$I$639)*参数输入表!$I$36*时间序列!G28/(参数输入表!$I$638*12)</f>
        <v>0</v>
      </c>
      <c r="K118" s="366">
        <f>参数输入表!$I$636*(1-参数输入表!$I$639)*参数输入表!$I$36*时间序列!H28/(参数输入表!$I$638*12)</f>
        <v>0</v>
      </c>
      <c r="L118" s="366">
        <f>参数输入表!$I$636*(1-参数输入表!$I$639)*参数输入表!$I$36*时间序列!I28/(参数输入表!$I$638*12)</f>
        <v>0</v>
      </c>
      <c r="M118" s="366">
        <f>参数输入表!$I$636*(1-参数输入表!$I$639)*参数输入表!$I$36*时间序列!J28/(参数输入表!$I$638*12)</f>
        <v>0</v>
      </c>
      <c r="N118" s="366">
        <f>参数输入表!$I$636*(1-参数输入表!$I$639)*参数输入表!$I$36*时间序列!K28/(参数输入表!$I$638*12)</f>
        <v>0</v>
      </c>
      <c r="O118" s="366">
        <f>参数输入表!$I$636*(1-参数输入表!$I$639)*参数输入表!$I$36*时间序列!L28/(参数输入表!$I$638*12)</f>
        <v>0</v>
      </c>
      <c r="P118" s="366">
        <f>参数输入表!$I$636*(1-参数输入表!$I$639)*参数输入表!$I$36*时间序列!M28/(参数输入表!$I$638*12)</f>
        <v>0</v>
      </c>
      <c r="Q118" s="366">
        <f>参数输入表!$I$636*(1-参数输入表!$I$639)*参数输入表!$I$36*时间序列!N28/(参数输入表!$I$638*12)</f>
        <v>0</v>
      </c>
      <c r="R118" s="366">
        <f>参数输入表!$I$636*(1-参数输入表!$I$639)*参数输入表!$I$36*时间序列!O28/(参数输入表!$I$638*12)</f>
        <v>0</v>
      </c>
      <c r="S118" s="366">
        <f>参数输入表!$I$636*(1-参数输入表!$I$639)*参数输入表!$I$36*时间序列!P28/(参数输入表!$I$638*12)</f>
        <v>0</v>
      </c>
      <c r="T118" s="366">
        <f>参数输入表!$I$636*(1-参数输入表!$I$639)*参数输入表!$I$36*时间序列!Q28/(参数输入表!$I$638*12)</f>
        <v>0</v>
      </c>
      <c r="U118" s="366">
        <f>参数输入表!$I$636*(1-参数输入表!$I$639)*参数输入表!$I$36*时间序列!R28/(参数输入表!$I$638*12)</f>
        <v>0</v>
      </c>
      <c r="V118" s="366">
        <f>参数输入表!$I$636*(1-参数输入表!$I$639)*参数输入表!$I$36*时间序列!S28/(参数输入表!$I$638*12)</f>
        <v>0</v>
      </c>
      <c r="W118" s="366">
        <f>参数输入表!$I$636*(1-参数输入表!$I$639)*参数输入表!$I$36*时间序列!T28/(参数输入表!$I$638*12)</f>
        <v>0</v>
      </c>
      <c r="X118" s="366">
        <f>参数输入表!$I$636*(1-参数输入表!$I$639)*参数输入表!$I$36*时间序列!U28/(参数输入表!$I$638*12)</f>
        <v>0</v>
      </c>
      <c r="Y118" s="366">
        <f>参数输入表!$I$636*(1-参数输入表!$I$639)*参数输入表!$I$36*时间序列!V28/(参数输入表!$I$638*12)</f>
        <v>0</v>
      </c>
      <c r="Z118" s="366">
        <f>参数输入表!$I$636*(1-参数输入表!$I$639)*参数输入表!$I$36*时间序列!W28/(参数输入表!$I$638*12)</f>
        <v>0</v>
      </c>
      <c r="AA118" s="366">
        <f>参数输入表!$I$636*(1-参数输入表!$I$639)*参数输入表!$I$36*时间序列!X28/(参数输入表!$I$638*12)</f>
        <v>0</v>
      </c>
      <c r="AB118" s="366">
        <f>参数输入表!$I$636*(1-参数输入表!$I$639)*参数输入表!$I$36*时间序列!Y28/(参数输入表!$I$638*12)</f>
        <v>0</v>
      </c>
      <c r="AC118" s="366">
        <f>参数输入表!$I$636*(1-参数输入表!$I$639)*参数输入表!$I$36*时间序列!Z28/(参数输入表!$I$638*12)</f>
        <v>0</v>
      </c>
      <c r="AD118" s="366">
        <f>参数输入表!$I$636*(1-参数输入表!$I$639)*参数输入表!$I$36*时间序列!AA28/(参数输入表!$I$638*12)</f>
        <v>0</v>
      </c>
      <c r="AE118" s="366">
        <f>参数输入表!$I$636*(1-参数输入表!$I$639)*参数输入表!$I$36*时间序列!AB28/(参数输入表!$I$638*12)</f>
        <v>0</v>
      </c>
      <c r="AF118" s="366">
        <f>参数输入表!$I$636*(1-参数输入表!$I$639)*参数输入表!$I$36*时间序列!AC28/(参数输入表!$I$638*12)</f>
        <v>0</v>
      </c>
      <c r="AG118" s="366">
        <f>参数输入表!$I$636*(1-参数输入表!$I$639)*参数输入表!$I$36*时间序列!AD28/(参数输入表!$I$638*12)</f>
        <v>0</v>
      </c>
      <c r="AH118" s="366">
        <f>参数输入表!$I$636*(1-参数输入表!$I$639)*参数输入表!$I$36*时间序列!AE28/(参数输入表!$I$638*12)</f>
        <v>0</v>
      </c>
      <c r="AI118" s="366">
        <f>参数输入表!$I$636*(1-参数输入表!$I$639)*参数输入表!$I$36*时间序列!AF28/(参数输入表!$I$638*12)</f>
        <v>0</v>
      </c>
      <c r="AJ118" s="366">
        <f>参数输入表!$I$636*(1-参数输入表!$I$639)*参数输入表!$I$36*时间序列!AG28/(参数输入表!$I$638*12)</f>
        <v>0</v>
      </c>
      <c r="AK118" s="366">
        <f>参数输入表!$I$636*(1-参数输入表!$I$639)*参数输入表!$I$36*时间序列!AH28/(参数输入表!$I$638*12)</f>
        <v>0</v>
      </c>
      <c r="AL118" s="366">
        <f>参数输入表!$I$636*(1-参数输入表!$I$639)*参数输入表!$I$36*时间序列!AI28/(参数输入表!$I$638*12)</f>
        <v>0</v>
      </c>
      <c r="AM118" s="366">
        <f>参数输入表!$I$636*(1-参数输入表!$I$639)*参数输入表!$I$36*时间序列!AJ28/(参数输入表!$I$638*12)</f>
        <v>0</v>
      </c>
      <c r="AN118" s="366">
        <f>参数输入表!$I$636*(1-参数输入表!$I$639)*参数输入表!$I$36*时间序列!AK28/(参数输入表!$I$638*12)</f>
        <v>0</v>
      </c>
      <c r="AO118" s="366">
        <f>参数输入表!$I$636*(1-参数输入表!$I$639)*参数输入表!$I$36*时间序列!AL28/(参数输入表!$I$638*12)</f>
        <v>0</v>
      </c>
      <c r="AP118" s="366">
        <f>参数输入表!$I$636*(1-参数输入表!$I$639)*参数输入表!$I$36*时间序列!AM28/(参数输入表!$I$638*12)</f>
        <v>0</v>
      </c>
      <c r="AQ118" s="366">
        <f>参数输入表!$I$636*(1-参数输入表!$I$639)*参数输入表!$I$36*时间序列!AN28/(参数输入表!$I$638*12)</f>
        <v>0</v>
      </c>
      <c r="AR118" s="366">
        <f>参数输入表!$I$636*(1-参数输入表!$I$639)*参数输入表!$I$36*时间序列!AO28/(参数输入表!$I$638*12)</f>
        <v>0</v>
      </c>
      <c r="AS118" s="366">
        <f>参数输入表!$I$636*(1-参数输入表!$I$639)*参数输入表!$I$36*时间序列!AP28/(参数输入表!$I$638*12)</f>
        <v>0</v>
      </c>
      <c r="AT118" s="366">
        <f>参数输入表!$I$636*(1-参数输入表!$I$639)*参数输入表!$I$36*时间序列!AQ28/(参数输入表!$I$638*12)</f>
        <v>0</v>
      </c>
      <c r="AU118" s="366">
        <f>参数输入表!$I$636*(1-参数输入表!$I$639)*参数输入表!$I$36*时间序列!AR28/(参数输入表!$I$638*12)</f>
        <v>0</v>
      </c>
      <c r="AV118" s="366">
        <f>参数输入表!$I$636*(1-参数输入表!$I$639)*参数输入表!$I$36*时间序列!AS28/(参数输入表!$I$638*12)</f>
        <v>0</v>
      </c>
      <c r="AW118" s="366">
        <f>参数输入表!$I$636*(1-参数输入表!$I$639)*参数输入表!$I$36*时间序列!AT28/(参数输入表!$I$638*12)</f>
        <v>0</v>
      </c>
      <c r="AX118" s="366">
        <f>参数输入表!$I$636*(1-参数输入表!$I$639)*参数输入表!$I$36*时间序列!AU28/(参数输入表!$I$638*12)</f>
        <v>0</v>
      </c>
      <c r="AY118" s="366">
        <f>参数输入表!$I$636*(1-参数输入表!$I$639)*参数输入表!$I$36*时间序列!AV28/(参数输入表!$I$638*12)</f>
        <v>0</v>
      </c>
      <c r="AZ118" s="366">
        <f>参数输入表!$I$636*(1-参数输入表!$I$639)*参数输入表!$I$36*时间序列!AW28/(参数输入表!$I$638*12)</f>
        <v>0</v>
      </c>
      <c r="BA118" s="385">
        <f>参数输入表!$I$636*(1-参数输入表!$I$639)*参数输入表!$I$36*时间序列!AX28/(参数输入表!$I$638*12)</f>
        <v>0</v>
      </c>
    </row>
    <row r="119" s="192" customFormat="1" spans="1:53">
      <c r="A119" s="105"/>
      <c r="B119" s="360"/>
      <c r="C119" s="402" t="s">
        <v>472</v>
      </c>
      <c r="D119" s="375">
        <f t="shared" si="120"/>
        <v>0</v>
      </c>
      <c r="E119" s="266" t="s">
        <v>130</v>
      </c>
      <c r="F119" s="366">
        <f>参数输入表!$I$636*(1-参数输入表!$I$639)*参数输入表!$I$37*时间序列!C56/(参数输入表!$I$638*12)</f>
        <v>0</v>
      </c>
      <c r="G119" s="366">
        <f>参数输入表!$I$636*(1-参数输入表!$I$639)*参数输入表!$I$37*时间序列!D56/(参数输入表!$I$638*12)</f>
        <v>0</v>
      </c>
      <c r="H119" s="366">
        <f>参数输入表!$I$636*(1-参数输入表!$I$639)*参数输入表!$I$37*时间序列!E56/(参数输入表!$I$638*12)</f>
        <v>0</v>
      </c>
      <c r="I119" s="366">
        <f>参数输入表!$I$636*(1-参数输入表!$I$639)*参数输入表!$I$37*时间序列!F56/(参数输入表!$I$638*12)</f>
        <v>0</v>
      </c>
      <c r="J119" s="366">
        <f>参数输入表!$I$636*(1-参数输入表!$I$639)*参数输入表!$I$37*时间序列!G56/(参数输入表!$I$638*12)</f>
        <v>0</v>
      </c>
      <c r="K119" s="366">
        <f>参数输入表!$I$636*(1-参数输入表!$I$639)*参数输入表!$I$37*时间序列!H56/(参数输入表!$I$638*12)</f>
        <v>0</v>
      </c>
      <c r="L119" s="366">
        <f>参数输入表!$I$636*(1-参数输入表!$I$639)*参数输入表!$I$37*时间序列!I56/(参数输入表!$I$638*12)</f>
        <v>0</v>
      </c>
      <c r="M119" s="366">
        <f>参数输入表!$I$636*(1-参数输入表!$I$639)*参数输入表!$I$37*时间序列!J56/(参数输入表!$I$638*12)</f>
        <v>0</v>
      </c>
      <c r="N119" s="366">
        <f>参数输入表!$I$636*(1-参数输入表!$I$639)*参数输入表!$I$37*时间序列!K56/(参数输入表!$I$638*12)</f>
        <v>0</v>
      </c>
      <c r="O119" s="366">
        <f>参数输入表!$I$636*(1-参数输入表!$I$639)*参数输入表!$I$37*时间序列!L56/(参数输入表!$I$638*12)</f>
        <v>0</v>
      </c>
      <c r="P119" s="366">
        <f>参数输入表!$I$636*(1-参数输入表!$I$639)*参数输入表!$I$37*时间序列!M56/(参数输入表!$I$638*12)</f>
        <v>0</v>
      </c>
      <c r="Q119" s="366">
        <f>参数输入表!$I$636*(1-参数输入表!$I$639)*参数输入表!$I$37*时间序列!N56/(参数输入表!$I$638*12)</f>
        <v>0</v>
      </c>
      <c r="R119" s="366">
        <f>参数输入表!$I$636*(1-参数输入表!$I$639)*参数输入表!$I$37*时间序列!O56/(参数输入表!$I$638*12)</f>
        <v>0</v>
      </c>
      <c r="S119" s="366">
        <f>参数输入表!$I$636*(1-参数输入表!$I$639)*参数输入表!$I$37*时间序列!P56/(参数输入表!$I$638*12)</f>
        <v>0</v>
      </c>
      <c r="T119" s="366">
        <f>参数输入表!$I$636*(1-参数输入表!$I$639)*参数输入表!$I$37*时间序列!Q56/(参数输入表!$I$638*12)</f>
        <v>0</v>
      </c>
      <c r="U119" s="366">
        <f>参数输入表!$I$636*(1-参数输入表!$I$639)*参数输入表!$I$37*时间序列!R56/(参数输入表!$I$638*12)</f>
        <v>0</v>
      </c>
      <c r="V119" s="366">
        <f>参数输入表!$I$636*(1-参数输入表!$I$639)*参数输入表!$I$37*时间序列!S56/(参数输入表!$I$638*12)</f>
        <v>0</v>
      </c>
      <c r="W119" s="366">
        <f>参数输入表!$I$636*(1-参数输入表!$I$639)*参数输入表!$I$37*时间序列!T56/(参数输入表!$I$638*12)</f>
        <v>0</v>
      </c>
      <c r="X119" s="366">
        <f>参数输入表!$I$636*(1-参数输入表!$I$639)*参数输入表!$I$37*时间序列!U56/(参数输入表!$I$638*12)</f>
        <v>0</v>
      </c>
      <c r="Y119" s="366">
        <f>参数输入表!$I$636*(1-参数输入表!$I$639)*参数输入表!$I$37*时间序列!V56/(参数输入表!$I$638*12)</f>
        <v>0</v>
      </c>
      <c r="Z119" s="366">
        <f>参数输入表!$I$636*(1-参数输入表!$I$639)*参数输入表!$I$37*时间序列!W56/(参数输入表!$I$638*12)</f>
        <v>0</v>
      </c>
      <c r="AA119" s="366">
        <f>参数输入表!$I$636*(1-参数输入表!$I$639)*参数输入表!$I$37*时间序列!X56/(参数输入表!$I$638*12)</f>
        <v>0</v>
      </c>
      <c r="AB119" s="366">
        <f>参数输入表!$I$636*(1-参数输入表!$I$639)*参数输入表!$I$37*时间序列!Y56/(参数输入表!$I$638*12)</f>
        <v>0</v>
      </c>
      <c r="AC119" s="366">
        <f>参数输入表!$I$636*(1-参数输入表!$I$639)*参数输入表!$I$37*时间序列!Z56/(参数输入表!$I$638*12)</f>
        <v>0</v>
      </c>
      <c r="AD119" s="366">
        <f>参数输入表!$I$636*(1-参数输入表!$I$639)*参数输入表!$I$37*时间序列!AA56/(参数输入表!$I$638*12)</f>
        <v>0</v>
      </c>
      <c r="AE119" s="366">
        <f>参数输入表!$I$636*(1-参数输入表!$I$639)*参数输入表!$I$37*时间序列!AB56/(参数输入表!$I$638*12)</f>
        <v>0</v>
      </c>
      <c r="AF119" s="366">
        <f>参数输入表!$I$636*(1-参数输入表!$I$639)*参数输入表!$I$37*时间序列!AC56/(参数输入表!$I$638*12)</f>
        <v>0</v>
      </c>
      <c r="AG119" s="366">
        <f>参数输入表!$I$636*(1-参数输入表!$I$639)*参数输入表!$I$37*时间序列!AD56/(参数输入表!$I$638*12)</f>
        <v>0</v>
      </c>
      <c r="AH119" s="366">
        <f>参数输入表!$I$636*(1-参数输入表!$I$639)*参数输入表!$I$37*时间序列!AE56/(参数输入表!$I$638*12)</f>
        <v>0</v>
      </c>
      <c r="AI119" s="366">
        <f>参数输入表!$I$636*(1-参数输入表!$I$639)*参数输入表!$I$37*时间序列!AF56/(参数输入表!$I$638*12)</f>
        <v>0</v>
      </c>
      <c r="AJ119" s="366">
        <f>参数输入表!$I$636*(1-参数输入表!$I$639)*参数输入表!$I$37*时间序列!AG56/(参数输入表!$I$638*12)</f>
        <v>0</v>
      </c>
      <c r="AK119" s="366">
        <f>参数输入表!$I$636*(1-参数输入表!$I$639)*参数输入表!$I$37*时间序列!AH56/(参数输入表!$I$638*12)</f>
        <v>0</v>
      </c>
      <c r="AL119" s="366">
        <f>参数输入表!$I$636*(1-参数输入表!$I$639)*参数输入表!$I$37*时间序列!AI56/(参数输入表!$I$638*12)</f>
        <v>0</v>
      </c>
      <c r="AM119" s="366">
        <f>参数输入表!$I$636*(1-参数输入表!$I$639)*参数输入表!$I$37*时间序列!AJ56/(参数输入表!$I$638*12)</f>
        <v>0</v>
      </c>
      <c r="AN119" s="366">
        <f>参数输入表!$I$636*(1-参数输入表!$I$639)*参数输入表!$I$37*时间序列!AK56/(参数输入表!$I$638*12)</f>
        <v>0</v>
      </c>
      <c r="AO119" s="366">
        <f>参数输入表!$I$636*(1-参数输入表!$I$639)*参数输入表!$I$37*时间序列!AL56/(参数输入表!$I$638*12)</f>
        <v>0</v>
      </c>
      <c r="AP119" s="366">
        <f>参数输入表!$I$636*(1-参数输入表!$I$639)*参数输入表!$I$37*时间序列!AM56/(参数输入表!$I$638*12)</f>
        <v>0</v>
      </c>
      <c r="AQ119" s="366">
        <f>参数输入表!$I$636*(1-参数输入表!$I$639)*参数输入表!$I$37*时间序列!AN56/(参数输入表!$I$638*12)</f>
        <v>0</v>
      </c>
      <c r="AR119" s="366">
        <f>参数输入表!$I$636*(1-参数输入表!$I$639)*参数输入表!$I$37*时间序列!AO56/(参数输入表!$I$638*12)</f>
        <v>0</v>
      </c>
      <c r="AS119" s="366">
        <f>参数输入表!$I$636*(1-参数输入表!$I$639)*参数输入表!$I$37*时间序列!AP56/(参数输入表!$I$638*12)</f>
        <v>0</v>
      </c>
      <c r="AT119" s="366">
        <f>参数输入表!$I$636*(1-参数输入表!$I$639)*参数输入表!$I$37*时间序列!AQ56/(参数输入表!$I$638*12)</f>
        <v>0</v>
      </c>
      <c r="AU119" s="366">
        <f>参数输入表!$I$636*(1-参数输入表!$I$639)*参数输入表!$I$37*时间序列!AR56/(参数输入表!$I$638*12)</f>
        <v>0</v>
      </c>
      <c r="AV119" s="366">
        <f>参数输入表!$I$636*(1-参数输入表!$I$639)*参数输入表!$I$37*时间序列!AS56/(参数输入表!$I$638*12)</f>
        <v>0</v>
      </c>
      <c r="AW119" s="366">
        <f>参数输入表!$I$636*(1-参数输入表!$I$639)*参数输入表!$I$37*时间序列!AT56/(参数输入表!$I$638*12)</f>
        <v>0</v>
      </c>
      <c r="AX119" s="366">
        <f>参数输入表!$I$636*(1-参数输入表!$I$639)*参数输入表!$I$37*时间序列!AU56/(参数输入表!$I$638*12)</f>
        <v>0</v>
      </c>
      <c r="AY119" s="366">
        <f>参数输入表!$I$636*(1-参数输入表!$I$639)*参数输入表!$I$37*时间序列!AV56/(参数输入表!$I$638*12)</f>
        <v>0</v>
      </c>
      <c r="AZ119" s="366">
        <f>参数输入表!$I$636*(1-参数输入表!$I$639)*参数输入表!$I$37*时间序列!AW56/(参数输入表!$I$638*12)</f>
        <v>0</v>
      </c>
      <c r="BA119" s="385">
        <f>参数输入表!$I$636*(1-参数输入表!$I$639)*参数输入表!$I$37*时间序列!AX56/(参数输入表!$I$638*12)</f>
        <v>0</v>
      </c>
    </row>
    <row r="120" s="192" customFormat="1" spans="1:53">
      <c r="A120" s="105"/>
      <c r="B120" s="360"/>
      <c r="C120" s="402" t="s">
        <v>473</v>
      </c>
      <c r="D120" s="375">
        <f t="shared" si="120"/>
        <v>0</v>
      </c>
      <c r="E120" s="266" t="s">
        <v>130</v>
      </c>
      <c r="F120" s="366">
        <f>参数输入表!$I$636*(1-参数输入表!$I$639)*参数输入表!$I$38*时间序列!C84/(参数输入表!$I$638*12)</f>
        <v>0</v>
      </c>
      <c r="G120" s="366">
        <f>参数输入表!$I$636*(1-参数输入表!$I$639)*参数输入表!$I$38*时间序列!D84/(参数输入表!$I$638*12)</f>
        <v>0</v>
      </c>
      <c r="H120" s="366">
        <f>参数输入表!$I$636*(1-参数输入表!$I$639)*参数输入表!$I$38*时间序列!E84/(参数输入表!$I$638*12)</f>
        <v>0</v>
      </c>
      <c r="I120" s="366">
        <f>参数输入表!$I$636*(1-参数输入表!$I$639)*参数输入表!$I$38*时间序列!F84/(参数输入表!$I$638*12)</f>
        <v>0</v>
      </c>
      <c r="J120" s="366">
        <f>参数输入表!$I$636*(1-参数输入表!$I$639)*参数输入表!$I$38*时间序列!G84/(参数输入表!$I$638*12)</f>
        <v>0</v>
      </c>
      <c r="K120" s="366">
        <f>参数输入表!$I$636*(1-参数输入表!$I$639)*参数输入表!$I$38*时间序列!H84/(参数输入表!$I$638*12)</f>
        <v>0</v>
      </c>
      <c r="L120" s="366">
        <f>参数输入表!$I$636*(1-参数输入表!$I$639)*参数输入表!$I$38*时间序列!I84/(参数输入表!$I$638*12)</f>
        <v>0</v>
      </c>
      <c r="M120" s="366">
        <f>参数输入表!$I$636*(1-参数输入表!$I$639)*参数输入表!$I$38*时间序列!J84/(参数输入表!$I$638*12)</f>
        <v>0</v>
      </c>
      <c r="N120" s="366">
        <f>参数输入表!$I$636*(1-参数输入表!$I$639)*参数输入表!$I$38*时间序列!K84/(参数输入表!$I$638*12)</f>
        <v>0</v>
      </c>
      <c r="O120" s="366">
        <f>参数输入表!$I$636*(1-参数输入表!$I$639)*参数输入表!$I$38*时间序列!L84/(参数输入表!$I$638*12)</f>
        <v>0</v>
      </c>
      <c r="P120" s="366">
        <f>参数输入表!$I$636*(1-参数输入表!$I$639)*参数输入表!$I$38*时间序列!M84/(参数输入表!$I$638*12)</f>
        <v>0</v>
      </c>
      <c r="Q120" s="366">
        <f>参数输入表!$I$636*(1-参数输入表!$I$639)*参数输入表!$I$38*时间序列!N84/(参数输入表!$I$638*12)</f>
        <v>0</v>
      </c>
      <c r="R120" s="366">
        <f>参数输入表!$I$636*(1-参数输入表!$I$639)*参数输入表!$I$38*时间序列!O84/(参数输入表!$I$638*12)</f>
        <v>0</v>
      </c>
      <c r="S120" s="366">
        <f>参数输入表!$I$636*(1-参数输入表!$I$639)*参数输入表!$I$38*时间序列!P84/(参数输入表!$I$638*12)</f>
        <v>0</v>
      </c>
      <c r="T120" s="366">
        <f>参数输入表!$I$636*(1-参数输入表!$I$639)*参数输入表!$I$38*时间序列!Q84/(参数输入表!$I$638*12)</f>
        <v>0</v>
      </c>
      <c r="U120" s="366">
        <f>参数输入表!$I$636*(1-参数输入表!$I$639)*参数输入表!$I$38*时间序列!R84/(参数输入表!$I$638*12)</f>
        <v>0</v>
      </c>
      <c r="V120" s="366">
        <f>参数输入表!$I$636*(1-参数输入表!$I$639)*参数输入表!$I$38*时间序列!S84/(参数输入表!$I$638*12)</f>
        <v>0</v>
      </c>
      <c r="W120" s="366">
        <f>参数输入表!$I$636*(1-参数输入表!$I$639)*参数输入表!$I$38*时间序列!T84/(参数输入表!$I$638*12)</f>
        <v>0</v>
      </c>
      <c r="X120" s="366">
        <f>参数输入表!$I$636*(1-参数输入表!$I$639)*参数输入表!$I$38*时间序列!U84/(参数输入表!$I$638*12)</f>
        <v>0</v>
      </c>
      <c r="Y120" s="366">
        <f>参数输入表!$I$636*(1-参数输入表!$I$639)*参数输入表!$I$38*时间序列!V84/(参数输入表!$I$638*12)</f>
        <v>0</v>
      </c>
      <c r="Z120" s="366">
        <f>参数输入表!$I$636*(1-参数输入表!$I$639)*参数输入表!$I$38*时间序列!W84/(参数输入表!$I$638*12)</f>
        <v>0</v>
      </c>
      <c r="AA120" s="366">
        <f>参数输入表!$I$636*(1-参数输入表!$I$639)*参数输入表!$I$38*时间序列!X84/(参数输入表!$I$638*12)</f>
        <v>0</v>
      </c>
      <c r="AB120" s="366">
        <f>参数输入表!$I$636*(1-参数输入表!$I$639)*参数输入表!$I$38*时间序列!Y84/(参数输入表!$I$638*12)</f>
        <v>0</v>
      </c>
      <c r="AC120" s="366">
        <f>参数输入表!$I$636*(1-参数输入表!$I$639)*参数输入表!$I$38*时间序列!Z84/(参数输入表!$I$638*12)</f>
        <v>0</v>
      </c>
      <c r="AD120" s="366">
        <f>参数输入表!$I$636*(1-参数输入表!$I$639)*参数输入表!$I$38*时间序列!AA84/(参数输入表!$I$638*12)</f>
        <v>0</v>
      </c>
      <c r="AE120" s="366">
        <f>参数输入表!$I$636*(1-参数输入表!$I$639)*参数输入表!$I$38*时间序列!AB84/(参数输入表!$I$638*12)</f>
        <v>0</v>
      </c>
      <c r="AF120" s="366">
        <f>参数输入表!$I$636*(1-参数输入表!$I$639)*参数输入表!$I$38*时间序列!AC84/(参数输入表!$I$638*12)</f>
        <v>0</v>
      </c>
      <c r="AG120" s="366">
        <f>参数输入表!$I$636*(1-参数输入表!$I$639)*参数输入表!$I$38*时间序列!AD84/(参数输入表!$I$638*12)</f>
        <v>0</v>
      </c>
      <c r="AH120" s="366">
        <f>参数输入表!$I$636*(1-参数输入表!$I$639)*参数输入表!$I$38*时间序列!AE84/(参数输入表!$I$638*12)</f>
        <v>0</v>
      </c>
      <c r="AI120" s="366">
        <f>参数输入表!$I$636*(1-参数输入表!$I$639)*参数输入表!$I$38*时间序列!AF84/(参数输入表!$I$638*12)</f>
        <v>0</v>
      </c>
      <c r="AJ120" s="366">
        <f>参数输入表!$I$636*(1-参数输入表!$I$639)*参数输入表!$I$38*时间序列!AG84/(参数输入表!$I$638*12)</f>
        <v>0</v>
      </c>
      <c r="AK120" s="366">
        <f>参数输入表!$I$636*(1-参数输入表!$I$639)*参数输入表!$I$38*时间序列!AH84/(参数输入表!$I$638*12)</f>
        <v>0</v>
      </c>
      <c r="AL120" s="366">
        <f>参数输入表!$I$636*(1-参数输入表!$I$639)*参数输入表!$I$38*时间序列!AI84/(参数输入表!$I$638*12)</f>
        <v>0</v>
      </c>
      <c r="AM120" s="366">
        <f>参数输入表!$I$636*(1-参数输入表!$I$639)*参数输入表!$I$38*时间序列!AJ84/(参数输入表!$I$638*12)</f>
        <v>0</v>
      </c>
      <c r="AN120" s="366">
        <f>参数输入表!$I$636*(1-参数输入表!$I$639)*参数输入表!$I$38*时间序列!AK84/(参数输入表!$I$638*12)</f>
        <v>0</v>
      </c>
      <c r="AO120" s="366">
        <f>参数输入表!$I$636*(1-参数输入表!$I$639)*参数输入表!$I$38*时间序列!AL84/(参数输入表!$I$638*12)</f>
        <v>0</v>
      </c>
      <c r="AP120" s="366">
        <f>参数输入表!$I$636*(1-参数输入表!$I$639)*参数输入表!$I$38*时间序列!AM84/(参数输入表!$I$638*12)</f>
        <v>0</v>
      </c>
      <c r="AQ120" s="366">
        <f>参数输入表!$I$636*(1-参数输入表!$I$639)*参数输入表!$I$38*时间序列!AN84/(参数输入表!$I$638*12)</f>
        <v>0</v>
      </c>
      <c r="AR120" s="366">
        <f>参数输入表!$I$636*(1-参数输入表!$I$639)*参数输入表!$I$38*时间序列!AO84/(参数输入表!$I$638*12)</f>
        <v>0</v>
      </c>
      <c r="AS120" s="366">
        <f>参数输入表!$I$636*(1-参数输入表!$I$639)*参数输入表!$I$38*时间序列!AP84/(参数输入表!$I$638*12)</f>
        <v>0</v>
      </c>
      <c r="AT120" s="366">
        <f>参数输入表!$I$636*(1-参数输入表!$I$639)*参数输入表!$I$38*时间序列!AQ84/(参数输入表!$I$638*12)</f>
        <v>0</v>
      </c>
      <c r="AU120" s="366">
        <f>参数输入表!$I$636*(1-参数输入表!$I$639)*参数输入表!$I$38*时间序列!AR84/(参数输入表!$I$638*12)</f>
        <v>0</v>
      </c>
      <c r="AV120" s="366">
        <f>参数输入表!$I$636*(1-参数输入表!$I$639)*参数输入表!$I$38*时间序列!AS84/(参数输入表!$I$638*12)</f>
        <v>0</v>
      </c>
      <c r="AW120" s="366">
        <f>参数输入表!$I$636*(1-参数输入表!$I$639)*参数输入表!$I$38*时间序列!AT84/(参数输入表!$I$638*12)</f>
        <v>0</v>
      </c>
      <c r="AX120" s="366">
        <f>参数输入表!$I$636*(1-参数输入表!$I$639)*参数输入表!$I$38*时间序列!AU84/(参数输入表!$I$638*12)</f>
        <v>0</v>
      </c>
      <c r="AY120" s="366">
        <f>参数输入表!$I$636*(1-参数输入表!$I$639)*参数输入表!$I$38*时间序列!AV84/(参数输入表!$I$638*12)</f>
        <v>0</v>
      </c>
      <c r="AZ120" s="366">
        <f>参数输入表!$I$636*(1-参数输入表!$I$639)*参数输入表!$I$38*时间序列!AW84/(参数输入表!$I$638*12)</f>
        <v>0</v>
      </c>
      <c r="BA120" s="385">
        <f>参数输入表!$I$636*(1-参数输入表!$I$639)*参数输入表!$I$38*时间序列!AX84/(参数输入表!$I$638*12)</f>
        <v>0</v>
      </c>
    </row>
    <row r="121" s="192" customFormat="1" spans="1:53">
      <c r="A121" s="105"/>
      <c r="B121" s="360"/>
      <c r="C121" s="402" t="s">
        <v>474</v>
      </c>
      <c r="D121" s="375">
        <f ca="1" t="shared" si="120"/>
        <v>76000</v>
      </c>
      <c r="E121" s="266" t="s">
        <v>130</v>
      </c>
      <c r="F121" s="366">
        <f ca="1">参数输入表!$I$636*(1-参数输入表!$I$639)*参数输入表!$I$39*时间序列!C112/(参数输入表!$I$638*12)</f>
        <v>0</v>
      </c>
      <c r="G121" s="366">
        <f ca="1">参数输入表!$I$636*(1-参数输入表!$I$639)*参数输入表!$I$39*时间序列!D112/(参数输入表!$I$638*12)</f>
        <v>0</v>
      </c>
      <c r="H121" s="366">
        <f ca="1">参数输入表!$I$636*(1-参数输入表!$I$639)*参数输入表!$I$39*时间序列!E112/(参数输入表!$I$638*12)</f>
        <v>0</v>
      </c>
      <c r="I121" s="366">
        <f ca="1">参数输入表!$I$636*(1-参数输入表!$I$639)*参数输入表!$I$39*时间序列!F112/(参数输入表!$I$638*12)</f>
        <v>0</v>
      </c>
      <c r="J121" s="366">
        <f ca="1">参数输入表!$I$636*(1-参数输入表!$I$639)*参数输入表!$I$39*时间序列!G112/(参数输入表!$I$638*12)</f>
        <v>0</v>
      </c>
      <c r="K121" s="366">
        <f ca="1">参数输入表!$I$636*(1-参数输入表!$I$639)*参数输入表!$I$39*时间序列!H112/(参数输入表!$I$638*12)</f>
        <v>0</v>
      </c>
      <c r="L121" s="366">
        <f ca="1">参数输入表!$I$636*(1-参数输入表!$I$639)*参数输入表!$I$39*时间序列!I112/(参数输入表!$I$638*12)</f>
        <v>0</v>
      </c>
      <c r="M121" s="366">
        <f ca="1">参数输入表!$I$636*(1-参数输入表!$I$639)*参数输入表!$I$39*时间序列!J112/(参数输入表!$I$638*12)</f>
        <v>1759.25925925926</v>
      </c>
      <c r="N121" s="366">
        <f ca="1">参数输入表!$I$636*(1-参数输入表!$I$639)*参数输入表!$I$39*时间序列!K112/(参数输入表!$I$638*12)</f>
        <v>4222.22222222222</v>
      </c>
      <c r="O121" s="366">
        <f ca="1">参数输入表!$I$636*(1-参数输入表!$I$639)*参数输入表!$I$39*时间序列!L112/(参数输入表!$I$638*12)</f>
        <v>4222.22222222222</v>
      </c>
      <c r="P121" s="366">
        <f ca="1">参数输入表!$I$636*(1-参数输入表!$I$639)*参数输入表!$I$39*时间序列!M112/(参数输入表!$I$638*12)</f>
        <v>4222.22222222222</v>
      </c>
      <c r="Q121" s="366">
        <f ca="1">参数输入表!$I$636*(1-参数输入表!$I$639)*参数输入表!$I$39*时间序列!N112/(参数输入表!$I$638*12)</f>
        <v>4222.22222222222</v>
      </c>
      <c r="R121" s="366">
        <f ca="1">参数输入表!$I$636*(1-参数输入表!$I$639)*参数输入表!$I$39*时间序列!O112/(参数输入表!$I$638*12)</f>
        <v>4222.22222222222</v>
      </c>
      <c r="S121" s="366">
        <f ca="1">参数输入表!$I$636*(1-参数输入表!$I$639)*参数输入表!$I$39*时间序列!P112/(参数输入表!$I$638*12)</f>
        <v>4222.22222222222</v>
      </c>
      <c r="T121" s="366">
        <f ca="1">参数输入表!$I$636*(1-参数输入表!$I$639)*参数输入表!$I$39*时间序列!Q112/(参数输入表!$I$638*12)</f>
        <v>4222.22222222222</v>
      </c>
      <c r="U121" s="366">
        <f ca="1">参数输入表!$I$636*(1-参数输入表!$I$639)*参数输入表!$I$39*时间序列!R112/(参数输入表!$I$638*12)</f>
        <v>4222.22222222222</v>
      </c>
      <c r="V121" s="366">
        <f ca="1">参数输入表!$I$636*(1-参数输入表!$I$639)*参数输入表!$I$39*时间序列!S112/(参数输入表!$I$638*12)</f>
        <v>4222.22222222222</v>
      </c>
      <c r="W121" s="366">
        <f ca="1">参数输入表!$I$636*(1-参数输入表!$I$639)*参数输入表!$I$39*时间序列!T112/(参数输入表!$I$638*12)</f>
        <v>4222.22222222222</v>
      </c>
      <c r="X121" s="366">
        <f ca="1">参数输入表!$I$636*(1-参数输入表!$I$639)*参数输入表!$I$39*时间序列!U112/(参数输入表!$I$638*12)</f>
        <v>4222.22222222222</v>
      </c>
      <c r="Y121" s="366">
        <f ca="1">参数输入表!$I$636*(1-参数输入表!$I$639)*参数输入表!$I$39*时间序列!V112/(参数输入表!$I$638*12)</f>
        <v>4222.22222222222</v>
      </c>
      <c r="Z121" s="366">
        <f ca="1">参数输入表!$I$636*(1-参数输入表!$I$639)*参数输入表!$I$39*时间序列!W112/(参数输入表!$I$638*12)</f>
        <v>4222.22222222222</v>
      </c>
      <c r="AA121" s="366">
        <f ca="1">参数输入表!$I$636*(1-参数输入表!$I$639)*参数输入表!$I$39*时间序列!X112/(参数输入表!$I$638*12)</f>
        <v>4222.22222222222</v>
      </c>
      <c r="AB121" s="366">
        <f ca="1">参数输入表!$I$636*(1-参数输入表!$I$639)*参数输入表!$I$39*时间序列!Y112/(参数输入表!$I$638*12)</f>
        <v>4222.22222222222</v>
      </c>
      <c r="AC121" s="366">
        <f ca="1">参数输入表!$I$636*(1-参数输入表!$I$639)*参数输入表!$I$39*时间序列!Z112/(参数输入表!$I$638*12)</f>
        <v>4222.22222222222</v>
      </c>
      <c r="AD121" s="366">
        <f ca="1">参数输入表!$I$636*(1-参数输入表!$I$639)*参数输入表!$I$39*时间序列!AA112/(参数输入表!$I$638*12)</f>
        <v>4222.22222222222</v>
      </c>
      <c r="AE121" s="366">
        <f ca="1">参数输入表!$I$636*(1-参数输入表!$I$639)*参数输入表!$I$39*时间序列!AB112/(参数输入表!$I$638*12)</f>
        <v>2462.96296296296</v>
      </c>
      <c r="AF121" s="366">
        <f ca="1">参数输入表!$I$636*(1-参数输入表!$I$639)*参数输入表!$I$39*时间序列!AC112/(参数输入表!$I$638*12)</f>
        <v>0</v>
      </c>
      <c r="AG121" s="366">
        <f ca="1">参数输入表!$I$636*(1-参数输入表!$I$639)*参数输入表!$I$39*时间序列!AD112/(参数输入表!$I$638*12)</f>
        <v>0</v>
      </c>
      <c r="AH121" s="366">
        <f ca="1">参数输入表!$I$636*(1-参数输入表!$I$639)*参数输入表!$I$39*时间序列!AE112/(参数输入表!$I$638*12)</f>
        <v>0</v>
      </c>
      <c r="AI121" s="366">
        <f ca="1">参数输入表!$I$636*(1-参数输入表!$I$639)*参数输入表!$I$39*时间序列!AF112/(参数输入表!$I$638*12)</f>
        <v>0</v>
      </c>
      <c r="AJ121" s="366">
        <f ca="1">参数输入表!$I$636*(1-参数输入表!$I$639)*参数输入表!$I$39*时间序列!AG112/(参数输入表!$I$638*12)</f>
        <v>0</v>
      </c>
      <c r="AK121" s="366">
        <f ca="1">参数输入表!$I$636*(1-参数输入表!$I$639)*参数输入表!$I$39*时间序列!AH112/(参数输入表!$I$638*12)</f>
        <v>0</v>
      </c>
      <c r="AL121" s="366">
        <f ca="1">参数输入表!$I$636*(1-参数输入表!$I$639)*参数输入表!$I$39*时间序列!AI112/(参数输入表!$I$638*12)</f>
        <v>0</v>
      </c>
      <c r="AM121" s="366">
        <f ca="1">参数输入表!$I$636*(1-参数输入表!$I$639)*参数输入表!$I$39*时间序列!AJ112/(参数输入表!$I$638*12)</f>
        <v>0</v>
      </c>
      <c r="AN121" s="366">
        <f ca="1">参数输入表!$I$636*(1-参数输入表!$I$639)*参数输入表!$I$39*时间序列!AK112/(参数输入表!$I$638*12)</f>
        <v>0</v>
      </c>
      <c r="AO121" s="366">
        <f ca="1">参数输入表!$I$636*(1-参数输入表!$I$639)*参数输入表!$I$39*时间序列!AL112/(参数输入表!$I$638*12)</f>
        <v>0</v>
      </c>
      <c r="AP121" s="366">
        <f ca="1">参数输入表!$I$636*(1-参数输入表!$I$639)*参数输入表!$I$39*时间序列!AM112/(参数输入表!$I$638*12)</f>
        <v>0</v>
      </c>
      <c r="AQ121" s="366">
        <f ca="1">参数输入表!$I$636*(1-参数输入表!$I$639)*参数输入表!$I$39*时间序列!AN112/(参数输入表!$I$638*12)</f>
        <v>0</v>
      </c>
      <c r="AR121" s="366">
        <f ca="1">参数输入表!$I$636*(1-参数输入表!$I$639)*参数输入表!$I$39*时间序列!AO112/(参数输入表!$I$638*12)</f>
        <v>0</v>
      </c>
      <c r="AS121" s="366">
        <f ca="1">参数输入表!$I$636*(1-参数输入表!$I$639)*参数输入表!$I$39*时间序列!AP112/(参数输入表!$I$638*12)</f>
        <v>0</v>
      </c>
      <c r="AT121" s="366">
        <f ca="1">参数输入表!$I$636*(1-参数输入表!$I$639)*参数输入表!$I$39*时间序列!AQ112/(参数输入表!$I$638*12)</f>
        <v>0</v>
      </c>
      <c r="AU121" s="366">
        <f ca="1">参数输入表!$I$636*(1-参数输入表!$I$639)*参数输入表!$I$39*时间序列!AR112/(参数输入表!$I$638*12)</f>
        <v>0</v>
      </c>
      <c r="AV121" s="366">
        <f ca="1">参数输入表!$I$636*(1-参数输入表!$I$639)*参数输入表!$I$39*时间序列!AS112/(参数输入表!$I$638*12)</f>
        <v>0</v>
      </c>
      <c r="AW121" s="366">
        <f ca="1">参数输入表!$I$636*(1-参数输入表!$I$639)*参数输入表!$I$39*时间序列!AT112/(参数输入表!$I$638*12)</f>
        <v>0</v>
      </c>
      <c r="AX121" s="366">
        <f ca="1">参数输入表!$I$636*(1-参数输入表!$I$639)*参数输入表!$I$39*时间序列!AU112/(参数输入表!$I$638*12)</f>
        <v>0</v>
      </c>
      <c r="AY121" s="366">
        <f ca="1">参数输入表!$I$636*(1-参数输入表!$I$639)*参数输入表!$I$39*时间序列!AV112/(参数输入表!$I$638*12)</f>
        <v>0</v>
      </c>
      <c r="AZ121" s="366">
        <f ca="1">参数输入表!$I$636*(1-参数输入表!$I$639)*参数输入表!$I$39*时间序列!AW112/(参数输入表!$I$638*12)</f>
        <v>0</v>
      </c>
      <c r="BA121" s="385">
        <f ca="1">参数输入表!$I$636*(1-参数输入表!$I$639)*参数输入表!$I$39*时间序列!AX112/(参数输入表!$I$638*12)</f>
        <v>0</v>
      </c>
    </row>
    <row r="122" s="192" customFormat="1" spans="1:53">
      <c r="A122" s="105"/>
      <c r="B122" s="360"/>
      <c r="C122" s="133" t="s">
        <v>728</v>
      </c>
      <c r="D122" s="366"/>
      <c r="E122" s="367" t="s">
        <v>130</v>
      </c>
      <c r="F122" s="366">
        <f ca="1">F117</f>
        <v>0</v>
      </c>
      <c r="G122" s="366">
        <f ca="1">F122+G117</f>
        <v>0</v>
      </c>
      <c r="H122" s="366">
        <f ca="1" t="shared" ref="H122:BA122" si="121">G122+H117</f>
        <v>0</v>
      </c>
      <c r="I122" s="366">
        <f ca="1" t="shared" si="121"/>
        <v>0</v>
      </c>
      <c r="J122" s="366">
        <f ca="1" t="shared" si="121"/>
        <v>0</v>
      </c>
      <c r="K122" s="366">
        <f ca="1" t="shared" si="121"/>
        <v>0</v>
      </c>
      <c r="L122" s="366">
        <f ca="1" t="shared" si="121"/>
        <v>0</v>
      </c>
      <c r="M122" s="366">
        <f ca="1" t="shared" si="121"/>
        <v>1759.25925925926</v>
      </c>
      <c r="N122" s="366">
        <f ca="1" t="shared" si="121"/>
        <v>5981.48148148148</v>
      </c>
      <c r="O122" s="366">
        <f ca="1" t="shared" si="121"/>
        <v>10203.7037037037</v>
      </c>
      <c r="P122" s="366">
        <f ca="1" t="shared" si="121"/>
        <v>14425.9259259259</v>
      </c>
      <c r="Q122" s="366">
        <f ca="1" t="shared" si="121"/>
        <v>18648.1481481481</v>
      </c>
      <c r="R122" s="366">
        <f ca="1" t="shared" si="121"/>
        <v>22870.3703703704</v>
      </c>
      <c r="S122" s="366">
        <f ca="1" t="shared" si="121"/>
        <v>27092.5925925926</v>
      </c>
      <c r="T122" s="366">
        <f ca="1" t="shared" si="121"/>
        <v>31314.8148148148</v>
      </c>
      <c r="U122" s="366">
        <f ca="1" t="shared" si="121"/>
        <v>35537.037037037</v>
      </c>
      <c r="V122" s="366">
        <f ca="1" t="shared" si="121"/>
        <v>39759.2592592593</v>
      </c>
      <c r="W122" s="366">
        <f ca="1" t="shared" si="121"/>
        <v>43981.4814814815</v>
      </c>
      <c r="X122" s="366">
        <f ca="1" t="shared" si="121"/>
        <v>48203.7037037037</v>
      </c>
      <c r="Y122" s="366">
        <f ca="1" t="shared" si="121"/>
        <v>52425.9259259259</v>
      </c>
      <c r="Z122" s="366">
        <f ca="1" t="shared" si="121"/>
        <v>56648.1481481481</v>
      </c>
      <c r="AA122" s="366">
        <f ca="1" t="shared" si="121"/>
        <v>60870.3703703704</v>
      </c>
      <c r="AB122" s="366">
        <f ca="1" t="shared" si="121"/>
        <v>65092.5925925926</v>
      </c>
      <c r="AC122" s="366">
        <f ca="1" t="shared" si="121"/>
        <v>69314.8148148148</v>
      </c>
      <c r="AD122" s="366">
        <f ca="1" t="shared" si="121"/>
        <v>73537.037037037</v>
      </c>
      <c r="AE122" s="366">
        <f ca="1" t="shared" si="121"/>
        <v>76000</v>
      </c>
      <c r="AF122" s="366">
        <f ca="1" t="shared" si="121"/>
        <v>76000</v>
      </c>
      <c r="AG122" s="366">
        <f ca="1" t="shared" si="121"/>
        <v>76000</v>
      </c>
      <c r="AH122" s="366">
        <f ca="1" t="shared" si="121"/>
        <v>76000</v>
      </c>
      <c r="AI122" s="366">
        <f ca="1" t="shared" si="121"/>
        <v>76000</v>
      </c>
      <c r="AJ122" s="366">
        <f ca="1" t="shared" si="121"/>
        <v>76000</v>
      </c>
      <c r="AK122" s="366">
        <f ca="1" t="shared" si="121"/>
        <v>76000</v>
      </c>
      <c r="AL122" s="366">
        <f ca="1" t="shared" si="121"/>
        <v>76000</v>
      </c>
      <c r="AM122" s="366">
        <f ca="1" t="shared" si="121"/>
        <v>76000</v>
      </c>
      <c r="AN122" s="366">
        <f ca="1" t="shared" si="121"/>
        <v>76000</v>
      </c>
      <c r="AO122" s="366">
        <f ca="1" t="shared" si="121"/>
        <v>76000</v>
      </c>
      <c r="AP122" s="366">
        <f ca="1" t="shared" si="121"/>
        <v>76000</v>
      </c>
      <c r="AQ122" s="366">
        <f ca="1" t="shared" si="121"/>
        <v>76000</v>
      </c>
      <c r="AR122" s="366">
        <f ca="1" t="shared" si="121"/>
        <v>76000</v>
      </c>
      <c r="AS122" s="366">
        <f ca="1" t="shared" si="121"/>
        <v>76000</v>
      </c>
      <c r="AT122" s="366">
        <f ca="1" t="shared" si="121"/>
        <v>76000</v>
      </c>
      <c r="AU122" s="366">
        <f ca="1" t="shared" si="121"/>
        <v>76000</v>
      </c>
      <c r="AV122" s="366">
        <f ca="1" t="shared" si="121"/>
        <v>76000</v>
      </c>
      <c r="AW122" s="366">
        <f ca="1" t="shared" si="121"/>
        <v>76000</v>
      </c>
      <c r="AX122" s="366">
        <f ca="1" t="shared" si="121"/>
        <v>76000</v>
      </c>
      <c r="AY122" s="366">
        <f ca="1" t="shared" si="121"/>
        <v>76000</v>
      </c>
      <c r="AZ122" s="366">
        <f ca="1" t="shared" si="121"/>
        <v>76000</v>
      </c>
      <c r="BA122" s="385">
        <f ca="1" t="shared" si="121"/>
        <v>76000</v>
      </c>
    </row>
    <row r="123" s="105" customFormat="1" ht="17.25" spans="1:53">
      <c r="B123" s="379"/>
      <c r="C123" s="380" t="s">
        <v>729</v>
      </c>
      <c r="D123" s="380"/>
      <c r="E123" s="382" t="s">
        <v>130</v>
      </c>
      <c r="F123" s="383">
        <f ca="1">F113-F122</f>
        <v>0</v>
      </c>
      <c r="G123" s="383">
        <f ca="1" t="shared" ref="G123:BA123" si="122">G113-G122</f>
        <v>0</v>
      </c>
      <c r="H123" s="383">
        <f ca="1" t="shared" si="122"/>
        <v>0</v>
      </c>
      <c r="I123" s="383">
        <f ca="1" t="shared" si="122"/>
        <v>0</v>
      </c>
      <c r="J123" s="383">
        <f ca="1" t="shared" si="122"/>
        <v>0</v>
      </c>
      <c r="K123" s="383">
        <f ca="1" t="shared" si="122"/>
        <v>0</v>
      </c>
      <c r="L123" s="383">
        <f ca="1" t="shared" si="122"/>
        <v>0</v>
      </c>
      <c r="M123" s="383">
        <f ca="1" t="shared" si="122"/>
        <v>78240.7407407407</v>
      </c>
      <c r="N123" s="383">
        <f ca="1" t="shared" si="122"/>
        <v>74018.5185185185</v>
      </c>
      <c r="O123" s="383">
        <f ca="1" t="shared" si="122"/>
        <v>69796.2962962963</v>
      </c>
      <c r="P123" s="383">
        <f ca="1" t="shared" si="122"/>
        <v>65574.0740740741</v>
      </c>
      <c r="Q123" s="383">
        <f ca="1" t="shared" si="122"/>
        <v>61351.8518518519</v>
      </c>
      <c r="R123" s="383">
        <f ca="1" t="shared" si="122"/>
        <v>57129.6296296296</v>
      </c>
      <c r="S123" s="383">
        <f ca="1" t="shared" si="122"/>
        <v>52907.4074074074</v>
      </c>
      <c r="T123" s="383">
        <f ca="1" t="shared" si="122"/>
        <v>48685.1851851852</v>
      </c>
      <c r="U123" s="383">
        <f ca="1" t="shared" si="122"/>
        <v>44462.962962963</v>
      </c>
      <c r="V123" s="383">
        <f ca="1" t="shared" si="122"/>
        <v>40240.7407407407</v>
      </c>
      <c r="W123" s="383">
        <f ca="1" t="shared" si="122"/>
        <v>36018.5185185185</v>
      </c>
      <c r="X123" s="383">
        <f ca="1" t="shared" si="122"/>
        <v>31796.2962962963</v>
      </c>
      <c r="Y123" s="383">
        <f ca="1" t="shared" si="122"/>
        <v>27574.0740740741</v>
      </c>
      <c r="Z123" s="383">
        <f ca="1" t="shared" si="122"/>
        <v>23351.8518518519</v>
      </c>
      <c r="AA123" s="383">
        <f ca="1" t="shared" si="122"/>
        <v>19129.6296296296</v>
      </c>
      <c r="AB123" s="383">
        <f ca="1" t="shared" si="122"/>
        <v>14907.4074074074</v>
      </c>
      <c r="AC123" s="383">
        <f ca="1" t="shared" si="122"/>
        <v>10685.1851851852</v>
      </c>
      <c r="AD123" s="383">
        <f ca="1" t="shared" si="122"/>
        <v>6462.96296296299</v>
      </c>
      <c r="AE123" s="383">
        <f ca="1" t="shared" si="122"/>
        <v>4000.00000000003</v>
      </c>
      <c r="AF123" s="383">
        <f ca="1" t="shared" si="122"/>
        <v>4000.00000000003</v>
      </c>
      <c r="AG123" s="383">
        <f ca="1" t="shared" si="122"/>
        <v>4000.00000000003</v>
      </c>
      <c r="AH123" s="383">
        <f ca="1" t="shared" si="122"/>
        <v>4000.00000000003</v>
      </c>
      <c r="AI123" s="383">
        <f ca="1" t="shared" si="122"/>
        <v>4000.00000000003</v>
      </c>
      <c r="AJ123" s="383">
        <f ca="1" t="shared" si="122"/>
        <v>4000.00000000003</v>
      </c>
      <c r="AK123" s="383">
        <f ca="1" t="shared" si="122"/>
        <v>4000.00000000003</v>
      </c>
      <c r="AL123" s="383">
        <f ca="1" t="shared" si="122"/>
        <v>4000.00000000003</v>
      </c>
      <c r="AM123" s="383">
        <f ca="1" t="shared" si="122"/>
        <v>4000.00000000003</v>
      </c>
      <c r="AN123" s="383">
        <f ca="1" t="shared" si="122"/>
        <v>4000.00000000003</v>
      </c>
      <c r="AO123" s="383">
        <f ca="1" t="shared" si="122"/>
        <v>4000.00000000003</v>
      </c>
      <c r="AP123" s="383">
        <f ca="1" t="shared" si="122"/>
        <v>4000.00000000003</v>
      </c>
      <c r="AQ123" s="383">
        <f ca="1" t="shared" si="122"/>
        <v>4000.00000000003</v>
      </c>
      <c r="AR123" s="383">
        <f ca="1" t="shared" si="122"/>
        <v>4000.00000000003</v>
      </c>
      <c r="AS123" s="383">
        <f ca="1" t="shared" si="122"/>
        <v>4000.00000000003</v>
      </c>
      <c r="AT123" s="383">
        <f ca="1" t="shared" si="122"/>
        <v>4000.00000000003</v>
      </c>
      <c r="AU123" s="383">
        <f ca="1" t="shared" si="122"/>
        <v>4000.00000000003</v>
      </c>
      <c r="AV123" s="383">
        <f ca="1" t="shared" si="122"/>
        <v>4000.00000000003</v>
      </c>
      <c r="AW123" s="383">
        <f ca="1" t="shared" si="122"/>
        <v>4000.00000000003</v>
      </c>
      <c r="AX123" s="383">
        <f ca="1" t="shared" si="122"/>
        <v>4000.00000000003</v>
      </c>
      <c r="AY123" s="383">
        <f ca="1" t="shared" si="122"/>
        <v>4000.00000000003</v>
      </c>
      <c r="AZ123" s="383">
        <f ca="1" t="shared" si="122"/>
        <v>4000.00000000003</v>
      </c>
      <c r="BA123" s="384">
        <f ca="1" t="shared" si="122"/>
        <v>4000.00000000003</v>
      </c>
    </row>
    <row r="124" s="105" customFormat="1" spans="1:53">
      <c r="B124" s="403">
        <v>4</v>
      </c>
      <c r="C124" s="356" t="s">
        <v>730</v>
      </c>
      <c r="D124" s="357"/>
      <c r="E124" s="404" t="s">
        <v>130</v>
      </c>
      <c r="F124" s="357">
        <v>0</v>
      </c>
      <c r="G124" s="357">
        <f>F176</f>
        <v>0</v>
      </c>
      <c r="H124" s="357">
        <f t="shared" ref="H124:O124" si="123">G176</f>
        <v>0</v>
      </c>
      <c r="I124" s="357">
        <f t="shared" si="123"/>
        <v>0</v>
      </c>
      <c r="J124" s="357">
        <f t="shared" si="123"/>
        <v>0</v>
      </c>
      <c r="K124" s="357">
        <f t="shared" si="123"/>
        <v>0</v>
      </c>
      <c r="L124" s="357">
        <f t="shared" si="123"/>
        <v>0</v>
      </c>
      <c r="M124" s="357">
        <f t="shared" si="123"/>
        <v>0</v>
      </c>
      <c r="N124" s="357">
        <f t="shared" si="123"/>
        <v>0</v>
      </c>
      <c r="O124" s="357">
        <f t="shared" si="123"/>
        <v>0</v>
      </c>
      <c r="P124" s="357">
        <f t="shared" ref="P124:AL124" si="124">O176</f>
        <v>0</v>
      </c>
      <c r="Q124" s="357">
        <f t="shared" si="124"/>
        <v>0</v>
      </c>
      <c r="R124" s="357">
        <f t="shared" si="124"/>
        <v>0</v>
      </c>
      <c r="S124" s="357">
        <f t="shared" si="124"/>
        <v>0</v>
      </c>
      <c r="T124" s="357">
        <f t="shared" si="124"/>
        <v>0</v>
      </c>
      <c r="U124" s="357">
        <f t="shared" si="124"/>
        <v>0</v>
      </c>
      <c r="V124" s="357">
        <f t="shared" si="124"/>
        <v>0</v>
      </c>
      <c r="W124" s="357">
        <f t="shared" si="124"/>
        <v>0</v>
      </c>
      <c r="X124" s="357">
        <f t="shared" si="124"/>
        <v>0</v>
      </c>
      <c r="Y124" s="357">
        <f t="shared" si="124"/>
        <v>0</v>
      </c>
      <c r="Z124" s="357">
        <f t="shared" si="124"/>
        <v>16513.7614678899</v>
      </c>
      <c r="AA124" s="357">
        <f t="shared" si="124"/>
        <v>14678.8990825688</v>
      </c>
      <c r="AB124" s="357">
        <f t="shared" si="124"/>
        <v>12844.0366972477</v>
      </c>
      <c r="AC124" s="357">
        <f t="shared" si="124"/>
        <v>11009.1743119266</v>
      </c>
      <c r="AD124" s="357">
        <f t="shared" si="124"/>
        <v>9174.3119266055</v>
      </c>
      <c r="AE124" s="357">
        <f t="shared" si="124"/>
        <v>7339.4495412844</v>
      </c>
      <c r="AF124" s="357">
        <f t="shared" si="124"/>
        <v>5504.5871559633</v>
      </c>
      <c r="AG124" s="357">
        <f t="shared" si="124"/>
        <v>3669.7247706422</v>
      </c>
      <c r="AH124" s="357">
        <f t="shared" si="124"/>
        <v>1834.8623853211</v>
      </c>
      <c r="AI124" s="357">
        <f t="shared" si="124"/>
        <v>0</v>
      </c>
      <c r="AJ124" s="357">
        <f t="shared" si="124"/>
        <v>16513.7614678899</v>
      </c>
      <c r="AK124" s="357">
        <f t="shared" si="124"/>
        <v>14678.8990825688</v>
      </c>
      <c r="AL124" s="357">
        <f t="shared" si="124"/>
        <v>12844.0366972477</v>
      </c>
      <c r="AM124" s="357">
        <f t="shared" ref="AM124" si="125">AL176</f>
        <v>11009.1743119266</v>
      </c>
      <c r="AN124" s="357">
        <f t="shared" ref="AN124" si="126">AM176</f>
        <v>9174.3119266055</v>
      </c>
      <c r="AO124" s="357">
        <f t="shared" ref="AO124" si="127">AN176</f>
        <v>7339.4495412844</v>
      </c>
      <c r="AP124" s="357">
        <f t="shared" ref="AP124" si="128">AO176</f>
        <v>5504.5871559633</v>
      </c>
      <c r="AQ124" s="357">
        <f t="shared" ref="AQ124" si="129">AP176</f>
        <v>3669.7247706422</v>
      </c>
      <c r="AR124" s="357">
        <f t="shared" ref="AR124" si="130">AQ176</f>
        <v>1834.8623853211</v>
      </c>
      <c r="AS124" s="357">
        <f t="shared" ref="AS124" si="131">AR176</f>
        <v>0</v>
      </c>
      <c r="AT124" s="357">
        <f t="shared" ref="AT124" si="132">AS176</f>
        <v>16309.8878695209</v>
      </c>
      <c r="AU124" s="357">
        <f t="shared" ref="AU124" si="133">AT176</f>
        <v>14271.1518858308</v>
      </c>
      <c r="AV124" s="357">
        <f t="shared" ref="AV124" si="134">AU176</f>
        <v>12232.4159021407</v>
      </c>
      <c r="AW124" s="357">
        <f t="shared" ref="AW124" si="135">AV176</f>
        <v>10193.6799184506</v>
      </c>
      <c r="AX124" s="357">
        <f t="shared" ref="AX124" si="136">AW176</f>
        <v>8154.94393476045</v>
      </c>
      <c r="AY124" s="357">
        <f t="shared" ref="AY124" si="137">AX176</f>
        <v>6116.20795107033</v>
      </c>
      <c r="AZ124" s="357">
        <f t="shared" ref="AZ124" si="138">AY176</f>
        <v>4077.47196738022</v>
      </c>
      <c r="BA124" s="359">
        <f t="shared" ref="BA124" si="139">AZ176</f>
        <v>2038.73598369011</v>
      </c>
    </row>
    <row r="125" s="105" customFormat="1" spans="1:53">
      <c r="B125" s="405"/>
      <c r="C125" s="133" t="s">
        <v>731</v>
      </c>
      <c r="D125" s="366">
        <f>SUM(F125:BA125)</f>
        <v>55045.871559633</v>
      </c>
      <c r="E125" s="367" t="s">
        <v>130</v>
      </c>
      <c r="F125" s="366">
        <f>参数输入表!I695/(1+参数输入表!$I$745)</f>
        <v>0</v>
      </c>
      <c r="G125" s="366">
        <f>参数输入表!I696/(1+参数输入表!$I$745)</f>
        <v>0</v>
      </c>
      <c r="H125" s="366">
        <f>参数输入表!I697/(1+参数输入表!$I$745)</f>
        <v>0</v>
      </c>
      <c r="I125" s="366">
        <f>参数输入表!I698/(1+参数输入表!$I$745)</f>
        <v>0</v>
      </c>
      <c r="J125" s="366">
        <f>参数输入表!I699/(1+参数输入表!$I$745)</f>
        <v>0</v>
      </c>
      <c r="K125" s="366">
        <f>参数输入表!I700/(1+参数输入表!$I$745)</f>
        <v>0</v>
      </c>
      <c r="L125" s="366">
        <f>参数输入表!I701/(1+参数输入表!$I$745)</f>
        <v>0</v>
      </c>
      <c r="M125" s="366">
        <f>参数输入表!I702/(1+参数输入表!$I$745)</f>
        <v>0</v>
      </c>
      <c r="N125" s="366">
        <f>参数输入表!I703/(1+参数输入表!$I$745)</f>
        <v>0</v>
      </c>
      <c r="O125" s="366">
        <f>参数输入表!I704/(1+参数输入表!$I$745)</f>
        <v>0</v>
      </c>
      <c r="P125" s="366">
        <f>参数输入表!I705/(1+参数输入表!$I$745)</f>
        <v>0</v>
      </c>
      <c r="Q125" s="366">
        <f>参数输入表!I706/(1+参数输入表!$I$745)</f>
        <v>0</v>
      </c>
      <c r="R125" s="366">
        <f>参数输入表!I707/(1+参数输入表!$I$745)</f>
        <v>0</v>
      </c>
      <c r="S125" s="366">
        <f>参数输入表!I708/(1+参数输入表!$I$745)</f>
        <v>0</v>
      </c>
      <c r="T125" s="366">
        <f>参数输入表!I709/(1+参数输入表!$I$745)</f>
        <v>0</v>
      </c>
      <c r="U125" s="366">
        <f>参数输入表!I710/(1+参数输入表!$I$745)</f>
        <v>0</v>
      </c>
      <c r="V125" s="366">
        <f>参数输入表!I711/(1+参数输入表!$I$745)</f>
        <v>0</v>
      </c>
      <c r="W125" s="366">
        <f>参数输入表!I712/(1+参数输入表!$I$745)</f>
        <v>0</v>
      </c>
      <c r="X125" s="366">
        <f>参数输入表!I713/(1+参数输入表!$I$745)</f>
        <v>0</v>
      </c>
      <c r="Y125" s="366">
        <f>参数输入表!I714/(1+参数输入表!$I$745)</f>
        <v>18348.623853211</v>
      </c>
      <c r="Z125" s="366">
        <f>参数输入表!I715/(1+参数输入表!$I$745)</f>
        <v>0</v>
      </c>
      <c r="AA125" s="366">
        <f>参数输入表!I716/(1+参数输入表!$I$745)</f>
        <v>0</v>
      </c>
      <c r="AB125" s="366">
        <f>参数输入表!I717/(1+参数输入表!$I$745)</f>
        <v>0</v>
      </c>
      <c r="AC125" s="366">
        <f>参数输入表!I718/(1+参数输入表!$I$745)</f>
        <v>0</v>
      </c>
      <c r="AD125" s="366">
        <f>参数输入表!I719/(1+参数输入表!$I$745)</f>
        <v>0</v>
      </c>
      <c r="AE125" s="366">
        <f>参数输入表!I720/(1+参数输入表!$I$745)</f>
        <v>0</v>
      </c>
      <c r="AF125" s="366">
        <f>参数输入表!I721/(1+参数输入表!$I$745)</f>
        <v>0</v>
      </c>
      <c r="AG125" s="366">
        <f>参数输入表!I722/(1+参数输入表!$I$745)</f>
        <v>0</v>
      </c>
      <c r="AH125" s="366">
        <f>参数输入表!I723/(1+参数输入表!$I$745)</f>
        <v>0</v>
      </c>
      <c r="AI125" s="366">
        <f>参数输入表!I724/(1+参数输入表!$I$745)</f>
        <v>18348.623853211</v>
      </c>
      <c r="AJ125" s="366">
        <f>参数输入表!I725/(1+参数输入表!$I$745)</f>
        <v>0</v>
      </c>
      <c r="AK125" s="366">
        <f>参数输入表!I726/(1+参数输入表!$I$745)</f>
        <v>0</v>
      </c>
      <c r="AL125" s="366">
        <f>参数输入表!I727/(1+参数输入表!$I$745)</f>
        <v>0</v>
      </c>
      <c r="AM125" s="366">
        <f>参数输入表!I728/(1+参数输入表!$I$745)</f>
        <v>0</v>
      </c>
      <c r="AN125" s="366">
        <f>参数输入表!I729/(1+参数输入表!$I$745)</f>
        <v>0</v>
      </c>
      <c r="AO125" s="366">
        <f>参数输入表!I730/(1+参数输入表!$I$745)</f>
        <v>0</v>
      </c>
      <c r="AP125" s="366">
        <f>参数输入表!I731/(1+参数输入表!$I$745)</f>
        <v>0</v>
      </c>
      <c r="AQ125" s="366">
        <f>参数输入表!I732/(1+参数输入表!$I$745)</f>
        <v>0</v>
      </c>
      <c r="AR125" s="366">
        <f>参数输入表!I733/(1+参数输入表!$I$745)</f>
        <v>0</v>
      </c>
      <c r="AS125" s="366">
        <f>参数输入表!I734/(1+参数输入表!$I$745)</f>
        <v>18348.623853211</v>
      </c>
      <c r="AT125" s="366">
        <f>参数输入表!I735/(1+参数输入表!$I$745)</f>
        <v>0</v>
      </c>
      <c r="AU125" s="366">
        <f>参数输入表!I736/(1+参数输入表!$I$745)</f>
        <v>0</v>
      </c>
      <c r="AV125" s="366">
        <f>参数输入表!I737/(1+参数输入表!$I$745)</f>
        <v>0</v>
      </c>
      <c r="AW125" s="366">
        <f>参数输入表!I738/(1+参数输入表!$I$745)</f>
        <v>0</v>
      </c>
      <c r="AX125" s="366">
        <f>参数输入表!I739/(1+参数输入表!$I$745)</f>
        <v>0</v>
      </c>
      <c r="AY125" s="366">
        <f>参数输入表!I740/(1+参数输入表!$I$745)</f>
        <v>0</v>
      </c>
      <c r="AZ125" s="366">
        <f>参数输入表!I741/(1+参数输入表!$I$745)</f>
        <v>0</v>
      </c>
      <c r="BA125" s="385">
        <f>参数输入表!I742/(1+参数输入表!$I$745)</f>
        <v>0</v>
      </c>
    </row>
    <row r="126" s="105" customFormat="1" spans="1:53">
      <c r="B126" s="405"/>
      <c r="C126" s="370" t="s">
        <v>732</v>
      </c>
      <c r="D126" s="371">
        <f>SUM(F126:BA126)</f>
        <v>55045.871559633</v>
      </c>
      <c r="E126" s="367" t="s">
        <v>130</v>
      </c>
      <c r="F126" s="371">
        <f>SUM(F127:F174)</f>
        <v>0</v>
      </c>
      <c r="G126" s="371">
        <f t="shared" ref="G126:X126" si="140">SUM(G127:G174)</f>
        <v>0</v>
      </c>
      <c r="H126" s="371">
        <f t="shared" si="140"/>
        <v>0</v>
      </c>
      <c r="I126" s="371">
        <f t="shared" si="140"/>
        <v>0</v>
      </c>
      <c r="J126" s="371">
        <f t="shared" si="140"/>
        <v>0</v>
      </c>
      <c r="K126" s="371">
        <f t="shared" si="140"/>
        <v>0</v>
      </c>
      <c r="L126" s="371">
        <f t="shared" si="140"/>
        <v>0</v>
      </c>
      <c r="M126" s="371">
        <f t="shared" si="140"/>
        <v>0</v>
      </c>
      <c r="N126" s="371">
        <f t="shared" si="140"/>
        <v>0</v>
      </c>
      <c r="O126" s="371">
        <f t="shared" si="140"/>
        <v>0</v>
      </c>
      <c r="P126" s="371">
        <f t="shared" si="140"/>
        <v>0</v>
      </c>
      <c r="Q126" s="371">
        <f t="shared" si="140"/>
        <v>0</v>
      </c>
      <c r="R126" s="371">
        <f t="shared" si="140"/>
        <v>0</v>
      </c>
      <c r="S126" s="371">
        <f t="shared" si="140"/>
        <v>0</v>
      </c>
      <c r="T126" s="371">
        <f t="shared" si="140"/>
        <v>0</v>
      </c>
      <c r="U126" s="371">
        <f t="shared" si="140"/>
        <v>0</v>
      </c>
      <c r="V126" s="371">
        <f t="shared" si="140"/>
        <v>0</v>
      </c>
      <c r="W126" s="371">
        <f t="shared" si="140"/>
        <v>0</v>
      </c>
      <c r="X126" s="371">
        <f t="shared" si="140"/>
        <v>0</v>
      </c>
      <c r="Y126" s="371">
        <f t="shared" ref="Y126" si="141">SUM(Y127:Y174)</f>
        <v>1834.8623853211</v>
      </c>
      <c r="Z126" s="371">
        <f t="shared" ref="Z126" si="142">SUM(Z127:Z174)</f>
        <v>1834.8623853211</v>
      </c>
      <c r="AA126" s="371">
        <f t="shared" ref="AA126" si="143">SUM(AA127:AA174)</f>
        <v>1834.8623853211</v>
      </c>
      <c r="AB126" s="371">
        <f t="shared" ref="AB126" si="144">SUM(AB127:AB174)</f>
        <v>1834.8623853211</v>
      </c>
      <c r="AC126" s="371">
        <f t="shared" ref="AC126" si="145">SUM(AC127:AC174)</f>
        <v>1834.8623853211</v>
      </c>
      <c r="AD126" s="371">
        <f t="shared" ref="AD126" si="146">SUM(AD127:AD174)</f>
        <v>1834.8623853211</v>
      </c>
      <c r="AE126" s="371">
        <f t="shared" ref="AE126" si="147">SUM(AE127:AE174)</f>
        <v>1834.8623853211</v>
      </c>
      <c r="AF126" s="371">
        <f t="shared" ref="AF126" si="148">SUM(AF127:AF174)</f>
        <v>1834.8623853211</v>
      </c>
      <c r="AG126" s="371">
        <f t="shared" ref="AG126" si="149">SUM(AG127:AG174)</f>
        <v>1834.8623853211</v>
      </c>
      <c r="AH126" s="371">
        <f t="shared" ref="AH126" si="150">SUM(AH127:AH174)</f>
        <v>1834.8623853211</v>
      </c>
      <c r="AI126" s="371">
        <f t="shared" ref="AI126" si="151">SUM(AI127:AI174)</f>
        <v>1834.8623853211</v>
      </c>
      <c r="AJ126" s="371">
        <f t="shared" ref="AJ126" si="152">SUM(AJ127:AJ174)</f>
        <v>1834.8623853211</v>
      </c>
      <c r="AK126" s="371">
        <f t="shared" ref="AK126" si="153">SUM(AK127:AK174)</f>
        <v>1834.8623853211</v>
      </c>
      <c r="AL126" s="371">
        <f t="shared" ref="AL126" si="154">SUM(AL127:AL174)</f>
        <v>1834.8623853211</v>
      </c>
      <c r="AM126" s="371">
        <f t="shared" ref="AM126" si="155">SUM(AM127:AM174)</f>
        <v>1834.8623853211</v>
      </c>
      <c r="AN126" s="371">
        <f t="shared" ref="AN126" si="156">SUM(AN127:AN174)</f>
        <v>1834.8623853211</v>
      </c>
      <c r="AO126" s="371">
        <f t="shared" ref="AO126:AP126" si="157">SUM(AO127:AO174)</f>
        <v>1834.8623853211</v>
      </c>
      <c r="AP126" s="371">
        <f t="shared" si="157"/>
        <v>1834.8623853211</v>
      </c>
      <c r="AQ126" s="371">
        <f t="shared" ref="AQ126" si="158">SUM(AQ127:AQ174)</f>
        <v>1834.8623853211</v>
      </c>
      <c r="AR126" s="371">
        <f t="shared" ref="AR126" si="159">SUM(AR127:AR174)</f>
        <v>1834.8623853211</v>
      </c>
      <c r="AS126" s="371">
        <f t="shared" ref="AS126" si="160">SUM(AS127:AS174)</f>
        <v>2038.73598369011</v>
      </c>
      <c r="AT126" s="371">
        <f t="shared" ref="AT126" si="161">SUM(AT127:AT174)</f>
        <v>2038.73598369011</v>
      </c>
      <c r="AU126" s="371">
        <f t="shared" ref="AU126" si="162">SUM(AU127:AU174)</f>
        <v>2038.73598369011</v>
      </c>
      <c r="AV126" s="371">
        <f t="shared" ref="AV126" si="163">SUM(AV127:AV174)</f>
        <v>2038.73598369011</v>
      </c>
      <c r="AW126" s="371">
        <f t="shared" ref="AW126" si="164">SUM(AW127:AW174)</f>
        <v>2038.73598369011</v>
      </c>
      <c r="AX126" s="371">
        <f t="shared" ref="AX126" si="165">SUM(AX127:AX174)</f>
        <v>2038.73598369011</v>
      </c>
      <c r="AY126" s="371">
        <f t="shared" ref="AY126" si="166">SUM(AY127:AY174)</f>
        <v>2038.73598369011</v>
      </c>
      <c r="AZ126" s="371">
        <f t="shared" ref="AZ126" si="167">SUM(AZ127:AZ174)</f>
        <v>2038.73598369011</v>
      </c>
      <c r="BA126" s="386">
        <f t="shared" ref="BA126" si="168">SUM(BA127:BA174)</f>
        <v>2038.73598369011</v>
      </c>
    </row>
    <row r="127" s="105" customFormat="1" spans="1:53">
      <c r="B127" s="406"/>
      <c r="C127" s="389" t="s">
        <v>74</v>
      </c>
      <c r="D127" s="375">
        <f t="shared" ref="D127:D128" si="169">SUM(F127:BA127)</f>
        <v>0</v>
      </c>
      <c r="E127" s="266" t="s">
        <v>130</v>
      </c>
      <c r="F127" s="368">
        <f>IF('表2-折旧摊销表'!$BA$26+1-'表2-折旧摊销表'!$F$26&gt;='表2-折旧摊销表'!$D$21,$F$125/$D$21,$F$125/('表2-折旧摊销表'!$BA$26+1-'表2-折旧摊销表'!$F$26))</f>
        <v>0</v>
      </c>
      <c r="G127" s="368">
        <f>IF('表2-折旧摊销表'!$BA$26+1-'表2-折旧摊销表'!$F$26&gt;='表2-折旧摊销表'!$D$21,$F$125/$D$21,$F$125/('表2-折旧摊销表'!$BA$26+1-'表2-折旧摊销表'!$F$26))</f>
        <v>0</v>
      </c>
      <c r="H127" s="368">
        <f>IF('表2-折旧摊销表'!$BA$26+1-'表2-折旧摊销表'!$F$26&gt;='表2-折旧摊销表'!$D$21,$F$125/$D$21,$F$125/('表2-折旧摊销表'!$BA$26+1-'表2-折旧摊销表'!$F$26))</f>
        <v>0</v>
      </c>
      <c r="I127" s="368">
        <f>IF('表2-折旧摊销表'!$BA$26+1-'表2-折旧摊销表'!$F$26&gt;='表2-折旧摊销表'!$D$21,$F$125/$D$21,$F$125/('表2-折旧摊销表'!$BA$26+1-'表2-折旧摊销表'!$F$26))</f>
        <v>0</v>
      </c>
      <c r="J127" s="368">
        <f>IF('表2-折旧摊销表'!$BA$26+1-'表2-折旧摊销表'!$F$26&gt;='表2-折旧摊销表'!$D$21,$F$125/$D$21,$F$125/('表2-折旧摊销表'!$BA$26+1-'表2-折旧摊销表'!$F$26))</f>
        <v>0</v>
      </c>
      <c r="K127" s="368">
        <f>IF('表2-折旧摊销表'!$BA$26+1-'表2-折旧摊销表'!$F$26&gt;='表2-折旧摊销表'!$D$21,$F$125/$D$21,$F$125/('表2-折旧摊销表'!$BA$26+1-'表2-折旧摊销表'!$F$26))</f>
        <v>0</v>
      </c>
      <c r="L127" s="368">
        <f>IF('表2-折旧摊销表'!$BA$26+1-'表2-折旧摊销表'!$F$26&gt;='表2-折旧摊销表'!$D$21,$F$125/$D$21,$F$125/('表2-折旧摊销表'!$BA$26+1-'表2-折旧摊销表'!$F$26))</f>
        <v>0</v>
      </c>
      <c r="M127" s="368">
        <f>IF('表2-折旧摊销表'!$BA$26+1-'表2-折旧摊销表'!$F$26&gt;='表2-折旧摊销表'!$D$21,$F$125/$D$21,$F$125/('表2-折旧摊销表'!$BA$26+1-'表2-折旧摊销表'!$F$26))</f>
        <v>0</v>
      </c>
      <c r="N127" s="368">
        <f>IF('表2-折旧摊销表'!$BA$26+1-'表2-折旧摊销表'!$F$26&gt;='表2-折旧摊销表'!$D$21,$F$125/$D$21,$F$125/('表2-折旧摊销表'!$BA$26+1-'表2-折旧摊销表'!$F$26))</f>
        <v>0</v>
      </c>
      <c r="O127" s="368">
        <f>IF('表2-折旧摊销表'!$BA$26+1-'表2-折旧摊销表'!$F$26&gt;='表2-折旧摊销表'!$D$21,$F$125/$D$21,$F$125/('表2-折旧摊销表'!$BA$26+1-'表2-折旧摊销表'!$F$26))</f>
        <v>0</v>
      </c>
      <c r="P127" s="368"/>
      <c r="Q127" s="368"/>
      <c r="R127" s="368"/>
      <c r="S127" s="368"/>
      <c r="T127" s="368"/>
      <c r="U127" s="368"/>
      <c r="V127" s="368"/>
      <c r="W127" s="368"/>
      <c r="X127" s="368"/>
      <c r="Y127" s="368"/>
      <c r="Z127" s="368"/>
      <c r="AA127" s="368"/>
      <c r="AB127" s="368"/>
      <c r="AC127" s="368"/>
      <c r="AD127" s="368"/>
      <c r="AE127" s="368"/>
      <c r="AF127" s="368"/>
      <c r="AG127" s="368"/>
      <c r="AH127" s="368"/>
      <c r="AI127" s="368"/>
      <c r="AJ127" s="368"/>
      <c r="AK127" s="368"/>
      <c r="AL127" s="368"/>
      <c r="AM127" s="368"/>
      <c r="AN127" s="368"/>
      <c r="AO127" s="368"/>
      <c r="AP127" s="368"/>
      <c r="AQ127" s="368"/>
      <c r="AR127" s="368"/>
      <c r="AS127" s="368"/>
      <c r="AT127" s="368"/>
      <c r="AU127" s="368"/>
      <c r="AV127" s="368"/>
      <c r="AW127" s="368"/>
      <c r="AX127" s="368"/>
      <c r="AY127" s="368"/>
      <c r="AZ127" s="368"/>
      <c r="BA127" s="369"/>
    </row>
    <row r="128" s="105" customFormat="1" spans="1:53">
      <c r="B128" s="406"/>
      <c r="C128" s="389" t="s">
        <v>75</v>
      </c>
      <c r="D128" s="375">
        <f t="shared" si="169"/>
        <v>0</v>
      </c>
      <c r="E128" s="266" t="s">
        <v>130</v>
      </c>
      <c r="F128" s="368"/>
      <c r="G128" s="368">
        <f>IF('表2-折旧摊销表'!$BA$26+1-'表2-折旧摊销表'!$G$26&gt;='表2-折旧摊销表'!$D$21,$G$125/$D$21,$G$125/('表2-折旧摊销表'!$BA$26+1-'表2-折旧摊销表'!$G$26))</f>
        <v>0</v>
      </c>
      <c r="H128" s="368">
        <f>IF('表2-折旧摊销表'!$BA$26+1-'表2-折旧摊销表'!$G$26&gt;='表2-折旧摊销表'!$D$21,$G$125/$D$21,$G$125/('表2-折旧摊销表'!$BA$26+1-'表2-折旧摊销表'!$G$26))</f>
        <v>0</v>
      </c>
      <c r="I128" s="368">
        <f>IF('表2-折旧摊销表'!$BA$26+1-'表2-折旧摊销表'!$G$26&gt;='表2-折旧摊销表'!$D$21,$G$125/$D$21,$G$125/('表2-折旧摊销表'!$BA$26+1-'表2-折旧摊销表'!$G$26))</f>
        <v>0</v>
      </c>
      <c r="J128" s="368">
        <f>IF('表2-折旧摊销表'!$BA$26+1-'表2-折旧摊销表'!$G$26&gt;='表2-折旧摊销表'!$D$21,$G$125/$D$21,$G$125/('表2-折旧摊销表'!$BA$26+1-'表2-折旧摊销表'!$G$26))</f>
        <v>0</v>
      </c>
      <c r="K128" s="368">
        <f>IF('表2-折旧摊销表'!$BA$26+1-'表2-折旧摊销表'!$G$26&gt;='表2-折旧摊销表'!$D$21,$G$125/$D$21,$G$125/('表2-折旧摊销表'!$BA$26+1-'表2-折旧摊销表'!$G$26))</f>
        <v>0</v>
      </c>
      <c r="L128" s="368">
        <f>IF('表2-折旧摊销表'!$BA$26+1-'表2-折旧摊销表'!$G$26&gt;='表2-折旧摊销表'!$D$21,$G$125/$D$21,$G$125/('表2-折旧摊销表'!$BA$26+1-'表2-折旧摊销表'!$G$26))</f>
        <v>0</v>
      </c>
      <c r="M128" s="368">
        <f>IF('表2-折旧摊销表'!$BA$26+1-'表2-折旧摊销表'!$G$26&gt;='表2-折旧摊销表'!$D$21,$G$125/$D$21,$G$125/('表2-折旧摊销表'!$BA$26+1-'表2-折旧摊销表'!$G$26))</f>
        <v>0</v>
      </c>
      <c r="N128" s="368">
        <f>IF('表2-折旧摊销表'!$BA$26+1-'表2-折旧摊销表'!$G$26&gt;='表2-折旧摊销表'!$D$21,$G$125/$D$21,$G$125/('表2-折旧摊销表'!$BA$26+1-'表2-折旧摊销表'!$G$26))</f>
        <v>0</v>
      </c>
      <c r="O128" s="368">
        <f>IF('表2-折旧摊销表'!$BA$26+1-'表2-折旧摊销表'!$G$26&gt;='表2-折旧摊销表'!$D$21,$G$125/$D$21,$G$125/('表2-折旧摊销表'!$BA$26+1-'表2-折旧摊销表'!$G$26))</f>
        <v>0</v>
      </c>
      <c r="P128" s="368">
        <f>IF('表2-折旧摊销表'!$BA$26+1-'表2-折旧摊销表'!$G$26&gt;='表2-折旧摊销表'!$D$21,$G$125/$D$21,$G$125/('表2-折旧摊销表'!$BA$26+1-'表2-折旧摊销表'!$G$26))</f>
        <v>0</v>
      </c>
      <c r="Q128" s="368"/>
      <c r="R128" s="368"/>
      <c r="S128" s="368"/>
      <c r="T128" s="368"/>
      <c r="U128" s="368"/>
      <c r="V128" s="368"/>
      <c r="W128" s="368"/>
      <c r="X128" s="368"/>
      <c r="Y128" s="368"/>
      <c r="Z128" s="368"/>
      <c r="AA128" s="368"/>
      <c r="AB128" s="368"/>
      <c r="AC128" s="368"/>
      <c r="AD128" s="368"/>
      <c r="AE128" s="368"/>
      <c r="AF128" s="368"/>
      <c r="AG128" s="368"/>
      <c r="AH128" s="368"/>
      <c r="AI128" s="368"/>
      <c r="AJ128" s="368"/>
      <c r="AK128" s="368"/>
      <c r="AL128" s="368"/>
      <c r="AM128" s="368"/>
      <c r="AN128" s="368"/>
      <c r="AO128" s="368"/>
      <c r="AP128" s="368"/>
      <c r="AQ128" s="368"/>
      <c r="AR128" s="368"/>
      <c r="AS128" s="368"/>
      <c r="AT128" s="368"/>
      <c r="AU128" s="368"/>
      <c r="AV128" s="368"/>
      <c r="AW128" s="368"/>
      <c r="AX128" s="368"/>
      <c r="AY128" s="368"/>
      <c r="AZ128" s="368"/>
      <c r="BA128" s="369"/>
    </row>
    <row r="129" s="105" customFormat="1" spans="2:53">
      <c r="B129" s="406"/>
      <c r="C129" s="389" t="s">
        <v>76</v>
      </c>
      <c r="D129" s="375">
        <f t="shared" ref="D129:D174" si="170">SUM(F129:BA129)</f>
        <v>0</v>
      </c>
      <c r="E129" s="266" t="s">
        <v>130</v>
      </c>
      <c r="F129" s="368"/>
      <c r="G129" s="368"/>
      <c r="H129" s="368">
        <f>IF('表2-折旧摊销表'!$BA$26+1-'表2-折旧摊销表'!$H$26&gt;='表2-折旧摊销表'!$D$21,$H$125/$D$21,$H$125/('表2-折旧摊销表'!$BA$26+1-'表2-折旧摊销表'!$H$26))</f>
        <v>0</v>
      </c>
      <c r="I129" s="368">
        <f>IF('表2-折旧摊销表'!$BA$26+1-'表2-折旧摊销表'!$H$26&gt;='表2-折旧摊销表'!$D$21,$H$125/$D$21,$H$125/('表2-折旧摊销表'!$BA$26+1-'表2-折旧摊销表'!$H$26))</f>
        <v>0</v>
      </c>
      <c r="J129" s="368">
        <f>IF('表2-折旧摊销表'!$BA$26+1-'表2-折旧摊销表'!$H$26&gt;='表2-折旧摊销表'!$D$21,$H$125/$D$21,$H$125/('表2-折旧摊销表'!$BA$26+1-'表2-折旧摊销表'!$H$26))</f>
        <v>0</v>
      </c>
      <c r="K129" s="368">
        <f>IF('表2-折旧摊销表'!$BA$26+1-'表2-折旧摊销表'!$H$26&gt;='表2-折旧摊销表'!$D$21,$H$125/$D$21,$H$125/('表2-折旧摊销表'!$BA$26+1-'表2-折旧摊销表'!$H$26))</f>
        <v>0</v>
      </c>
      <c r="L129" s="368">
        <f>IF('表2-折旧摊销表'!$BA$26+1-'表2-折旧摊销表'!$H$26&gt;='表2-折旧摊销表'!$D$21,$H$125/$D$21,$H$125/('表2-折旧摊销表'!$BA$26+1-'表2-折旧摊销表'!$H$26))</f>
        <v>0</v>
      </c>
      <c r="M129" s="368">
        <f>IF('表2-折旧摊销表'!$BA$26+1-'表2-折旧摊销表'!$H$26&gt;='表2-折旧摊销表'!$D$21,$H$125/$D$21,$H$125/('表2-折旧摊销表'!$BA$26+1-'表2-折旧摊销表'!$H$26))</f>
        <v>0</v>
      </c>
      <c r="N129" s="368">
        <f>IF('表2-折旧摊销表'!$BA$26+1-'表2-折旧摊销表'!$H$26&gt;='表2-折旧摊销表'!$D$21,$H$125/$D$21,$H$125/('表2-折旧摊销表'!$BA$26+1-'表2-折旧摊销表'!$H$26))</f>
        <v>0</v>
      </c>
      <c r="O129" s="368">
        <f>IF('表2-折旧摊销表'!$BA$26+1-'表2-折旧摊销表'!$H$26&gt;='表2-折旧摊销表'!$D$21,$H$125/$D$21,$H$125/('表2-折旧摊销表'!$BA$26+1-'表2-折旧摊销表'!$H$26))</f>
        <v>0</v>
      </c>
      <c r="P129" s="368">
        <f>IF('表2-折旧摊销表'!$BA$26+1-'表2-折旧摊销表'!$H$26&gt;='表2-折旧摊销表'!$D$21,$H$125/$D$21,$H$125/('表2-折旧摊销表'!$BA$26+1-'表2-折旧摊销表'!$H$26))</f>
        <v>0</v>
      </c>
      <c r="Q129" s="368">
        <f>IF('表2-折旧摊销表'!$BA$26+1-'表2-折旧摊销表'!$H$26&gt;='表2-折旧摊销表'!$D$21,$H$125/$D$21,$H$125/('表2-折旧摊销表'!$BA$26+1-'表2-折旧摊销表'!$H$26))</f>
        <v>0</v>
      </c>
      <c r="R129" s="368"/>
      <c r="S129" s="368"/>
      <c r="T129" s="368"/>
      <c r="U129" s="368"/>
      <c r="V129" s="368"/>
      <c r="W129" s="368"/>
      <c r="X129" s="368"/>
      <c r="Y129" s="368"/>
      <c r="Z129" s="368"/>
      <c r="AA129" s="368"/>
      <c r="AB129" s="368"/>
      <c r="AC129" s="368"/>
      <c r="AD129" s="368"/>
      <c r="AE129" s="368"/>
      <c r="AF129" s="368"/>
      <c r="AG129" s="368"/>
      <c r="AH129" s="368"/>
      <c r="AI129" s="368"/>
      <c r="AJ129" s="368"/>
      <c r="AK129" s="368"/>
      <c r="AL129" s="368"/>
      <c r="AM129" s="368"/>
      <c r="AN129" s="368"/>
      <c r="AO129" s="368"/>
      <c r="AP129" s="368"/>
      <c r="AQ129" s="368"/>
      <c r="AR129" s="368"/>
      <c r="AS129" s="368"/>
      <c r="AT129" s="368"/>
      <c r="AU129" s="368"/>
      <c r="AV129" s="368"/>
      <c r="AW129" s="368"/>
      <c r="AX129" s="368"/>
      <c r="AY129" s="368"/>
      <c r="AZ129" s="368"/>
      <c r="BA129" s="369"/>
    </row>
    <row r="130" s="105" customFormat="1" spans="2:53">
      <c r="B130" s="406"/>
      <c r="C130" s="389" t="s">
        <v>77</v>
      </c>
      <c r="D130" s="375">
        <f t="shared" si="170"/>
        <v>0</v>
      </c>
      <c r="E130" s="266" t="s">
        <v>130</v>
      </c>
      <c r="F130" s="368"/>
      <c r="G130" s="368"/>
      <c r="H130" s="368"/>
      <c r="I130" s="368">
        <f>IF('表2-折旧摊销表'!$BA$26+1-'表2-折旧摊销表'!$I$26&gt;='表2-折旧摊销表'!$D$21,$I$125/$D$21,$I$125/('表2-折旧摊销表'!$BA$26+1-'表2-折旧摊销表'!$I$26))</f>
        <v>0</v>
      </c>
      <c r="J130" s="368">
        <f>IF('表2-折旧摊销表'!$BA$26+1-'表2-折旧摊销表'!$I$26&gt;='表2-折旧摊销表'!$D$21,$I$125/$D$21,$I$125/('表2-折旧摊销表'!$BA$26+1-'表2-折旧摊销表'!$I$26))</f>
        <v>0</v>
      </c>
      <c r="K130" s="368">
        <f>IF('表2-折旧摊销表'!$BA$26+1-'表2-折旧摊销表'!$I$26&gt;='表2-折旧摊销表'!$D$21,$I$125/$D$21,$I$125/('表2-折旧摊销表'!$BA$26+1-'表2-折旧摊销表'!$I$26))</f>
        <v>0</v>
      </c>
      <c r="L130" s="368">
        <f>IF('表2-折旧摊销表'!$BA$26+1-'表2-折旧摊销表'!$I$26&gt;='表2-折旧摊销表'!$D$21,$I$125/$D$21,$I$125/('表2-折旧摊销表'!$BA$26+1-'表2-折旧摊销表'!$I$26))</f>
        <v>0</v>
      </c>
      <c r="M130" s="368">
        <f>IF('表2-折旧摊销表'!$BA$26+1-'表2-折旧摊销表'!$I$26&gt;='表2-折旧摊销表'!$D$21,$I$125/$D$21,$I$125/('表2-折旧摊销表'!$BA$26+1-'表2-折旧摊销表'!$I$26))</f>
        <v>0</v>
      </c>
      <c r="N130" s="368">
        <f>IF('表2-折旧摊销表'!$BA$26+1-'表2-折旧摊销表'!$I$26&gt;='表2-折旧摊销表'!$D$21,$I$125/$D$21,$I$125/('表2-折旧摊销表'!$BA$26+1-'表2-折旧摊销表'!$I$26))</f>
        <v>0</v>
      </c>
      <c r="O130" s="368">
        <f>IF('表2-折旧摊销表'!$BA$26+1-'表2-折旧摊销表'!$I$26&gt;='表2-折旧摊销表'!$D$21,$I$125/$D$21,$I$125/('表2-折旧摊销表'!$BA$26+1-'表2-折旧摊销表'!$I$26))</f>
        <v>0</v>
      </c>
      <c r="P130" s="368">
        <f>IF('表2-折旧摊销表'!$BA$26+1-'表2-折旧摊销表'!$I$26&gt;='表2-折旧摊销表'!$D$21,$I$125/$D$21,$I$125/('表2-折旧摊销表'!$BA$26+1-'表2-折旧摊销表'!$I$26))</f>
        <v>0</v>
      </c>
      <c r="Q130" s="368">
        <f>IF('表2-折旧摊销表'!$BA$26+1-'表2-折旧摊销表'!$I$26&gt;='表2-折旧摊销表'!$D$21,$I$125/$D$21,$I$125/('表2-折旧摊销表'!$BA$26+1-'表2-折旧摊销表'!$I$26))</f>
        <v>0</v>
      </c>
      <c r="R130" s="368">
        <f>IF('表2-折旧摊销表'!$BA$26+1-'表2-折旧摊销表'!$I$26&gt;='表2-折旧摊销表'!$D$21,$I$125/$D$21,$I$125/('表2-折旧摊销表'!$BA$26+1-'表2-折旧摊销表'!$I$26))</f>
        <v>0</v>
      </c>
      <c r="S130" s="368"/>
      <c r="T130" s="368"/>
      <c r="U130" s="368"/>
      <c r="V130" s="368"/>
      <c r="W130" s="368"/>
      <c r="X130" s="368"/>
      <c r="Y130" s="368"/>
      <c r="Z130" s="368"/>
      <c r="AA130" s="368"/>
      <c r="AB130" s="368"/>
      <c r="AC130" s="368"/>
      <c r="AD130" s="368"/>
      <c r="AE130" s="368"/>
      <c r="AF130" s="368"/>
      <c r="AG130" s="368"/>
      <c r="AH130" s="368"/>
      <c r="AI130" s="368"/>
      <c r="AJ130" s="368"/>
      <c r="AK130" s="368"/>
      <c r="AL130" s="368"/>
      <c r="AM130" s="368"/>
      <c r="AN130" s="368"/>
      <c r="AO130" s="368"/>
      <c r="AP130" s="368"/>
      <c r="AQ130" s="368"/>
      <c r="AR130" s="368"/>
      <c r="AS130" s="368"/>
      <c r="AT130" s="368"/>
      <c r="AU130" s="368"/>
      <c r="AV130" s="368"/>
      <c r="AW130" s="368"/>
      <c r="AX130" s="368"/>
      <c r="AY130" s="368"/>
      <c r="AZ130" s="368"/>
      <c r="BA130" s="369"/>
    </row>
    <row r="131" s="105" customFormat="1" spans="2:53">
      <c r="B131" s="406"/>
      <c r="C131" s="389" t="s">
        <v>78</v>
      </c>
      <c r="D131" s="375">
        <f t="shared" si="170"/>
        <v>0</v>
      </c>
      <c r="E131" s="266" t="s">
        <v>130</v>
      </c>
      <c r="F131" s="368"/>
      <c r="G131" s="368"/>
      <c r="H131" s="368"/>
      <c r="I131" s="368"/>
      <c r="J131" s="368">
        <f>IF('表2-折旧摊销表'!$BA$26+1-'表2-折旧摊销表'!$J$26&gt;='表2-折旧摊销表'!$D$21,$J$125/$D$21,$J$125/('表2-折旧摊销表'!$BA$26+1-'表2-折旧摊销表'!$J$26))</f>
        <v>0</v>
      </c>
      <c r="K131" s="368">
        <f>IF('表2-折旧摊销表'!$BA$26+1-'表2-折旧摊销表'!$J$26&gt;='表2-折旧摊销表'!$D$21,$J$125/$D$21,$J$125/('表2-折旧摊销表'!$BA$26+1-'表2-折旧摊销表'!$J$26))</f>
        <v>0</v>
      </c>
      <c r="L131" s="368">
        <f>IF('表2-折旧摊销表'!$BA$26+1-'表2-折旧摊销表'!$J$26&gt;='表2-折旧摊销表'!$D$21,$J$125/$D$21,$J$125/('表2-折旧摊销表'!$BA$26+1-'表2-折旧摊销表'!$J$26))</f>
        <v>0</v>
      </c>
      <c r="M131" s="368">
        <f>IF('表2-折旧摊销表'!$BA$26+1-'表2-折旧摊销表'!$J$26&gt;='表2-折旧摊销表'!$D$21,$J$125/$D$21,$J$125/('表2-折旧摊销表'!$BA$26+1-'表2-折旧摊销表'!$J$26))</f>
        <v>0</v>
      </c>
      <c r="N131" s="368">
        <f>IF('表2-折旧摊销表'!$BA$26+1-'表2-折旧摊销表'!$J$26&gt;='表2-折旧摊销表'!$D$21,$J$125/$D$21,$J$125/('表2-折旧摊销表'!$BA$26+1-'表2-折旧摊销表'!$J$26))</f>
        <v>0</v>
      </c>
      <c r="O131" s="368">
        <f>IF('表2-折旧摊销表'!$BA$26+1-'表2-折旧摊销表'!$J$26&gt;='表2-折旧摊销表'!$D$21,$J$125/$D$21,$J$125/('表2-折旧摊销表'!$BA$26+1-'表2-折旧摊销表'!$J$26))</f>
        <v>0</v>
      </c>
      <c r="P131" s="368">
        <f>IF('表2-折旧摊销表'!$BA$26+1-'表2-折旧摊销表'!$J$26&gt;='表2-折旧摊销表'!$D$21,$J$125/$D$21,$J$125/('表2-折旧摊销表'!$BA$26+1-'表2-折旧摊销表'!$J$26))</f>
        <v>0</v>
      </c>
      <c r="Q131" s="368">
        <f>IF('表2-折旧摊销表'!$BA$26+1-'表2-折旧摊销表'!$J$26&gt;='表2-折旧摊销表'!$D$21,$J$125/$D$21,$J$125/('表2-折旧摊销表'!$BA$26+1-'表2-折旧摊销表'!$J$26))</f>
        <v>0</v>
      </c>
      <c r="R131" s="368">
        <f>IF('表2-折旧摊销表'!$BA$26+1-'表2-折旧摊销表'!$J$26&gt;='表2-折旧摊销表'!$D$21,$J$125/$D$21,$J$125/('表2-折旧摊销表'!$BA$26+1-'表2-折旧摊销表'!$J$26))</f>
        <v>0</v>
      </c>
      <c r="S131" s="368">
        <f>IF('表2-折旧摊销表'!$BA$26+1-'表2-折旧摊销表'!$J$26&gt;='表2-折旧摊销表'!$D$21,$J$125/$D$21,$J$125/('表2-折旧摊销表'!$BA$26+1-'表2-折旧摊销表'!$J$26))</f>
        <v>0</v>
      </c>
      <c r="T131" s="368"/>
      <c r="U131" s="368"/>
      <c r="V131" s="368"/>
      <c r="W131" s="368"/>
      <c r="X131" s="368"/>
      <c r="Y131" s="368"/>
      <c r="Z131" s="368"/>
      <c r="AA131" s="368"/>
      <c r="AB131" s="368"/>
      <c r="AC131" s="368"/>
      <c r="AD131" s="368"/>
      <c r="AE131" s="368"/>
      <c r="AF131" s="368"/>
      <c r="AG131" s="368"/>
      <c r="AH131" s="368"/>
      <c r="AI131" s="368"/>
      <c r="AJ131" s="368"/>
      <c r="AK131" s="368"/>
      <c r="AL131" s="368"/>
      <c r="AM131" s="368"/>
      <c r="AN131" s="368"/>
      <c r="AO131" s="368"/>
      <c r="AP131" s="368"/>
      <c r="AQ131" s="368"/>
      <c r="AR131" s="368"/>
      <c r="AS131" s="368"/>
      <c r="AT131" s="368"/>
      <c r="AU131" s="368"/>
      <c r="AV131" s="368"/>
      <c r="AW131" s="368"/>
      <c r="AX131" s="368"/>
      <c r="AY131" s="368"/>
      <c r="AZ131" s="368"/>
      <c r="BA131" s="369"/>
    </row>
    <row r="132" s="105" customFormat="1" spans="2:53">
      <c r="B132" s="406"/>
      <c r="C132" s="389" t="s">
        <v>79</v>
      </c>
      <c r="D132" s="375">
        <f t="shared" si="170"/>
        <v>0</v>
      </c>
      <c r="E132" s="266" t="s">
        <v>130</v>
      </c>
      <c r="F132" s="368"/>
      <c r="G132" s="368"/>
      <c r="H132" s="368"/>
      <c r="I132" s="368"/>
      <c r="J132" s="368"/>
      <c r="K132" s="368">
        <f>IF('表2-折旧摊销表'!$BA$26+1-'表2-折旧摊销表'!$K$26&gt;='表2-折旧摊销表'!$D$21,$K$125/$D$21,$K$125/('表2-折旧摊销表'!$BA$26+1-'表2-折旧摊销表'!$K$26))</f>
        <v>0</v>
      </c>
      <c r="L132" s="368">
        <f>IF('表2-折旧摊销表'!$BA$26+1-'表2-折旧摊销表'!$K$26&gt;='表2-折旧摊销表'!$D$21,$K$125/$D$21,$K$125/('表2-折旧摊销表'!$BA$26+1-'表2-折旧摊销表'!$K$26))</f>
        <v>0</v>
      </c>
      <c r="M132" s="368">
        <f>IF('表2-折旧摊销表'!$BA$26+1-'表2-折旧摊销表'!$K$26&gt;='表2-折旧摊销表'!$D$21,$K$125/$D$21,$K$125/('表2-折旧摊销表'!$BA$26+1-'表2-折旧摊销表'!$K$26))</f>
        <v>0</v>
      </c>
      <c r="N132" s="368">
        <f>IF('表2-折旧摊销表'!$BA$26+1-'表2-折旧摊销表'!$K$26&gt;='表2-折旧摊销表'!$D$21,$K$125/$D$21,$K$125/('表2-折旧摊销表'!$BA$26+1-'表2-折旧摊销表'!$K$26))</f>
        <v>0</v>
      </c>
      <c r="O132" s="368">
        <f>IF('表2-折旧摊销表'!$BA$26+1-'表2-折旧摊销表'!$K$26&gt;='表2-折旧摊销表'!$D$21,$K$125/$D$21,$K$125/('表2-折旧摊销表'!$BA$26+1-'表2-折旧摊销表'!$K$26))</f>
        <v>0</v>
      </c>
      <c r="P132" s="368">
        <f>IF('表2-折旧摊销表'!$BA$26+1-'表2-折旧摊销表'!$K$26&gt;='表2-折旧摊销表'!$D$21,$K$125/$D$21,$K$125/('表2-折旧摊销表'!$BA$26+1-'表2-折旧摊销表'!$K$26))</f>
        <v>0</v>
      </c>
      <c r="Q132" s="368">
        <f>IF('表2-折旧摊销表'!$BA$26+1-'表2-折旧摊销表'!$K$26&gt;='表2-折旧摊销表'!$D$21,$K$125/$D$21,$K$125/('表2-折旧摊销表'!$BA$26+1-'表2-折旧摊销表'!$K$26))</f>
        <v>0</v>
      </c>
      <c r="R132" s="368">
        <f>IF('表2-折旧摊销表'!$BA$26+1-'表2-折旧摊销表'!$K$26&gt;='表2-折旧摊销表'!$D$21,$K$125/$D$21,$K$125/('表2-折旧摊销表'!$BA$26+1-'表2-折旧摊销表'!$K$26))</f>
        <v>0</v>
      </c>
      <c r="S132" s="368">
        <f>IF('表2-折旧摊销表'!$BA$26+1-'表2-折旧摊销表'!$K$26&gt;='表2-折旧摊销表'!$D$21,$K$125/$D$21,$K$125/('表2-折旧摊销表'!$BA$26+1-'表2-折旧摊销表'!$K$26))</f>
        <v>0</v>
      </c>
      <c r="T132" s="368">
        <f>IF('表2-折旧摊销表'!$BA$26+1-'表2-折旧摊销表'!$K$26&gt;='表2-折旧摊销表'!$D$21,$K$125/$D$21,$K$125/('表2-折旧摊销表'!$BA$26+1-'表2-折旧摊销表'!$K$26))</f>
        <v>0</v>
      </c>
      <c r="U132" s="368"/>
      <c r="V132" s="368"/>
      <c r="W132" s="368"/>
      <c r="X132" s="368"/>
      <c r="Y132" s="368"/>
      <c r="Z132" s="368"/>
      <c r="AA132" s="368"/>
      <c r="AB132" s="368"/>
      <c r="AC132" s="368"/>
      <c r="AD132" s="368"/>
      <c r="AE132" s="368"/>
      <c r="AF132" s="368"/>
      <c r="AG132" s="368"/>
      <c r="AH132" s="368"/>
      <c r="AI132" s="368"/>
      <c r="AJ132" s="368"/>
      <c r="AK132" s="368"/>
      <c r="AL132" s="368"/>
      <c r="AM132" s="368"/>
      <c r="AN132" s="368"/>
      <c r="AO132" s="368"/>
      <c r="AP132" s="368"/>
      <c r="AQ132" s="368"/>
      <c r="AR132" s="368"/>
      <c r="AS132" s="368"/>
      <c r="AT132" s="368"/>
      <c r="AU132" s="368"/>
      <c r="AV132" s="368"/>
      <c r="AW132" s="368"/>
      <c r="AX132" s="368"/>
      <c r="AY132" s="368"/>
      <c r="AZ132" s="368"/>
      <c r="BA132" s="369"/>
    </row>
    <row r="133" s="105" customFormat="1" spans="2:53">
      <c r="B133" s="406"/>
      <c r="C133" s="389" t="s">
        <v>80</v>
      </c>
      <c r="D133" s="375">
        <f t="shared" si="170"/>
        <v>0</v>
      </c>
      <c r="E133" s="266" t="s">
        <v>130</v>
      </c>
      <c r="F133" s="368"/>
      <c r="G133" s="368"/>
      <c r="H133" s="368"/>
      <c r="I133" s="368"/>
      <c r="J133" s="368"/>
      <c r="K133" s="368"/>
      <c r="L133" s="368">
        <f>IF('表2-折旧摊销表'!$BA$26+1-'表2-折旧摊销表'!$L$26&gt;='表2-折旧摊销表'!$D$21,$L$125/$D$21,$L$125/('表2-折旧摊销表'!$BA$26+1-'表2-折旧摊销表'!$L$26))</f>
        <v>0</v>
      </c>
      <c r="M133" s="368">
        <f>IF('表2-折旧摊销表'!$BA$26+1-'表2-折旧摊销表'!$L$26&gt;='表2-折旧摊销表'!$D$21,$L$125/$D$21,$L$125/('表2-折旧摊销表'!$BA$26+1-'表2-折旧摊销表'!$L$26))</f>
        <v>0</v>
      </c>
      <c r="N133" s="368">
        <f>IF('表2-折旧摊销表'!$BA$26+1-'表2-折旧摊销表'!$L$26&gt;='表2-折旧摊销表'!$D$21,$L$125/$D$21,$L$125/('表2-折旧摊销表'!$BA$26+1-'表2-折旧摊销表'!$L$26))</f>
        <v>0</v>
      </c>
      <c r="O133" s="368">
        <f>IF('表2-折旧摊销表'!$BA$26+1-'表2-折旧摊销表'!$L$26&gt;='表2-折旧摊销表'!$D$21,$L$125/$D$21,$L$125/('表2-折旧摊销表'!$BA$26+1-'表2-折旧摊销表'!$L$26))</f>
        <v>0</v>
      </c>
      <c r="P133" s="368">
        <f>IF('表2-折旧摊销表'!$BA$26+1-'表2-折旧摊销表'!$L$26&gt;='表2-折旧摊销表'!$D$21,$L$125/$D$21,$L$125/('表2-折旧摊销表'!$BA$26+1-'表2-折旧摊销表'!$L$26))</f>
        <v>0</v>
      </c>
      <c r="Q133" s="368">
        <f>IF('表2-折旧摊销表'!$BA$26+1-'表2-折旧摊销表'!$L$26&gt;='表2-折旧摊销表'!$D$21,$L$125/$D$21,$L$125/('表2-折旧摊销表'!$BA$26+1-'表2-折旧摊销表'!$L$26))</f>
        <v>0</v>
      </c>
      <c r="R133" s="368">
        <f>IF('表2-折旧摊销表'!$BA$26+1-'表2-折旧摊销表'!$L$26&gt;='表2-折旧摊销表'!$D$21,$L$125/$D$21,$L$125/('表2-折旧摊销表'!$BA$26+1-'表2-折旧摊销表'!$L$26))</f>
        <v>0</v>
      </c>
      <c r="S133" s="368">
        <f>IF('表2-折旧摊销表'!$BA$26+1-'表2-折旧摊销表'!$L$26&gt;='表2-折旧摊销表'!$D$21,$L$125/$D$21,$L$125/('表2-折旧摊销表'!$BA$26+1-'表2-折旧摊销表'!$L$26))</f>
        <v>0</v>
      </c>
      <c r="T133" s="368">
        <f>IF('表2-折旧摊销表'!$BA$26+1-'表2-折旧摊销表'!$L$26&gt;='表2-折旧摊销表'!$D$21,$L$125/$D$21,$L$125/('表2-折旧摊销表'!$BA$26+1-'表2-折旧摊销表'!$L$26))</f>
        <v>0</v>
      </c>
      <c r="U133" s="368">
        <f>IF('表2-折旧摊销表'!$BA$26+1-'表2-折旧摊销表'!$L$26&gt;='表2-折旧摊销表'!$D$21,$L$125/$D$21,$L$125/('表2-折旧摊销表'!$BA$26+1-'表2-折旧摊销表'!$L$26))</f>
        <v>0</v>
      </c>
      <c r="V133" s="368"/>
      <c r="W133" s="368"/>
      <c r="X133" s="368"/>
      <c r="Y133" s="368"/>
      <c r="Z133" s="368"/>
      <c r="AA133" s="368"/>
      <c r="AB133" s="368"/>
      <c r="AC133" s="368"/>
      <c r="AD133" s="368"/>
      <c r="AE133" s="368"/>
      <c r="AF133" s="368"/>
      <c r="AG133" s="368"/>
      <c r="AH133" s="368"/>
      <c r="AI133" s="368"/>
      <c r="AJ133" s="368"/>
      <c r="AK133" s="368"/>
      <c r="AL133" s="368"/>
      <c r="AM133" s="368"/>
      <c r="AN133" s="368"/>
      <c r="AO133" s="368"/>
      <c r="AP133" s="368"/>
      <c r="AQ133" s="368"/>
      <c r="AR133" s="368"/>
      <c r="AS133" s="368"/>
      <c r="AT133" s="368"/>
      <c r="AU133" s="368"/>
      <c r="AV133" s="368"/>
      <c r="AW133" s="368"/>
      <c r="AX133" s="368"/>
      <c r="AY133" s="368"/>
      <c r="AZ133" s="368"/>
      <c r="BA133" s="369"/>
    </row>
    <row r="134" s="105" customFormat="1" spans="2:53">
      <c r="B134" s="406"/>
      <c r="C134" s="389" t="s">
        <v>81</v>
      </c>
      <c r="D134" s="375">
        <f t="shared" si="170"/>
        <v>0</v>
      </c>
      <c r="E134" s="266" t="s">
        <v>130</v>
      </c>
      <c r="F134" s="368"/>
      <c r="G134" s="368"/>
      <c r="H134" s="368"/>
      <c r="I134" s="368"/>
      <c r="J134" s="368"/>
      <c r="K134" s="368"/>
      <c r="L134" s="368"/>
      <c r="M134" s="368">
        <f>IF('表2-折旧摊销表'!$BA$26+1-'表2-折旧摊销表'!$M$26&gt;='表2-折旧摊销表'!$D$21,$M$125/$D$21,$M$125/('表2-折旧摊销表'!$BA$26+1-'表2-折旧摊销表'!$M$26))</f>
        <v>0</v>
      </c>
      <c r="N134" s="368">
        <f>IF('表2-折旧摊销表'!$BA$26+1-'表2-折旧摊销表'!$M$26&gt;='表2-折旧摊销表'!$D$21,$M$125/$D$21,$M$125/('表2-折旧摊销表'!$BA$26+1-'表2-折旧摊销表'!$M$26))</f>
        <v>0</v>
      </c>
      <c r="O134" s="368">
        <f>IF('表2-折旧摊销表'!$BA$26+1-'表2-折旧摊销表'!$M$26&gt;='表2-折旧摊销表'!$D$21,$M$125/$D$21,$M$125/('表2-折旧摊销表'!$BA$26+1-'表2-折旧摊销表'!$M$26))</f>
        <v>0</v>
      </c>
      <c r="P134" s="368">
        <f>IF('表2-折旧摊销表'!$BA$26+1-'表2-折旧摊销表'!$M$26&gt;='表2-折旧摊销表'!$D$21,$M$125/$D$21,$M$125/('表2-折旧摊销表'!$BA$26+1-'表2-折旧摊销表'!$M$26))</f>
        <v>0</v>
      </c>
      <c r="Q134" s="368">
        <f>IF('表2-折旧摊销表'!$BA$26+1-'表2-折旧摊销表'!$M$26&gt;='表2-折旧摊销表'!$D$21,$M$125/$D$21,$M$125/('表2-折旧摊销表'!$BA$26+1-'表2-折旧摊销表'!$M$26))</f>
        <v>0</v>
      </c>
      <c r="R134" s="368">
        <f>IF('表2-折旧摊销表'!$BA$26+1-'表2-折旧摊销表'!$M$26&gt;='表2-折旧摊销表'!$D$21,$M$125/$D$21,$M$125/('表2-折旧摊销表'!$BA$26+1-'表2-折旧摊销表'!$M$26))</f>
        <v>0</v>
      </c>
      <c r="S134" s="368">
        <f>IF('表2-折旧摊销表'!$BA$26+1-'表2-折旧摊销表'!$M$26&gt;='表2-折旧摊销表'!$D$21,$M$125/$D$21,$M$125/('表2-折旧摊销表'!$BA$26+1-'表2-折旧摊销表'!$M$26))</f>
        <v>0</v>
      </c>
      <c r="T134" s="368">
        <f>IF('表2-折旧摊销表'!$BA$26+1-'表2-折旧摊销表'!$M$26&gt;='表2-折旧摊销表'!$D$21,$M$125/$D$21,$M$125/('表2-折旧摊销表'!$BA$26+1-'表2-折旧摊销表'!$M$26))</f>
        <v>0</v>
      </c>
      <c r="U134" s="368">
        <f>IF('表2-折旧摊销表'!$BA$26+1-'表2-折旧摊销表'!$M$26&gt;='表2-折旧摊销表'!$D$21,$M$125/$D$21,$M$125/('表2-折旧摊销表'!$BA$26+1-'表2-折旧摊销表'!$M$26))</f>
        <v>0</v>
      </c>
      <c r="V134" s="368">
        <f>IF('表2-折旧摊销表'!$BA$26+1-'表2-折旧摊销表'!$M$26&gt;='表2-折旧摊销表'!$D$21,$M$125/$D$21,$M$125/('表2-折旧摊销表'!$BA$26+1-'表2-折旧摊销表'!$M$26))</f>
        <v>0</v>
      </c>
      <c r="W134" s="368"/>
      <c r="X134" s="368"/>
      <c r="Y134" s="368"/>
      <c r="Z134" s="368"/>
      <c r="AA134" s="368"/>
      <c r="AB134" s="368"/>
      <c r="AC134" s="368"/>
      <c r="AD134" s="368"/>
      <c r="AE134" s="368"/>
      <c r="AF134" s="368"/>
      <c r="AG134" s="368"/>
      <c r="AH134" s="368"/>
      <c r="AI134" s="368"/>
      <c r="AJ134" s="368"/>
      <c r="AK134" s="368"/>
      <c r="AL134" s="368"/>
      <c r="AM134" s="368"/>
      <c r="AN134" s="368"/>
      <c r="AO134" s="368"/>
      <c r="AP134" s="368"/>
      <c r="AQ134" s="368"/>
      <c r="AR134" s="368"/>
      <c r="AS134" s="368"/>
      <c r="AT134" s="368"/>
      <c r="AU134" s="368"/>
      <c r="AV134" s="368"/>
      <c r="AW134" s="368"/>
      <c r="AX134" s="368"/>
      <c r="AY134" s="368"/>
      <c r="AZ134" s="368"/>
      <c r="BA134" s="369"/>
    </row>
    <row r="135" s="105" customFormat="1" spans="2:53">
      <c r="B135" s="406"/>
      <c r="C135" s="389" t="s">
        <v>82</v>
      </c>
      <c r="D135" s="375">
        <f t="shared" si="170"/>
        <v>0</v>
      </c>
      <c r="E135" s="266" t="s">
        <v>130</v>
      </c>
      <c r="F135" s="368"/>
      <c r="G135" s="368"/>
      <c r="H135" s="368"/>
      <c r="I135" s="368"/>
      <c r="J135" s="368"/>
      <c r="K135" s="368"/>
      <c r="L135" s="368"/>
      <c r="M135" s="368"/>
      <c r="N135" s="368">
        <f>IF('表2-折旧摊销表'!$BA$26+1-'表2-折旧摊销表'!$N$26&gt;='表2-折旧摊销表'!$D$21,$N$125/$D$21,$N$125/('表2-折旧摊销表'!$BA$26+1-'表2-折旧摊销表'!$N$26))</f>
        <v>0</v>
      </c>
      <c r="O135" s="368">
        <f>IF('表2-折旧摊销表'!$BA$26+1-'表2-折旧摊销表'!$N$26&gt;='表2-折旧摊销表'!$D$21,$N$125/$D$21,$N$125/('表2-折旧摊销表'!$BA$26+1-'表2-折旧摊销表'!$N$26))</f>
        <v>0</v>
      </c>
      <c r="P135" s="368">
        <f>IF('表2-折旧摊销表'!$BA$26+1-'表2-折旧摊销表'!$N$26&gt;='表2-折旧摊销表'!$D$21,$N$125/$D$21,$N$125/('表2-折旧摊销表'!$BA$26+1-'表2-折旧摊销表'!$N$26))</f>
        <v>0</v>
      </c>
      <c r="Q135" s="368">
        <f>IF('表2-折旧摊销表'!$BA$26+1-'表2-折旧摊销表'!$N$26&gt;='表2-折旧摊销表'!$D$21,$N$125/$D$21,$N$125/('表2-折旧摊销表'!$BA$26+1-'表2-折旧摊销表'!$N$26))</f>
        <v>0</v>
      </c>
      <c r="R135" s="368">
        <f>IF('表2-折旧摊销表'!$BA$26+1-'表2-折旧摊销表'!$N$26&gt;='表2-折旧摊销表'!$D$21,$N$125/$D$21,$N$125/('表2-折旧摊销表'!$BA$26+1-'表2-折旧摊销表'!$N$26))</f>
        <v>0</v>
      </c>
      <c r="S135" s="368">
        <f>IF('表2-折旧摊销表'!$BA$26+1-'表2-折旧摊销表'!$N$26&gt;='表2-折旧摊销表'!$D$21,$N$125/$D$21,$N$125/('表2-折旧摊销表'!$BA$26+1-'表2-折旧摊销表'!$N$26))</f>
        <v>0</v>
      </c>
      <c r="T135" s="368">
        <f>IF('表2-折旧摊销表'!$BA$26+1-'表2-折旧摊销表'!$N$26&gt;='表2-折旧摊销表'!$D$21,$N$125/$D$21,$N$125/('表2-折旧摊销表'!$BA$26+1-'表2-折旧摊销表'!$N$26))</f>
        <v>0</v>
      </c>
      <c r="U135" s="368">
        <f>IF('表2-折旧摊销表'!$BA$26+1-'表2-折旧摊销表'!$N$26&gt;='表2-折旧摊销表'!$D$21,$N$125/$D$21,$N$125/('表2-折旧摊销表'!$BA$26+1-'表2-折旧摊销表'!$N$26))</f>
        <v>0</v>
      </c>
      <c r="V135" s="368">
        <f>IF('表2-折旧摊销表'!$BA$26+1-'表2-折旧摊销表'!$N$26&gt;='表2-折旧摊销表'!$D$21,$N$125/$D$21,$N$125/('表2-折旧摊销表'!$BA$26+1-'表2-折旧摊销表'!$N$26))</f>
        <v>0</v>
      </c>
      <c r="W135" s="368">
        <f>IF('表2-折旧摊销表'!$BA$26+1-'表2-折旧摊销表'!$N$26&gt;='表2-折旧摊销表'!$D$21,$N$125/$D$21,$N$125/('表2-折旧摊销表'!$BA$26+1-'表2-折旧摊销表'!$N$26))</f>
        <v>0</v>
      </c>
      <c r="X135" s="368"/>
      <c r="Y135" s="368"/>
      <c r="Z135" s="368"/>
      <c r="AA135" s="368"/>
      <c r="AB135" s="368"/>
      <c r="AC135" s="368"/>
      <c r="AD135" s="368"/>
      <c r="AE135" s="368"/>
      <c r="AF135" s="368"/>
      <c r="AG135" s="368"/>
      <c r="AH135" s="368"/>
      <c r="AI135" s="368"/>
      <c r="AJ135" s="368"/>
      <c r="AK135" s="368"/>
      <c r="AL135" s="368"/>
      <c r="AM135" s="368"/>
      <c r="AN135" s="368"/>
      <c r="AO135" s="368"/>
      <c r="AP135" s="368"/>
      <c r="AQ135" s="368"/>
      <c r="AR135" s="368"/>
      <c r="AS135" s="368"/>
      <c r="AT135" s="368"/>
      <c r="AU135" s="368"/>
      <c r="AV135" s="368"/>
      <c r="AW135" s="368"/>
      <c r="AX135" s="368"/>
      <c r="AY135" s="368"/>
      <c r="AZ135" s="368"/>
      <c r="BA135" s="369"/>
    </row>
    <row r="136" s="105" customFormat="1" spans="2:53">
      <c r="B136" s="406"/>
      <c r="C136" s="389" t="s">
        <v>83</v>
      </c>
      <c r="D136" s="375">
        <f t="shared" si="170"/>
        <v>0</v>
      </c>
      <c r="E136" s="266" t="s">
        <v>130</v>
      </c>
      <c r="F136" s="368"/>
      <c r="G136" s="368"/>
      <c r="H136" s="368"/>
      <c r="I136" s="368"/>
      <c r="J136" s="368"/>
      <c r="K136" s="368"/>
      <c r="L136" s="368"/>
      <c r="M136" s="368"/>
      <c r="N136" s="368"/>
      <c r="O136" s="368">
        <f>IF('表2-折旧摊销表'!$BA$26+1-'表2-折旧摊销表'!$O$26&gt;='表2-折旧摊销表'!$D$21,$O$125/$D$21,$O$125/('表2-折旧摊销表'!$BA$26+1-'表2-折旧摊销表'!$O$26))</f>
        <v>0</v>
      </c>
      <c r="P136" s="368">
        <f>IF('表2-折旧摊销表'!$BA$26+1-'表2-折旧摊销表'!$O$26&gt;='表2-折旧摊销表'!$D$21,$O$125/$D$21,$O$125/('表2-折旧摊销表'!$BA$26+1-'表2-折旧摊销表'!$O$26))</f>
        <v>0</v>
      </c>
      <c r="Q136" s="368">
        <f>IF('表2-折旧摊销表'!$BA$26+1-'表2-折旧摊销表'!$O$26&gt;='表2-折旧摊销表'!$D$21,$O$125/$D$21,$O$125/('表2-折旧摊销表'!$BA$26+1-'表2-折旧摊销表'!$O$26))</f>
        <v>0</v>
      </c>
      <c r="R136" s="368">
        <f>IF('表2-折旧摊销表'!$BA$26+1-'表2-折旧摊销表'!$O$26&gt;='表2-折旧摊销表'!$D$21,$O$125/$D$21,$O$125/('表2-折旧摊销表'!$BA$26+1-'表2-折旧摊销表'!$O$26))</f>
        <v>0</v>
      </c>
      <c r="S136" s="368">
        <f>IF('表2-折旧摊销表'!$BA$26+1-'表2-折旧摊销表'!$O$26&gt;='表2-折旧摊销表'!$D$21,$O$125/$D$21,$O$125/('表2-折旧摊销表'!$BA$26+1-'表2-折旧摊销表'!$O$26))</f>
        <v>0</v>
      </c>
      <c r="T136" s="368">
        <f>IF('表2-折旧摊销表'!$BA$26+1-'表2-折旧摊销表'!$O$26&gt;='表2-折旧摊销表'!$D$21,$O$125/$D$21,$O$125/('表2-折旧摊销表'!$BA$26+1-'表2-折旧摊销表'!$O$26))</f>
        <v>0</v>
      </c>
      <c r="U136" s="368">
        <f>IF('表2-折旧摊销表'!$BA$26+1-'表2-折旧摊销表'!$O$26&gt;='表2-折旧摊销表'!$D$21,$O$125/$D$21,$O$125/('表2-折旧摊销表'!$BA$26+1-'表2-折旧摊销表'!$O$26))</f>
        <v>0</v>
      </c>
      <c r="V136" s="368">
        <f>IF('表2-折旧摊销表'!$BA$26+1-'表2-折旧摊销表'!$O$26&gt;='表2-折旧摊销表'!$D$21,$O$125/$D$21,$O$125/('表2-折旧摊销表'!$BA$26+1-'表2-折旧摊销表'!$O$26))</f>
        <v>0</v>
      </c>
      <c r="W136" s="368">
        <f>IF('表2-折旧摊销表'!$BA$26+1-'表2-折旧摊销表'!$O$26&gt;='表2-折旧摊销表'!$D$21,$O$125/$D$21,$O$125/('表2-折旧摊销表'!$BA$26+1-'表2-折旧摊销表'!$O$26))</f>
        <v>0</v>
      </c>
      <c r="X136" s="368">
        <f>IF('表2-折旧摊销表'!$BA$26+1-'表2-折旧摊销表'!$O$26&gt;='表2-折旧摊销表'!$D$21,$O$125/$D$21,$O$125/('表2-折旧摊销表'!$BA$26+1-'表2-折旧摊销表'!$O$26))</f>
        <v>0</v>
      </c>
      <c r="Y136" s="368"/>
      <c r="Z136" s="368"/>
      <c r="AA136" s="368"/>
      <c r="AB136" s="368"/>
      <c r="AC136" s="368"/>
      <c r="AD136" s="368"/>
      <c r="AE136" s="368"/>
      <c r="AF136" s="368"/>
      <c r="AG136" s="368"/>
      <c r="AH136" s="368"/>
      <c r="AI136" s="368"/>
      <c r="AJ136" s="368"/>
      <c r="AK136" s="368"/>
      <c r="AL136" s="368"/>
      <c r="AM136" s="368"/>
      <c r="AN136" s="368"/>
      <c r="AO136" s="368"/>
      <c r="AP136" s="368"/>
      <c r="AQ136" s="368"/>
      <c r="AR136" s="368"/>
      <c r="AS136" s="368"/>
      <c r="AT136" s="368"/>
      <c r="AU136" s="368"/>
      <c r="AV136" s="368"/>
      <c r="AW136" s="368"/>
      <c r="AX136" s="368"/>
      <c r="AY136" s="368"/>
      <c r="AZ136" s="368"/>
      <c r="BA136" s="369"/>
    </row>
    <row r="137" s="105" customFormat="1" spans="2:53">
      <c r="B137" s="406"/>
      <c r="C137" s="389" t="s">
        <v>84</v>
      </c>
      <c r="D137" s="375">
        <f t="shared" si="170"/>
        <v>0</v>
      </c>
      <c r="E137" s="266" t="s">
        <v>130</v>
      </c>
      <c r="F137" s="368"/>
      <c r="G137" s="368"/>
      <c r="H137" s="368"/>
      <c r="I137" s="368"/>
      <c r="J137" s="368"/>
      <c r="K137" s="368"/>
      <c r="L137" s="368"/>
      <c r="M137" s="368"/>
      <c r="N137" s="368"/>
      <c r="O137" s="368"/>
      <c r="P137" s="368">
        <f>IF('表2-折旧摊销表'!$BA$26+1-'表2-折旧摊销表'!$P$26&gt;='表2-折旧摊销表'!$D$21,$P$125/$D$21,$P$125/('表2-折旧摊销表'!$BA$26+1-'表2-折旧摊销表'!$P$26))</f>
        <v>0</v>
      </c>
      <c r="Q137" s="368">
        <f>IF('表2-折旧摊销表'!$BA$26+1-'表2-折旧摊销表'!$P$26&gt;='表2-折旧摊销表'!$D$21,$P$125/$D$21,$P$125/('表2-折旧摊销表'!$BA$26+1-'表2-折旧摊销表'!$P$26))</f>
        <v>0</v>
      </c>
      <c r="R137" s="368">
        <f>IF('表2-折旧摊销表'!$BA$26+1-'表2-折旧摊销表'!$P$26&gt;='表2-折旧摊销表'!$D$21,$P$125/$D$21,$P$125/('表2-折旧摊销表'!$BA$26+1-'表2-折旧摊销表'!$P$26))</f>
        <v>0</v>
      </c>
      <c r="S137" s="368">
        <f>IF('表2-折旧摊销表'!$BA$26+1-'表2-折旧摊销表'!$P$26&gt;='表2-折旧摊销表'!$D$21,$P$125/$D$21,$P$125/('表2-折旧摊销表'!$BA$26+1-'表2-折旧摊销表'!$P$26))</f>
        <v>0</v>
      </c>
      <c r="T137" s="368">
        <f>IF('表2-折旧摊销表'!$BA$26+1-'表2-折旧摊销表'!$P$26&gt;='表2-折旧摊销表'!$D$21,$P$125/$D$21,$P$125/('表2-折旧摊销表'!$BA$26+1-'表2-折旧摊销表'!$P$26))</f>
        <v>0</v>
      </c>
      <c r="U137" s="368">
        <f>IF('表2-折旧摊销表'!$BA$26+1-'表2-折旧摊销表'!$P$26&gt;='表2-折旧摊销表'!$D$21,$P$125/$D$21,$P$125/('表2-折旧摊销表'!$BA$26+1-'表2-折旧摊销表'!$P$26))</f>
        <v>0</v>
      </c>
      <c r="V137" s="368">
        <f>IF('表2-折旧摊销表'!$BA$26+1-'表2-折旧摊销表'!$P$26&gt;='表2-折旧摊销表'!$D$21,$P$125/$D$21,$P$125/('表2-折旧摊销表'!$BA$26+1-'表2-折旧摊销表'!$P$26))</f>
        <v>0</v>
      </c>
      <c r="W137" s="368">
        <f>IF('表2-折旧摊销表'!$BA$26+1-'表2-折旧摊销表'!$P$26&gt;='表2-折旧摊销表'!$D$21,$P$125/$D$21,$P$125/('表2-折旧摊销表'!$BA$26+1-'表2-折旧摊销表'!$P$26))</f>
        <v>0</v>
      </c>
      <c r="X137" s="368">
        <f>IF('表2-折旧摊销表'!$BA$26+1-'表2-折旧摊销表'!$P$26&gt;='表2-折旧摊销表'!$D$21,$P$125/$D$21,$P$125/('表2-折旧摊销表'!$BA$26+1-'表2-折旧摊销表'!$P$26))</f>
        <v>0</v>
      </c>
      <c r="Y137" s="368">
        <f>IF('表2-折旧摊销表'!$BA$26+1-'表2-折旧摊销表'!$P$26&gt;='表2-折旧摊销表'!$D$21,$P$125/$D$21,$P$125/('表2-折旧摊销表'!$BA$26+1-'表2-折旧摊销表'!$P$26))</f>
        <v>0</v>
      </c>
      <c r="Z137" s="368"/>
      <c r="AA137" s="368"/>
      <c r="AB137" s="368"/>
      <c r="AC137" s="368"/>
      <c r="AD137" s="368"/>
      <c r="AE137" s="368"/>
      <c r="AF137" s="368"/>
      <c r="AG137" s="368"/>
      <c r="AH137" s="368"/>
      <c r="AI137" s="368"/>
      <c r="AJ137" s="368"/>
      <c r="AK137" s="368"/>
      <c r="AL137" s="368"/>
      <c r="AM137" s="368"/>
      <c r="AN137" s="368"/>
      <c r="AO137" s="368"/>
      <c r="AP137" s="368"/>
      <c r="AQ137" s="368"/>
      <c r="AR137" s="368"/>
      <c r="AS137" s="368"/>
      <c r="AT137" s="368"/>
      <c r="AU137" s="368"/>
      <c r="AV137" s="368"/>
      <c r="AW137" s="368"/>
      <c r="AX137" s="368"/>
      <c r="AY137" s="368"/>
      <c r="AZ137" s="368"/>
      <c r="BA137" s="369"/>
    </row>
    <row r="138" s="105" customFormat="1" spans="2:53">
      <c r="B138" s="406"/>
      <c r="C138" s="389" t="s">
        <v>85</v>
      </c>
      <c r="D138" s="375">
        <f t="shared" si="170"/>
        <v>0</v>
      </c>
      <c r="E138" s="266" t="s">
        <v>130</v>
      </c>
      <c r="F138" s="368"/>
      <c r="G138" s="368"/>
      <c r="H138" s="368"/>
      <c r="I138" s="368"/>
      <c r="J138" s="368"/>
      <c r="K138" s="368"/>
      <c r="L138" s="368"/>
      <c r="M138" s="368"/>
      <c r="N138" s="368"/>
      <c r="O138" s="368"/>
      <c r="P138" s="368"/>
      <c r="Q138" s="368">
        <f>IF('表2-折旧摊销表'!$BA$26+1-'表2-折旧摊销表'!$Q$26&gt;='表2-折旧摊销表'!$D$21,$Q$125/$D$21,$Q$125/('表2-折旧摊销表'!$BA$26+1-'表2-折旧摊销表'!$Q$26))</f>
        <v>0</v>
      </c>
      <c r="R138" s="368">
        <f>IF('表2-折旧摊销表'!$BA$26+1-'表2-折旧摊销表'!$Q$26&gt;='表2-折旧摊销表'!$D$21,$Q$125/$D$21,$Q$125/('表2-折旧摊销表'!$BA$26+1-'表2-折旧摊销表'!$Q$26))</f>
        <v>0</v>
      </c>
      <c r="S138" s="368">
        <f>IF('表2-折旧摊销表'!$BA$26+1-'表2-折旧摊销表'!$Q$26&gt;='表2-折旧摊销表'!$D$21,$Q$125/$D$21,$Q$125/('表2-折旧摊销表'!$BA$26+1-'表2-折旧摊销表'!$Q$26))</f>
        <v>0</v>
      </c>
      <c r="T138" s="368">
        <f>IF('表2-折旧摊销表'!$BA$26+1-'表2-折旧摊销表'!$Q$26&gt;='表2-折旧摊销表'!$D$21,$Q$125/$D$21,$Q$125/('表2-折旧摊销表'!$BA$26+1-'表2-折旧摊销表'!$Q$26))</f>
        <v>0</v>
      </c>
      <c r="U138" s="368">
        <f>IF('表2-折旧摊销表'!$BA$26+1-'表2-折旧摊销表'!$Q$26&gt;='表2-折旧摊销表'!$D$21,$Q$125/$D$21,$Q$125/('表2-折旧摊销表'!$BA$26+1-'表2-折旧摊销表'!$Q$26))</f>
        <v>0</v>
      </c>
      <c r="V138" s="368">
        <f>IF('表2-折旧摊销表'!$BA$26+1-'表2-折旧摊销表'!$Q$26&gt;='表2-折旧摊销表'!$D$21,$Q$125/$D$21,$Q$125/('表2-折旧摊销表'!$BA$26+1-'表2-折旧摊销表'!$Q$26))</f>
        <v>0</v>
      </c>
      <c r="W138" s="368">
        <f>IF('表2-折旧摊销表'!$BA$26+1-'表2-折旧摊销表'!$Q$26&gt;='表2-折旧摊销表'!$D$21,$Q$125/$D$21,$Q$125/('表2-折旧摊销表'!$BA$26+1-'表2-折旧摊销表'!$Q$26))</f>
        <v>0</v>
      </c>
      <c r="X138" s="368">
        <f>IF('表2-折旧摊销表'!$BA$26+1-'表2-折旧摊销表'!$Q$26&gt;='表2-折旧摊销表'!$D$21,$Q$125/$D$21,$Q$125/('表2-折旧摊销表'!$BA$26+1-'表2-折旧摊销表'!$Q$26))</f>
        <v>0</v>
      </c>
      <c r="Y138" s="368">
        <f>IF('表2-折旧摊销表'!$BA$26+1-'表2-折旧摊销表'!$Q$26&gt;='表2-折旧摊销表'!$D$21,$Q$125/$D$21,$Q$125/('表2-折旧摊销表'!$BA$26+1-'表2-折旧摊销表'!$Q$26))</f>
        <v>0</v>
      </c>
      <c r="Z138" s="368">
        <f>IF('表2-折旧摊销表'!$BA$26+1-'表2-折旧摊销表'!$Q$26&gt;='表2-折旧摊销表'!$D$21,$Q$125/$D$21,$Q$125/('表2-折旧摊销表'!$BA$26+1-'表2-折旧摊销表'!$Q$26))</f>
        <v>0</v>
      </c>
      <c r="AA138" s="368"/>
      <c r="AB138" s="368"/>
      <c r="AC138" s="368"/>
      <c r="AD138" s="368"/>
      <c r="AE138" s="368"/>
      <c r="AF138" s="368"/>
      <c r="AG138" s="368"/>
      <c r="AH138" s="368"/>
      <c r="AI138" s="368"/>
      <c r="AJ138" s="368"/>
      <c r="AK138" s="368"/>
      <c r="AL138" s="368"/>
      <c r="AM138" s="368"/>
      <c r="AN138" s="368"/>
      <c r="AO138" s="368"/>
      <c r="AP138" s="368"/>
      <c r="AQ138" s="368"/>
      <c r="AR138" s="368"/>
      <c r="AS138" s="368"/>
      <c r="AT138" s="368"/>
      <c r="AU138" s="368"/>
      <c r="AV138" s="368"/>
      <c r="AW138" s="368"/>
      <c r="AX138" s="368"/>
      <c r="AY138" s="368"/>
      <c r="AZ138" s="368"/>
      <c r="BA138" s="369"/>
    </row>
    <row r="139" s="105" customFormat="1" spans="2:53">
      <c r="B139" s="406"/>
      <c r="C139" s="389" t="s">
        <v>86</v>
      </c>
      <c r="D139" s="375">
        <f t="shared" si="170"/>
        <v>0</v>
      </c>
      <c r="E139" s="266" t="s">
        <v>130</v>
      </c>
      <c r="F139" s="368"/>
      <c r="G139" s="368"/>
      <c r="H139" s="368"/>
      <c r="I139" s="368"/>
      <c r="J139" s="368"/>
      <c r="K139" s="368"/>
      <c r="L139" s="368"/>
      <c r="M139" s="368"/>
      <c r="N139" s="368"/>
      <c r="O139" s="368"/>
      <c r="P139" s="368"/>
      <c r="Q139" s="368"/>
      <c r="R139" s="368">
        <f>IF('表2-折旧摊销表'!$BA$26+1-'表2-折旧摊销表'!$R$26&gt;='表2-折旧摊销表'!$D$21,$R$125/$D$21,$R$125/('表2-折旧摊销表'!$BA$26+1-'表2-折旧摊销表'!$R$26))</f>
        <v>0</v>
      </c>
      <c r="S139" s="368">
        <f>IF('表2-折旧摊销表'!$BA$26+1-'表2-折旧摊销表'!$R$26&gt;='表2-折旧摊销表'!$D$21,$R$125/$D$21,$R$125/('表2-折旧摊销表'!$BA$26+1-'表2-折旧摊销表'!$R$26))</f>
        <v>0</v>
      </c>
      <c r="T139" s="368">
        <f>IF('表2-折旧摊销表'!$BA$26+1-'表2-折旧摊销表'!$R$26&gt;='表2-折旧摊销表'!$D$21,$R$125/$D$21,$R$125/('表2-折旧摊销表'!$BA$26+1-'表2-折旧摊销表'!$R$26))</f>
        <v>0</v>
      </c>
      <c r="U139" s="368">
        <f>IF('表2-折旧摊销表'!$BA$26+1-'表2-折旧摊销表'!$R$26&gt;='表2-折旧摊销表'!$D$21,$R$125/$D$21,$R$125/('表2-折旧摊销表'!$BA$26+1-'表2-折旧摊销表'!$R$26))</f>
        <v>0</v>
      </c>
      <c r="V139" s="368">
        <f>IF('表2-折旧摊销表'!$BA$26+1-'表2-折旧摊销表'!$R$26&gt;='表2-折旧摊销表'!$D$21,$R$125/$D$21,$R$125/('表2-折旧摊销表'!$BA$26+1-'表2-折旧摊销表'!$R$26))</f>
        <v>0</v>
      </c>
      <c r="W139" s="368">
        <f>IF('表2-折旧摊销表'!$BA$26+1-'表2-折旧摊销表'!$R$26&gt;='表2-折旧摊销表'!$D$21,$R$125/$D$21,$R$125/('表2-折旧摊销表'!$BA$26+1-'表2-折旧摊销表'!$R$26))</f>
        <v>0</v>
      </c>
      <c r="X139" s="368">
        <f>IF('表2-折旧摊销表'!$BA$26+1-'表2-折旧摊销表'!$R$26&gt;='表2-折旧摊销表'!$D$21,$R$125/$D$21,$R$125/('表2-折旧摊销表'!$BA$26+1-'表2-折旧摊销表'!$R$26))</f>
        <v>0</v>
      </c>
      <c r="Y139" s="368">
        <f>IF('表2-折旧摊销表'!$BA$26+1-'表2-折旧摊销表'!$R$26&gt;='表2-折旧摊销表'!$D$21,$R$125/$D$21,$R$125/('表2-折旧摊销表'!$BA$26+1-'表2-折旧摊销表'!$R$26))</f>
        <v>0</v>
      </c>
      <c r="Z139" s="368">
        <f>IF('表2-折旧摊销表'!$BA$26+1-'表2-折旧摊销表'!$R$26&gt;='表2-折旧摊销表'!$D$21,$R$125/$D$21,$R$125/('表2-折旧摊销表'!$BA$26+1-'表2-折旧摊销表'!$R$26))</f>
        <v>0</v>
      </c>
      <c r="AA139" s="368">
        <f>IF('表2-折旧摊销表'!$BA$26+1-'表2-折旧摊销表'!$R$26&gt;='表2-折旧摊销表'!$D$21,$R$125/$D$21,$R$125/('表2-折旧摊销表'!$BA$26+1-'表2-折旧摊销表'!$R$26))</f>
        <v>0</v>
      </c>
      <c r="AB139" s="368"/>
      <c r="AC139" s="368"/>
      <c r="AD139" s="368"/>
      <c r="AE139" s="368"/>
      <c r="AF139" s="368"/>
      <c r="AG139" s="368"/>
      <c r="AH139" s="368"/>
      <c r="AI139" s="368"/>
      <c r="AJ139" s="368"/>
      <c r="AK139" s="368"/>
      <c r="AL139" s="368"/>
      <c r="AM139" s="368"/>
      <c r="AN139" s="368"/>
      <c r="AO139" s="368"/>
      <c r="AP139" s="368"/>
      <c r="AQ139" s="368"/>
      <c r="AR139" s="368"/>
      <c r="AS139" s="368"/>
      <c r="AT139" s="368"/>
      <c r="AU139" s="368"/>
      <c r="AV139" s="368"/>
      <c r="AW139" s="368"/>
      <c r="AX139" s="368"/>
      <c r="AY139" s="368"/>
      <c r="AZ139" s="368"/>
      <c r="BA139" s="369"/>
    </row>
    <row r="140" s="105" customFormat="1" spans="2:53">
      <c r="B140" s="406"/>
      <c r="C140" s="389" t="s">
        <v>87</v>
      </c>
      <c r="D140" s="375">
        <f t="shared" si="170"/>
        <v>0</v>
      </c>
      <c r="E140" s="266" t="s">
        <v>130</v>
      </c>
      <c r="F140" s="368"/>
      <c r="G140" s="368"/>
      <c r="H140" s="368"/>
      <c r="I140" s="368"/>
      <c r="J140" s="368"/>
      <c r="K140" s="368"/>
      <c r="L140" s="368"/>
      <c r="M140" s="368"/>
      <c r="N140" s="368"/>
      <c r="O140" s="368"/>
      <c r="P140" s="368"/>
      <c r="Q140" s="368"/>
      <c r="R140" s="368"/>
      <c r="S140" s="368">
        <f>IF('表2-折旧摊销表'!$BA$26+1-'表2-折旧摊销表'!$S$26&gt;='表2-折旧摊销表'!$D$21,$S$125/$D$21,$S$125/('表2-折旧摊销表'!$BA$26+1-'表2-折旧摊销表'!$S$26))</f>
        <v>0</v>
      </c>
      <c r="T140" s="368">
        <f>IF('表2-折旧摊销表'!$BA$26+1-'表2-折旧摊销表'!$S$26&gt;='表2-折旧摊销表'!$D$21,$S$125/$D$21,$S$125/('表2-折旧摊销表'!$BA$26+1-'表2-折旧摊销表'!$S$26))</f>
        <v>0</v>
      </c>
      <c r="U140" s="368">
        <f>IF('表2-折旧摊销表'!$BA$26+1-'表2-折旧摊销表'!$S$26&gt;='表2-折旧摊销表'!$D$21,$S$125/$D$21,$S$125/('表2-折旧摊销表'!$BA$26+1-'表2-折旧摊销表'!$S$26))</f>
        <v>0</v>
      </c>
      <c r="V140" s="368">
        <f>IF('表2-折旧摊销表'!$BA$26+1-'表2-折旧摊销表'!$S$26&gt;='表2-折旧摊销表'!$D$21,$S$125/$D$21,$S$125/('表2-折旧摊销表'!$BA$26+1-'表2-折旧摊销表'!$S$26))</f>
        <v>0</v>
      </c>
      <c r="W140" s="368">
        <f>IF('表2-折旧摊销表'!$BA$26+1-'表2-折旧摊销表'!$S$26&gt;='表2-折旧摊销表'!$D$21,$S$125/$D$21,$S$125/('表2-折旧摊销表'!$BA$26+1-'表2-折旧摊销表'!$S$26))</f>
        <v>0</v>
      </c>
      <c r="X140" s="368">
        <f>IF('表2-折旧摊销表'!$BA$26+1-'表2-折旧摊销表'!$S$26&gt;='表2-折旧摊销表'!$D$21,$S$125/$D$21,$S$125/('表2-折旧摊销表'!$BA$26+1-'表2-折旧摊销表'!$S$26))</f>
        <v>0</v>
      </c>
      <c r="Y140" s="368">
        <f>IF('表2-折旧摊销表'!$BA$26+1-'表2-折旧摊销表'!$S$26&gt;='表2-折旧摊销表'!$D$21,$S$125/$D$21,$S$125/('表2-折旧摊销表'!$BA$26+1-'表2-折旧摊销表'!$S$26))</f>
        <v>0</v>
      </c>
      <c r="Z140" s="368">
        <f>IF('表2-折旧摊销表'!$BA$26+1-'表2-折旧摊销表'!$S$26&gt;='表2-折旧摊销表'!$D$21,$S$125/$D$21,$S$125/('表2-折旧摊销表'!$BA$26+1-'表2-折旧摊销表'!$S$26))</f>
        <v>0</v>
      </c>
      <c r="AA140" s="368">
        <f>IF('表2-折旧摊销表'!$BA$26+1-'表2-折旧摊销表'!$S$26&gt;='表2-折旧摊销表'!$D$21,$S$125/$D$21,$S$125/('表2-折旧摊销表'!$BA$26+1-'表2-折旧摊销表'!$S$26))</f>
        <v>0</v>
      </c>
      <c r="AB140" s="368">
        <f>IF('表2-折旧摊销表'!$BA$26+1-'表2-折旧摊销表'!$S$26&gt;='表2-折旧摊销表'!$D$21,$S$125/$D$21,$S$125/('表2-折旧摊销表'!$BA$26+1-'表2-折旧摊销表'!$S$26))</f>
        <v>0</v>
      </c>
      <c r="AC140" s="368"/>
      <c r="AD140" s="368"/>
      <c r="AE140" s="368"/>
      <c r="AF140" s="368"/>
      <c r="AG140" s="368"/>
      <c r="AH140" s="368"/>
      <c r="AI140" s="368"/>
      <c r="AJ140" s="368"/>
      <c r="AK140" s="368"/>
      <c r="AL140" s="368"/>
      <c r="AM140" s="368"/>
      <c r="AN140" s="368"/>
      <c r="AO140" s="368"/>
      <c r="AP140" s="368"/>
      <c r="AQ140" s="368"/>
      <c r="AR140" s="368"/>
      <c r="AS140" s="368"/>
      <c r="AT140" s="368"/>
      <c r="AU140" s="368"/>
      <c r="AV140" s="368"/>
      <c r="AW140" s="368"/>
      <c r="AX140" s="368"/>
      <c r="AY140" s="368"/>
      <c r="AZ140" s="368"/>
      <c r="BA140" s="369"/>
    </row>
    <row r="141" s="105" customFormat="1" spans="2:53">
      <c r="B141" s="406"/>
      <c r="C141" s="389" t="s">
        <v>88</v>
      </c>
      <c r="D141" s="375">
        <f t="shared" si="170"/>
        <v>0</v>
      </c>
      <c r="E141" s="266" t="s">
        <v>130</v>
      </c>
      <c r="F141" s="368"/>
      <c r="G141" s="368"/>
      <c r="H141" s="368"/>
      <c r="I141" s="368"/>
      <c r="J141" s="368"/>
      <c r="K141" s="368"/>
      <c r="L141" s="368"/>
      <c r="M141" s="368"/>
      <c r="N141" s="368"/>
      <c r="O141" s="368"/>
      <c r="P141" s="368"/>
      <c r="Q141" s="368"/>
      <c r="R141" s="368"/>
      <c r="S141" s="368"/>
      <c r="T141" s="368">
        <f>IF('表2-折旧摊销表'!$BA$26+1-'表2-折旧摊销表'!$T$26&gt;='表2-折旧摊销表'!$D$21,$T$125/$D$21,$T$125/('表2-折旧摊销表'!$BA$26+1-'表2-折旧摊销表'!$T$26))</f>
        <v>0</v>
      </c>
      <c r="U141" s="368">
        <f>IF('表2-折旧摊销表'!$BA$26+1-'表2-折旧摊销表'!$T$26&gt;='表2-折旧摊销表'!$D$21,$T$125/$D$21,$T$125/('表2-折旧摊销表'!$BA$26+1-'表2-折旧摊销表'!$T$26))</f>
        <v>0</v>
      </c>
      <c r="V141" s="368">
        <f>IF('表2-折旧摊销表'!$BA$26+1-'表2-折旧摊销表'!$T$26&gt;='表2-折旧摊销表'!$D$21,$T$125/$D$21,$T$125/('表2-折旧摊销表'!$BA$26+1-'表2-折旧摊销表'!$T$26))</f>
        <v>0</v>
      </c>
      <c r="W141" s="368">
        <f>IF('表2-折旧摊销表'!$BA$26+1-'表2-折旧摊销表'!$T$26&gt;='表2-折旧摊销表'!$D$21,$T$125/$D$21,$T$125/('表2-折旧摊销表'!$BA$26+1-'表2-折旧摊销表'!$T$26))</f>
        <v>0</v>
      </c>
      <c r="X141" s="368">
        <f>IF('表2-折旧摊销表'!$BA$26+1-'表2-折旧摊销表'!$T$26&gt;='表2-折旧摊销表'!$D$21,$T$125/$D$21,$T$125/('表2-折旧摊销表'!$BA$26+1-'表2-折旧摊销表'!$T$26))</f>
        <v>0</v>
      </c>
      <c r="Y141" s="368">
        <f>IF('表2-折旧摊销表'!$BA$26+1-'表2-折旧摊销表'!$T$26&gt;='表2-折旧摊销表'!$D$21,$T$125/$D$21,$T$125/('表2-折旧摊销表'!$BA$26+1-'表2-折旧摊销表'!$T$26))</f>
        <v>0</v>
      </c>
      <c r="Z141" s="368">
        <f>IF('表2-折旧摊销表'!$BA$26+1-'表2-折旧摊销表'!$T$26&gt;='表2-折旧摊销表'!$D$21,$T$125/$D$21,$T$125/('表2-折旧摊销表'!$BA$26+1-'表2-折旧摊销表'!$T$26))</f>
        <v>0</v>
      </c>
      <c r="AA141" s="368">
        <f>IF('表2-折旧摊销表'!$BA$26+1-'表2-折旧摊销表'!$T$26&gt;='表2-折旧摊销表'!$D$21,$T$125/$D$21,$T$125/('表2-折旧摊销表'!$BA$26+1-'表2-折旧摊销表'!$T$26))</f>
        <v>0</v>
      </c>
      <c r="AB141" s="368">
        <f>IF('表2-折旧摊销表'!$BA$26+1-'表2-折旧摊销表'!$T$26&gt;='表2-折旧摊销表'!$D$21,$T$125/$D$21,$T$125/('表2-折旧摊销表'!$BA$26+1-'表2-折旧摊销表'!$T$26))</f>
        <v>0</v>
      </c>
      <c r="AC141" s="368">
        <f>IF('表2-折旧摊销表'!$BA$26+1-'表2-折旧摊销表'!$T$26&gt;='表2-折旧摊销表'!$D$21,$T$125/$D$21,$T$125/('表2-折旧摊销表'!$BA$26+1-'表2-折旧摊销表'!$T$26))</f>
        <v>0</v>
      </c>
      <c r="AD141" s="368"/>
      <c r="AE141" s="368"/>
      <c r="AF141" s="368"/>
      <c r="AG141" s="368"/>
      <c r="AH141" s="368"/>
      <c r="AI141" s="368"/>
      <c r="AJ141" s="368"/>
      <c r="AK141" s="368"/>
      <c r="AL141" s="368"/>
      <c r="AM141" s="368"/>
      <c r="AN141" s="368"/>
      <c r="AO141" s="368"/>
      <c r="AP141" s="368"/>
      <c r="AQ141" s="368"/>
      <c r="AR141" s="368"/>
      <c r="AS141" s="368"/>
      <c r="AT141" s="368"/>
      <c r="AU141" s="368"/>
      <c r="AV141" s="368"/>
      <c r="AW141" s="368"/>
      <c r="AX141" s="368"/>
      <c r="AY141" s="368"/>
      <c r="AZ141" s="368"/>
      <c r="BA141" s="369"/>
    </row>
    <row r="142" s="105" customFormat="1" spans="2:53">
      <c r="B142" s="406"/>
      <c r="C142" s="389" t="s">
        <v>89</v>
      </c>
      <c r="D142" s="375">
        <f t="shared" si="170"/>
        <v>0</v>
      </c>
      <c r="E142" s="266" t="s">
        <v>130</v>
      </c>
      <c r="F142" s="368"/>
      <c r="G142" s="368"/>
      <c r="H142" s="368"/>
      <c r="I142" s="368"/>
      <c r="J142" s="368"/>
      <c r="K142" s="368"/>
      <c r="L142" s="368"/>
      <c r="M142" s="368"/>
      <c r="N142" s="368"/>
      <c r="O142" s="368"/>
      <c r="P142" s="368"/>
      <c r="Q142" s="368"/>
      <c r="R142" s="368"/>
      <c r="S142" s="368"/>
      <c r="T142" s="368"/>
      <c r="U142" s="368">
        <f>IF('表2-折旧摊销表'!$BA$26+1-'表2-折旧摊销表'!$U$26&gt;='表2-折旧摊销表'!$D$21,$U$125/$D$21,$U$125/('表2-折旧摊销表'!$BA$26+1-'表2-折旧摊销表'!$U$26))</f>
        <v>0</v>
      </c>
      <c r="V142" s="368">
        <f>IF('表2-折旧摊销表'!$BA$26+1-'表2-折旧摊销表'!$U$26&gt;='表2-折旧摊销表'!$D$21,$U$125/$D$21,$U$125/('表2-折旧摊销表'!$BA$26+1-'表2-折旧摊销表'!$U$26))</f>
        <v>0</v>
      </c>
      <c r="W142" s="368">
        <f>IF('表2-折旧摊销表'!$BA$26+1-'表2-折旧摊销表'!$U$26&gt;='表2-折旧摊销表'!$D$21,$U$125/$D$21,$U$125/('表2-折旧摊销表'!$BA$26+1-'表2-折旧摊销表'!$U$26))</f>
        <v>0</v>
      </c>
      <c r="X142" s="368">
        <f>IF('表2-折旧摊销表'!$BA$26+1-'表2-折旧摊销表'!$U$26&gt;='表2-折旧摊销表'!$D$21,$U$125/$D$21,$U$125/('表2-折旧摊销表'!$BA$26+1-'表2-折旧摊销表'!$U$26))</f>
        <v>0</v>
      </c>
      <c r="Y142" s="368">
        <f>IF('表2-折旧摊销表'!$BA$26+1-'表2-折旧摊销表'!$U$26&gt;='表2-折旧摊销表'!$D$21,$U$125/$D$21,$U$125/('表2-折旧摊销表'!$BA$26+1-'表2-折旧摊销表'!$U$26))</f>
        <v>0</v>
      </c>
      <c r="Z142" s="368">
        <f>IF('表2-折旧摊销表'!$BA$26+1-'表2-折旧摊销表'!$U$26&gt;='表2-折旧摊销表'!$D$21,$U$125/$D$21,$U$125/('表2-折旧摊销表'!$BA$26+1-'表2-折旧摊销表'!$U$26))</f>
        <v>0</v>
      </c>
      <c r="AA142" s="368">
        <f>IF('表2-折旧摊销表'!$BA$26+1-'表2-折旧摊销表'!$U$26&gt;='表2-折旧摊销表'!$D$21,$U$125/$D$21,$U$125/('表2-折旧摊销表'!$BA$26+1-'表2-折旧摊销表'!$U$26))</f>
        <v>0</v>
      </c>
      <c r="AB142" s="368">
        <f>IF('表2-折旧摊销表'!$BA$26+1-'表2-折旧摊销表'!$U$26&gt;='表2-折旧摊销表'!$D$21,$U$125/$D$21,$U$125/('表2-折旧摊销表'!$BA$26+1-'表2-折旧摊销表'!$U$26))</f>
        <v>0</v>
      </c>
      <c r="AC142" s="368">
        <f>IF('表2-折旧摊销表'!$BA$26+1-'表2-折旧摊销表'!$U$26&gt;='表2-折旧摊销表'!$D$21,$U$125/$D$21,$U$125/('表2-折旧摊销表'!$BA$26+1-'表2-折旧摊销表'!$U$26))</f>
        <v>0</v>
      </c>
      <c r="AD142" s="368">
        <f>IF('表2-折旧摊销表'!$BA$26+1-'表2-折旧摊销表'!$U$26&gt;='表2-折旧摊销表'!$D$21,$U$125/$D$21,$U$125/('表2-折旧摊销表'!$BA$26+1-'表2-折旧摊销表'!$U$26))</f>
        <v>0</v>
      </c>
      <c r="AE142" s="368"/>
      <c r="AF142" s="368"/>
      <c r="AG142" s="368"/>
      <c r="AH142" s="368"/>
      <c r="AI142" s="368"/>
      <c r="AJ142" s="368"/>
      <c r="AK142" s="368"/>
      <c r="AL142" s="368"/>
      <c r="AM142" s="368"/>
      <c r="AN142" s="368"/>
      <c r="AO142" s="368"/>
      <c r="AP142" s="368"/>
      <c r="AQ142" s="368"/>
      <c r="AR142" s="368"/>
      <c r="AS142" s="368"/>
      <c r="AT142" s="368"/>
      <c r="AU142" s="368"/>
      <c r="AV142" s="368"/>
      <c r="AW142" s="368"/>
      <c r="AX142" s="368"/>
      <c r="AY142" s="368"/>
      <c r="AZ142" s="368"/>
      <c r="BA142" s="369"/>
    </row>
    <row r="143" s="105" customFormat="1" spans="2:53">
      <c r="B143" s="406"/>
      <c r="C143" s="389" t="s">
        <v>90</v>
      </c>
      <c r="D143" s="375">
        <f t="shared" si="170"/>
        <v>0</v>
      </c>
      <c r="E143" s="266" t="s">
        <v>130</v>
      </c>
      <c r="F143" s="368"/>
      <c r="G143" s="368"/>
      <c r="H143" s="368"/>
      <c r="I143" s="368"/>
      <c r="J143" s="368"/>
      <c r="K143" s="368"/>
      <c r="L143" s="368"/>
      <c r="M143" s="368"/>
      <c r="N143" s="368"/>
      <c r="O143" s="368"/>
      <c r="P143" s="368"/>
      <c r="Q143" s="368"/>
      <c r="R143" s="368"/>
      <c r="S143" s="368"/>
      <c r="T143" s="368"/>
      <c r="U143" s="368"/>
      <c r="V143" s="368">
        <f>IF('表2-折旧摊销表'!$BA$26+1-'表2-折旧摊销表'!$V$26&gt;='表2-折旧摊销表'!$D$21,$V$125/$D$21,$V$125/('表2-折旧摊销表'!$BA$26+1-'表2-折旧摊销表'!$V$26))</f>
        <v>0</v>
      </c>
      <c r="W143" s="368">
        <f>IF('表2-折旧摊销表'!$BA$26+1-'表2-折旧摊销表'!$V$26&gt;='表2-折旧摊销表'!$D$21,$V$125/$D$21,$V$125/('表2-折旧摊销表'!$BA$26+1-'表2-折旧摊销表'!$V$26))</f>
        <v>0</v>
      </c>
      <c r="X143" s="368">
        <f>IF('表2-折旧摊销表'!$BA$26+1-'表2-折旧摊销表'!$V$26&gt;='表2-折旧摊销表'!$D$21,$V$125/$D$21,$V$125/('表2-折旧摊销表'!$BA$26+1-'表2-折旧摊销表'!$V$26))</f>
        <v>0</v>
      </c>
      <c r="Y143" s="368">
        <f>IF('表2-折旧摊销表'!$BA$26+1-'表2-折旧摊销表'!$V$26&gt;='表2-折旧摊销表'!$D$21,$V$125/$D$21,$V$125/('表2-折旧摊销表'!$BA$26+1-'表2-折旧摊销表'!$V$26))</f>
        <v>0</v>
      </c>
      <c r="Z143" s="368">
        <f>IF('表2-折旧摊销表'!$BA$26+1-'表2-折旧摊销表'!$V$26&gt;='表2-折旧摊销表'!$D$21,$V$125/$D$21,$V$125/('表2-折旧摊销表'!$BA$26+1-'表2-折旧摊销表'!$V$26))</f>
        <v>0</v>
      </c>
      <c r="AA143" s="368">
        <f>IF('表2-折旧摊销表'!$BA$26+1-'表2-折旧摊销表'!$V$26&gt;='表2-折旧摊销表'!$D$21,$V$125/$D$21,$V$125/('表2-折旧摊销表'!$BA$26+1-'表2-折旧摊销表'!$V$26))</f>
        <v>0</v>
      </c>
      <c r="AB143" s="368">
        <f>IF('表2-折旧摊销表'!$BA$26+1-'表2-折旧摊销表'!$V$26&gt;='表2-折旧摊销表'!$D$21,$V$125/$D$21,$V$125/('表2-折旧摊销表'!$BA$26+1-'表2-折旧摊销表'!$V$26))</f>
        <v>0</v>
      </c>
      <c r="AC143" s="368">
        <f>IF('表2-折旧摊销表'!$BA$26+1-'表2-折旧摊销表'!$V$26&gt;='表2-折旧摊销表'!$D$21,$V$125/$D$21,$V$125/('表2-折旧摊销表'!$BA$26+1-'表2-折旧摊销表'!$V$26))</f>
        <v>0</v>
      </c>
      <c r="AD143" s="368">
        <f>IF('表2-折旧摊销表'!$BA$26+1-'表2-折旧摊销表'!$V$26&gt;='表2-折旧摊销表'!$D$21,$V$125/$D$21,$V$125/('表2-折旧摊销表'!$BA$26+1-'表2-折旧摊销表'!$V$26))</f>
        <v>0</v>
      </c>
      <c r="AE143" s="368">
        <f>IF('表2-折旧摊销表'!$BA$26+1-'表2-折旧摊销表'!$V$26&gt;='表2-折旧摊销表'!$D$21,$V$125/$D$21,$V$125/('表2-折旧摊销表'!$BA$26+1-'表2-折旧摊销表'!$V$26))</f>
        <v>0</v>
      </c>
      <c r="AF143" s="368"/>
      <c r="AG143" s="368"/>
      <c r="AH143" s="368"/>
      <c r="AI143" s="368"/>
      <c r="AJ143" s="368"/>
      <c r="AK143" s="368"/>
      <c r="AL143" s="368"/>
      <c r="AM143" s="368"/>
      <c r="AN143" s="368"/>
      <c r="AO143" s="368"/>
      <c r="AP143" s="368"/>
      <c r="AQ143" s="368"/>
      <c r="AR143" s="368"/>
      <c r="AS143" s="368"/>
      <c r="AT143" s="368"/>
      <c r="AU143" s="368"/>
      <c r="AV143" s="368"/>
      <c r="AW143" s="368"/>
      <c r="AX143" s="368"/>
      <c r="AY143" s="368"/>
      <c r="AZ143" s="368"/>
      <c r="BA143" s="369"/>
    </row>
    <row r="144" s="105" customFormat="1" spans="2:53">
      <c r="B144" s="406"/>
      <c r="C144" s="389" t="s">
        <v>91</v>
      </c>
      <c r="D144" s="375">
        <f t="shared" si="170"/>
        <v>0</v>
      </c>
      <c r="E144" s="266" t="s">
        <v>130</v>
      </c>
      <c r="F144" s="368"/>
      <c r="G144" s="368"/>
      <c r="H144" s="368"/>
      <c r="I144" s="368"/>
      <c r="J144" s="368"/>
      <c r="K144" s="368"/>
      <c r="L144" s="368"/>
      <c r="M144" s="368"/>
      <c r="N144" s="368"/>
      <c r="O144" s="368"/>
      <c r="P144" s="368"/>
      <c r="Q144" s="368"/>
      <c r="R144" s="368"/>
      <c r="S144" s="368"/>
      <c r="T144" s="368"/>
      <c r="U144" s="368"/>
      <c r="V144" s="368"/>
      <c r="W144" s="368">
        <f>IF('表2-折旧摊销表'!$BA$26+1-'表2-折旧摊销表'!$W$26&gt;='表2-折旧摊销表'!$D$21,$W$125/$D$21,$W$125/('表2-折旧摊销表'!$BA$26+1-'表2-折旧摊销表'!$W$26))</f>
        <v>0</v>
      </c>
      <c r="X144" s="368">
        <f>IF('表2-折旧摊销表'!$BA$26+1-'表2-折旧摊销表'!$W$26&gt;='表2-折旧摊销表'!$D$21,$W$125/$D$21,$W$125/('表2-折旧摊销表'!$BA$26+1-'表2-折旧摊销表'!$W$26))</f>
        <v>0</v>
      </c>
      <c r="Y144" s="368">
        <f>IF('表2-折旧摊销表'!$BA$26+1-'表2-折旧摊销表'!$W$26&gt;='表2-折旧摊销表'!$D$21,$W$125/$D$21,$W$125/('表2-折旧摊销表'!$BA$26+1-'表2-折旧摊销表'!$W$26))</f>
        <v>0</v>
      </c>
      <c r="Z144" s="368">
        <f>IF('表2-折旧摊销表'!$BA$26+1-'表2-折旧摊销表'!$W$26&gt;='表2-折旧摊销表'!$D$21,$W$125/$D$21,$W$125/('表2-折旧摊销表'!$BA$26+1-'表2-折旧摊销表'!$W$26))</f>
        <v>0</v>
      </c>
      <c r="AA144" s="368">
        <f>IF('表2-折旧摊销表'!$BA$26+1-'表2-折旧摊销表'!$W$26&gt;='表2-折旧摊销表'!$D$21,$W$125/$D$21,$W$125/('表2-折旧摊销表'!$BA$26+1-'表2-折旧摊销表'!$W$26))</f>
        <v>0</v>
      </c>
      <c r="AB144" s="368">
        <f>IF('表2-折旧摊销表'!$BA$26+1-'表2-折旧摊销表'!$W$26&gt;='表2-折旧摊销表'!$D$21,$W$125/$D$21,$W$125/('表2-折旧摊销表'!$BA$26+1-'表2-折旧摊销表'!$W$26))</f>
        <v>0</v>
      </c>
      <c r="AC144" s="368">
        <f>IF('表2-折旧摊销表'!$BA$26+1-'表2-折旧摊销表'!$W$26&gt;='表2-折旧摊销表'!$D$21,$W$125/$D$21,$W$125/('表2-折旧摊销表'!$BA$26+1-'表2-折旧摊销表'!$W$26))</f>
        <v>0</v>
      </c>
      <c r="AD144" s="368">
        <f>IF('表2-折旧摊销表'!$BA$26+1-'表2-折旧摊销表'!$W$26&gt;='表2-折旧摊销表'!$D$21,$W$125/$D$21,$W$125/('表2-折旧摊销表'!$BA$26+1-'表2-折旧摊销表'!$W$26))</f>
        <v>0</v>
      </c>
      <c r="AE144" s="368">
        <f>IF('表2-折旧摊销表'!$BA$26+1-'表2-折旧摊销表'!$W$26&gt;='表2-折旧摊销表'!$D$21,$W$125/$D$21,$W$125/('表2-折旧摊销表'!$BA$26+1-'表2-折旧摊销表'!$W$26))</f>
        <v>0</v>
      </c>
      <c r="AF144" s="368">
        <f>IF('表2-折旧摊销表'!$BA$26+1-'表2-折旧摊销表'!$W$26&gt;='表2-折旧摊销表'!$D$21,$W$125/$D$21,$W$125/('表2-折旧摊销表'!$BA$26+1-'表2-折旧摊销表'!$W$26))</f>
        <v>0</v>
      </c>
      <c r="AG144" s="368"/>
      <c r="AH144" s="368"/>
      <c r="AI144" s="368"/>
      <c r="AJ144" s="368"/>
      <c r="AK144" s="368"/>
      <c r="AL144" s="368"/>
      <c r="AM144" s="368"/>
      <c r="AN144" s="368"/>
      <c r="AO144" s="368"/>
      <c r="AP144" s="368"/>
      <c r="AQ144" s="368"/>
      <c r="AR144" s="368"/>
      <c r="AS144" s="368"/>
      <c r="AT144" s="368"/>
      <c r="AU144" s="368"/>
      <c r="AV144" s="368"/>
      <c r="AW144" s="368"/>
      <c r="AX144" s="368"/>
      <c r="AY144" s="368"/>
      <c r="AZ144" s="368"/>
      <c r="BA144" s="369"/>
    </row>
    <row r="145" s="105" customFormat="1" spans="2:53">
      <c r="B145" s="406"/>
      <c r="C145" s="389" t="s">
        <v>92</v>
      </c>
      <c r="D145" s="375">
        <f t="shared" si="170"/>
        <v>0</v>
      </c>
      <c r="E145" s="266" t="s">
        <v>130</v>
      </c>
      <c r="F145" s="368"/>
      <c r="G145" s="368"/>
      <c r="H145" s="368"/>
      <c r="I145" s="368"/>
      <c r="J145" s="368"/>
      <c r="K145" s="368"/>
      <c r="L145" s="368"/>
      <c r="M145" s="368"/>
      <c r="N145" s="368"/>
      <c r="O145" s="368"/>
      <c r="P145" s="368"/>
      <c r="Q145" s="368"/>
      <c r="R145" s="368"/>
      <c r="S145" s="368"/>
      <c r="T145" s="368"/>
      <c r="U145" s="368"/>
      <c r="V145" s="368"/>
      <c r="W145" s="368"/>
      <c r="X145" s="368">
        <f>IF('表2-折旧摊销表'!$BA$26+1-'表2-折旧摊销表'!$X$26&gt;='表2-折旧摊销表'!$D$21,$X$125/$D$21,$X$125/('表2-折旧摊销表'!$BA$26+1-'表2-折旧摊销表'!$X$26))</f>
        <v>0</v>
      </c>
      <c r="Y145" s="368">
        <f>IF('表2-折旧摊销表'!$BA$26+1-'表2-折旧摊销表'!$X$26&gt;='表2-折旧摊销表'!$D$21,$X$125/$D$21,$X$125/('表2-折旧摊销表'!$BA$26+1-'表2-折旧摊销表'!$X$26))</f>
        <v>0</v>
      </c>
      <c r="Z145" s="368">
        <f>IF('表2-折旧摊销表'!$BA$26+1-'表2-折旧摊销表'!$X$26&gt;='表2-折旧摊销表'!$D$21,$X$125/$D$21,$X$125/('表2-折旧摊销表'!$BA$26+1-'表2-折旧摊销表'!$X$26))</f>
        <v>0</v>
      </c>
      <c r="AA145" s="368">
        <f>IF('表2-折旧摊销表'!$BA$26+1-'表2-折旧摊销表'!$X$26&gt;='表2-折旧摊销表'!$D$21,$X$125/$D$21,$X$125/('表2-折旧摊销表'!$BA$26+1-'表2-折旧摊销表'!$X$26))</f>
        <v>0</v>
      </c>
      <c r="AB145" s="368">
        <f>IF('表2-折旧摊销表'!$BA$26+1-'表2-折旧摊销表'!$X$26&gt;='表2-折旧摊销表'!$D$21,$X$125/$D$21,$X$125/('表2-折旧摊销表'!$BA$26+1-'表2-折旧摊销表'!$X$26))</f>
        <v>0</v>
      </c>
      <c r="AC145" s="368">
        <f>IF('表2-折旧摊销表'!$BA$26+1-'表2-折旧摊销表'!$X$26&gt;='表2-折旧摊销表'!$D$21,$X$125/$D$21,$X$125/('表2-折旧摊销表'!$BA$26+1-'表2-折旧摊销表'!$X$26))</f>
        <v>0</v>
      </c>
      <c r="AD145" s="368">
        <f>IF('表2-折旧摊销表'!$BA$26+1-'表2-折旧摊销表'!$X$26&gt;='表2-折旧摊销表'!$D$21,$X$125/$D$21,$X$125/('表2-折旧摊销表'!$BA$26+1-'表2-折旧摊销表'!$X$26))</f>
        <v>0</v>
      </c>
      <c r="AE145" s="368">
        <f>IF('表2-折旧摊销表'!$BA$26+1-'表2-折旧摊销表'!$X$26&gt;='表2-折旧摊销表'!$D$21,$X$125/$D$21,$X$125/('表2-折旧摊销表'!$BA$26+1-'表2-折旧摊销表'!$X$26))</f>
        <v>0</v>
      </c>
      <c r="AF145" s="368">
        <f>IF('表2-折旧摊销表'!$BA$26+1-'表2-折旧摊销表'!$X$26&gt;='表2-折旧摊销表'!$D$21,$X$125/$D$21,$X$125/('表2-折旧摊销表'!$BA$26+1-'表2-折旧摊销表'!$X$26))</f>
        <v>0</v>
      </c>
      <c r="AG145" s="368">
        <f>IF('表2-折旧摊销表'!$BA$26+1-'表2-折旧摊销表'!$X$26&gt;='表2-折旧摊销表'!$D$21,$X$125/$D$21,$X$125/('表2-折旧摊销表'!$BA$26+1-'表2-折旧摊销表'!$X$26))</f>
        <v>0</v>
      </c>
      <c r="AH145" s="368"/>
      <c r="AI145" s="368"/>
      <c r="AJ145" s="368"/>
      <c r="AK145" s="368"/>
      <c r="AL145" s="368"/>
      <c r="AM145" s="368"/>
      <c r="AN145" s="368"/>
      <c r="AO145" s="368"/>
      <c r="AP145" s="368"/>
      <c r="AQ145" s="368"/>
      <c r="AR145" s="368"/>
      <c r="AS145" s="368"/>
      <c r="AT145" s="368"/>
      <c r="AU145" s="368"/>
      <c r="AV145" s="368"/>
      <c r="AW145" s="368"/>
      <c r="AX145" s="368"/>
      <c r="AY145" s="368"/>
      <c r="AZ145" s="368"/>
      <c r="BA145" s="369"/>
    </row>
    <row r="146" s="105" customFormat="1" spans="2:53">
      <c r="B146" s="406"/>
      <c r="C146" s="389" t="s">
        <v>93</v>
      </c>
      <c r="D146" s="375">
        <f t="shared" si="170"/>
        <v>18348.623853211</v>
      </c>
      <c r="E146" s="266" t="s">
        <v>130</v>
      </c>
      <c r="F146" s="368"/>
      <c r="G146" s="368"/>
      <c r="H146" s="368"/>
      <c r="I146" s="368"/>
      <c r="J146" s="368"/>
      <c r="K146" s="368"/>
      <c r="L146" s="368"/>
      <c r="M146" s="368"/>
      <c r="N146" s="368"/>
      <c r="O146" s="368"/>
      <c r="P146" s="368"/>
      <c r="Q146" s="368"/>
      <c r="R146" s="368"/>
      <c r="S146" s="368"/>
      <c r="T146" s="368"/>
      <c r="U146" s="368"/>
      <c r="V146" s="368"/>
      <c r="W146" s="368"/>
      <c r="X146" s="368"/>
      <c r="Y146" s="368">
        <f>IF('表2-折旧摊销表'!$BA$26+1-'表2-折旧摊销表'!$Y$26&gt;='表2-折旧摊销表'!$D$21,$Y$125/$D$21,$Y$125/('表2-折旧摊销表'!$BA$26+1-'表2-折旧摊销表'!$Y$26))</f>
        <v>1834.8623853211</v>
      </c>
      <c r="Z146" s="368">
        <f>IF('表2-折旧摊销表'!$BA$26+1-'表2-折旧摊销表'!$Y$26&gt;='表2-折旧摊销表'!$D$21,$Y$125/$D$21,$Y$125/('表2-折旧摊销表'!$BA$26+1-'表2-折旧摊销表'!$Y$26))</f>
        <v>1834.8623853211</v>
      </c>
      <c r="AA146" s="368">
        <f>IF('表2-折旧摊销表'!$BA$26+1-'表2-折旧摊销表'!$Y$26&gt;='表2-折旧摊销表'!$D$21,$Y$125/$D$21,$Y$125/('表2-折旧摊销表'!$BA$26+1-'表2-折旧摊销表'!$Y$26))</f>
        <v>1834.8623853211</v>
      </c>
      <c r="AB146" s="368">
        <f>IF('表2-折旧摊销表'!$BA$26+1-'表2-折旧摊销表'!$Y$26&gt;='表2-折旧摊销表'!$D$21,$Y$125/$D$21,$Y$125/('表2-折旧摊销表'!$BA$26+1-'表2-折旧摊销表'!$Y$26))</f>
        <v>1834.8623853211</v>
      </c>
      <c r="AC146" s="368">
        <f>IF('表2-折旧摊销表'!$BA$26+1-'表2-折旧摊销表'!$Y$26&gt;='表2-折旧摊销表'!$D$21,$Y$125/$D$21,$Y$125/('表2-折旧摊销表'!$BA$26+1-'表2-折旧摊销表'!$Y$26))</f>
        <v>1834.8623853211</v>
      </c>
      <c r="AD146" s="368">
        <f>IF('表2-折旧摊销表'!$BA$26+1-'表2-折旧摊销表'!$Y$26&gt;='表2-折旧摊销表'!$D$21,$Y$125/$D$21,$Y$125/('表2-折旧摊销表'!$BA$26+1-'表2-折旧摊销表'!$Y$26))</f>
        <v>1834.8623853211</v>
      </c>
      <c r="AE146" s="368">
        <f>IF('表2-折旧摊销表'!$BA$26+1-'表2-折旧摊销表'!$Y$26&gt;='表2-折旧摊销表'!$D$21,$Y$125/$D$21,$Y$125/('表2-折旧摊销表'!$BA$26+1-'表2-折旧摊销表'!$Y$26))</f>
        <v>1834.8623853211</v>
      </c>
      <c r="AF146" s="368">
        <f>IF('表2-折旧摊销表'!$BA$26+1-'表2-折旧摊销表'!$Y$26&gt;='表2-折旧摊销表'!$D$21,$Y$125/$D$21,$Y$125/('表2-折旧摊销表'!$BA$26+1-'表2-折旧摊销表'!$Y$26))</f>
        <v>1834.8623853211</v>
      </c>
      <c r="AG146" s="368">
        <f>IF('表2-折旧摊销表'!$BA$26+1-'表2-折旧摊销表'!$Y$26&gt;='表2-折旧摊销表'!$D$21,$Y$125/$D$21,$Y$125/('表2-折旧摊销表'!$BA$26+1-'表2-折旧摊销表'!$Y$26))</f>
        <v>1834.8623853211</v>
      </c>
      <c r="AH146" s="368">
        <f>IF('表2-折旧摊销表'!$BA$26+1-'表2-折旧摊销表'!$Y$26&gt;='表2-折旧摊销表'!$D$21,$Y$125/$D$21,$Y$125/('表2-折旧摊销表'!$BA$26+1-'表2-折旧摊销表'!$Y$26))</f>
        <v>1834.8623853211</v>
      </c>
      <c r="AI146" s="368"/>
      <c r="AJ146" s="368"/>
      <c r="AK146" s="368"/>
      <c r="AL146" s="368"/>
      <c r="AM146" s="368"/>
      <c r="AN146" s="368"/>
      <c r="AO146" s="368"/>
      <c r="AP146" s="368"/>
      <c r="AQ146" s="368"/>
      <c r="AR146" s="368"/>
      <c r="AS146" s="368"/>
      <c r="AT146" s="368"/>
      <c r="AU146" s="368"/>
      <c r="AV146" s="368"/>
      <c r="AW146" s="368"/>
      <c r="AX146" s="368"/>
      <c r="AY146" s="368"/>
      <c r="AZ146" s="368"/>
      <c r="BA146" s="369"/>
    </row>
    <row r="147" s="105" customFormat="1" spans="2:53">
      <c r="B147" s="406"/>
      <c r="C147" s="389" t="s">
        <v>94</v>
      </c>
      <c r="D147" s="375">
        <f t="shared" si="170"/>
        <v>0</v>
      </c>
      <c r="E147" s="266" t="s">
        <v>130</v>
      </c>
      <c r="F147" s="368"/>
      <c r="G147" s="368"/>
      <c r="H147" s="368"/>
      <c r="I147" s="368"/>
      <c r="J147" s="368"/>
      <c r="K147" s="368"/>
      <c r="L147" s="368"/>
      <c r="M147" s="368"/>
      <c r="N147" s="368"/>
      <c r="O147" s="368"/>
      <c r="P147" s="368"/>
      <c r="Q147" s="368"/>
      <c r="R147" s="368"/>
      <c r="S147" s="368"/>
      <c r="T147" s="368"/>
      <c r="U147" s="368"/>
      <c r="V147" s="368"/>
      <c r="W147" s="368"/>
      <c r="X147" s="368"/>
      <c r="Y147" s="368"/>
      <c r="Z147" s="368">
        <f>IF('表2-折旧摊销表'!$BA$26+1-'表2-折旧摊销表'!$Z$26&gt;='表2-折旧摊销表'!$D$21,$Z$125/$D$21,$Z$125/('表2-折旧摊销表'!$BA$26+1-'表2-折旧摊销表'!$Z$26))</f>
        <v>0</v>
      </c>
      <c r="AA147" s="368">
        <f>IF('表2-折旧摊销表'!$BA$26+1-'表2-折旧摊销表'!$Z$26&gt;='表2-折旧摊销表'!$D$21,$Z$125/$D$21,$Z$125/('表2-折旧摊销表'!$BA$26+1-'表2-折旧摊销表'!$Z$26))</f>
        <v>0</v>
      </c>
      <c r="AB147" s="368">
        <f>IF('表2-折旧摊销表'!$BA$26+1-'表2-折旧摊销表'!$Z$26&gt;='表2-折旧摊销表'!$D$21,$Z$125/$D$21,$Z$125/('表2-折旧摊销表'!$BA$26+1-'表2-折旧摊销表'!$Z$26))</f>
        <v>0</v>
      </c>
      <c r="AC147" s="368">
        <f>IF('表2-折旧摊销表'!$BA$26+1-'表2-折旧摊销表'!$Z$26&gt;='表2-折旧摊销表'!$D$21,$Z$125/$D$21,$Z$125/('表2-折旧摊销表'!$BA$26+1-'表2-折旧摊销表'!$Z$26))</f>
        <v>0</v>
      </c>
      <c r="AD147" s="368">
        <f>IF('表2-折旧摊销表'!$BA$26+1-'表2-折旧摊销表'!$Z$26&gt;='表2-折旧摊销表'!$D$21,$Z$125/$D$21,$Z$125/('表2-折旧摊销表'!$BA$26+1-'表2-折旧摊销表'!$Z$26))</f>
        <v>0</v>
      </c>
      <c r="AE147" s="368">
        <f>IF('表2-折旧摊销表'!$BA$26+1-'表2-折旧摊销表'!$Z$26&gt;='表2-折旧摊销表'!$D$21,$Z$125/$D$21,$Z$125/('表2-折旧摊销表'!$BA$26+1-'表2-折旧摊销表'!$Z$26))</f>
        <v>0</v>
      </c>
      <c r="AF147" s="368">
        <f>IF('表2-折旧摊销表'!$BA$26+1-'表2-折旧摊销表'!$Z$26&gt;='表2-折旧摊销表'!$D$21,$Z$125/$D$21,$Z$125/('表2-折旧摊销表'!$BA$26+1-'表2-折旧摊销表'!$Z$26))</f>
        <v>0</v>
      </c>
      <c r="AG147" s="368">
        <f>IF('表2-折旧摊销表'!$BA$26+1-'表2-折旧摊销表'!$Z$26&gt;='表2-折旧摊销表'!$D$21,$Z$125/$D$21,$Z$125/('表2-折旧摊销表'!$BA$26+1-'表2-折旧摊销表'!$Z$26))</f>
        <v>0</v>
      </c>
      <c r="AH147" s="368">
        <f>IF('表2-折旧摊销表'!$BA$26+1-'表2-折旧摊销表'!$Z$26&gt;='表2-折旧摊销表'!$D$21,$Z$125/$D$21,$Z$125/('表2-折旧摊销表'!$BA$26+1-'表2-折旧摊销表'!$Z$26))</f>
        <v>0</v>
      </c>
      <c r="AI147" s="368">
        <f>IF('表2-折旧摊销表'!$BA$26+1-'表2-折旧摊销表'!$Z$26&gt;='表2-折旧摊销表'!$D$21,$Z$125/$D$21,$Z$125/('表2-折旧摊销表'!$BA$26+1-'表2-折旧摊销表'!$Z$26))</f>
        <v>0</v>
      </c>
      <c r="AJ147" s="368"/>
      <c r="AK147" s="368"/>
      <c r="AL147" s="368"/>
      <c r="AM147" s="368"/>
      <c r="AN147" s="368"/>
      <c r="AO147" s="368"/>
      <c r="AP147" s="368"/>
      <c r="AQ147" s="368"/>
      <c r="AR147" s="368"/>
      <c r="AS147" s="368"/>
      <c r="AT147" s="368"/>
      <c r="AU147" s="368"/>
      <c r="AV147" s="368"/>
      <c r="AW147" s="368"/>
      <c r="AX147" s="368"/>
      <c r="AY147" s="368"/>
      <c r="AZ147" s="368"/>
      <c r="BA147" s="369"/>
    </row>
    <row r="148" s="105" customFormat="1" spans="2:53">
      <c r="B148" s="406"/>
      <c r="C148" s="389" t="s">
        <v>95</v>
      </c>
      <c r="D148" s="375">
        <f t="shared" si="170"/>
        <v>0</v>
      </c>
      <c r="E148" s="266" t="s">
        <v>130</v>
      </c>
      <c r="F148" s="368"/>
      <c r="G148" s="368"/>
      <c r="H148" s="368"/>
      <c r="I148" s="368"/>
      <c r="J148" s="368"/>
      <c r="K148" s="368"/>
      <c r="L148" s="368"/>
      <c r="M148" s="368"/>
      <c r="N148" s="368"/>
      <c r="O148" s="368"/>
      <c r="P148" s="368"/>
      <c r="Q148" s="368"/>
      <c r="R148" s="368"/>
      <c r="S148" s="368"/>
      <c r="T148" s="368"/>
      <c r="U148" s="368"/>
      <c r="V148" s="368"/>
      <c r="W148" s="368"/>
      <c r="X148" s="368"/>
      <c r="Y148" s="368"/>
      <c r="Z148" s="368"/>
      <c r="AA148" s="368">
        <f>IF('表2-折旧摊销表'!$BA$26+1-'表2-折旧摊销表'!$AA$26&gt;='表2-折旧摊销表'!$D$21,$AA$125/$D$21,$AA$125/('表2-折旧摊销表'!$BA$26+1-'表2-折旧摊销表'!$AA$26))</f>
        <v>0</v>
      </c>
      <c r="AB148" s="368">
        <f>IF('表2-折旧摊销表'!$BA$26+1-'表2-折旧摊销表'!$AA$26&gt;='表2-折旧摊销表'!$D$21,$AA$125/$D$21,$AA$125/('表2-折旧摊销表'!$BA$26+1-'表2-折旧摊销表'!$AA$26))</f>
        <v>0</v>
      </c>
      <c r="AC148" s="368">
        <f>IF('表2-折旧摊销表'!$BA$26+1-'表2-折旧摊销表'!$AA$26&gt;='表2-折旧摊销表'!$D$21,$AA$125/$D$21,$AA$125/('表2-折旧摊销表'!$BA$26+1-'表2-折旧摊销表'!$AA$26))</f>
        <v>0</v>
      </c>
      <c r="AD148" s="368">
        <f>IF('表2-折旧摊销表'!$BA$26+1-'表2-折旧摊销表'!$AA$26&gt;='表2-折旧摊销表'!$D$21,$AA$125/$D$21,$AA$125/('表2-折旧摊销表'!$BA$26+1-'表2-折旧摊销表'!$AA$26))</f>
        <v>0</v>
      </c>
      <c r="AE148" s="368">
        <f>IF('表2-折旧摊销表'!$BA$26+1-'表2-折旧摊销表'!$AA$26&gt;='表2-折旧摊销表'!$D$21,$AA$125/$D$21,$AA$125/('表2-折旧摊销表'!$BA$26+1-'表2-折旧摊销表'!$AA$26))</f>
        <v>0</v>
      </c>
      <c r="AF148" s="368">
        <f>IF('表2-折旧摊销表'!$BA$26+1-'表2-折旧摊销表'!$AA$26&gt;='表2-折旧摊销表'!$D$21,$AA$125/$D$21,$AA$125/('表2-折旧摊销表'!$BA$26+1-'表2-折旧摊销表'!$AA$26))</f>
        <v>0</v>
      </c>
      <c r="AG148" s="368">
        <f>IF('表2-折旧摊销表'!$BA$26+1-'表2-折旧摊销表'!$AA$26&gt;='表2-折旧摊销表'!$D$21,$AA$125/$D$21,$AA$125/('表2-折旧摊销表'!$BA$26+1-'表2-折旧摊销表'!$AA$26))</f>
        <v>0</v>
      </c>
      <c r="AH148" s="368">
        <f>IF('表2-折旧摊销表'!$BA$26+1-'表2-折旧摊销表'!$AA$26&gt;='表2-折旧摊销表'!$D$21,$AA$125/$D$21,$AA$125/('表2-折旧摊销表'!$BA$26+1-'表2-折旧摊销表'!$AA$26))</f>
        <v>0</v>
      </c>
      <c r="AI148" s="368">
        <f>IF('表2-折旧摊销表'!$BA$26+1-'表2-折旧摊销表'!$AA$26&gt;='表2-折旧摊销表'!$D$21,$AA$125/$D$21,$AA$125/('表2-折旧摊销表'!$BA$26+1-'表2-折旧摊销表'!$AA$26))</f>
        <v>0</v>
      </c>
      <c r="AJ148" s="368">
        <f>IF('表2-折旧摊销表'!$BA$26+1-'表2-折旧摊销表'!$AA$26&gt;='表2-折旧摊销表'!$D$21,$AA$125/$D$21,$AA$125/('表2-折旧摊销表'!$BA$26+1-'表2-折旧摊销表'!$AA$26))</f>
        <v>0</v>
      </c>
      <c r="AK148" s="368"/>
      <c r="AL148" s="368"/>
      <c r="AM148" s="368"/>
      <c r="AN148" s="368"/>
      <c r="AO148" s="368"/>
      <c r="AP148" s="368"/>
      <c r="AQ148" s="368"/>
      <c r="AR148" s="368"/>
      <c r="AS148" s="368"/>
      <c r="AT148" s="368"/>
      <c r="AU148" s="368"/>
      <c r="AV148" s="368"/>
      <c r="AW148" s="368"/>
      <c r="AX148" s="368"/>
      <c r="AY148" s="368"/>
      <c r="AZ148" s="368"/>
      <c r="BA148" s="369"/>
    </row>
    <row r="149" s="105" customFormat="1" spans="2:53">
      <c r="B149" s="406"/>
      <c r="C149" s="389" t="s">
        <v>96</v>
      </c>
      <c r="D149" s="375">
        <f t="shared" si="170"/>
        <v>0</v>
      </c>
      <c r="E149" s="266" t="s">
        <v>130</v>
      </c>
      <c r="F149" s="368"/>
      <c r="G149" s="368"/>
      <c r="H149" s="368"/>
      <c r="I149" s="368"/>
      <c r="J149" s="368"/>
      <c r="K149" s="368"/>
      <c r="L149" s="368"/>
      <c r="M149" s="368"/>
      <c r="N149" s="368"/>
      <c r="O149" s="368"/>
      <c r="P149" s="368"/>
      <c r="Q149" s="368"/>
      <c r="R149" s="368"/>
      <c r="S149" s="368"/>
      <c r="T149" s="368"/>
      <c r="U149" s="368"/>
      <c r="V149" s="368"/>
      <c r="W149" s="368"/>
      <c r="X149" s="368"/>
      <c r="Y149" s="368"/>
      <c r="Z149" s="368"/>
      <c r="AA149" s="368"/>
      <c r="AB149" s="368">
        <f>IF('表2-折旧摊销表'!$BA$26+1-'表2-折旧摊销表'!$AB$26&gt;='表2-折旧摊销表'!$D$21,$AB$125/$D$21,$AB$125/('表2-折旧摊销表'!$BA$26+1-'表2-折旧摊销表'!$AB$26))</f>
        <v>0</v>
      </c>
      <c r="AC149" s="368">
        <f>IF('表2-折旧摊销表'!$BA$26+1-'表2-折旧摊销表'!$AB$26&gt;='表2-折旧摊销表'!$D$21,$AB$125/$D$21,$AB$125/('表2-折旧摊销表'!$BA$26+1-'表2-折旧摊销表'!$AB$26))</f>
        <v>0</v>
      </c>
      <c r="AD149" s="368">
        <f>IF('表2-折旧摊销表'!$BA$26+1-'表2-折旧摊销表'!$AB$26&gt;='表2-折旧摊销表'!$D$21,$AB$125/$D$21,$AB$125/('表2-折旧摊销表'!$BA$26+1-'表2-折旧摊销表'!$AB$26))</f>
        <v>0</v>
      </c>
      <c r="AE149" s="368">
        <f>IF('表2-折旧摊销表'!$BA$26+1-'表2-折旧摊销表'!$AB$26&gt;='表2-折旧摊销表'!$D$21,$AB$125/$D$21,$AB$125/('表2-折旧摊销表'!$BA$26+1-'表2-折旧摊销表'!$AB$26))</f>
        <v>0</v>
      </c>
      <c r="AF149" s="368">
        <f>IF('表2-折旧摊销表'!$BA$26+1-'表2-折旧摊销表'!$AB$26&gt;='表2-折旧摊销表'!$D$21,$AB$125/$D$21,$AB$125/('表2-折旧摊销表'!$BA$26+1-'表2-折旧摊销表'!$AB$26))</f>
        <v>0</v>
      </c>
      <c r="AG149" s="368">
        <f>IF('表2-折旧摊销表'!$BA$26+1-'表2-折旧摊销表'!$AB$26&gt;='表2-折旧摊销表'!$D$21,$AB$125/$D$21,$AB$125/('表2-折旧摊销表'!$BA$26+1-'表2-折旧摊销表'!$AB$26))</f>
        <v>0</v>
      </c>
      <c r="AH149" s="368">
        <f>IF('表2-折旧摊销表'!$BA$26+1-'表2-折旧摊销表'!$AB$26&gt;='表2-折旧摊销表'!$D$21,$AB$125/$D$21,$AB$125/('表2-折旧摊销表'!$BA$26+1-'表2-折旧摊销表'!$AB$26))</f>
        <v>0</v>
      </c>
      <c r="AI149" s="368">
        <f>IF('表2-折旧摊销表'!$BA$26+1-'表2-折旧摊销表'!$AB$26&gt;='表2-折旧摊销表'!$D$21,$AB$125/$D$21,$AB$125/('表2-折旧摊销表'!$BA$26+1-'表2-折旧摊销表'!$AB$26))</f>
        <v>0</v>
      </c>
      <c r="AJ149" s="368">
        <f>IF('表2-折旧摊销表'!$BA$26+1-'表2-折旧摊销表'!$AB$26&gt;='表2-折旧摊销表'!$D$21,$AB$125/$D$21,$AB$125/('表2-折旧摊销表'!$BA$26+1-'表2-折旧摊销表'!$AB$26))</f>
        <v>0</v>
      </c>
      <c r="AK149" s="368">
        <f>IF('表2-折旧摊销表'!$BA$26+1-'表2-折旧摊销表'!$AB$26&gt;='表2-折旧摊销表'!$D$21,$AB$125/$D$21,$AB$125/('表2-折旧摊销表'!$BA$26+1-'表2-折旧摊销表'!$AB$26))</f>
        <v>0</v>
      </c>
      <c r="AL149" s="368"/>
      <c r="AM149" s="368"/>
      <c r="AN149" s="368"/>
      <c r="AO149" s="368"/>
      <c r="AP149" s="368"/>
      <c r="AQ149" s="368"/>
      <c r="AR149" s="368"/>
      <c r="AS149" s="368"/>
      <c r="AT149" s="368"/>
      <c r="AU149" s="368"/>
      <c r="AV149" s="368"/>
      <c r="AW149" s="368"/>
      <c r="AX149" s="368"/>
      <c r="AY149" s="368"/>
      <c r="AZ149" s="368"/>
      <c r="BA149" s="369"/>
    </row>
    <row r="150" s="105" customFormat="1" spans="2:53">
      <c r="B150" s="406"/>
      <c r="C150" s="389" t="s">
        <v>97</v>
      </c>
      <c r="D150" s="375">
        <f t="shared" si="170"/>
        <v>0</v>
      </c>
      <c r="E150" s="266" t="s">
        <v>130</v>
      </c>
      <c r="F150" s="368"/>
      <c r="G150" s="368"/>
      <c r="H150" s="368"/>
      <c r="I150" s="368"/>
      <c r="J150" s="368"/>
      <c r="K150" s="368"/>
      <c r="L150" s="368"/>
      <c r="M150" s="368"/>
      <c r="N150" s="368"/>
      <c r="O150" s="368"/>
      <c r="P150" s="368"/>
      <c r="Q150" s="368"/>
      <c r="R150" s="368"/>
      <c r="S150" s="368"/>
      <c r="T150" s="368"/>
      <c r="U150" s="368"/>
      <c r="V150" s="368"/>
      <c r="W150" s="368"/>
      <c r="X150" s="368"/>
      <c r="Y150" s="368"/>
      <c r="Z150" s="368"/>
      <c r="AA150" s="368"/>
      <c r="AB150" s="368"/>
      <c r="AC150" s="368">
        <f>IF('表2-折旧摊销表'!$BA$26+1-'表2-折旧摊销表'!$AC$26&gt;='表2-折旧摊销表'!$D$21,$AC$125/$D$21,$AC$125/('表2-折旧摊销表'!$BA$26+1-'表2-折旧摊销表'!$AC$26))</f>
        <v>0</v>
      </c>
      <c r="AD150" s="368">
        <f>IF('表2-折旧摊销表'!$BA$26+1-'表2-折旧摊销表'!$AC$26&gt;='表2-折旧摊销表'!$D$21,$AC$125/$D$21,$AC$125/('表2-折旧摊销表'!$BA$26+1-'表2-折旧摊销表'!$AC$26))</f>
        <v>0</v>
      </c>
      <c r="AE150" s="368">
        <f>IF('表2-折旧摊销表'!$BA$26+1-'表2-折旧摊销表'!$AC$26&gt;='表2-折旧摊销表'!$D$21,$AC$125/$D$21,$AC$125/('表2-折旧摊销表'!$BA$26+1-'表2-折旧摊销表'!$AC$26))</f>
        <v>0</v>
      </c>
      <c r="AF150" s="368">
        <f>IF('表2-折旧摊销表'!$BA$26+1-'表2-折旧摊销表'!$AC$26&gt;='表2-折旧摊销表'!$D$21,$AC$125/$D$21,$AC$125/('表2-折旧摊销表'!$BA$26+1-'表2-折旧摊销表'!$AC$26))</f>
        <v>0</v>
      </c>
      <c r="AG150" s="368">
        <f>IF('表2-折旧摊销表'!$BA$26+1-'表2-折旧摊销表'!$AC$26&gt;='表2-折旧摊销表'!$D$21,$AC$125/$D$21,$AC$125/('表2-折旧摊销表'!$BA$26+1-'表2-折旧摊销表'!$AC$26))</f>
        <v>0</v>
      </c>
      <c r="AH150" s="368">
        <f>IF('表2-折旧摊销表'!$BA$26+1-'表2-折旧摊销表'!$AC$26&gt;='表2-折旧摊销表'!$D$21,$AC$125/$D$21,$AC$125/('表2-折旧摊销表'!$BA$26+1-'表2-折旧摊销表'!$AC$26))</f>
        <v>0</v>
      </c>
      <c r="AI150" s="368">
        <f>IF('表2-折旧摊销表'!$BA$26+1-'表2-折旧摊销表'!$AC$26&gt;='表2-折旧摊销表'!$D$21,$AC$125/$D$21,$AC$125/('表2-折旧摊销表'!$BA$26+1-'表2-折旧摊销表'!$AC$26))</f>
        <v>0</v>
      </c>
      <c r="AJ150" s="368">
        <f>IF('表2-折旧摊销表'!$BA$26+1-'表2-折旧摊销表'!$AC$26&gt;='表2-折旧摊销表'!$D$21,$AC$125/$D$21,$AC$125/('表2-折旧摊销表'!$BA$26+1-'表2-折旧摊销表'!$AC$26))</f>
        <v>0</v>
      </c>
      <c r="AK150" s="368">
        <f>IF('表2-折旧摊销表'!$BA$26+1-'表2-折旧摊销表'!$AC$26&gt;='表2-折旧摊销表'!$D$21,$AC$125/$D$21,$AC$125/('表2-折旧摊销表'!$BA$26+1-'表2-折旧摊销表'!$AC$26))</f>
        <v>0</v>
      </c>
      <c r="AL150" s="368">
        <f>IF('表2-折旧摊销表'!$BA$26+1-'表2-折旧摊销表'!$AC$26&gt;='表2-折旧摊销表'!$D$21,$AC$125/$D$21,$AC$125/('表2-折旧摊销表'!$BA$26+1-'表2-折旧摊销表'!$AC$26))</f>
        <v>0</v>
      </c>
      <c r="AM150" s="368"/>
      <c r="AN150" s="368"/>
      <c r="AO150" s="368"/>
      <c r="AP150" s="368"/>
      <c r="AQ150" s="368"/>
      <c r="AR150" s="368"/>
      <c r="AS150" s="368"/>
      <c r="AT150" s="368"/>
      <c r="AU150" s="368"/>
      <c r="AV150" s="368"/>
      <c r="AW150" s="368"/>
      <c r="AX150" s="368"/>
      <c r="AY150" s="368"/>
      <c r="AZ150" s="368"/>
      <c r="BA150" s="369"/>
    </row>
    <row r="151" s="105" customFormat="1" spans="2:53">
      <c r="B151" s="406"/>
      <c r="C151" s="389" t="s">
        <v>98</v>
      </c>
      <c r="D151" s="375">
        <f t="shared" si="170"/>
        <v>0</v>
      </c>
      <c r="E151" s="266" t="s">
        <v>130</v>
      </c>
      <c r="F151" s="368"/>
      <c r="G151" s="368"/>
      <c r="H151" s="368"/>
      <c r="I151" s="368"/>
      <c r="J151" s="368"/>
      <c r="K151" s="368"/>
      <c r="L151" s="368"/>
      <c r="M151" s="368"/>
      <c r="N151" s="368"/>
      <c r="O151" s="368"/>
      <c r="P151" s="368"/>
      <c r="Q151" s="368"/>
      <c r="R151" s="368"/>
      <c r="S151" s="368"/>
      <c r="T151" s="368"/>
      <c r="U151" s="368"/>
      <c r="V151" s="368"/>
      <c r="W151" s="368"/>
      <c r="X151" s="368"/>
      <c r="Y151" s="368"/>
      <c r="Z151" s="368"/>
      <c r="AA151" s="368"/>
      <c r="AB151" s="368"/>
      <c r="AC151" s="368"/>
      <c r="AD151" s="368">
        <f>IF('表2-折旧摊销表'!$BA$26+1-'表2-折旧摊销表'!$AD$26&gt;='表2-折旧摊销表'!$D$21,$AD$125/$D$21,$AD$125/('表2-折旧摊销表'!$BA$26+1-'表2-折旧摊销表'!$AD$26))</f>
        <v>0</v>
      </c>
      <c r="AE151" s="368">
        <f>IF('表2-折旧摊销表'!$BA$26+1-'表2-折旧摊销表'!$AD$26&gt;='表2-折旧摊销表'!$D$21,$AD$125/$D$21,$AD$125/('表2-折旧摊销表'!$BA$26+1-'表2-折旧摊销表'!$AD$26))</f>
        <v>0</v>
      </c>
      <c r="AF151" s="368">
        <f>IF('表2-折旧摊销表'!$BA$26+1-'表2-折旧摊销表'!$AD$26&gt;='表2-折旧摊销表'!$D$21,$AD$125/$D$21,$AD$125/('表2-折旧摊销表'!$BA$26+1-'表2-折旧摊销表'!$AD$26))</f>
        <v>0</v>
      </c>
      <c r="AG151" s="368">
        <f>IF('表2-折旧摊销表'!$BA$26+1-'表2-折旧摊销表'!$AD$26&gt;='表2-折旧摊销表'!$D$21,$AD$125/$D$21,$AD$125/('表2-折旧摊销表'!$BA$26+1-'表2-折旧摊销表'!$AD$26))</f>
        <v>0</v>
      </c>
      <c r="AH151" s="368">
        <f>IF('表2-折旧摊销表'!$BA$26+1-'表2-折旧摊销表'!$AD$26&gt;='表2-折旧摊销表'!$D$21,$AD$125/$D$21,$AD$125/('表2-折旧摊销表'!$BA$26+1-'表2-折旧摊销表'!$AD$26))</f>
        <v>0</v>
      </c>
      <c r="AI151" s="368">
        <f>IF('表2-折旧摊销表'!$BA$26+1-'表2-折旧摊销表'!$AD$26&gt;='表2-折旧摊销表'!$D$21,$AD$125/$D$21,$AD$125/('表2-折旧摊销表'!$BA$26+1-'表2-折旧摊销表'!$AD$26))</f>
        <v>0</v>
      </c>
      <c r="AJ151" s="368">
        <f>IF('表2-折旧摊销表'!$BA$26+1-'表2-折旧摊销表'!$AD$26&gt;='表2-折旧摊销表'!$D$21,$AD$125/$D$21,$AD$125/('表2-折旧摊销表'!$BA$26+1-'表2-折旧摊销表'!$AD$26))</f>
        <v>0</v>
      </c>
      <c r="AK151" s="368">
        <f>IF('表2-折旧摊销表'!$BA$26+1-'表2-折旧摊销表'!$AD$26&gt;='表2-折旧摊销表'!$D$21,$AD$125/$D$21,$AD$125/('表2-折旧摊销表'!$BA$26+1-'表2-折旧摊销表'!$AD$26))</f>
        <v>0</v>
      </c>
      <c r="AL151" s="368">
        <f>IF('表2-折旧摊销表'!$BA$26+1-'表2-折旧摊销表'!$AD$26&gt;='表2-折旧摊销表'!$D$21,$AD$125/$D$21,$AD$125/('表2-折旧摊销表'!$BA$26+1-'表2-折旧摊销表'!$AD$26))</f>
        <v>0</v>
      </c>
      <c r="AM151" s="368">
        <f>IF('表2-折旧摊销表'!$BA$26+1-'表2-折旧摊销表'!$AD$26&gt;='表2-折旧摊销表'!$D$21,$AD$125/$D$21,$AD$125/('表2-折旧摊销表'!$BA$26+1-'表2-折旧摊销表'!$AD$26))</f>
        <v>0</v>
      </c>
      <c r="AN151" s="368"/>
      <c r="AO151" s="368"/>
      <c r="AP151" s="368"/>
      <c r="AQ151" s="368"/>
      <c r="AR151" s="368"/>
      <c r="AS151" s="368"/>
      <c r="AT151" s="368"/>
      <c r="AU151" s="368"/>
      <c r="AV151" s="368"/>
      <c r="AW151" s="368"/>
      <c r="AX151" s="368"/>
      <c r="AY151" s="368"/>
      <c r="AZ151" s="368"/>
      <c r="BA151" s="369"/>
    </row>
    <row r="152" s="105" customFormat="1" spans="2:53">
      <c r="B152" s="406"/>
      <c r="C152" s="389" t="s">
        <v>99</v>
      </c>
      <c r="D152" s="375">
        <f t="shared" si="170"/>
        <v>0</v>
      </c>
      <c r="E152" s="266" t="s">
        <v>130</v>
      </c>
      <c r="F152" s="368"/>
      <c r="G152" s="368"/>
      <c r="H152" s="368"/>
      <c r="I152" s="368"/>
      <c r="J152" s="368"/>
      <c r="K152" s="368"/>
      <c r="L152" s="368"/>
      <c r="M152" s="368"/>
      <c r="N152" s="368"/>
      <c r="O152" s="368"/>
      <c r="P152" s="368"/>
      <c r="Q152" s="368"/>
      <c r="R152" s="368"/>
      <c r="S152" s="368"/>
      <c r="T152" s="368"/>
      <c r="U152" s="368"/>
      <c r="V152" s="368"/>
      <c r="W152" s="368"/>
      <c r="X152" s="368"/>
      <c r="Y152" s="368"/>
      <c r="Z152" s="368"/>
      <c r="AA152" s="368"/>
      <c r="AB152" s="368"/>
      <c r="AC152" s="368"/>
      <c r="AD152" s="368"/>
      <c r="AE152" s="368">
        <f>IF('表2-折旧摊销表'!$BA$26+1-'表2-折旧摊销表'!$AE$26&gt;='表2-折旧摊销表'!$D$21,$AE$125/$D$21,$AE$125/('表2-折旧摊销表'!$BA$26+1-'表2-折旧摊销表'!$AE$26))</f>
        <v>0</v>
      </c>
      <c r="AF152" s="368">
        <f>IF('表2-折旧摊销表'!$BA$26+1-'表2-折旧摊销表'!$AE$26&gt;='表2-折旧摊销表'!$D$21,$AE$125/$D$21,$AE$125/('表2-折旧摊销表'!$BA$26+1-'表2-折旧摊销表'!$AE$26))</f>
        <v>0</v>
      </c>
      <c r="AG152" s="368">
        <f>IF('表2-折旧摊销表'!$BA$26+1-'表2-折旧摊销表'!$AE$26&gt;='表2-折旧摊销表'!$D$21,$AE$125/$D$21,$AE$125/('表2-折旧摊销表'!$BA$26+1-'表2-折旧摊销表'!$AE$26))</f>
        <v>0</v>
      </c>
      <c r="AH152" s="368">
        <f>IF('表2-折旧摊销表'!$BA$26+1-'表2-折旧摊销表'!$AE$26&gt;='表2-折旧摊销表'!$D$21,$AE$125/$D$21,$AE$125/('表2-折旧摊销表'!$BA$26+1-'表2-折旧摊销表'!$AE$26))</f>
        <v>0</v>
      </c>
      <c r="AI152" s="368">
        <f>IF('表2-折旧摊销表'!$BA$26+1-'表2-折旧摊销表'!$AE$26&gt;='表2-折旧摊销表'!$D$21,$AE$125/$D$21,$AE$125/('表2-折旧摊销表'!$BA$26+1-'表2-折旧摊销表'!$AE$26))</f>
        <v>0</v>
      </c>
      <c r="AJ152" s="368">
        <f>IF('表2-折旧摊销表'!$BA$26+1-'表2-折旧摊销表'!$AE$26&gt;='表2-折旧摊销表'!$D$21,$AE$125/$D$21,$AE$125/('表2-折旧摊销表'!$BA$26+1-'表2-折旧摊销表'!$AE$26))</f>
        <v>0</v>
      </c>
      <c r="AK152" s="368">
        <f>IF('表2-折旧摊销表'!$BA$26+1-'表2-折旧摊销表'!$AE$26&gt;='表2-折旧摊销表'!$D$21,$AE$125/$D$21,$AE$125/('表2-折旧摊销表'!$BA$26+1-'表2-折旧摊销表'!$AE$26))</f>
        <v>0</v>
      </c>
      <c r="AL152" s="368">
        <f>IF('表2-折旧摊销表'!$BA$26+1-'表2-折旧摊销表'!$AE$26&gt;='表2-折旧摊销表'!$D$21,$AE$125/$D$21,$AE$125/('表2-折旧摊销表'!$BA$26+1-'表2-折旧摊销表'!$AE$26))</f>
        <v>0</v>
      </c>
      <c r="AM152" s="368">
        <f>IF('表2-折旧摊销表'!$BA$26+1-'表2-折旧摊销表'!$AE$26&gt;='表2-折旧摊销表'!$D$21,$AE$125/$D$21,$AE$125/('表2-折旧摊销表'!$BA$26+1-'表2-折旧摊销表'!$AE$26))</f>
        <v>0</v>
      </c>
      <c r="AN152" s="368">
        <f>IF('表2-折旧摊销表'!$BA$26+1-'表2-折旧摊销表'!$AE$26&gt;='表2-折旧摊销表'!$D$21,$AE$125/$D$21,$AE$125/('表2-折旧摊销表'!$BA$26+1-'表2-折旧摊销表'!$AE$26))</f>
        <v>0</v>
      </c>
      <c r="AO152" s="368"/>
      <c r="AP152" s="368"/>
      <c r="AQ152" s="368"/>
      <c r="AR152" s="368"/>
      <c r="AS152" s="368"/>
      <c r="AT152" s="368"/>
      <c r="AU152" s="368"/>
      <c r="AV152" s="368"/>
      <c r="AW152" s="368"/>
      <c r="AX152" s="368"/>
      <c r="AY152" s="368"/>
      <c r="AZ152" s="368"/>
      <c r="BA152" s="369"/>
    </row>
    <row r="153" s="105" customFormat="1" spans="2:53">
      <c r="B153" s="406"/>
      <c r="C153" s="389" t="s">
        <v>100</v>
      </c>
      <c r="D153" s="375">
        <f t="shared" si="170"/>
        <v>0</v>
      </c>
      <c r="E153" s="266" t="s">
        <v>130</v>
      </c>
      <c r="F153" s="368"/>
      <c r="G153" s="368"/>
      <c r="H153" s="368"/>
      <c r="I153" s="368"/>
      <c r="J153" s="368"/>
      <c r="K153" s="368"/>
      <c r="L153" s="368"/>
      <c r="M153" s="368"/>
      <c r="N153" s="368"/>
      <c r="O153" s="368"/>
      <c r="P153" s="368"/>
      <c r="Q153" s="368"/>
      <c r="R153" s="368"/>
      <c r="S153" s="368"/>
      <c r="T153" s="368"/>
      <c r="U153" s="368"/>
      <c r="V153" s="368"/>
      <c r="W153" s="368"/>
      <c r="X153" s="368"/>
      <c r="Y153" s="368"/>
      <c r="Z153" s="368"/>
      <c r="AA153" s="368"/>
      <c r="AB153" s="368"/>
      <c r="AC153" s="368"/>
      <c r="AD153" s="368"/>
      <c r="AE153" s="368"/>
      <c r="AF153" s="368">
        <f>IF('表2-折旧摊销表'!$BA$26+1-'表2-折旧摊销表'!$AF$26&gt;='表2-折旧摊销表'!$D$21,$AF$125/$D$21,$AF$125/('表2-折旧摊销表'!$BA$26+1-'表2-折旧摊销表'!$AF$26))</f>
        <v>0</v>
      </c>
      <c r="AG153" s="368">
        <f>IF('表2-折旧摊销表'!$BA$26+1-'表2-折旧摊销表'!$AF$26&gt;='表2-折旧摊销表'!$D$21,$AF$125/$D$21,$AF$125/('表2-折旧摊销表'!$BA$26+1-'表2-折旧摊销表'!$AF$26))</f>
        <v>0</v>
      </c>
      <c r="AH153" s="368">
        <f>IF('表2-折旧摊销表'!$BA$26+1-'表2-折旧摊销表'!$AF$26&gt;='表2-折旧摊销表'!$D$21,$AF$125/$D$21,$AF$125/('表2-折旧摊销表'!$BA$26+1-'表2-折旧摊销表'!$AF$26))</f>
        <v>0</v>
      </c>
      <c r="AI153" s="368">
        <f>IF('表2-折旧摊销表'!$BA$26+1-'表2-折旧摊销表'!$AF$26&gt;='表2-折旧摊销表'!$D$21,$AF$125/$D$21,$AF$125/('表2-折旧摊销表'!$BA$26+1-'表2-折旧摊销表'!$AF$26))</f>
        <v>0</v>
      </c>
      <c r="AJ153" s="368">
        <f>IF('表2-折旧摊销表'!$BA$26+1-'表2-折旧摊销表'!$AF$26&gt;='表2-折旧摊销表'!$D$21,$AF$125/$D$21,$AF$125/('表2-折旧摊销表'!$BA$26+1-'表2-折旧摊销表'!$AF$26))</f>
        <v>0</v>
      </c>
      <c r="AK153" s="368">
        <f>IF('表2-折旧摊销表'!$BA$26+1-'表2-折旧摊销表'!$AF$26&gt;='表2-折旧摊销表'!$D$21,$AF$125/$D$21,$AF$125/('表2-折旧摊销表'!$BA$26+1-'表2-折旧摊销表'!$AF$26))</f>
        <v>0</v>
      </c>
      <c r="AL153" s="368">
        <f>IF('表2-折旧摊销表'!$BA$26+1-'表2-折旧摊销表'!$AF$26&gt;='表2-折旧摊销表'!$D$21,$AF$125/$D$21,$AF$125/('表2-折旧摊销表'!$BA$26+1-'表2-折旧摊销表'!$AF$26))</f>
        <v>0</v>
      </c>
      <c r="AM153" s="368">
        <f>IF('表2-折旧摊销表'!$BA$26+1-'表2-折旧摊销表'!$AF$26&gt;='表2-折旧摊销表'!$D$21,$AF$125/$D$21,$AF$125/('表2-折旧摊销表'!$BA$26+1-'表2-折旧摊销表'!$AF$26))</f>
        <v>0</v>
      </c>
      <c r="AN153" s="368">
        <f>IF('表2-折旧摊销表'!$BA$26+1-'表2-折旧摊销表'!$AF$26&gt;='表2-折旧摊销表'!$D$21,$AF$125/$D$21,$AF$125/('表2-折旧摊销表'!$BA$26+1-'表2-折旧摊销表'!$AF$26))</f>
        <v>0</v>
      </c>
      <c r="AO153" s="368">
        <f>IF('表2-折旧摊销表'!$BA$26+1-'表2-折旧摊销表'!$AF$26&gt;='表2-折旧摊销表'!$D$21,$AF$125/$D$21,$AF$125/('表2-折旧摊销表'!$BA$26+1-'表2-折旧摊销表'!$AF$26))</f>
        <v>0</v>
      </c>
      <c r="AP153" s="368"/>
      <c r="AQ153" s="368"/>
      <c r="AR153" s="368"/>
      <c r="AS153" s="368"/>
      <c r="AT153" s="368"/>
      <c r="AU153" s="368"/>
      <c r="AV153" s="368"/>
      <c r="AW153" s="368"/>
      <c r="AX153" s="368"/>
      <c r="AY153" s="368"/>
      <c r="AZ153" s="368"/>
      <c r="BA153" s="369"/>
    </row>
    <row r="154" s="105" customFormat="1" spans="2:53">
      <c r="B154" s="406"/>
      <c r="C154" s="389" t="s">
        <v>101</v>
      </c>
      <c r="D154" s="375">
        <f t="shared" si="170"/>
        <v>0</v>
      </c>
      <c r="E154" s="266" t="s">
        <v>130</v>
      </c>
      <c r="F154" s="368"/>
      <c r="G154" s="368"/>
      <c r="H154" s="368"/>
      <c r="I154" s="368"/>
      <c r="J154" s="368"/>
      <c r="K154" s="368"/>
      <c r="L154" s="368"/>
      <c r="M154" s="368"/>
      <c r="N154" s="368"/>
      <c r="O154" s="368"/>
      <c r="P154" s="368"/>
      <c r="Q154" s="368"/>
      <c r="R154" s="368"/>
      <c r="S154" s="368"/>
      <c r="T154" s="368"/>
      <c r="U154" s="368"/>
      <c r="V154" s="368"/>
      <c r="W154" s="368"/>
      <c r="X154" s="368"/>
      <c r="Y154" s="368"/>
      <c r="Z154" s="368"/>
      <c r="AA154" s="368"/>
      <c r="AB154" s="368"/>
      <c r="AC154" s="368"/>
      <c r="AD154" s="368"/>
      <c r="AE154" s="368"/>
      <c r="AF154" s="368"/>
      <c r="AG154" s="368">
        <f>IF('表2-折旧摊销表'!$BA$26+1-'表2-折旧摊销表'!$AG$26&gt;='表2-折旧摊销表'!$D$21,$AG$125/$D$21,$AG$125/('表2-折旧摊销表'!$BA$26+1-'表2-折旧摊销表'!$AG$26))</f>
        <v>0</v>
      </c>
      <c r="AH154" s="368">
        <f>IF('表2-折旧摊销表'!$BA$26+1-'表2-折旧摊销表'!$AG$26&gt;='表2-折旧摊销表'!$D$21,$AG$125/$D$21,$AG$125/('表2-折旧摊销表'!$BA$26+1-'表2-折旧摊销表'!$AG$26))</f>
        <v>0</v>
      </c>
      <c r="AI154" s="368">
        <f>IF('表2-折旧摊销表'!$BA$26+1-'表2-折旧摊销表'!$AG$26&gt;='表2-折旧摊销表'!$D$21,$AG$125/$D$21,$AG$125/('表2-折旧摊销表'!$BA$26+1-'表2-折旧摊销表'!$AG$26))</f>
        <v>0</v>
      </c>
      <c r="AJ154" s="368">
        <f>IF('表2-折旧摊销表'!$BA$26+1-'表2-折旧摊销表'!$AG$26&gt;='表2-折旧摊销表'!$D$21,$AG$125/$D$21,$AG$125/('表2-折旧摊销表'!$BA$26+1-'表2-折旧摊销表'!$AG$26))</f>
        <v>0</v>
      </c>
      <c r="AK154" s="368">
        <f>IF('表2-折旧摊销表'!$BA$26+1-'表2-折旧摊销表'!$AG$26&gt;='表2-折旧摊销表'!$D$21,$AG$125/$D$21,$AG$125/('表2-折旧摊销表'!$BA$26+1-'表2-折旧摊销表'!$AG$26))</f>
        <v>0</v>
      </c>
      <c r="AL154" s="368">
        <f>IF('表2-折旧摊销表'!$BA$26+1-'表2-折旧摊销表'!$AG$26&gt;='表2-折旧摊销表'!$D$21,$AG$125/$D$21,$AG$125/('表2-折旧摊销表'!$BA$26+1-'表2-折旧摊销表'!$AG$26))</f>
        <v>0</v>
      </c>
      <c r="AM154" s="368">
        <f>IF('表2-折旧摊销表'!$BA$26+1-'表2-折旧摊销表'!$AG$26&gt;='表2-折旧摊销表'!$D$21,$AG$125/$D$21,$AG$125/('表2-折旧摊销表'!$BA$26+1-'表2-折旧摊销表'!$AG$26))</f>
        <v>0</v>
      </c>
      <c r="AN154" s="368">
        <f>IF('表2-折旧摊销表'!$BA$26+1-'表2-折旧摊销表'!$AG$26&gt;='表2-折旧摊销表'!$D$21,$AG$125/$D$21,$AG$125/('表2-折旧摊销表'!$BA$26+1-'表2-折旧摊销表'!$AG$26))</f>
        <v>0</v>
      </c>
      <c r="AO154" s="368">
        <f>IF('表2-折旧摊销表'!$BA$26+1-'表2-折旧摊销表'!$AG$26&gt;='表2-折旧摊销表'!$D$21,$AG$125/$D$21,$AG$125/('表2-折旧摊销表'!$BA$26+1-'表2-折旧摊销表'!$AG$26))</f>
        <v>0</v>
      </c>
      <c r="AP154" s="368">
        <f>IF('表2-折旧摊销表'!$BA$26+1-'表2-折旧摊销表'!$AG$26&gt;='表2-折旧摊销表'!$D$21,$AG$125/$D$21,$AG$125/('表2-折旧摊销表'!$BA$26+1-'表2-折旧摊销表'!$AG$26))</f>
        <v>0</v>
      </c>
      <c r="AQ154" s="368"/>
      <c r="AR154" s="368"/>
      <c r="AS154" s="368"/>
      <c r="AT154" s="368"/>
      <c r="AU154" s="368"/>
      <c r="AV154" s="368"/>
      <c r="AW154" s="368"/>
      <c r="AX154" s="368"/>
      <c r="AY154" s="368"/>
      <c r="AZ154" s="368"/>
      <c r="BA154" s="369"/>
    </row>
    <row r="155" s="105" customFormat="1" spans="2:53">
      <c r="B155" s="406"/>
      <c r="C155" s="389" t="s">
        <v>102</v>
      </c>
      <c r="D155" s="375">
        <f t="shared" si="170"/>
        <v>0</v>
      </c>
      <c r="E155" s="266" t="s">
        <v>130</v>
      </c>
      <c r="F155" s="368"/>
      <c r="G155" s="368"/>
      <c r="H155" s="368"/>
      <c r="I155" s="368"/>
      <c r="J155" s="368"/>
      <c r="K155" s="368"/>
      <c r="L155" s="368"/>
      <c r="M155" s="368"/>
      <c r="N155" s="368"/>
      <c r="O155" s="368"/>
      <c r="P155" s="368"/>
      <c r="Q155" s="368"/>
      <c r="R155" s="368"/>
      <c r="S155" s="368"/>
      <c r="T155" s="368"/>
      <c r="U155" s="368"/>
      <c r="V155" s="368"/>
      <c r="W155" s="368"/>
      <c r="X155" s="368"/>
      <c r="Y155" s="368"/>
      <c r="Z155" s="368"/>
      <c r="AA155" s="368"/>
      <c r="AB155" s="368"/>
      <c r="AC155" s="368"/>
      <c r="AD155" s="368"/>
      <c r="AE155" s="368"/>
      <c r="AF155" s="368"/>
      <c r="AG155" s="368"/>
      <c r="AH155" s="368">
        <f>IF('表2-折旧摊销表'!$BA$26+1-'表2-折旧摊销表'!$AH$26&gt;='表2-折旧摊销表'!$D$21,$AH$125/$D$21,$AH$125/('表2-折旧摊销表'!$BA$26+1-'表2-折旧摊销表'!$AH$26))</f>
        <v>0</v>
      </c>
      <c r="AI155" s="368">
        <f>IF('表2-折旧摊销表'!$BA$26+1-'表2-折旧摊销表'!$AH$26&gt;='表2-折旧摊销表'!$D$21,$AH$125/$D$21,$AH$125/('表2-折旧摊销表'!$BA$26+1-'表2-折旧摊销表'!$AH$26))</f>
        <v>0</v>
      </c>
      <c r="AJ155" s="368">
        <f>IF('表2-折旧摊销表'!$BA$26+1-'表2-折旧摊销表'!$AH$26&gt;='表2-折旧摊销表'!$D$21,$AH$125/$D$21,$AH$125/('表2-折旧摊销表'!$BA$26+1-'表2-折旧摊销表'!$AH$26))</f>
        <v>0</v>
      </c>
      <c r="AK155" s="368">
        <f>IF('表2-折旧摊销表'!$BA$26+1-'表2-折旧摊销表'!$AH$26&gt;='表2-折旧摊销表'!$D$21,$AH$125/$D$21,$AH$125/('表2-折旧摊销表'!$BA$26+1-'表2-折旧摊销表'!$AH$26))</f>
        <v>0</v>
      </c>
      <c r="AL155" s="368">
        <f>IF('表2-折旧摊销表'!$BA$26+1-'表2-折旧摊销表'!$AH$26&gt;='表2-折旧摊销表'!$D$21,$AH$125/$D$21,$AH$125/('表2-折旧摊销表'!$BA$26+1-'表2-折旧摊销表'!$AH$26))</f>
        <v>0</v>
      </c>
      <c r="AM155" s="368">
        <f>IF('表2-折旧摊销表'!$BA$26+1-'表2-折旧摊销表'!$AH$26&gt;='表2-折旧摊销表'!$D$21,$AH$125/$D$21,$AH$125/('表2-折旧摊销表'!$BA$26+1-'表2-折旧摊销表'!$AH$26))</f>
        <v>0</v>
      </c>
      <c r="AN155" s="368">
        <f>IF('表2-折旧摊销表'!$BA$26+1-'表2-折旧摊销表'!$AH$26&gt;='表2-折旧摊销表'!$D$21,$AH$125/$D$21,$AH$125/('表2-折旧摊销表'!$BA$26+1-'表2-折旧摊销表'!$AH$26))</f>
        <v>0</v>
      </c>
      <c r="AO155" s="368">
        <f>IF('表2-折旧摊销表'!$BA$26+1-'表2-折旧摊销表'!$AH$26&gt;='表2-折旧摊销表'!$D$21,$AH$125/$D$21,$AH$125/('表2-折旧摊销表'!$BA$26+1-'表2-折旧摊销表'!$AH$26))</f>
        <v>0</v>
      </c>
      <c r="AP155" s="368">
        <f>IF('表2-折旧摊销表'!$BA$26+1-'表2-折旧摊销表'!$AH$26&gt;='表2-折旧摊销表'!$D$21,$AH$125/$D$21,$AH$125/('表2-折旧摊销表'!$BA$26+1-'表2-折旧摊销表'!$AH$26))</f>
        <v>0</v>
      </c>
      <c r="AQ155" s="368">
        <f>IF('表2-折旧摊销表'!$BA$26+1-'表2-折旧摊销表'!$AH$26&gt;='表2-折旧摊销表'!$D$21,$AH$125/$D$21,$AH$125/('表2-折旧摊销表'!$BA$26+1-'表2-折旧摊销表'!$AH$26))</f>
        <v>0</v>
      </c>
      <c r="AR155" s="368"/>
      <c r="AS155" s="368"/>
      <c r="AT155" s="368"/>
      <c r="AU155" s="368"/>
      <c r="AV155" s="368"/>
      <c r="AW155" s="368"/>
      <c r="AX155" s="368"/>
      <c r="AY155" s="368"/>
      <c r="AZ155" s="368"/>
      <c r="BA155" s="369"/>
    </row>
    <row r="156" s="105" customFormat="1" spans="2:53">
      <c r="B156" s="406"/>
      <c r="C156" s="389" t="s">
        <v>103</v>
      </c>
      <c r="D156" s="375">
        <f t="shared" si="170"/>
        <v>18348.623853211</v>
      </c>
      <c r="E156" s="266" t="s">
        <v>130</v>
      </c>
      <c r="F156" s="368"/>
      <c r="G156" s="368"/>
      <c r="H156" s="368"/>
      <c r="I156" s="368"/>
      <c r="J156" s="368"/>
      <c r="K156" s="368"/>
      <c r="L156" s="368"/>
      <c r="M156" s="368"/>
      <c r="N156" s="368"/>
      <c r="O156" s="368"/>
      <c r="P156" s="368"/>
      <c r="Q156" s="368"/>
      <c r="R156" s="368"/>
      <c r="S156" s="368"/>
      <c r="T156" s="368"/>
      <c r="U156" s="368"/>
      <c r="V156" s="368"/>
      <c r="W156" s="368"/>
      <c r="X156" s="368"/>
      <c r="Y156" s="368"/>
      <c r="Z156" s="368"/>
      <c r="AA156" s="368"/>
      <c r="AB156" s="368"/>
      <c r="AC156" s="368"/>
      <c r="AD156" s="368"/>
      <c r="AE156" s="368"/>
      <c r="AF156" s="368"/>
      <c r="AG156" s="368"/>
      <c r="AH156" s="368"/>
      <c r="AI156" s="368">
        <f>IF('表2-折旧摊销表'!$BA$26+1-'表2-折旧摊销表'!$AI$26&gt;='表2-折旧摊销表'!$D$21,$AI$125/$D$21,$AI$125/('表2-折旧摊销表'!$BA$26+1-'表2-折旧摊销表'!$AI$26))</f>
        <v>1834.8623853211</v>
      </c>
      <c r="AJ156" s="368">
        <f>IF('表2-折旧摊销表'!$BA$26+1-'表2-折旧摊销表'!$AI$26&gt;='表2-折旧摊销表'!$D$21,$AI$125/$D$21,$AI$125/('表2-折旧摊销表'!$BA$26+1-'表2-折旧摊销表'!$AI$26))</f>
        <v>1834.8623853211</v>
      </c>
      <c r="AK156" s="368">
        <f>IF('表2-折旧摊销表'!$BA$26+1-'表2-折旧摊销表'!$AI$26&gt;='表2-折旧摊销表'!$D$21,$AI$125/$D$21,$AI$125/('表2-折旧摊销表'!$BA$26+1-'表2-折旧摊销表'!$AI$26))</f>
        <v>1834.8623853211</v>
      </c>
      <c r="AL156" s="368">
        <f>IF('表2-折旧摊销表'!$BA$26+1-'表2-折旧摊销表'!$AI$26&gt;='表2-折旧摊销表'!$D$21,$AI$125/$D$21,$AI$125/('表2-折旧摊销表'!$BA$26+1-'表2-折旧摊销表'!$AI$26))</f>
        <v>1834.8623853211</v>
      </c>
      <c r="AM156" s="368">
        <f>IF('表2-折旧摊销表'!$BA$26+1-'表2-折旧摊销表'!$AI$26&gt;='表2-折旧摊销表'!$D$21,$AI$125/$D$21,$AI$125/('表2-折旧摊销表'!$BA$26+1-'表2-折旧摊销表'!$AI$26))</f>
        <v>1834.8623853211</v>
      </c>
      <c r="AN156" s="368">
        <f>IF('表2-折旧摊销表'!$BA$26+1-'表2-折旧摊销表'!$AI$26&gt;='表2-折旧摊销表'!$D$21,$AI$125/$D$21,$AI$125/('表2-折旧摊销表'!$BA$26+1-'表2-折旧摊销表'!$AI$26))</f>
        <v>1834.8623853211</v>
      </c>
      <c r="AO156" s="368">
        <f>IF('表2-折旧摊销表'!$BA$26+1-'表2-折旧摊销表'!$AI$26&gt;='表2-折旧摊销表'!$D$21,$AI$125/$D$21,$AI$125/('表2-折旧摊销表'!$BA$26+1-'表2-折旧摊销表'!$AI$26))</f>
        <v>1834.8623853211</v>
      </c>
      <c r="AP156" s="368">
        <f>IF('表2-折旧摊销表'!$BA$26+1-'表2-折旧摊销表'!$AI$26&gt;='表2-折旧摊销表'!$D$21,$AI$125/$D$21,$AI$125/('表2-折旧摊销表'!$BA$26+1-'表2-折旧摊销表'!$AI$26))</f>
        <v>1834.8623853211</v>
      </c>
      <c r="AQ156" s="368">
        <f>IF('表2-折旧摊销表'!$BA$26+1-'表2-折旧摊销表'!$AI$26&gt;='表2-折旧摊销表'!$D$21,$AI$125/$D$21,$AI$125/('表2-折旧摊销表'!$BA$26+1-'表2-折旧摊销表'!$AI$26))</f>
        <v>1834.8623853211</v>
      </c>
      <c r="AR156" s="368">
        <f>IF('表2-折旧摊销表'!$BA$26+1-'表2-折旧摊销表'!$AI$26&gt;='表2-折旧摊销表'!$D$21,$AI$125/$D$21,$AI$125/('表2-折旧摊销表'!$BA$26+1-'表2-折旧摊销表'!$AI$26))</f>
        <v>1834.8623853211</v>
      </c>
      <c r="AS156" s="368"/>
      <c r="AT156" s="368"/>
      <c r="AU156" s="368"/>
      <c r="AV156" s="368"/>
      <c r="AW156" s="368"/>
      <c r="AX156" s="368"/>
      <c r="AY156" s="368"/>
      <c r="AZ156" s="368"/>
      <c r="BA156" s="369"/>
    </row>
    <row r="157" s="105" customFormat="1" spans="2:53">
      <c r="B157" s="406"/>
      <c r="C157" s="389" t="s">
        <v>104</v>
      </c>
      <c r="D157" s="375">
        <f t="shared" si="170"/>
        <v>0</v>
      </c>
      <c r="E157" s="266" t="s">
        <v>130</v>
      </c>
      <c r="F157" s="368"/>
      <c r="G157" s="368"/>
      <c r="H157" s="368"/>
      <c r="I157" s="368"/>
      <c r="J157" s="368"/>
      <c r="K157" s="368"/>
      <c r="L157" s="368"/>
      <c r="M157" s="368"/>
      <c r="N157" s="368"/>
      <c r="O157" s="368"/>
      <c r="P157" s="368"/>
      <c r="Q157" s="368"/>
      <c r="R157" s="368"/>
      <c r="S157" s="368"/>
      <c r="T157" s="368"/>
      <c r="U157" s="368"/>
      <c r="V157" s="368"/>
      <c r="W157" s="368"/>
      <c r="X157" s="368"/>
      <c r="Y157" s="368"/>
      <c r="Z157" s="368"/>
      <c r="AA157" s="368"/>
      <c r="AB157" s="368"/>
      <c r="AC157" s="368"/>
      <c r="AD157" s="368"/>
      <c r="AE157" s="368"/>
      <c r="AF157" s="368"/>
      <c r="AG157" s="368"/>
      <c r="AH157" s="368"/>
      <c r="AI157" s="368"/>
      <c r="AJ157" s="368">
        <f>IF('表2-折旧摊销表'!$BA$26+1-'表2-折旧摊销表'!$AJ$26&gt;='表2-折旧摊销表'!$D$21,$AJ$125/$D$21,$AJ$125/('表2-折旧摊销表'!$BA$26+1-'表2-折旧摊销表'!$AJ$26))</f>
        <v>0</v>
      </c>
      <c r="AK157" s="368">
        <f>IF('表2-折旧摊销表'!$BA$26+1-'表2-折旧摊销表'!$AJ$26&gt;='表2-折旧摊销表'!$D$21,$AJ$125/$D$21,$AJ$125/('表2-折旧摊销表'!$BA$26+1-'表2-折旧摊销表'!$AJ$26))</f>
        <v>0</v>
      </c>
      <c r="AL157" s="368">
        <f>IF('表2-折旧摊销表'!$BA$26+1-'表2-折旧摊销表'!$AJ$26&gt;='表2-折旧摊销表'!$D$21,$AJ$125/$D$21,$AJ$125/('表2-折旧摊销表'!$BA$26+1-'表2-折旧摊销表'!$AJ$26))</f>
        <v>0</v>
      </c>
      <c r="AM157" s="368">
        <f>IF('表2-折旧摊销表'!$BA$26+1-'表2-折旧摊销表'!$AJ$26&gt;='表2-折旧摊销表'!$D$21,$AJ$125/$D$21,$AJ$125/('表2-折旧摊销表'!$BA$26+1-'表2-折旧摊销表'!$AJ$26))</f>
        <v>0</v>
      </c>
      <c r="AN157" s="368">
        <f>IF('表2-折旧摊销表'!$BA$26+1-'表2-折旧摊销表'!$AJ$26&gt;='表2-折旧摊销表'!$D$21,$AJ$125/$D$21,$AJ$125/('表2-折旧摊销表'!$BA$26+1-'表2-折旧摊销表'!$AJ$26))</f>
        <v>0</v>
      </c>
      <c r="AO157" s="368">
        <f>IF('表2-折旧摊销表'!$BA$26+1-'表2-折旧摊销表'!$AJ$26&gt;='表2-折旧摊销表'!$D$21,$AJ$125/$D$21,$AJ$125/('表2-折旧摊销表'!$BA$26+1-'表2-折旧摊销表'!$AJ$26))</f>
        <v>0</v>
      </c>
      <c r="AP157" s="368">
        <f>IF('表2-折旧摊销表'!$BA$26+1-'表2-折旧摊销表'!$AJ$26&gt;='表2-折旧摊销表'!$D$21,$AJ$125/$D$21,$AJ$125/('表2-折旧摊销表'!$BA$26+1-'表2-折旧摊销表'!$AJ$26))</f>
        <v>0</v>
      </c>
      <c r="AQ157" s="368">
        <f>IF('表2-折旧摊销表'!$BA$26+1-'表2-折旧摊销表'!$AJ$26&gt;='表2-折旧摊销表'!$D$21,$AJ$125/$D$21,$AJ$125/('表2-折旧摊销表'!$BA$26+1-'表2-折旧摊销表'!$AJ$26))</f>
        <v>0</v>
      </c>
      <c r="AR157" s="368">
        <f>IF('表2-折旧摊销表'!$BA$26+1-'表2-折旧摊销表'!$AJ$26&gt;='表2-折旧摊销表'!$D$21,$AJ$125/$D$21,$AJ$125/('表2-折旧摊销表'!$BA$26+1-'表2-折旧摊销表'!$AJ$26))</f>
        <v>0</v>
      </c>
      <c r="AS157" s="368">
        <f>IF('表2-折旧摊销表'!$BA$26+1-'表2-折旧摊销表'!$AJ$26&gt;='表2-折旧摊销表'!$D$21,$AJ$125/$D$21,$AJ$125/('表2-折旧摊销表'!$BA$26+1-'表2-折旧摊销表'!$AJ$26))</f>
        <v>0</v>
      </c>
      <c r="AT157" s="368"/>
      <c r="AU157" s="368"/>
      <c r="AV157" s="368"/>
      <c r="AW157" s="368"/>
      <c r="AX157" s="368"/>
      <c r="AY157" s="368"/>
      <c r="AZ157" s="368"/>
      <c r="BA157" s="369"/>
    </row>
    <row r="158" s="105" customFormat="1" spans="2:53">
      <c r="B158" s="406"/>
      <c r="C158" s="389" t="s">
        <v>105</v>
      </c>
      <c r="D158" s="375">
        <f t="shared" si="170"/>
        <v>0</v>
      </c>
      <c r="E158" s="266" t="s">
        <v>130</v>
      </c>
      <c r="F158" s="368"/>
      <c r="G158" s="368"/>
      <c r="H158" s="368"/>
      <c r="I158" s="368"/>
      <c r="J158" s="368"/>
      <c r="K158" s="368"/>
      <c r="L158" s="368"/>
      <c r="M158" s="368"/>
      <c r="N158" s="368"/>
      <c r="O158" s="368"/>
      <c r="P158" s="368"/>
      <c r="Q158" s="368"/>
      <c r="R158" s="368"/>
      <c r="S158" s="368"/>
      <c r="T158" s="368"/>
      <c r="U158" s="368"/>
      <c r="V158" s="368"/>
      <c r="W158" s="368"/>
      <c r="X158" s="368"/>
      <c r="Y158" s="368"/>
      <c r="Z158" s="368"/>
      <c r="AA158" s="368"/>
      <c r="AB158" s="368"/>
      <c r="AC158" s="368"/>
      <c r="AD158" s="368"/>
      <c r="AE158" s="368"/>
      <c r="AF158" s="368"/>
      <c r="AG158" s="368"/>
      <c r="AH158" s="368"/>
      <c r="AI158" s="368"/>
      <c r="AJ158" s="368"/>
      <c r="AK158" s="368">
        <f>IF('表2-折旧摊销表'!$BA$26+1-'表2-折旧摊销表'!$AK$26&gt;='表2-折旧摊销表'!$D$21,$AK$125/$D$21,$AK$125/('表2-折旧摊销表'!$BA$26+1-'表2-折旧摊销表'!$AK$26))</f>
        <v>0</v>
      </c>
      <c r="AL158" s="368">
        <f>IF('表2-折旧摊销表'!$BA$26+1-'表2-折旧摊销表'!$AK$26&gt;='表2-折旧摊销表'!$D$21,$AK$125/$D$21,$AK$125/('表2-折旧摊销表'!$BA$26+1-'表2-折旧摊销表'!$AK$26))</f>
        <v>0</v>
      </c>
      <c r="AM158" s="368">
        <f>IF('表2-折旧摊销表'!$BA$26+1-'表2-折旧摊销表'!$AK$26&gt;='表2-折旧摊销表'!$D$21,$AK$125/$D$21,$AK$125/('表2-折旧摊销表'!$BA$26+1-'表2-折旧摊销表'!$AK$26))</f>
        <v>0</v>
      </c>
      <c r="AN158" s="368">
        <f>IF('表2-折旧摊销表'!$BA$26+1-'表2-折旧摊销表'!$AK$26&gt;='表2-折旧摊销表'!$D$21,$AK$125/$D$21,$AK$125/('表2-折旧摊销表'!$BA$26+1-'表2-折旧摊销表'!$AK$26))</f>
        <v>0</v>
      </c>
      <c r="AO158" s="368">
        <f>IF('表2-折旧摊销表'!$BA$26+1-'表2-折旧摊销表'!$AK$26&gt;='表2-折旧摊销表'!$D$21,$AK$125/$D$21,$AK$125/('表2-折旧摊销表'!$BA$26+1-'表2-折旧摊销表'!$AK$26))</f>
        <v>0</v>
      </c>
      <c r="AP158" s="368">
        <f>IF('表2-折旧摊销表'!$BA$26+1-'表2-折旧摊销表'!$AK$26&gt;='表2-折旧摊销表'!$D$21,$AK$125/$D$21,$AK$125/('表2-折旧摊销表'!$BA$26+1-'表2-折旧摊销表'!$AK$26))</f>
        <v>0</v>
      </c>
      <c r="AQ158" s="368">
        <f>IF('表2-折旧摊销表'!$BA$26+1-'表2-折旧摊销表'!$AK$26&gt;='表2-折旧摊销表'!$D$21,$AK$125/$D$21,$AK$125/('表2-折旧摊销表'!$BA$26+1-'表2-折旧摊销表'!$AK$26))</f>
        <v>0</v>
      </c>
      <c r="AR158" s="368">
        <f>IF('表2-折旧摊销表'!$BA$26+1-'表2-折旧摊销表'!$AK$26&gt;='表2-折旧摊销表'!$D$21,$AK$125/$D$21,$AK$125/('表2-折旧摊销表'!$BA$26+1-'表2-折旧摊销表'!$AK$26))</f>
        <v>0</v>
      </c>
      <c r="AS158" s="368">
        <f>IF('表2-折旧摊销表'!$BA$26+1-'表2-折旧摊销表'!$AK$26&gt;='表2-折旧摊销表'!$D$21,$AK$125/$D$21,$AK$125/('表2-折旧摊销表'!$BA$26+1-'表2-折旧摊销表'!$AK$26))</f>
        <v>0</v>
      </c>
      <c r="AT158" s="368">
        <f>IF('表2-折旧摊销表'!$BA$26+1-'表2-折旧摊销表'!$AK$26&gt;='表2-折旧摊销表'!$D$21,$AK$125/$D$21,$AK$125/('表2-折旧摊销表'!$BA$26+1-'表2-折旧摊销表'!$AK$26))</f>
        <v>0</v>
      </c>
      <c r="AU158" s="368"/>
      <c r="AV158" s="368"/>
      <c r="AW158" s="368"/>
      <c r="AX158" s="368"/>
      <c r="AY158" s="368"/>
      <c r="AZ158" s="368"/>
      <c r="BA158" s="369"/>
    </row>
    <row r="159" s="105" customFormat="1" spans="2:53">
      <c r="B159" s="406"/>
      <c r="C159" s="389" t="s">
        <v>106</v>
      </c>
      <c r="D159" s="375">
        <f t="shared" si="170"/>
        <v>0</v>
      </c>
      <c r="E159" s="266" t="s">
        <v>130</v>
      </c>
      <c r="F159" s="368"/>
      <c r="G159" s="368"/>
      <c r="H159" s="368"/>
      <c r="I159" s="368"/>
      <c r="J159" s="368"/>
      <c r="K159" s="368"/>
      <c r="L159" s="368"/>
      <c r="M159" s="368"/>
      <c r="N159" s="368"/>
      <c r="O159" s="368"/>
      <c r="P159" s="368"/>
      <c r="Q159" s="368"/>
      <c r="R159" s="368"/>
      <c r="S159" s="368"/>
      <c r="T159" s="368"/>
      <c r="U159" s="368"/>
      <c r="V159" s="368"/>
      <c r="W159" s="368"/>
      <c r="X159" s="368"/>
      <c r="Y159" s="368"/>
      <c r="Z159" s="368"/>
      <c r="AA159" s="368"/>
      <c r="AB159" s="368"/>
      <c r="AC159" s="368"/>
      <c r="AD159" s="368"/>
      <c r="AE159" s="368"/>
      <c r="AF159" s="368"/>
      <c r="AG159" s="368"/>
      <c r="AH159" s="368"/>
      <c r="AI159" s="368"/>
      <c r="AJ159" s="368"/>
      <c r="AK159" s="368"/>
      <c r="AL159" s="368">
        <f>IF('表2-折旧摊销表'!$BA$26+1-'表2-折旧摊销表'!$AL$26&gt;='表2-折旧摊销表'!$D$21,$AL$125/$D$21,$AL$125/('表2-折旧摊销表'!$BA$26+1-'表2-折旧摊销表'!$AL$26))</f>
        <v>0</v>
      </c>
      <c r="AM159" s="368">
        <f>IF('表2-折旧摊销表'!$BA$26+1-'表2-折旧摊销表'!$AL$26&gt;='表2-折旧摊销表'!$D$21,$AL$125/$D$21,$AL$125/('表2-折旧摊销表'!$BA$26+1-'表2-折旧摊销表'!$AL$26))</f>
        <v>0</v>
      </c>
      <c r="AN159" s="368">
        <f>IF('表2-折旧摊销表'!$BA$26+1-'表2-折旧摊销表'!$AL$26&gt;='表2-折旧摊销表'!$D$21,$AL$125/$D$21,$AL$125/('表2-折旧摊销表'!$BA$26+1-'表2-折旧摊销表'!$AL$26))</f>
        <v>0</v>
      </c>
      <c r="AO159" s="368">
        <f>IF('表2-折旧摊销表'!$BA$26+1-'表2-折旧摊销表'!$AL$26&gt;='表2-折旧摊销表'!$D$21,$AL$125/$D$21,$AL$125/('表2-折旧摊销表'!$BA$26+1-'表2-折旧摊销表'!$AL$26))</f>
        <v>0</v>
      </c>
      <c r="AP159" s="368">
        <f>IF('表2-折旧摊销表'!$BA$26+1-'表2-折旧摊销表'!$AL$26&gt;='表2-折旧摊销表'!$D$21,$AL$125/$D$21,$AL$125/('表2-折旧摊销表'!$BA$26+1-'表2-折旧摊销表'!$AL$26))</f>
        <v>0</v>
      </c>
      <c r="AQ159" s="368">
        <f>IF('表2-折旧摊销表'!$BA$26+1-'表2-折旧摊销表'!$AL$26&gt;='表2-折旧摊销表'!$D$21,$AL$125/$D$21,$AL$125/('表2-折旧摊销表'!$BA$26+1-'表2-折旧摊销表'!$AL$26))</f>
        <v>0</v>
      </c>
      <c r="AR159" s="368">
        <f>IF('表2-折旧摊销表'!$BA$26+1-'表2-折旧摊销表'!$AL$26&gt;='表2-折旧摊销表'!$D$21,$AL$125/$D$21,$AL$125/('表2-折旧摊销表'!$BA$26+1-'表2-折旧摊销表'!$AL$26))</f>
        <v>0</v>
      </c>
      <c r="AS159" s="368">
        <f>IF('表2-折旧摊销表'!$BA$26+1-'表2-折旧摊销表'!$AL$26&gt;='表2-折旧摊销表'!$D$21,$AL$125/$D$21,$AL$125/('表2-折旧摊销表'!$BA$26+1-'表2-折旧摊销表'!$AL$26))</f>
        <v>0</v>
      </c>
      <c r="AT159" s="368">
        <f>IF('表2-折旧摊销表'!$BA$26+1-'表2-折旧摊销表'!$AL$26&gt;='表2-折旧摊销表'!$D$21,$AL$125/$D$21,$AL$125/('表2-折旧摊销表'!$BA$26+1-'表2-折旧摊销表'!$AL$26))</f>
        <v>0</v>
      </c>
      <c r="AU159" s="368">
        <f>IF('表2-折旧摊销表'!$BA$26+1-'表2-折旧摊销表'!$AL$26&gt;='表2-折旧摊销表'!$D$21,$AL$125/$D$21,$AL$125/('表2-折旧摊销表'!$BA$26+1-'表2-折旧摊销表'!$AL$26))</f>
        <v>0</v>
      </c>
      <c r="AV159" s="368"/>
      <c r="AW159" s="368"/>
      <c r="AX159" s="368"/>
      <c r="AY159" s="368"/>
      <c r="AZ159" s="368"/>
      <c r="BA159" s="369"/>
    </row>
    <row r="160" s="105" customFormat="1" spans="2:53">
      <c r="B160" s="406"/>
      <c r="C160" s="389" t="s">
        <v>107</v>
      </c>
      <c r="D160" s="375">
        <f t="shared" si="170"/>
        <v>0</v>
      </c>
      <c r="E160" s="266" t="s">
        <v>130</v>
      </c>
      <c r="F160" s="368"/>
      <c r="G160" s="368"/>
      <c r="H160" s="368"/>
      <c r="I160" s="368"/>
      <c r="J160" s="368"/>
      <c r="K160" s="368"/>
      <c r="L160" s="368"/>
      <c r="M160" s="368"/>
      <c r="N160" s="368"/>
      <c r="O160" s="368"/>
      <c r="P160" s="368"/>
      <c r="Q160" s="368"/>
      <c r="R160" s="368"/>
      <c r="S160" s="368"/>
      <c r="T160" s="368"/>
      <c r="U160" s="368"/>
      <c r="V160" s="368"/>
      <c r="W160" s="368"/>
      <c r="X160" s="368"/>
      <c r="Y160" s="368"/>
      <c r="Z160" s="368"/>
      <c r="AA160" s="368"/>
      <c r="AB160" s="368"/>
      <c r="AC160" s="368"/>
      <c r="AD160" s="368"/>
      <c r="AE160" s="368"/>
      <c r="AF160" s="368"/>
      <c r="AG160" s="368"/>
      <c r="AH160" s="368"/>
      <c r="AI160" s="368"/>
      <c r="AJ160" s="368"/>
      <c r="AK160" s="368"/>
      <c r="AL160" s="368"/>
      <c r="AM160" s="368">
        <f>IF('表2-折旧摊销表'!$BA$26+1-'表2-折旧摊销表'!$AM$26&gt;='表2-折旧摊销表'!$D$21,$AM$125/$D$21,$AM$125/('表2-折旧摊销表'!$BA$26+1-'表2-折旧摊销表'!$AM$26))</f>
        <v>0</v>
      </c>
      <c r="AN160" s="368">
        <f>IF('表2-折旧摊销表'!$BA$26+1-'表2-折旧摊销表'!$AM$26&gt;='表2-折旧摊销表'!$D$21,$AM$125/$D$21,$AM$125/('表2-折旧摊销表'!$BA$26+1-'表2-折旧摊销表'!$AM$26))</f>
        <v>0</v>
      </c>
      <c r="AO160" s="368">
        <f>IF('表2-折旧摊销表'!$BA$26+1-'表2-折旧摊销表'!$AM$26&gt;='表2-折旧摊销表'!$D$21,$AM$125/$D$21,$AM$125/('表2-折旧摊销表'!$BA$26+1-'表2-折旧摊销表'!$AM$26))</f>
        <v>0</v>
      </c>
      <c r="AP160" s="368">
        <f>IF('表2-折旧摊销表'!$BA$26+1-'表2-折旧摊销表'!$AM$26&gt;='表2-折旧摊销表'!$D$21,$AM$125/$D$21,$AM$125/('表2-折旧摊销表'!$BA$26+1-'表2-折旧摊销表'!$AM$26))</f>
        <v>0</v>
      </c>
      <c r="AQ160" s="368">
        <f>IF('表2-折旧摊销表'!$BA$26+1-'表2-折旧摊销表'!$AM$26&gt;='表2-折旧摊销表'!$D$21,$AM$125/$D$21,$AM$125/('表2-折旧摊销表'!$BA$26+1-'表2-折旧摊销表'!$AM$26))</f>
        <v>0</v>
      </c>
      <c r="AR160" s="368">
        <f>IF('表2-折旧摊销表'!$BA$26+1-'表2-折旧摊销表'!$AM$26&gt;='表2-折旧摊销表'!$D$21,$AM$125/$D$21,$AM$125/('表2-折旧摊销表'!$BA$26+1-'表2-折旧摊销表'!$AM$26))</f>
        <v>0</v>
      </c>
      <c r="AS160" s="368">
        <f>IF('表2-折旧摊销表'!$BA$26+1-'表2-折旧摊销表'!$AM$26&gt;='表2-折旧摊销表'!$D$21,$AM$125/$D$21,$AM$125/('表2-折旧摊销表'!$BA$26+1-'表2-折旧摊销表'!$AM$26))</f>
        <v>0</v>
      </c>
      <c r="AT160" s="368">
        <f>IF('表2-折旧摊销表'!$BA$26+1-'表2-折旧摊销表'!$AM$26&gt;='表2-折旧摊销表'!$D$21,$AM$125/$D$21,$AM$125/('表2-折旧摊销表'!$BA$26+1-'表2-折旧摊销表'!$AM$26))</f>
        <v>0</v>
      </c>
      <c r="AU160" s="368">
        <f>IF('表2-折旧摊销表'!$BA$26+1-'表2-折旧摊销表'!$AM$26&gt;='表2-折旧摊销表'!$D$21,$AM$125/$D$21,$AM$125/('表2-折旧摊销表'!$BA$26+1-'表2-折旧摊销表'!$AM$26))</f>
        <v>0</v>
      </c>
      <c r="AV160" s="368">
        <f>IF('表2-折旧摊销表'!$BA$26+1-'表2-折旧摊销表'!$AM$26&gt;='表2-折旧摊销表'!$D$21,$AM$125/$D$21,$AM$125/('表2-折旧摊销表'!$BA$26+1-'表2-折旧摊销表'!$AM$26))</f>
        <v>0</v>
      </c>
      <c r="AW160" s="368"/>
      <c r="AX160" s="368"/>
      <c r="AY160" s="368"/>
      <c r="AZ160" s="368"/>
      <c r="BA160" s="369"/>
    </row>
    <row r="161" s="105" customFormat="1" spans="2:53">
      <c r="B161" s="406"/>
      <c r="C161" s="389" t="s">
        <v>108</v>
      </c>
      <c r="D161" s="375">
        <f t="shared" si="170"/>
        <v>0</v>
      </c>
      <c r="E161" s="266" t="s">
        <v>130</v>
      </c>
      <c r="F161" s="368"/>
      <c r="G161" s="368"/>
      <c r="H161" s="368"/>
      <c r="I161" s="368"/>
      <c r="J161" s="368"/>
      <c r="K161" s="368"/>
      <c r="L161" s="368"/>
      <c r="M161" s="368"/>
      <c r="N161" s="368"/>
      <c r="O161" s="368"/>
      <c r="P161" s="368"/>
      <c r="Q161" s="368"/>
      <c r="R161" s="368"/>
      <c r="S161" s="368"/>
      <c r="T161" s="368"/>
      <c r="U161" s="368"/>
      <c r="V161" s="368"/>
      <c r="W161" s="368"/>
      <c r="X161" s="368"/>
      <c r="Y161" s="368"/>
      <c r="Z161" s="368"/>
      <c r="AA161" s="368"/>
      <c r="AB161" s="368"/>
      <c r="AC161" s="368"/>
      <c r="AD161" s="368"/>
      <c r="AE161" s="368"/>
      <c r="AF161" s="368"/>
      <c r="AG161" s="368"/>
      <c r="AH161" s="368"/>
      <c r="AI161" s="368"/>
      <c r="AJ161" s="368"/>
      <c r="AK161" s="368"/>
      <c r="AL161" s="368"/>
      <c r="AM161" s="368"/>
      <c r="AN161" s="368">
        <f>IF('表2-折旧摊销表'!$BA$26+1-'表2-折旧摊销表'!$AN$26&gt;='表2-折旧摊销表'!$D$21,$AN$125/$D$21,$AN$125/('表2-折旧摊销表'!$BA$26+1-'表2-折旧摊销表'!$AN$26))</f>
        <v>0</v>
      </c>
      <c r="AO161" s="368">
        <f>IF('表2-折旧摊销表'!$BA$26+1-'表2-折旧摊销表'!$AN$26&gt;='表2-折旧摊销表'!$D$21,$AN$125/$D$21,$AN$125/('表2-折旧摊销表'!$BA$26+1-'表2-折旧摊销表'!$AN$26))</f>
        <v>0</v>
      </c>
      <c r="AP161" s="368">
        <f>IF('表2-折旧摊销表'!$BA$26+1-'表2-折旧摊销表'!$AN$26&gt;='表2-折旧摊销表'!$D$21,$AN$125/$D$21,$AN$125/('表2-折旧摊销表'!$BA$26+1-'表2-折旧摊销表'!$AN$26))</f>
        <v>0</v>
      </c>
      <c r="AQ161" s="368">
        <f>IF('表2-折旧摊销表'!$BA$26+1-'表2-折旧摊销表'!$AN$26&gt;='表2-折旧摊销表'!$D$21,$AN$125/$D$21,$AN$125/('表2-折旧摊销表'!$BA$26+1-'表2-折旧摊销表'!$AN$26))</f>
        <v>0</v>
      </c>
      <c r="AR161" s="368">
        <f>IF('表2-折旧摊销表'!$BA$26+1-'表2-折旧摊销表'!$AN$26&gt;='表2-折旧摊销表'!$D$21,$AN$125/$D$21,$AN$125/('表2-折旧摊销表'!$BA$26+1-'表2-折旧摊销表'!$AN$26))</f>
        <v>0</v>
      </c>
      <c r="AS161" s="368">
        <f>IF('表2-折旧摊销表'!$BA$26+1-'表2-折旧摊销表'!$AN$26&gt;='表2-折旧摊销表'!$D$21,$AN$125/$D$21,$AN$125/('表2-折旧摊销表'!$BA$26+1-'表2-折旧摊销表'!$AN$26))</f>
        <v>0</v>
      </c>
      <c r="AT161" s="368">
        <f>IF('表2-折旧摊销表'!$BA$26+1-'表2-折旧摊销表'!$AN$26&gt;='表2-折旧摊销表'!$D$21,$AN$125/$D$21,$AN$125/('表2-折旧摊销表'!$BA$26+1-'表2-折旧摊销表'!$AN$26))</f>
        <v>0</v>
      </c>
      <c r="AU161" s="368">
        <f>IF('表2-折旧摊销表'!$BA$26+1-'表2-折旧摊销表'!$AN$26&gt;='表2-折旧摊销表'!$D$21,$AN$125/$D$21,$AN$125/('表2-折旧摊销表'!$BA$26+1-'表2-折旧摊销表'!$AN$26))</f>
        <v>0</v>
      </c>
      <c r="AV161" s="368">
        <f>IF('表2-折旧摊销表'!$BA$26+1-'表2-折旧摊销表'!$AN$26&gt;='表2-折旧摊销表'!$D$21,$AN$125/$D$21,$AN$125/('表2-折旧摊销表'!$BA$26+1-'表2-折旧摊销表'!$AN$26))</f>
        <v>0</v>
      </c>
      <c r="AW161" s="368">
        <f>IF('表2-折旧摊销表'!$BA$26+1-'表2-折旧摊销表'!$AN$26&gt;='表2-折旧摊销表'!$D$21,$AN$125/$D$21,$AN$125/('表2-折旧摊销表'!$BA$26+1-'表2-折旧摊销表'!$AN$26))</f>
        <v>0</v>
      </c>
      <c r="AX161" s="368"/>
      <c r="AY161" s="368"/>
      <c r="AZ161" s="368"/>
      <c r="BA161" s="369"/>
    </row>
    <row r="162" s="105" customFormat="1" spans="2:53">
      <c r="B162" s="406"/>
      <c r="C162" s="389" t="s">
        <v>109</v>
      </c>
      <c r="D162" s="375">
        <f t="shared" si="170"/>
        <v>0</v>
      </c>
      <c r="E162" s="266" t="s">
        <v>130</v>
      </c>
      <c r="F162" s="368"/>
      <c r="G162" s="368"/>
      <c r="H162" s="368"/>
      <c r="I162" s="368"/>
      <c r="J162" s="368"/>
      <c r="K162" s="368"/>
      <c r="L162" s="368"/>
      <c r="M162" s="368"/>
      <c r="N162" s="368"/>
      <c r="O162" s="368"/>
      <c r="P162" s="368"/>
      <c r="Q162" s="368"/>
      <c r="R162" s="368"/>
      <c r="S162" s="368"/>
      <c r="T162" s="368"/>
      <c r="U162" s="368"/>
      <c r="V162" s="368"/>
      <c r="W162" s="368"/>
      <c r="X162" s="368"/>
      <c r="Y162" s="368"/>
      <c r="Z162" s="368"/>
      <c r="AA162" s="368"/>
      <c r="AB162" s="368"/>
      <c r="AC162" s="368"/>
      <c r="AD162" s="368"/>
      <c r="AE162" s="368"/>
      <c r="AF162" s="368"/>
      <c r="AG162" s="368"/>
      <c r="AH162" s="368"/>
      <c r="AI162" s="368"/>
      <c r="AJ162" s="368"/>
      <c r="AK162" s="368"/>
      <c r="AL162" s="368"/>
      <c r="AM162" s="368"/>
      <c r="AN162" s="368"/>
      <c r="AO162" s="368">
        <f>IF('表2-折旧摊销表'!$BA$26+1-'表2-折旧摊销表'!$AO$26&gt;='表2-折旧摊销表'!$D$21,$AO$125/$D$21,$AO$125/('表2-折旧摊销表'!$BA$26+1-'表2-折旧摊销表'!$AO$26))</f>
        <v>0</v>
      </c>
      <c r="AP162" s="368">
        <f>IF('表2-折旧摊销表'!$BA$26+1-'表2-折旧摊销表'!$AO$26&gt;='表2-折旧摊销表'!$D$21,$AO$125/$D$21,$AO$125/('表2-折旧摊销表'!$BA$26+1-'表2-折旧摊销表'!$AO$26))</f>
        <v>0</v>
      </c>
      <c r="AQ162" s="368">
        <f>IF('表2-折旧摊销表'!$BA$26+1-'表2-折旧摊销表'!$AO$26&gt;='表2-折旧摊销表'!$D$21,$AO$125/$D$21,$AO$125/('表2-折旧摊销表'!$BA$26+1-'表2-折旧摊销表'!$AO$26))</f>
        <v>0</v>
      </c>
      <c r="AR162" s="368">
        <f>IF('表2-折旧摊销表'!$BA$26+1-'表2-折旧摊销表'!$AO$26&gt;='表2-折旧摊销表'!$D$21,$AO$125/$D$21,$AO$125/('表2-折旧摊销表'!$BA$26+1-'表2-折旧摊销表'!$AO$26))</f>
        <v>0</v>
      </c>
      <c r="AS162" s="368">
        <f>IF('表2-折旧摊销表'!$BA$26+1-'表2-折旧摊销表'!$AO$26&gt;='表2-折旧摊销表'!$D$21,$AO$125/$D$21,$AO$125/('表2-折旧摊销表'!$BA$26+1-'表2-折旧摊销表'!$AO$26))</f>
        <v>0</v>
      </c>
      <c r="AT162" s="368">
        <f>IF('表2-折旧摊销表'!$BA$26+1-'表2-折旧摊销表'!$AO$26&gt;='表2-折旧摊销表'!$D$21,$AO$125/$D$21,$AO$125/('表2-折旧摊销表'!$BA$26+1-'表2-折旧摊销表'!$AO$26))</f>
        <v>0</v>
      </c>
      <c r="AU162" s="368">
        <f>IF('表2-折旧摊销表'!$BA$26+1-'表2-折旧摊销表'!$AO$26&gt;='表2-折旧摊销表'!$D$21,$AO$125/$D$21,$AO$125/('表2-折旧摊销表'!$BA$26+1-'表2-折旧摊销表'!$AO$26))</f>
        <v>0</v>
      </c>
      <c r="AV162" s="368">
        <f>IF('表2-折旧摊销表'!$BA$26+1-'表2-折旧摊销表'!$AO$26&gt;='表2-折旧摊销表'!$D$21,$AO$125/$D$21,$AO$125/('表2-折旧摊销表'!$BA$26+1-'表2-折旧摊销表'!$AO$26))</f>
        <v>0</v>
      </c>
      <c r="AW162" s="368">
        <f>IF('表2-折旧摊销表'!$BA$26+1-'表2-折旧摊销表'!$AO$26&gt;='表2-折旧摊销表'!$D$21,$AO$125/$D$21,$AO$125/('表2-折旧摊销表'!$BA$26+1-'表2-折旧摊销表'!$AO$26))</f>
        <v>0</v>
      </c>
      <c r="AX162" s="368">
        <f>IF('表2-折旧摊销表'!$BA$26+1-'表2-折旧摊销表'!$AO$26&gt;='表2-折旧摊销表'!$D$21,$AO$125/$D$21,$AO$125/('表2-折旧摊销表'!$BA$26+1-'表2-折旧摊销表'!$AO$26))</f>
        <v>0</v>
      </c>
      <c r="AY162" s="368"/>
      <c r="AZ162" s="368"/>
      <c r="BA162" s="369"/>
    </row>
    <row r="163" s="105" customFormat="1" spans="2:53">
      <c r="B163" s="406"/>
      <c r="C163" s="389" t="s">
        <v>110</v>
      </c>
      <c r="D163" s="375">
        <f t="shared" si="170"/>
        <v>0</v>
      </c>
      <c r="E163" s="266" t="s">
        <v>130</v>
      </c>
      <c r="F163" s="368"/>
      <c r="G163" s="368"/>
      <c r="H163" s="368"/>
      <c r="I163" s="368"/>
      <c r="J163" s="368"/>
      <c r="K163" s="368"/>
      <c r="L163" s="368"/>
      <c r="M163" s="368"/>
      <c r="N163" s="368"/>
      <c r="O163" s="368"/>
      <c r="P163" s="368"/>
      <c r="Q163" s="368"/>
      <c r="R163" s="368"/>
      <c r="S163" s="368"/>
      <c r="T163" s="368"/>
      <c r="U163" s="368"/>
      <c r="V163" s="368"/>
      <c r="W163" s="368"/>
      <c r="X163" s="368"/>
      <c r="Y163" s="368"/>
      <c r="Z163" s="368"/>
      <c r="AA163" s="368"/>
      <c r="AB163" s="368"/>
      <c r="AC163" s="368"/>
      <c r="AD163" s="368"/>
      <c r="AE163" s="368"/>
      <c r="AF163" s="368"/>
      <c r="AG163" s="368"/>
      <c r="AH163" s="368"/>
      <c r="AI163" s="368"/>
      <c r="AJ163" s="368"/>
      <c r="AK163" s="368"/>
      <c r="AL163" s="368"/>
      <c r="AM163" s="368"/>
      <c r="AN163" s="368"/>
      <c r="AO163" s="368"/>
      <c r="AP163" s="368">
        <f>IF('表2-折旧摊销表'!$BA$26+1-'表2-折旧摊销表'!$AP$26&gt;='表2-折旧摊销表'!$D$21,$AP$125/$D$21,$AP$125/('表2-折旧摊销表'!$BA$26+1-'表2-折旧摊销表'!$AP$26))</f>
        <v>0</v>
      </c>
      <c r="AQ163" s="368">
        <f>IF('表2-折旧摊销表'!$BA$26+1-'表2-折旧摊销表'!$AP$26&gt;='表2-折旧摊销表'!$D$21,$AP$125/$D$21,$AP$125/('表2-折旧摊销表'!$BA$26+1-'表2-折旧摊销表'!$AP$26))</f>
        <v>0</v>
      </c>
      <c r="AR163" s="368">
        <f>IF('表2-折旧摊销表'!$BA$26+1-'表2-折旧摊销表'!$AP$26&gt;='表2-折旧摊销表'!$D$21,$AP$125/$D$21,$AP$125/('表2-折旧摊销表'!$BA$26+1-'表2-折旧摊销表'!$AP$26))</f>
        <v>0</v>
      </c>
      <c r="AS163" s="368">
        <f>IF('表2-折旧摊销表'!$BA$26+1-'表2-折旧摊销表'!$AP$26&gt;='表2-折旧摊销表'!$D$21,$AP$125/$D$21,$AP$125/('表2-折旧摊销表'!$BA$26+1-'表2-折旧摊销表'!$AP$26))</f>
        <v>0</v>
      </c>
      <c r="AT163" s="368">
        <f>IF('表2-折旧摊销表'!$BA$26+1-'表2-折旧摊销表'!$AP$26&gt;='表2-折旧摊销表'!$D$21,$AP$125/$D$21,$AP$125/('表2-折旧摊销表'!$BA$26+1-'表2-折旧摊销表'!$AP$26))</f>
        <v>0</v>
      </c>
      <c r="AU163" s="368">
        <f>IF('表2-折旧摊销表'!$BA$26+1-'表2-折旧摊销表'!$AP$26&gt;='表2-折旧摊销表'!$D$21,$AP$125/$D$21,$AP$125/('表2-折旧摊销表'!$BA$26+1-'表2-折旧摊销表'!$AP$26))</f>
        <v>0</v>
      </c>
      <c r="AV163" s="368">
        <f>IF('表2-折旧摊销表'!$BA$26+1-'表2-折旧摊销表'!$AP$26&gt;='表2-折旧摊销表'!$D$21,$AP$125/$D$21,$AP$125/('表2-折旧摊销表'!$BA$26+1-'表2-折旧摊销表'!$AP$26))</f>
        <v>0</v>
      </c>
      <c r="AW163" s="368">
        <f>IF('表2-折旧摊销表'!$BA$26+1-'表2-折旧摊销表'!$AP$26&gt;='表2-折旧摊销表'!$D$21,$AP$125/$D$21,$AP$125/('表2-折旧摊销表'!$BA$26+1-'表2-折旧摊销表'!$AP$26))</f>
        <v>0</v>
      </c>
      <c r="AX163" s="368">
        <f>IF('表2-折旧摊销表'!$BA$26+1-'表2-折旧摊销表'!$AP$26&gt;='表2-折旧摊销表'!$D$21,$AP$125/$D$21,$AP$125/('表2-折旧摊销表'!$BA$26+1-'表2-折旧摊销表'!$AP$26))</f>
        <v>0</v>
      </c>
      <c r="AY163" s="368">
        <f>IF('表2-折旧摊销表'!$BA$26+1-'表2-折旧摊销表'!$AP$26&gt;='表2-折旧摊销表'!$D$21,$AP$125/$D$21,$AP$125/('表2-折旧摊销表'!$BA$26+1-'表2-折旧摊销表'!$AP$26))</f>
        <v>0</v>
      </c>
      <c r="AZ163" s="368"/>
      <c r="BA163" s="369"/>
    </row>
    <row r="164" s="105" customFormat="1" spans="2:53">
      <c r="B164" s="406"/>
      <c r="C164" s="389" t="s">
        <v>111</v>
      </c>
      <c r="D164" s="375">
        <f t="shared" si="170"/>
        <v>0</v>
      </c>
      <c r="E164" s="266" t="s">
        <v>130</v>
      </c>
      <c r="F164" s="368"/>
      <c r="G164" s="368"/>
      <c r="H164" s="368"/>
      <c r="I164" s="368"/>
      <c r="J164" s="368"/>
      <c r="K164" s="368"/>
      <c r="L164" s="368"/>
      <c r="M164" s="368"/>
      <c r="N164" s="368"/>
      <c r="O164" s="368"/>
      <c r="P164" s="368"/>
      <c r="Q164" s="368"/>
      <c r="R164" s="368"/>
      <c r="S164" s="368"/>
      <c r="T164" s="368"/>
      <c r="U164" s="368"/>
      <c r="V164" s="368"/>
      <c r="W164" s="368"/>
      <c r="X164" s="368"/>
      <c r="Y164" s="368"/>
      <c r="Z164" s="368"/>
      <c r="AA164" s="368"/>
      <c r="AB164" s="368"/>
      <c r="AC164" s="368"/>
      <c r="AD164" s="368"/>
      <c r="AE164" s="368"/>
      <c r="AF164" s="368"/>
      <c r="AG164" s="368"/>
      <c r="AH164" s="368"/>
      <c r="AI164" s="368"/>
      <c r="AJ164" s="368"/>
      <c r="AK164" s="368"/>
      <c r="AL164" s="368"/>
      <c r="AM164" s="368"/>
      <c r="AN164" s="368"/>
      <c r="AO164" s="368"/>
      <c r="AP164" s="368"/>
      <c r="AQ164" s="368">
        <f>IF('表2-折旧摊销表'!$BA$26+1-'表2-折旧摊销表'!$AQ$26&gt;='表2-折旧摊销表'!$D$21,$AQ$125/$D$21,$AQ$125/('表2-折旧摊销表'!$BA$26+1-'表2-折旧摊销表'!$AQ$26))</f>
        <v>0</v>
      </c>
      <c r="AR164" s="368">
        <f>IF('表2-折旧摊销表'!$BA$26+1-'表2-折旧摊销表'!$AQ$26&gt;='表2-折旧摊销表'!$D$21,$AQ$125/$D$21,$AQ$125/('表2-折旧摊销表'!$BA$26+1-'表2-折旧摊销表'!$AQ$26))</f>
        <v>0</v>
      </c>
      <c r="AS164" s="368">
        <f>IF('表2-折旧摊销表'!$BA$26+1-'表2-折旧摊销表'!$AQ$26&gt;='表2-折旧摊销表'!$D$21,$AQ$125/$D$21,$AQ$125/('表2-折旧摊销表'!$BA$26+1-'表2-折旧摊销表'!$AQ$26))</f>
        <v>0</v>
      </c>
      <c r="AT164" s="368">
        <f>IF('表2-折旧摊销表'!$BA$26+1-'表2-折旧摊销表'!$AQ$26&gt;='表2-折旧摊销表'!$D$21,$AQ$125/$D$21,$AQ$125/('表2-折旧摊销表'!$BA$26+1-'表2-折旧摊销表'!$AQ$26))</f>
        <v>0</v>
      </c>
      <c r="AU164" s="368">
        <f>IF('表2-折旧摊销表'!$BA$26+1-'表2-折旧摊销表'!$AQ$26&gt;='表2-折旧摊销表'!$D$21,$AQ$125/$D$21,$AQ$125/('表2-折旧摊销表'!$BA$26+1-'表2-折旧摊销表'!$AQ$26))</f>
        <v>0</v>
      </c>
      <c r="AV164" s="368">
        <f>IF('表2-折旧摊销表'!$BA$26+1-'表2-折旧摊销表'!$AQ$26&gt;='表2-折旧摊销表'!$D$21,$AQ$125/$D$21,$AQ$125/('表2-折旧摊销表'!$BA$26+1-'表2-折旧摊销表'!$AQ$26))</f>
        <v>0</v>
      </c>
      <c r="AW164" s="368">
        <f>IF('表2-折旧摊销表'!$BA$26+1-'表2-折旧摊销表'!$AQ$26&gt;='表2-折旧摊销表'!$D$21,$AQ$125/$D$21,$AQ$125/('表2-折旧摊销表'!$BA$26+1-'表2-折旧摊销表'!$AQ$26))</f>
        <v>0</v>
      </c>
      <c r="AX164" s="368">
        <f>IF('表2-折旧摊销表'!$BA$26+1-'表2-折旧摊销表'!$AQ$26&gt;='表2-折旧摊销表'!$D$21,$AQ$125/$D$21,$AQ$125/('表2-折旧摊销表'!$BA$26+1-'表2-折旧摊销表'!$AQ$26))</f>
        <v>0</v>
      </c>
      <c r="AY164" s="368">
        <f>IF('表2-折旧摊销表'!$BA$26+1-'表2-折旧摊销表'!$AQ$26&gt;='表2-折旧摊销表'!$D$21,$AQ$125/$D$21,$AQ$125/('表2-折旧摊销表'!$BA$26+1-'表2-折旧摊销表'!$AQ$26))</f>
        <v>0</v>
      </c>
      <c r="AZ164" s="368">
        <f>IF('表2-折旧摊销表'!$BA$26+1-'表2-折旧摊销表'!$AQ$26&gt;='表2-折旧摊销表'!$D$21,$AQ$125/$D$21,$AQ$125/('表2-折旧摊销表'!$BA$26+1-'表2-折旧摊销表'!$AQ$26))</f>
        <v>0</v>
      </c>
      <c r="BA164" s="369"/>
    </row>
    <row r="165" s="105" customFormat="1" spans="2:53">
      <c r="B165" s="406"/>
      <c r="C165" s="389" t="s">
        <v>112</v>
      </c>
      <c r="D165" s="375">
        <f t="shared" si="170"/>
        <v>0</v>
      </c>
      <c r="E165" s="266" t="s">
        <v>130</v>
      </c>
      <c r="F165" s="368"/>
      <c r="G165" s="368"/>
      <c r="H165" s="368"/>
      <c r="I165" s="368"/>
      <c r="J165" s="368"/>
      <c r="K165" s="368"/>
      <c r="L165" s="368"/>
      <c r="M165" s="368"/>
      <c r="N165" s="368"/>
      <c r="O165" s="368"/>
      <c r="P165" s="368"/>
      <c r="Q165" s="368"/>
      <c r="R165" s="368"/>
      <c r="S165" s="368"/>
      <c r="T165" s="368"/>
      <c r="U165" s="368"/>
      <c r="V165" s="368"/>
      <c r="W165" s="368"/>
      <c r="X165" s="368"/>
      <c r="Y165" s="368"/>
      <c r="Z165" s="368"/>
      <c r="AA165" s="368"/>
      <c r="AB165" s="368"/>
      <c r="AC165" s="368"/>
      <c r="AD165" s="368"/>
      <c r="AE165" s="368"/>
      <c r="AF165" s="368"/>
      <c r="AG165" s="368"/>
      <c r="AH165" s="368"/>
      <c r="AI165" s="368"/>
      <c r="AJ165" s="368"/>
      <c r="AK165" s="368"/>
      <c r="AL165" s="368"/>
      <c r="AM165" s="368"/>
      <c r="AN165" s="368"/>
      <c r="AO165" s="368"/>
      <c r="AP165" s="368"/>
      <c r="AQ165" s="368"/>
      <c r="AR165" s="368">
        <f>IF('表2-折旧摊销表'!$BA$26+1-'表2-折旧摊销表'!$AR$26&gt;='表2-折旧摊销表'!$D$21,$AR$125/$D$21,$AR$125/('表2-折旧摊销表'!$BA$26+1-'表2-折旧摊销表'!$AR$26))</f>
        <v>0</v>
      </c>
      <c r="AS165" s="368">
        <f>IF('表2-折旧摊销表'!$BA$26+1-'表2-折旧摊销表'!$AR$26&gt;='表2-折旧摊销表'!$D$21,$AR$125/$D$21,$AR$125/('表2-折旧摊销表'!$BA$26+1-'表2-折旧摊销表'!$AR$26))</f>
        <v>0</v>
      </c>
      <c r="AT165" s="368">
        <f>IF('表2-折旧摊销表'!$BA$26+1-'表2-折旧摊销表'!$AR$26&gt;='表2-折旧摊销表'!$D$21,$AR$125/$D$21,$AR$125/('表2-折旧摊销表'!$BA$26+1-'表2-折旧摊销表'!$AR$26))</f>
        <v>0</v>
      </c>
      <c r="AU165" s="368">
        <f>IF('表2-折旧摊销表'!$BA$26+1-'表2-折旧摊销表'!$AR$26&gt;='表2-折旧摊销表'!$D$21,$AR$125/$D$21,$AR$125/('表2-折旧摊销表'!$BA$26+1-'表2-折旧摊销表'!$AR$26))</f>
        <v>0</v>
      </c>
      <c r="AV165" s="368">
        <f>IF('表2-折旧摊销表'!$BA$26+1-'表2-折旧摊销表'!$AR$26&gt;='表2-折旧摊销表'!$D$21,$AR$125/$D$21,$AR$125/('表2-折旧摊销表'!$BA$26+1-'表2-折旧摊销表'!$AR$26))</f>
        <v>0</v>
      </c>
      <c r="AW165" s="368">
        <f>IF('表2-折旧摊销表'!$BA$26+1-'表2-折旧摊销表'!$AR$26&gt;='表2-折旧摊销表'!$D$21,$AR$125/$D$21,$AR$125/('表2-折旧摊销表'!$BA$26+1-'表2-折旧摊销表'!$AR$26))</f>
        <v>0</v>
      </c>
      <c r="AX165" s="368">
        <f>IF('表2-折旧摊销表'!$BA$26+1-'表2-折旧摊销表'!$AR$26&gt;='表2-折旧摊销表'!$D$21,$AR$125/$D$21,$AR$125/('表2-折旧摊销表'!$BA$26+1-'表2-折旧摊销表'!$AR$26))</f>
        <v>0</v>
      </c>
      <c r="AY165" s="368">
        <f>IF('表2-折旧摊销表'!$BA$26+1-'表2-折旧摊销表'!$AR$26&gt;='表2-折旧摊销表'!$D$21,$AR$125/$D$21,$AR$125/('表2-折旧摊销表'!$BA$26+1-'表2-折旧摊销表'!$AR$26))</f>
        <v>0</v>
      </c>
      <c r="AZ165" s="368">
        <f>IF('表2-折旧摊销表'!$BA$26+1-'表2-折旧摊销表'!$AR$26&gt;='表2-折旧摊销表'!$D$21,$AR$125/$D$21,$AR$125/('表2-折旧摊销表'!$BA$26+1-'表2-折旧摊销表'!$AR$26))</f>
        <v>0</v>
      </c>
      <c r="BA165" s="369">
        <f>IF('表2-折旧摊销表'!$BA$26+1-'表2-折旧摊销表'!$AR$26&gt;='表2-折旧摊销表'!$D$21,$AR$125/$D$21,$AR$125/('表2-折旧摊销表'!$BA$26+1-'表2-折旧摊销表'!$AR$26))</f>
        <v>0</v>
      </c>
    </row>
    <row r="166" s="105" customFormat="1" spans="2:53">
      <c r="B166" s="406"/>
      <c r="C166" s="389" t="s">
        <v>113</v>
      </c>
      <c r="D166" s="375">
        <f t="shared" si="170"/>
        <v>18348.623853211</v>
      </c>
      <c r="E166" s="266" t="s">
        <v>130</v>
      </c>
      <c r="F166" s="368"/>
      <c r="G166" s="368"/>
      <c r="H166" s="368"/>
      <c r="I166" s="368"/>
      <c r="J166" s="368"/>
      <c r="K166" s="368"/>
      <c r="L166" s="368"/>
      <c r="M166" s="368"/>
      <c r="N166" s="368"/>
      <c r="O166" s="368"/>
      <c r="P166" s="368"/>
      <c r="Q166" s="368"/>
      <c r="R166" s="368"/>
      <c r="S166" s="368"/>
      <c r="T166" s="368"/>
      <c r="U166" s="368"/>
      <c r="V166" s="368"/>
      <c r="W166" s="368"/>
      <c r="X166" s="368"/>
      <c r="Y166" s="368"/>
      <c r="Z166" s="368"/>
      <c r="AA166" s="368"/>
      <c r="AB166" s="368"/>
      <c r="AC166" s="368"/>
      <c r="AD166" s="368"/>
      <c r="AE166" s="368"/>
      <c r="AF166" s="368"/>
      <c r="AG166" s="368"/>
      <c r="AH166" s="368"/>
      <c r="AI166" s="368"/>
      <c r="AJ166" s="368"/>
      <c r="AK166" s="368"/>
      <c r="AL166" s="368"/>
      <c r="AM166" s="368"/>
      <c r="AN166" s="368"/>
      <c r="AO166" s="368"/>
      <c r="AP166" s="368"/>
      <c r="AQ166" s="368"/>
      <c r="AR166" s="368"/>
      <c r="AS166" s="368">
        <f>IF('表2-折旧摊销表'!$BA$26+1-'表2-折旧摊销表'!$AS$26&gt;='表2-折旧摊销表'!$D$21,$AS$125/$D$21,$AS$125/('表2-折旧摊销表'!$BA$26+1-'表2-折旧摊销表'!$AS$26))</f>
        <v>2038.73598369011</v>
      </c>
      <c r="AT166" s="368">
        <f>IF('表2-折旧摊销表'!$BA$26+1-'表2-折旧摊销表'!$AS$26&gt;='表2-折旧摊销表'!$D$21,$AS$125/$D$21,$AS$125/('表2-折旧摊销表'!$BA$26+1-'表2-折旧摊销表'!$AS$26))</f>
        <v>2038.73598369011</v>
      </c>
      <c r="AU166" s="368">
        <f>IF('表2-折旧摊销表'!$BA$26+1-'表2-折旧摊销表'!$AS$26&gt;='表2-折旧摊销表'!$D$21,$AS$125/$D$21,$AS$125/('表2-折旧摊销表'!$BA$26+1-'表2-折旧摊销表'!$AS$26))</f>
        <v>2038.73598369011</v>
      </c>
      <c r="AV166" s="368">
        <f>IF('表2-折旧摊销表'!$BA$26+1-'表2-折旧摊销表'!$AS$26&gt;='表2-折旧摊销表'!$D$21,$AS$125/$D$21,$AS$125/('表2-折旧摊销表'!$BA$26+1-'表2-折旧摊销表'!$AS$26))</f>
        <v>2038.73598369011</v>
      </c>
      <c r="AW166" s="368">
        <f>IF('表2-折旧摊销表'!$BA$26+1-'表2-折旧摊销表'!$AS$26&gt;='表2-折旧摊销表'!$D$21,$AS$125/$D$21,$AS$125/('表2-折旧摊销表'!$BA$26+1-'表2-折旧摊销表'!$AS$26))</f>
        <v>2038.73598369011</v>
      </c>
      <c r="AX166" s="368">
        <f>IF('表2-折旧摊销表'!$BA$26+1-'表2-折旧摊销表'!$AS$26&gt;='表2-折旧摊销表'!$D$21,$AS$125/$D$21,$AS$125/('表2-折旧摊销表'!$BA$26+1-'表2-折旧摊销表'!$AS$26))</f>
        <v>2038.73598369011</v>
      </c>
      <c r="AY166" s="368">
        <f>IF('表2-折旧摊销表'!$BA$26+1-'表2-折旧摊销表'!$AS$26&gt;='表2-折旧摊销表'!$D$21,$AS$125/$D$21,$AS$125/('表2-折旧摊销表'!$BA$26+1-'表2-折旧摊销表'!$AS$26))</f>
        <v>2038.73598369011</v>
      </c>
      <c r="AZ166" s="368">
        <f>IF('表2-折旧摊销表'!$BA$26+1-'表2-折旧摊销表'!$AS$26&gt;='表2-折旧摊销表'!$D$21,$AS$125/$D$21,$AS$125/('表2-折旧摊销表'!$BA$26+1-'表2-折旧摊销表'!$AS$26))</f>
        <v>2038.73598369011</v>
      </c>
      <c r="BA166" s="369">
        <f>IF('表2-折旧摊销表'!$BA$26+1-'表2-折旧摊销表'!$AS$26&gt;='表2-折旧摊销表'!$D$21,$AS$125/$D$21,$AS$125/('表2-折旧摊销表'!$BA$26+1-'表2-折旧摊销表'!$AS$26))</f>
        <v>2038.73598369011</v>
      </c>
    </row>
    <row r="167" s="105" customFormat="1" spans="2:53">
      <c r="B167" s="406"/>
      <c r="C167" s="389" t="s">
        <v>114</v>
      </c>
      <c r="D167" s="375">
        <f t="shared" si="170"/>
        <v>0</v>
      </c>
      <c r="E167" s="266" t="s">
        <v>130</v>
      </c>
      <c r="F167" s="368"/>
      <c r="G167" s="368"/>
      <c r="H167" s="368"/>
      <c r="I167" s="368"/>
      <c r="J167" s="368"/>
      <c r="K167" s="368"/>
      <c r="L167" s="368"/>
      <c r="M167" s="368"/>
      <c r="N167" s="368"/>
      <c r="O167" s="368"/>
      <c r="P167" s="368"/>
      <c r="Q167" s="368"/>
      <c r="R167" s="368"/>
      <c r="S167" s="368"/>
      <c r="T167" s="368"/>
      <c r="U167" s="368"/>
      <c r="V167" s="368"/>
      <c r="W167" s="368"/>
      <c r="X167" s="368"/>
      <c r="Y167" s="368"/>
      <c r="Z167" s="368"/>
      <c r="AA167" s="368"/>
      <c r="AB167" s="368"/>
      <c r="AC167" s="368"/>
      <c r="AD167" s="368"/>
      <c r="AE167" s="368"/>
      <c r="AF167" s="368"/>
      <c r="AG167" s="368"/>
      <c r="AH167" s="368"/>
      <c r="AI167" s="368"/>
      <c r="AJ167" s="368"/>
      <c r="AK167" s="368"/>
      <c r="AL167" s="368"/>
      <c r="AM167" s="368"/>
      <c r="AN167" s="368"/>
      <c r="AO167" s="368"/>
      <c r="AP167" s="368"/>
      <c r="AQ167" s="368"/>
      <c r="AR167" s="368"/>
      <c r="AS167" s="368"/>
      <c r="AT167" s="368">
        <f>IF('表2-折旧摊销表'!$BA$26+1-'表2-折旧摊销表'!$AT$26&gt;='表2-折旧摊销表'!$D$21,$AT$125/$D$21,$AT$125/('表2-折旧摊销表'!$BA$26+1-'表2-折旧摊销表'!$AT$26))</f>
        <v>0</v>
      </c>
      <c r="AU167" s="368">
        <f>IF('表2-折旧摊销表'!$BA$26+1-'表2-折旧摊销表'!$AT$26&gt;='表2-折旧摊销表'!$D$21,$AT$125/$D$21,$AT$125/('表2-折旧摊销表'!$BA$26+1-'表2-折旧摊销表'!$AT$26))</f>
        <v>0</v>
      </c>
      <c r="AV167" s="368">
        <f>IF('表2-折旧摊销表'!$BA$26+1-'表2-折旧摊销表'!$AT$26&gt;='表2-折旧摊销表'!$D$21,$AT$125/$D$21,$AT$125/('表2-折旧摊销表'!$BA$26+1-'表2-折旧摊销表'!$AT$26))</f>
        <v>0</v>
      </c>
      <c r="AW167" s="368">
        <f>IF('表2-折旧摊销表'!$BA$26+1-'表2-折旧摊销表'!$AT$26&gt;='表2-折旧摊销表'!$D$21,$AT$125/$D$21,$AT$125/('表2-折旧摊销表'!$BA$26+1-'表2-折旧摊销表'!$AT$26))</f>
        <v>0</v>
      </c>
      <c r="AX167" s="368">
        <f>IF('表2-折旧摊销表'!$BA$26+1-'表2-折旧摊销表'!$AT$26&gt;='表2-折旧摊销表'!$D$21,$AT$125/$D$21,$AT$125/('表2-折旧摊销表'!$BA$26+1-'表2-折旧摊销表'!$AT$26))</f>
        <v>0</v>
      </c>
      <c r="AY167" s="368">
        <f>IF('表2-折旧摊销表'!$BA$26+1-'表2-折旧摊销表'!$AT$26&gt;='表2-折旧摊销表'!$D$21,$AT$125/$D$21,$AT$125/('表2-折旧摊销表'!$BA$26+1-'表2-折旧摊销表'!$AT$26))</f>
        <v>0</v>
      </c>
      <c r="AZ167" s="368">
        <f>IF('表2-折旧摊销表'!$BA$26+1-'表2-折旧摊销表'!$AT$26&gt;='表2-折旧摊销表'!$D$21,$AT$125/$D$21,$AT$125/('表2-折旧摊销表'!$BA$26+1-'表2-折旧摊销表'!$AT$26))</f>
        <v>0</v>
      </c>
      <c r="BA167" s="369">
        <f>IF('表2-折旧摊销表'!$BA$26+1-'表2-折旧摊销表'!$AT$26&gt;='表2-折旧摊销表'!$D$21,$AT$125/$D$21,$AT$125/('表2-折旧摊销表'!$BA$26+1-'表2-折旧摊销表'!$AT$26))</f>
        <v>0</v>
      </c>
    </row>
    <row r="168" s="105" customFormat="1" spans="2:53">
      <c r="B168" s="406"/>
      <c r="C168" s="389" t="s">
        <v>115</v>
      </c>
      <c r="D168" s="375">
        <f t="shared" si="170"/>
        <v>0</v>
      </c>
      <c r="E168" s="266" t="s">
        <v>130</v>
      </c>
      <c r="F168" s="368"/>
      <c r="G168" s="368"/>
      <c r="H168" s="368"/>
      <c r="I168" s="368"/>
      <c r="J168" s="368"/>
      <c r="K168" s="368"/>
      <c r="L168" s="368"/>
      <c r="M168" s="368"/>
      <c r="N168" s="368"/>
      <c r="O168" s="368"/>
      <c r="P168" s="368"/>
      <c r="Q168" s="368"/>
      <c r="R168" s="368"/>
      <c r="S168" s="368"/>
      <c r="T168" s="368"/>
      <c r="U168" s="368"/>
      <c r="V168" s="368"/>
      <c r="W168" s="368"/>
      <c r="X168" s="368"/>
      <c r="Y168" s="368"/>
      <c r="Z168" s="368"/>
      <c r="AA168" s="368"/>
      <c r="AB168" s="368"/>
      <c r="AC168" s="368"/>
      <c r="AD168" s="368"/>
      <c r="AE168" s="368"/>
      <c r="AF168" s="368"/>
      <c r="AG168" s="368"/>
      <c r="AH168" s="368"/>
      <c r="AI168" s="368"/>
      <c r="AJ168" s="368"/>
      <c r="AK168" s="368"/>
      <c r="AL168" s="368"/>
      <c r="AM168" s="368"/>
      <c r="AN168" s="368"/>
      <c r="AO168" s="368"/>
      <c r="AP168" s="368"/>
      <c r="AQ168" s="368"/>
      <c r="AR168" s="368"/>
      <c r="AS168" s="368"/>
      <c r="AT168" s="368"/>
      <c r="AU168" s="368">
        <f>IF('表2-折旧摊销表'!$BA$26+1-'表2-折旧摊销表'!$AU$26&gt;='表2-折旧摊销表'!$D$21,$AU$125/$D$21,$AU$125/('表2-折旧摊销表'!$BA$26+1-'表2-折旧摊销表'!$AU$26))</f>
        <v>0</v>
      </c>
      <c r="AV168" s="368">
        <f>IF('表2-折旧摊销表'!$BA$26+1-'表2-折旧摊销表'!$AU$26&gt;='表2-折旧摊销表'!$D$21,$AU$125/$D$21,$AU$125/('表2-折旧摊销表'!$BA$26+1-'表2-折旧摊销表'!$AU$26))</f>
        <v>0</v>
      </c>
      <c r="AW168" s="368">
        <f>IF('表2-折旧摊销表'!$BA$26+1-'表2-折旧摊销表'!$AU$26&gt;='表2-折旧摊销表'!$D$21,$AU$125/$D$21,$AU$125/('表2-折旧摊销表'!$BA$26+1-'表2-折旧摊销表'!$AU$26))</f>
        <v>0</v>
      </c>
      <c r="AX168" s="368">
        <f>IF('表2-折旧摊销表'!$BA$26+1-'表2-折旧摊销表'!$AU$26&gt;='表2-折旧摊销表'!$D$21,$AU$125/$D$21,$AU$125/('表2-折旧摊销表'!$BA$26+1-'表2-折旧摊销表'!$AU$26))</f>
        <v>0</v>
      </c>
      <c r="AY168" s="368">
        <f>IF('表2-折旧摊销表'!$BA$26+1-'表2-折旧摊销表'!$AU$26&gt;='表2-折旧摊销表'!$D$21,$AU$125/$D$21,$AU$125/('表2-折旧摊销表'!$BA$26+1-'表2-折旧摊销表'!$AU$26))</f>
        <v>0</v>
      </c>
      <c r="AZ168" s="368">
        <f>IF('表2-折旧摊销表'!$BA$26+1-'表2-折旧摊销表'!$AU$26&gt;='表2-折旧摊销表'!$D$21,$AU$125/$D$21,$AU$125/('表2-折旧摊销表'!$BA$26+1-'表2-折旧摊销表'!$AU$26))</f>
        <v>0</v>
      </c>
      <c r="BA168" s="369">
        <f>IF('表2-折旧摊销表'!$BA$26+1-'表2-折旧摊销表'!$AU$26&gt;='表2-折旧摊销表'!$D$21,$AU$125/$D$21,$AU$125/('表2-折旧摊销表'!$BA$26+1-'表2-折旧摊销表'!$AU$26))</f>
        <v>0</v>
      </c>
    </row>
    <row r="169" s="105" customFormat="1" spans="2:53">
      <c r="B169" s="406"/>
      <c r="C169" s="389" t="s">
        <v>116</v>
      </c>
      <c r="D169" s="375">
        <f t="shared" si="170"/>
        <v>0</v>
      </c>
      <c r="E169" s="266" t="s">
        <v>130</v>
      </c>
      <c r="F169" s="368"/>
      <c r="G169" s="368"/>
      <c r="H169" s="368"/>
      <c r="I169" s="368"/>
      <c r="J169" s="368"/>
      <c r="K169" s="368"/>
      <c r="L169" s="368"/>
      <c r="M169" s="368"/>
      <c r="N169" s="368"/>
      <c r="O169" s="368"/>
      <c r="P169" s="368"/>
      <c r="Q169" s="368"/>
      <c r="R169" s="368"/>
      <c r="S169" s="368"/>
      <c r="T169" s="368"/>
      <c r="U169" s="368"/>
      <c r="V169" s="368"/>
      <c r="W169" s="368"/>
      <c r="X169" s="368"/>
      <c r="Y169" s="368"/>
      <c r="Z169" s="368"/>
      <c r="AA169" s="368"/>
      <c r="AB169" s="368"/>
      <c r="AC169" s="368"/>
      <c r="AD169" s="368"/>
      <c r="AE169" s="368"/>
      <c r="AF169" s="368"/>
      <c r="AG169" s="368"/>
      <c r="AH169" s="368"/>
      <c r="AI169" s="368"/>
      <c r="AJ169" s="368"/>
      <c r="AK169" s="368"/>
      <c r="AL169" s="368"/>
      <c r="AM169" s="368"/>
      <c r="AN169" s="368"/>
      <c r="AO169" s="368"/>
      <c r="AP169" s="368"/>
      <c r="AQ169" s="368"/>
      <c r="AR169" s="368"/>
      <c r="AS169" s="368"/>
      <c r="AT169" s="368"/>
      <c r="AU169" s="368"/>
      <c r="AV169" s="368">
        <f>IF('表2-折旧摊销表'!$BA$26+1-'表2-折旧摊销表'!$AV$26&gt;='表2-折旧摊销表'!$D$21,$AV$125/$D$21,$AV$125/('表2-折旧摊销表'!$BA$26+1-'表2-折旧摊销表'!$AV$26))</f>
        <v>0</v>
      </c>
      <c r="AW169" s="368">
        <f>IF('表2-折旧摊销表'!$BA$26+1-'表2-折旧摊销表'!$AV$26&gt;='表2-折旧摊销表'!$D$21,$AV$125/$D$21,$AV$125/('表2-折旧摊销表'!$BA$26+1-'表2-折旧摊销表'!$AV$26))</f>
        <v>0</v>
      </c>
      <c r="AX169" s="368">
        <f>IF('表2-折旧摊销表'!$BA$26+1-'表2-折旧摊销表'!$AV$26&gt;='表2-折旧摊销表'!$D$21,$AV$125/$D$21,$AV$125/('表2-折旧摊销表'!$BA$26+1-'表2-折旧摊销表'!$AV$26))</f>
        <v>0</v>
      </c>
      <c r="AY169" s="368">
        <f>IF('表2-折旧摊销表'!$BA$26+1-'表2-折旧摊销表'!$AV$26&gt;='表2-折旧摊销表'!$D$21,$AV$125/$D$21,$AV$125/('表2-折旧摊销表'!$BA$26+1-'表2-折旧摊销表'!$AV$26))</f>
        <v>0</v>
      </c>
      <c r="AZ169" s="368">
        <f>IF('表2-折旧摊销表'!$BA$26+1-'表2-折旧摊销表'!$AV$26&gt;='表2-折旧摊销表'!$D$21,$AV$125/$D$21,$AV$125/('表2-折旧摊销表'!$BA$26+1-'表2-折旧摊销表'!$AV$26))</f>
        <v>0</v>
      </c>
      <c r="BA169" s="369">
        <f>IF('表2-折旧摊销表'!$BA$26+1-'表2-折旧摊销表'!$AV$26&gt;='表2-折旧摊销表'!$D$21,$AV$125/$D$21,$AV$125/('表2-折旧摊销表'!$BA$26+1-'表2-折旧摊销表'!$AV$26))</f>
        <v>0</v>
      </c>
    </row>
    <row r="170" s="105" customFormat="1" spans="2:53">
      <c r="B170" s="406"/>
      <c r="C170" s="389" t="s">
        <v>117</v>
      </c>
      <c r="D170" s="375">
        <f t="shared" si="170"/>
        <v>0</v>
      </c>
      <c r="E170" s="266" t="s">
        <v>130</v>
      </c>
      <c r="F170" s="368"/>
      <c r="G170" s="368"/>
      <c r="H170" s="368"/>
      <c r="I170" s="368"/>
      <c r="J170" s="368"/>
      <c r="K170" s="368"/>
      <c r="L170" s="368"/>
      <c r="M170" s="368"/>
      <c r="N170" s="368"/>
      <c r="O170" s="368"/>
      <c r="P170" s="368"/>
      <c r="Q170" s="368"/>
      <c r="R170" s="368"/>
      <c r="S170" s="368"/>
      <c r="T170" s="368"/>
      <c r="U170" s="368"/>
      <c r="V170" s="368"/>
      <c r="W170" s="368"/>
      <c r="X170" s="368"/>
      <c r="Y170" s="368"/>
      <c r="Z170" s="368"/>
      <c r="AA170" s="368"/>
      <c r="AB170" s="368"/>
      <c r="AC170" s="368"/>
      <c r="AD170" s="368"/>
      <c r="AE170" s="368"/>
      <c r="AF170" s="368"/>
      <c r="AG170" s="368"/>
      <c r="AH170" s="368"/>
      <c r="AI170" s="368"/>
      <c r="AJ170" s="368"/>
      <c r="AK170" s="368"/>
      <c r="AL170" s="368"/>
      <c r="AM170" s="368"/>
      <c r="AN170" s="368"/>
      <c r="AO170" s="368"/>
      <c r="AP170" s="368"/>
      <c r="AQ170" s="368"/>
      <c r="AR170" s="368"/>
      <c r="AS170" s="368"/>
      <c r="AT170" s="368"/>
      <c r="AU170" s="368"/>
      <c r="AV170" s="368"/>
      <c r="AW170" s="368">
        <f>IF('表2-折旧摊销表'!$BA$26+1-'表2-折旧摊销表'!$AW$26&gt;='表2-折旧摊销表'!$D$21,$AW$125/$D$21,$AW$125/('表2-折旧摊销表'!$BA$26+1-'表2-折旧摊销表'!$AW$26))</f>
        <v>0</v>
      </c>
      <c r="AX170" s="368">
        <f>IF('表2-折旧摊销表'!$BA$26+1-'表2-折旧摊销表'!$AW$26&gt;='表2-折旧摊销表'!$D$21,$AW$125/$D$21,$AW$125/('表2-折旧摊销表'!$BA$26+1-'表2-折旧摊销表'!$AW$26))</f>
        <v>0</v>
      </c>
      <c r="AY170" s="368">
        <f>IF('表2-折旧摊销表'!$BA$26+1-'表2-折旧摊销表'!$AW$26&gt;='表2-折旧摊销表'!$D$21,$AW$125/$D$21,$AW$125/('表2-折旧摊销表'!$BA$26+1-'表2-折旧摊销表'!$AW$26))</f>
        <v>0</v>
      </c>
      <c r="AZ170" s="368">
        <f>IF('表2-折旧摊销表'!$BA$26+1-'表2-折旧摊销表'!$AW$26&gt;='表2-折旧摊销表'!$D$21,$AW$125/$D$21,$AW$125/('表2-折旧摊销表'!$BA$26+1-'表2-折旧摊销表'!$AW$26))</f>
        <v>0</v>
      </c>
      <c r="BA170" s="369">
        <f>IF('表2-折旧摊销表'!$BA$26+1-'表2-折旧摊销表'!$AW$26&gt;='表2-折旧摊销表'!$D$21,$AW$125/$D$21,$AW$125/('表2-折旧摊销表'!$BA$26+1-'表2-折旧摊销表'!$AW$26))</f>
        <v>0</v>
      </c>
    </row>
    <row r="171" s="105" customFormat="1" spans="2:53">
      <c r="B171" s="406"/>
      <c r="C171" s="389" t="s">
        <v>118</v>
      </c>
      <c r="D171" s="375">
        <f t="shared" si="170"/>
        <v>0</v>
      </c>
      <c r="E171" s="266" t="s">
        <v>130</v>
      </c>
      <c r="F171" s="368"/>
      <c r="G171" s="368"/>
      <c r="H171" s="368"/>
      <c r="I171" s="368"/>
      <c r="J171" s="368"/>
      <c r="K171" s="368"/>
      <c r="L171" s="368"/>
      <c r="M171" s="368"/>
      <c r="N171" s="368"/>
      <c r="O171" s="368"/>
      <c r="P171" s="368"/>
      <c r="Q171" s="368"/>
      <c r="R171" s="368"/>
      <c r="S171" s="368"/>
      <c r="T171" s="368"/>
      <c r="U171" s="368"/>
      <c r="V171" s="368"/>
      <c r="W171" s="368"/>
      <c r="X171" s="368"/>
      <c r="Y171" s="368"/>
      <c r="Z171" s="368"/>
      <c r="AA171" s="368"/>
      <c r="AB171" s="368"/>
      <c r="AC171" s="368"/>
      <c r="AD171" s="368"/>
      <c r="AE171" s="368"/>
      <c r="AF171" s="368"/>
      <c r="AG171" s="368"/>
      <c r="AH171" s="368"/>
      <c r="AI171" s="368"/>
      <c r="AJ171" s="368"/>
      <c r="AK171" s="368"/>
      <c r="AL171" s="368"/>
      <c r="AM171" s="368"/>
      <c r="AN171" s="368"/>
      <c r="AO171" s="368"/>
      <c r="AP171" s="368"/>
      <c r="AQ171" s="368"/>
      <c r="AR171" s="368"/>
      <c r="AS171" s="368"/>
      <c r="AT171" s="368"/>
      <c r="AU171" s="368"/>
      <c r="AV171" s="368"/>
      <c r="AW171" s="368"/>
      <c r="AX171" s="368">
        <f>IF('表2-折旧摊销表'!$BA$26+1-'表2-折旧摊销表'!$AX$26&gt;='表2-折旧摊销表'!$D$21,$AX$125/$D$21,$AX$125/('表2-折旧摊销表'!$BA$26+1-'表2-折旧摊销表'!$AX$26))</f>
        <v>0</v>
      </c>
      <c r="AY171" s="368">
        <f>IF('表2-折旧摊销表'!$BA$26+1-'表2-折旧摊销表'!$AX$26&gt;='表2-折旧摊销表'!$D$21,$AX$125/$D$21,$AX$125/('表2-折旧摊销表'!$BA$26+1-'表2-折旧摊销表'!$AX$26))</f>
        <v>0</v>
      </c>
      <c r="AZ171" s="368">
        <f>IF('表2-折旧摊销表'!$BA$26+1-'表2-折旧摊销表'!$AX$26&gt;='表2-折旧摊销表'!$D$21,$AX$125/$D$21,$AX$125/('表2-折旧摊销表'!$BA$26+1-'表2-折旧摊销表'!$AX$26))</f>
        <v>0</v>
      </c>
      <c r="BA171" s="369">
        <f>IF('表2-折旧摊销表'!$BA$26+1-'表2-折旧摊销表'!$AX$26&gt;='表2-折旧摊销表'!$D$21,$AX$125/$D$21,$AX$125/('表2-折旧摊销表'!$BA$26+1-'表2-折旧摊销表'!$AX$26))</f>
        <v>0</v>
      </c>
    </row>
    <row r="172" s="105" customFormat="1" spans="2:53">
      <c r="B172" s="406"/>
      <c r="C172" s="389" t="s">
        <v>119</v>
      </c>
      <c r="D172" s="375">
        <f t="shared" si="170"/>
        <v>0</v>
      </c>
      <c r="E172" s="266" t="s">
        <v>130</v>
      </c>
      <c r="F172" s="368"/>
      <c r="G172" s="368"/>
      <c r="H172" s="368"/>
      <c r="I172" s="368"/>
      <c r="J172" s="368"/>
      <c r="K172" s="368"/>
      <c r="L172" s="368"/>
      <c r="M172" s="368"/>
      <c r="N172" s="368"/>
      <c r="O172" s="368"/>
      <c r="P172" s="368"/>
      <c r="Q172" s="368"/>
      <c r="R172" s="368"/>
      <c r="S172" s="368"/>
      <c r="T172" s="368"/>
      <c r="U172" s="368"/>
      <c r="V172" s="368"/>
      <c r="W172" s="368"/>
      <c r="X172" s="368"/>
      <c r="Y172" s="368"/>
      <c r="Z172" s="368"/>
      <c r="AA172" s="368"/>
      <c r="AB172" s="368"/>
      <c r="AC172" s="368"/>
      <c r="AD172" s="368"/>
      <c r="AE172" s="368"/>
      <c r="AF172" s="368"/>
      <c r="AG172" s="368"/>
      <c r="AH172" s="368"/>
      <c r="AI172" s="368"/>
      <c r="AJ172" s="368"/>
      <c r="AK172" s="368"/>
      <c r="AL172" s="368"/>
      <c r="AM172" s="368"/>
      <c r="AN172" s="368"/>
      <c r="AO172" s="368"/>
      <c r="AP172" s="368"/>
      <c r="AQ172" s="368"/>
      <c r="AR172" s="368"/>
      <c r="AS172" s="368"/>
      <c r="AT172" s="368"/>
      <c r="AU172" s="368"/>
      <c r="AV172" s="368"/>
      <c r="AW172" s="368"/>
      <c r="AX172" s="368"/>
      <c r="AY172" s="368">
        <f>IF('表2-折旧摊销表'!$BA$26+1-'表2-折旧摊销表'!$AY$26&gt;='表2-折旧摊销表'!$D$21,$AY$125/$D$21,$AY$125/('表2-折旧摊销表'!$BA$26+1-'表2-折旧摊销表'!$AY$26))</f>
        <v>0</v>
      </c>
      <c r="AZ172" s="368">
        <f>IF('表2-折旧摊销表'!$BA$26+1-'表2-折旧摊销表'!$AY$26&gt;='表2-折旧摊销表'!$D$21,$AY$125/$D$21,$AY$125/('表2-折旧摊销表'!$BA$26+1-'表2-折旧摊销表'!$AY$26))</f>
        <v>0</v>
      </c>
      <c r="BA172" s="369">
        <f>IF('表2-折旧摊销表'!$BA$26+1-'表2-折旧摊销表'!$AY$26&gt;='表2-折旧摊销表'!$D$21,$AY$125/$D$21,$AY$125/('表2-折旧摊销表'!$BA$26+1-'表2-折旧摊销表'!$AY$26))</f>
        <v>0</v>
      </c>
    </row>
    <row r="173" s="105" customFormat="1" spans="2:53">
      <c r="B173" s="406"/>
      <c r="C173" s="389" t="s">
        <v>120</v>
      </c>
      <c r="D173" s="375">
        <f t="shared" si="170"/>
        <v>0</v>
      </c>
      <c r="E173" s="266" t="s">
        <v>130</v>
      </c>
      <c r="F173" s="368"/>
      <c r="G173" s="368"/>
      <c r="H173" s="368"/>
      <c r="I173" s="368"/>
      <c r="J173" s="368"/>
      <c r="K173" s="368"/>
      <c r="L173" s="368"/>
      <c r="M173" s="368"/>
      <c r="N173" s="368"/>
      <c r="O173" s="368"/>
      <c r="P173" s="368"/>
      <c r="Q173" s="368"/>
      <c r="R173" s="368"/>
      <c r="S173" s="368"/>
      <c r="T173" s="368"/>
      <c r="U173" s="368"/>
      <c r="V173" s="368"/>
      <c r="W173" s="368"/>
      <c r="X173" s="368"/>
      <c r="Y173" s="368"/>
      <c r="Z173" s="368"/>
      <c r="AA173" s="368"/>
      <c r="AB173" s="368"/>
      <c r="AC173" s="368"/>
      <c r="AD173" s="368"/>
      <c r="AE173" s="368"/>
      <c r="AF173" s="368"/>
      <c r="AG173" s="368"/>
      <c r="AH173" s="368"/>
      <c r="AI173" s="368"/>
      <c r="AJ173" s="368"/>
      <c r="AK173" s="368"/>
      <c r="AL173" s="368"/>
      <c r="AM173" s="368"/>
      <c r="AN173" s="368"/>
      <c r="AO173" s="368"/>
      <c r="AP173" s="368"/>
      <c r="AQ173" s="368"/>
      <c r="AR173" s="368"/>
      <c r="AS173" s="368"/>
      <c r="AT173" s="368"/>
      <c r="AU173" s="368"/>
      <c r="AV173" s="368"/>
      <c r="AW173" s="368"/>
      <c r="AX173" s="368"/>
      <c r="AY173" s="368"/>
      <c r="AZ173" s="368">
        <f>IF('表2-折旧摊销表'!$BA$26+1-'表2-折旧摊销表'!$AZ$26&gt;='表2-折旧摊销表'!$D$21,$AZ$125/$D$21,$AZ$125/('表2-折旧摊销表'!$BA$26+1-'表2-折旧摊销表'!$AZ$26))</f>
        <v>0</v>
      </c>
      <c r="BA173" s="369">
        <f>IF('表2-折旧摊销表'!$BA$26+1-'表2-折旧摊销表'!$AZ$26&gt;='表2-折旧摊销表'!$D$21,$AZ$125/$D$21,$AZ$125/('表2-折旧摊销表'!$BA$26+1-'表2-折旧摊销表'!$AZ$26))</f>
        <v>0</v>
      </c>
    </row>
    <row r="174" s="105" customFormat="1" spans="2:53">
      <c r="B174" s="406"/>
      <c r="C174" s="389" t="s">
        <v>121</v>
      </c>
      <c r="D174" s="375">
        <f t="shared" si="170"/>
        <v>0</v>
      </c>
      <c r="E174" s="266" t="s">
        <v>130</v>
      </c>
      <c r="F174" s="368"/>
      <c r="G174" s="368"/>
      <c r="H174" s="368"/>
      <c r="I174" s="368"/>
      <c r="J174" s="368"/>
      <c r="K174" s="368"/>
      <c r="L174" s="368"/>
      <c r="M174" s="368"/>
      <c r="N174" s="368"/>
      <c r="O174" s="368"/>
      <c r="P174" s="368"/>
      <c r="Q174" s="368"/>
      <c r="R174" s="368"/>
      <c r="S174" s="368"/>
      <c r="T174" s="368"/>
      <c r="U174" s="368"/>
      <c r="V174" s="368"/>
      <c r="W174" s="368"/>
      <c r="X174" s="368"/>
      <c r="Y174" s="368"/>
      <c r="Z174" s="368"/>
      <c r="AA174" s="368"/>
      <c r="AB174" s="368"/>
      <c r="AC174" s="368"/>
      <c r="AD174" s="368"/>
      <c r="AE174" s="368"/>
      <c r="AF174" s="368"/>
      <c r="AG174" s="368"/>
      <c r="AH174" s="368"/>
      <c r="AI174" s="368"/>
      <c r="AJ174" s="368"/>
      <c r="AK174" s="368"/>
      <c r="AL174" s="368"/>
      <c r="AM174" s="368"/>
      <c r="AN174" s="368"/>
      <c r="AO174" s="368"/>
      <c r="AP174" s="368"/>
      <c r="AQ174" s="368"/>
      <c r="AR174" s="368"/>
      <c r="AS174" s="368"/>
      <c r="AT174" s="368"/>
      <c r="AU174" s="368"/>
      <c r="AV174" s="368"/>
      <c r="AW174" s="368"/>
      <c r="AX174" s="368"/>
      <c r="AY174" s="368"/>
      <c r="AZ174" s="368"/>
      <c r="BA174" s="369">
        <f>IF('表2-折旧摊销表'!$BA$26+1-'表2-折旧摊销表'!$BA$26&gt;='表2-折旧摊销表'!$D$21,$BA$125/$D$21,$BA$125/('表2-折旧摊销表'!$BA$26+1-'表2-折旧摊销表'!$BA$26))</f>
        <v>0</v>
      </c>
    </row>
    <row r="175" s="192" customFormat="1" spans="2:53">
      <c r="B175" s="406"/>
      <c r="C175" s="133" t="s">
        <v>733</v>
      </c>
      <c r="D175" s="375"/>
      <c r="E175" s="266" t="s">
        <v>130</v>
      </c>
      <c r="F175" s="368">
        <f>F126</f>
        <v>0</v>
      </c>
      <c r="G175" s="368">
        <f>F175+G126</f>
        <v>0</v>
      </c>
      <c r="H175" s="368">
        <f t="shared" ref="H175:BA175" si="171">G175+H126</f>
        <v>0</v>
      </c>
      <c r="I175" s="368">
        <f t="shared" si="171"/>
        <v>0</v>
      </c>
      <c r="J175" s="368">
        <f t="shared" si="171"/>
        <v>0</v>
      </c>
      <c r="K175" s="368">
        <f t="shared" si="171"/>
        <v>0</v>
      </c>
      <c r="L175" s="368">
        <f t="shared" si="171"/>
        <v>0</v>
      </c>
      <c r="M175" s="368">
        <f t="shared" si="171"/>
        <v>0</v>
      </c>
      <c r="N175" s="368">
        <f t="shared" si="171"/>
        <v>0</v>
      </c>
      <c r="O175" s="368">
        <f t="shared" si="171"/>
        <v>0</v>
      </c>
      <c r="P175" s="368">
        <f t="shared" si="171"/>
        <v>0</v>
      </c>
      <c r="Q175" s="368">
        <f t="shared" si="171"/>
        <v>0</v>
      </c>
      <c r="R175" s="368">
        <f t="shared" si="171"/>
        <v>0</v>
      </c>
      <c r="S175" s="368">
        <f t="shared" si="171"/>
        <v>0</v>
      </c>
      <c r="T175" s="368">
        <f t="shared" si="171"/>
        <v>0</v>
      </c>
      <c r="U175" s="368">
        <f t="shared" si="171"/>
        <v>0</v>
      </c>
      <c r="V175" s="368">
        <f t="shared" si="171"/>
        <v>0</v>
      </c>
      <c r="W175" s="368">
        <f t="shared" si="171"/>
        <v>0</v>
      </c>
      <c r="X175" s="368">
        <f t="shared" si="171"/>
        <v>0</v>
      </c>
      <c r="Y175" s="368">
        <f t="shared" si="171"/>
        <v>1834.8623853211</v>
      </c>
      <c r="Z175" s="368">
        <f t="shared" si="171"/>
        <v>3669.7247706422</v>
      </c>
      <c r="AA175" s="368">
        <f t="shared" si="171"/>
        <v>5504.5871559633</v>
      </c>
      <c r="AB175" s="368">
        <f t="shared" si="171"/>
        <v>7339.4495412844</v>
      </c>
      <c r="AC175" s="368">
        <f t="shared" si="171"/>
        <v>9174.3119266055</v>
      </c>
      <c r="AD175" s="368">
        <f t="shared" si="171"/>
        <v>11009.1743119266</v>
      </c>
      <c r="AE175" s="368">
        <f t="shared" si="171"/>
        <v>12844.0366972477</v>
      </c>
      <c r="AF175" s="368">
        <f t="shared" si="171"/>
        <v>14678.8990825688</v>
      </c>
      <c r="AG175" s="368">
        <f t="shared" si="171"/>
        <v>16513.7614678899</v>
      </c>
      <c r="AH175" s="368">
        <f t="shared" si="171"/>
        <v>18348.623853211</v>
      </c>
      <c r="AI175" s="368">
        <f t="shared" si="171"/>
        <v>20183.4862385321</v>
      </c>
      <c r="AJ175" s="368">
        <f t="shared" si="171"/>
        <v>22018.3486238532</v>
      </c>
      <c r="AK175" s="368">
        <f t="shared" si="171"/>
        <v>23853.2110091743</v>
      </c>
      <c r="AL175" s="368">
        <f t="shared" si="171"/>
        <v>25688.0733944954</v>
      </c>
      <c r="AM175" s="368">
        <f t="shared" si="171"/>
        <v>27522.9357798165</v>
      </c>
      <c r="AN175" s="368">
        <f t="shared" si="171"/>
        <v>29357.7981651376</v>
      </c>
      <c r="AO175" s="368">
        <f t="shared" si="171"/>
        <v>31192.6605504587</v>
      </c>
      <c r="AP175" s="368">
        <f t="shared" si="171"/>
        <v>33027.5229357798</v>
      </c>
      <c r="AQ175" s="368">
        <f t="shared" si="171"/>
        <v>34862.3853211009</v>
      </c>
      <c r="AR175" s="368">
        <f t="shared" si="171"/>
        <v>36697.247706422</v>
      </c>
      <c r="AS175" s="368">
        <f t="shared" si="171"/>
        <v>38735.9836901121</v>
      </c>
      <c r="AT175" s="368">
        <f t="shared" si="171"/>
        <v>40774.7196738022</v>
      </c>
      <c r="AU175" s="368">
        <f t="shared" si="171"/>
        <v>42813.4556574923</v>
      </c>
      <c r="AV175" s="368">
        <f t="shared" si="171"/>
        <v>44852.1916411824</v>
      </c>
      <c r="AW175" s="368">
        <f t="shared" si="171"/>
        <v>46890.9276248726</v>
      </c>
      <c r="AX175" s="368">
        <f t="shared" si="171"/>
        <v>48929.6636085627</v>
      </c>
      <c r="AY175" s="368">
        <f t="shared" si="171"/>
        <v>50968.3995922528</v>
      </c>
      <c r="AZ175" s="368">
        <f t="shared" si="171"/>
        <v>53007.1355759429</v>
      </c>
      <c r="BA175" s="369">
        <f t="shared" si="171"/>
        <v>55045.871559633</v>
      </c>
    </row>
    <row r="176" s="105" customFormat="1" ht="17.25" spans="2:53">
      <c r="B176" s="407"/>
      <c r="C176" s="380" t="s">
        <v>734</v>
      </c>
      <c r="D176" s="383"/>
      <c r="E176" s="382" t="s">
        <v>130</v>
      </c>
      <c r="F176" s="383">
        <f t="shared" ref="F176:BA176" si="172">F124+F125-F126</f>
        <v>0</v>
      </c>
      <c r="G176" s="383">
        <f t="shared" si="172"/>
        <v>0</v>
      </c>
      <c r="H176" s="383">
        <f t="shared" si="172"/>
        <v>0</v>
      </c>
      <c r="I176" s="383">
        <f t="shared" si="172"/>
        <v>0</v>
      </c>
      <c r="J176" s="383">
        <f t="shared" si="172"/>
        <v>0</v>
      </c>
      <c r="K176" s="383">
        <f t="shared" si="172"/>
        <v>0</v>
      </c>
      <c r="L176" s="383">
        <f t="shared" si="172"/>
        <v>0</v>
      </c>
      <c r="M176" s="383">
        <f t="shared" si="172"/>
        <v>0</v>
      </c>
      <c r="N176" s="383">
        <f t="shared" si="172"/>
        <v>0</v>
      </c>
      <c r="O176" s="383">
        <f t="shared" si="172"/>
        <v>0</v>
      </c>
      <c r="P176" s="383">
        <f t="shared" si="172"/>
        <v>0</v>
      </c>
      <c r="Q176" s="383">
        <f t="shared" si="172"/>
        <v>0</v>
      </c>
      <c r="R176" s="383">
        <f t="shared" si="172"/>
        <v>0</v>
      </c>
      <c r="S176" s="383">
        <f t="shared" si="172"/>
        <v>0</v>
      </c>
      <c r="T176" s="383">
        <f t="shared" si="172"/>
        <v>0</v>
      </c>
      <c r="U176" s="383">
        <f t="shared" si="172"/>
        <v>0</v>
      </c>
      <c r="V176" s="383">
        <f t="shared" si="172"/>
        <v>0</v>
      </c>
      <c r="W176" s="383">
        <f t="shared" si="172"/>
        <v>0</v>
      </c>
      <c r="X176" s="383">
        <f t="shared" si="172"/>
        <v>0</v>
      </c>
      <c r="Y176" s="383">
        <f t="shared" si="172"/>
        <v>16513.7614678899</v>
      </c>
      <c r="Z176" s="383">
        <f t="shared" si="172"/>
        <v>14678.8990825688</v>
      </c>
      <c r="AA176" s="383">
        <f t="shared" si="172"/>
        <v>12844.0366972477</v>
      </c>
      <c r="AB176" s="383">
        <f t="shared" si="172"/>
        <v>11009.1743119266</v>
      </c>
      <c r="AC176" s="383">
        <f t="shared" si="172"/>
        <v>9174.3119266055</v>
      </c>
      <c r="AD176" s="383">
        <f t="shared" si="172"/>
        <v>7339.4495412844</v>
      </c>
      <c r="AE176" s="383">
        <f t="shared" si="172"/>
        <v>5504.5871559633</v>
      </c>
      <c r="AF176" s="383">
        <f t="shared" si="172"/>
        <v>3669.7247706422</v>
      </c>
      <c r="AG176" s="383">
        <f t="shared" si="172"/>
        <v>1834.8623853211</v>
      </c>
      <c r="AH176" s="383">
        <f t="shared" si="172"/>
        <v>0</v>
      </c>
      <c r="AI176" s="383">
        <f t="shared" si="172"/>
        <v>16513.7614678899</v>
      </c>
      <c r="AJ176" s="383">
        <f t="shared" si="172"/>
        <v>14678.8990825688</v>
      </c>
      <c r="AK176" s="383">
        <f t="shared" si="172"/>
        <v>12844.0366972477</v>
      </c>
      <c r="AL176" s="383">
        <f t="shared" si="172"/>
        <v>11009.1743119266</v>
      </c>
      <c r="AM176" s="383">
        <f t="shared" si="172"/>
        <v>9174.3119266055</v>
      </c>
      <c r="AN176" s="383">
        <f t="shared" si="172"/>
        <v>7339.4495412844</v>
      </c>
      <c r="AO176" s="383">
        <f t="shared" si="172"/>
        <v>5504.5871559633</v>
      </c>
      <c r="AP176" s="383">
        <f t="shared" si="172"/>
        <v>3669.7247706422</v>
      </c>
      <c r="AQ176" s="383">
        <f t="shared" si="172"/>
        <v>1834.8623853211</v>
      </c>
      <c r="AR176" s="383">
        <f t="shared" si="172"/>
        <v>0</v>
      </c>
      <c r="AS176" s="383">
        <f t="shared" si="172"/>
        <v>16309.8878695209</v>
      </c>
      <c r="AT176" s="383">
        <f t="shared" si="172"/>
        <v>14271.1518858308</v>
      </c>
      <c r="AU176" s="383">
        <f t="shared" si="172"/>
        <v>12232.4159021407</v>
      </c>
      <c r="AV176" s="383">
        <f t="shared" si="172"/>
        <v>10193.6799184506</v>
      </c>
      <c r="AW176" s="383">
        <f t="shared" si="172"/>
        <v>8154.94393476045</v>
      </c>
      <c r="AX176" s="383">
        <f t="shared" si="172"/>
        <v>6116.20795107033</v>
      </c>
      <c r="AY176" s="383">
        <f t="shared" si="172"/>
        <v>4077.47196738022</v>
      </c>
      <c r="AZ176" s="383">
        <f t="shared" si="172"/>
        <v>2038.73598369011</v>
      </c>
      <c r="BA176" s="384">
        <f t="shared" si="172"/>
        <v>-2.27373675443232e-12</v>
      </c>
    </row>
    <row r="177" s="105" customFormat="1" spans="2:53">
      <c r="B177" s="350">
        <v>5</v>
      </c>
      <c r="C177" s="356" t="s">
        <v>735</v>
      </c>
      <c r="D177" s="357"/>
      <c r="E177" s="404" t="s">
        <v>130</v>
      </c>
      <c r="F177" s="357">
        <v>0</v>
      </c>
      <c r="G177" s="357">
        <f>F229</f>
        <v>0</v>
      </c>
      <c r="H177" s="357">
        <f t="shared" ref="H177:BA177" si="173">G229</f>
        <v>0</v>
      </c>
      <c r="I177" s="357">
        <f t="shared" si="173"/>
        <v>0</v>
      </c>
      <c r="J177" s="357">
        <f t="shared" si="173"/>
        <v>0</v>
      </c>
      <c r="K177" s="357">
        <f t="shared" si="173"/>
        <v>0</v>
      </c>
      <c r="L177" s="357">
        <f t="shared" si="173"/>
        <v>0</v>
      </c>
      <c r="M177" s="357">
        <f t="shared" si="173"/>
        <v>0</v>
      </c>
      <c r="N177" s="357">
        <f t="shared" si="173"/>
        <v>0</v>
      </c>
      <c r="O177" s="357">
        <f t="shared" si="173"/>
        <v>0</v>
      </c>
      <c r="P177" s="357">
        <f t="shared" si="173"/>
        <v>0</v>
      </c>
      <c r="Q177" s="357">
        <f t="shared" si="173"/>
        <v>0</v>
      </c>
      <c r="R177" s="357">
        <f t="shared" si="173"/>
        <v>0</v>
      </c>
      <c r="S177" s="357">
        <f t="shared" si="173"/>
        <v>0</v>
      </c>
      <c r="T177" s="357">
        <f t="shared" si="173"/>
        <v>0</v>
      </c>
      <c r="U177" s="357">
        <f t="shared" si="173"/>
        <v>0</v>
      </c>
      <c r="V177" s="357">
        <f t="shared" si="173"/>
        <v>0</v>
      </c>
      <c r="W177" s="357">
        <f t="shared" si="173"/>
        <v>0</v>
      </c>
      <c r="X177" s="357">
        <f t="shared" si="173"/>
        <v>0</v>
      </c>
      <c r="Y177" s="357">
        <f t="shared" si="173"/>
        <v>1161.50442477876</v>
      </c>
      <c r="Z177" s="357">
        <f t="shared" si="173"/>
        <v>995.575221238938</v>
      </c>
      <c r="AA177" s="357">
        <f t="shared" si="173"/>
        <v>829.646017699115</v>
      </c>
      <c r="AB177" s="357">
        <f t="shared" si="173"/>
        <v>663.716814159292</v>
      </c>
      <c r="AC177" s="357">
        <f t="shared" si="173"/>
        <v>497.787610619469</v>
      </c>
      <c r="AD177" s="357">
        <f t="shared" si="173"/>
        <v>331.858407079646</v>
      </c>
      <c r="AE177" s="357">
        <f t="shared" si="173"/>
        <v>165.929203539823</v>
      </c>
      <c r="AF177" s="357">
        <f t="shared" si="173"/>
        <v>0</v>
      </c>
      <c r="AG177" s="357">
        <f t="shared" si="173"/>
        <v>1161.50442477876</v>
      </c>
      <c r="AH177" s="357">
        <f t="shared" si="173"/>
        <v>995.575221238938</v>
      </c>
      <c r="AI177" s="357">
        <f t="shared" si="173"/>
        <v>829.646017699115</v>
      </c>
      <c r="AJ177" s="357">
        <f t="shared" si="173"/>
        <v>663.716814159292</v>
      </c>
      <c r="AK177" s="357">
        <f t="shared" si="173"/>
        <v>497.787610619469</v>
      </c>
      <c r="AL177" s="357">
        <f t="shared" si="173"/>
        <v>331.858407079646</v>
      </c>
      <c r="AM177" s="357">
        <f t="shared" si="173"/>
        <v>165.929203539823</v>
      </c>
      <c r="AN177" s="357">
        <f t="shared" si="173"/>
        <v>0</v>
      </c>
      <c r="AO177" s="357">
        <f t="shared" si="173"/>
        <v>1161.50442477876</v>
      </c>
      <c r="AP177" s="357">
        <f t="shared" si="173"/>
        <v>995.575221238938</v>
      </c>
      <c r="AQ177" s="357">
        <f t="shared" si="173"/>
        <v>829.646017699115</v>
      </c>
      <c r="AR177" s="357">
        <f t="shared" si="173"/>
        <v>663.716814159292</v>
      </c>
      <c r="AS177" s="357">
        <f t="shared" si="173"/>
        <v>497.787610619469</v>
      </c>
      <c r="AT177" s="357">
        <f t="shared" si="173"/>
        <v>331.858407079646</v>
      </c>
      <c r="AU177" s="357">
        <f t="shared" si="173"/>
        <v>165.929203539823</v>
      </c>
      <c r="AV177" s="357">
        <f t="shared" si="173"/>
        <v>0</v>
      </c>
      <c r="AW177" s="357">
        <f t="shared" si="173"/>
        <v>1106.19469026549</v>
      </c>
      <c r="AX177" s="357">
        <f t="shared" si="173"/>
        <v>884.955752212389</v>
      </c>
      <c r="AY177" s="357">
        <f t="shared" si="173"/>
        <v>663.716814159292</v>
      </c>
      <c r="AZ177" s="357">
        <f t="shared" si="173"/>
        <v>442.477876106195</v>
      </c>
      <c r="BA177" s="359">
        <f t="shared" si="173"/>
        <v>221.238938053097</v>
      </c>
    </row>
    <row r="178" s="105" customFormat="1" spans="2:53">
      <c r="B178" s="408"/>
      <c r="C178" s="133" t="s">
        <v>736</v>
      </c>
      <c r="D178" s="366">
        <f>SUM(F178:BA178)</f>
        <v>5309.73451327434</v>
      </c>
      <c r="E178" s="367" t="s">
        <v>130</v>
      </c>
      <c r="F178" s="366">
        <f>参数输入表!I749/(1+参数输入表!$I$799)</f>
        <v>0</v>
      </c>
      <c r="G178" s="366">
        <f>参数输入表!I750/(1+参数输入表!$I$799)</f>
        <v>0</v>
      </c>
      <c r="H178" s="366">
        <f>参数输入表!I751/(1+参数输入表!$I$799)</f>
        <v>0</v>
      </c>
      <c r="I178" s="366">
        <f>参数输入表!I752/(1+参数输入表!$I$799)</f>
        <v>0</v>
      </c>
      <c r="J178" s="366">
        <f>参数输入表!I753/(1+参数输入表!$I$799)</f>
        <v>0</v>
      </c>
      <c r="K178" s="366">
        <f>参数输入表!I754/(1+参数输入表!$I$799)</f>
        <v>0</v>
      </c>
      <c r="L178" s="366">
        <f>参数输入表!I755/(1+参数输入表!$I$799)</f>
        <v>0</v>
      </c>
      <c r="M178" s="366">
        <f>参数输入表!I756/(1+参数输入表!$I$799)</f>
        <v>0</v>
      </c>
      <c r="N178" s="366">
        <f>参数输入表!I757/(1+参数输入表!$I$799)</f>
        <v>0</v>
      </c>
      <c r="O178" s="366">
        <f>参数输入表!I758/(1+参数输入表!$I$799)</f>
        <v>0</v>
      </c>
      <c r="P178" s="366">
        <f>参数输入表!I759/(1+参数输入表!$I$799)</f>
        <v>0</v>
      </c>
      <c r="Q178" s="366">
        <f>参数输入表!I760/(1+参数输入表!$I$799)</f>
        <v>0</v>
      </c>
      <c r="R178" s="366">
        <f>参数输入表!I761/(1+参数输入表!$I$799)</f>
        <v>0</v>
      </c>
      <c r="S178" s="366">
        <f>参数输入表!I762/(1+参数输入表!$I$799)</f>
        <v>0</v>
      </c>
      <c r="T178" s="366">
        <f>参数输入表!I763/(1+参数输入表!$I$799)</f>
        <v>0</v>
      </c>
      <c r="U178" s="366">
        <f>参数输入表!I764/(1+参数输入表!$I$799)</f>
        <v>0</v>
      </c>
      <c r="V178" s="366">
        <f>参数输入表!I765/(1+参数输入表!$I$799)</f>
        <v>0</v>
      </c>
      <c r="W178" s="366">
        <f>参数输入表!I766/(1+参数输入表!$I$799)</f>
        <v>0</v>
      </c>
      <c r="X178" s="366">
        <f>参数输入表!I767/(1+参数输入表!$I$799)</f>
        <v>1327.43362831858</v>
      </c>
      <c r="Y178" s="366">
        <f>参数输入表!I768/(1+参数输入表!$I$799)</f>
        <v>0</v>
      </c>
      <c r="Z178" s="366">
        <f>参数输入表!I769/(1+参数输入表!$I$799)</f>
        <v>0</v>
      </c>
      <c r="AA178" s="366">
        <f>参数输入表!I770/(1+参数输入表!$I$799)</f>
        <v>0</v>
      </c>
      <c r="AB178" s="366">
        <f>参数输入表!I771/(1+参数输入表!$I$799)</f>
        <v>0</v>
      </c>
      <c r="AC178" s="366">
        <f>参数输入表!I772/(1+参数输入表!$I$799)</f>
        <v>0</v>
      </c>
      <c r="AD178" s="366">
        <f>参数输入表!I773/(1+参数输入表!$I$799)</f>
        <v>0</v>
      </c>
      <c r="AE178" s="366">
        <f>参数输入表!I774/(1+参数输入表!$I$799)</f>
        <v>0</v>
      </c>
      <c r="AF178" s="366">
        <f>参数输入表!I775/(1+参数输入表!$I$799)</f>
        <v>1327.43362831858</v>
      </c>
      <c r="AG178" s="366">
        <f>参数输入表!I776/(1+参数输入表!$I$799)</f>
        <v>0</v>
      </c>
      <c r="AH178" s="366">
        <f>参数输入表!I777/(1+参数输入表!$I$799)</f>
        <v>0</v>
      </c>
      <c r="AI178" s="366">
        <f>参数输入表!I778/(1+参数输入表!$I$799)</f>
        <v>0</v>
      </c>
      <c r="AJ178" s="366">
        <f>参数输入表!I779/(1+参数输入表!$I$799)</f>
        <v>0</v>
      </c>
      <c r="AK178" s="366">
        <f>参数输入表!I780/(1+参数输入表!$I$799)</f>
        <v>0</v>
      </c>
      <c r="AL178" s="366">
        <f>参数输入表!I781/(1+参数输入表!$I$799)</f>
        <v>0</v>
      </c>
      <c r="AM178" s="366">
        <f>参数输入表!I782/(1+参数输入表!$I$799)</f>
        <v>0</v>
      </c>
      <c r="AN178" s="366">
        <f>参数输入表!I783/(1+参数输入表!$I$799)</f>
        <v>1327.43362831858</v>
      </c>
      <c r="AO178" s="366">
        <f>参数输入表!I784/(1+参数输入表!$I$799)</f>
        <v>0</v>
      </c>
      <c r="AP178" s="366">
        <f>参数输入表!I785/(1+参数输入表!$I$799)</f>
        <v>0</v>
      </c>
      <c r="AQ178" s="366">
        <f>参数输入表!I786/(1+参数输入表!$I$799)</f>
        <v>0</v>
      </c>
      <c r="AR178" s="366">
        <f>参数输入表!I787/(1+参数输入表!$I$799)</f>
        <v>0</v>
      </c>
      <c r="AS178" s="366">
        <f>参数输入表!I788/(1+参数输入表!$I$799)</f>
        <v>0</v>
      </c>
      <c r="AT178" s="366">
        <f>参数输入表!I789/(1+参数输入表!$I$799)</f>
        <v>0</v>
      </c>
      <c r="AU178" s="366">
        <f>参数输入表!I790/(1+参数输入表!$I$799)</f>
        <v>0</v>
      </c>
      <c r="AV178" s="366">
        <f>参数输入表!I791/(1+参数输入表!$I$799)</f>
        <v>1327.43362831858</v>
      </c>
      <c r="AW178" s="366">
        <f>参数输入表!I792/(1+参数输入表!$I$799)</f>
        <v>0</v>
      </c>
      <c r="AX178" s="366">
        <f>参数输入表!I793/(1+参数输入表!$I$799)</f>
        <v>0</v>
      </c>
      <c r="AY178" s="366">
        <f>参数输入表!I794/(1+参数输入表!$I$799)</f>
        <v>0</v>
      </c>
      <c r="AZ178" s="366">
        <f>参数输入表!I795/(1+参数输入表!$I$799)</f>
        <v>0</v>
      </c>
      <c r="BA178" s="385">
        <f>参数输入表!I796/(1+参数输入表!$I$799)</f>
        <v>0</v>
      </c>
    </row>
    <row r="179" s="105" customFormat="1" spans="2:53">
      <c r="B179" s="408"/>
      <c r="C179" s="370" t="s">
        <v>737</v>
      </c>
      <c r="D179" s="371">
        <f>SUM(F179:BA179)</f>
        <v>5309.73451327434</v>
      </c>
      <c r="E179" s="367" t="s">
        <v>130</v>
      </c>
      <c r="F179" s="371">
        <f>SUM(F180:F227)</f>
        <v>0</v>
      </c>
      <c r="G179" s="371">
        <f t="shared" ref="G179:BA179" si="174">SUM(G180:G227)</f>
        <v>0</v>
      </c>
      <c r="H179" s="371">
        <f t="shared" si="174"/>
        <v>0</v>
      </c>
      <c r="I179" s="371">
        <f t="shared" si="174"/>
        <v>0</v>
      </c>
      <c r="J179" s="371">
        <f t="shared" si="174"/>
        <v>0</v>
      </c>
      <c r="K179" s="371">
        <f t="shared" si="174"/>
        <v>0</v>
      </c>
      <c r="L179" s="371">
        <f t="shared" si="174"/>
        <v>0</v>
      </c>
      <c r="M179" s="371">
        <f t="shared" si="174"/>
        <v>0</v>
      </c>
      <c r="N179" s="371">
        <f t="shared" si="174"/>
        <v>0</v>
      </c>
      <c r="O179" s="371">
        <f t="shared" si="174"/>
        <v>0</v>
      </c>
      <c r="P179" s="371">
        <f t="shared" si="174"/>
        <v>0</v>
      </c>
      <c r="Q179" s="371">
        <f t="shared" si="174"/>
        <v>0</v>
      </c>
      <c r="R179" s="371">
        <f t="shared" si="174"/>
        <v>0</v>
      </c>
      <c r="S179" s="371">
        <f t="shared" si="174"/>
        <v>0</v>
      </c>
      <c r="T179" s="371">
        <f t="shared" si="174"/>
        <v>0</v>
      </c>
      <c r="U179" s="371">
        <f t="shared" si="174"/>
        <v>0</v>
      </c>
      <c r="V179" s="371">
        <f t="shared" si="174"/>
        <v>0</v>
      </c>
      <c r="W179" s="371">
        <f t="shared" si="174"/>
        <v>0</v>
      </c>
      <c r="X179" s="371">
        <f t="shared" si="174"/>
        <v>165.929203539823</v>
      </c>
      <c r="Y179" s="371">
        <f t="shared" si="174"/>
        <v>165.929203539823</v>
      </c>
      <c r="Z179" s="371">
        <f t="shared" si="174"/>
        <v>165.929203539823</v>
      </c>
      <c r="AA179" s="371">
        <f t="shared" si="174"/>
        <v>165.929203539823</v>
      </c>
      <c r="AB179" s="371">
        <f t="shared" si="174"/>
        <v>165.929203539823</v>
      </c>
      <c r="AC179" s="371">
        <f t="shared" si="174"/>
        <v>165.929203539823</v>
      </c>
      <c r="AD179" s="371">
        <f t="shared" si="174"/>
        <v>165.929203539823</v>
      </c>
      <c r="AE179" s="371">
        <f t="shared" si="174"/>
        <v>165.929203539823</v>
      </c>
      <c r="AF179" s="371">
        <f t="shared" si="174"/>
        <v>165.929203539823</v>
      </c>
      <c r="AG179" s="371">
        <f t="shared" si="174"/>
        <v>165.929203539823</v>
      </c>
      <c r="AH179" s="371">
        <f t="shared" si="174"/>
        <v>165.929203539823</v>
      </c>
      <c r="AI179" s="371">
        <f t="shared" si="174"/>
        <v>165.929203539823</v>
      </c>
      <c r="AJ179" s="371">
        <f t="shared" si="174"/>
        <v>165.929203539823</v>
      </c>
      <c r="AK179" s="371">
        <f t="shared" si="174"/>
        <v>165.929203539823</v>
      </c>
      <c r="AL179" s="371">
        <f t="shared" si="174"/>
        <v>165.929203539823</v>
      </c>
      <c r="AM179" s="371">
        <f t="shared" si="174"/>
        <v>165.929203539823</v>
      </c>
      <c r="AN179" s="371">
        <f t="shared" si="174"/>
        <v>165.929203539823</v>
      </c>
      <c r="AO179" s="371">
        <f t="shared" si="174"/>
        <v>165.929203539823</v>
      </c>
      <c r="AP179" s="371">
        <f t="shared" si="174"/>
        <v>165.929203539823</v>
      </c>
      <c r="AQ179" s="371">
        <f t="shared" si="174"/>
        <v>165.929203539823</v>
      </c>
      <c r="AR179" s="371">
        <f t="shared" si="174"/>
        <v>165.929203539823</v>
      </c>
      <c r="AS179" s="371">
        <f t="shared" si="174"/>
        <v>165.929203539823</v>
      </c>
      <c r="AT179" s="371">
        <f t="shared" si="174"/>
        <v>165.929203539823</v>
      </c>
      <c r="AU179" s="371">
        <f t="shared" si="174"/>
        <v>165.929203539823</v>
      </c>
      <c r="AV179" s="371">
        <f t="shared" si="174"/>
        <v>221.238938053097</v>
      </c>
      <c r="AW179" s="371">
        <f t="shared" si="174"/>
        <v>221.238938053097</v>
      </c>
      <c r="AX179" s="371">
        <f t="shared" si="174"/>
        <v>221.238938053097</v>
      </c>
      <c r="AY179" s="371">
        <f t="shared" si="174"/>
        <v>221.238938053097</v>
      </c>
      <c r="AZ179" s="371">
        <f t="shared" si="174"/>
        <v>221.238938053097</v>
      </c>
      <c r="BA179" s="386">
        <f t="shared" si="174"/>
        <v>221.238938053097</v>
      </c>
    </row>
    <row r="180" s="105" customFormat="1" spans="2:53">
      <c r="B180" s="408"/>
      <c r="C180" s="389" t="s">
        <v>74</v>
      </c>
      <c r="D180" s="375">
        <f t="shared" ref="D180:D181" si="175">SUM(F180:BA180)</f>
        <v>0</v>
      </c>
      <c r="E180" s="266" t="s">
        <v>130</v>
      </c>
      <c r="F180" s="368">
        <f>IF('表2-折旧摊销表'!$BA$26+1-'表2-折旧摊销表'!$F$26&gt;=参数输入表!$I$798,$F$178/参数输入表!$I$798,$F$178/('表2-折旧摊销表'!$BA$26+1-'表2-折旧摊销表'!$F$26))</f>
        <v>0</v>
      </c>
      <c r="G180" s="368">
        <f>IF('表2-折旧摊销表'!$BA$26+1-'表2-折旧摊销表'!$F$26&gt;=参数输入表!$I$798,$F$178/参数输入表!$I$798,$F$178/('表2-折旧摊销表'!$BA$26+1-'表2-折旧摊销表'!$F$26))</f>
        <v>0</v>
      </c>
      <c r="H180" s="368">
        <f>IF('表2-折旧摊销表'!$BA$26+1-'表2-折旧摊销表'!$F$26&gt;=参数输入表!$I$798,$F$178/参数输入表!$I$798,$F$178/('表2-折旧摊销表'!$BA$26+1-'表2-折旧摊销表'!$F$26))</f>
        <v>0</v>
      </c>
      <c r="I180" s="368">
        <f>IF('表2-折旧摊销表'!$BA$26+1-'表2-折旧摊销表'!$F$26&gt;=参数输入表!$I$798,$F$178/参数输入表!$I$798,$F$178/('表2-折旧摊销表'!$BA$26+1-'表2-折旧摊销表'!$F$26))</f>
        <v>0</v>
      </c>
      <c r="J180" s="368">
        <f>IF('表2-折旧摊销表'!$BA$26+1-'表2-折旧摊销表'!$F$26&gt;=参数输入表!$I$798,$F$178/参数输入表!$I$798,$F$178/('表2-折旧摊销表'!$BA$26+1-'表2-折旧摊销表'!$F$26))</f>
        <v>0</v>
      </c>
      <c r="K180" s="368">
        <f>IF('表2-折旧摊销表'!$BA$26+1-'表2-折旧摊销表'!$F$26&gt;=参数输入表!$I$798,$F$178/参数输入表!$I$798,$F$178/('表2-折旧摊销表'!$BA$26+1-'表2-折旧摊销表'!$F$26))</f>
        <v>0</v>
      </c>
      <c r="L180" s="368">
        <f>IF('表2-折旧摊销表'!$BA$26+1-'表2-折旧摊销表'!$F$26&gt;=参数输入表!$I$798,$F$178/参数输入表!$I$798,$F$178/('表2-折旧摊销表'!$BA$26+1-'表2-折旧摊销表'!$F$26))</f>
        <v>0</v>
      </c>
      <c r="M180" s="368">
        <f>IF('表2-折旧摊销表'!$BA$26+1-'表2-折旧摊销表'!$F$26&gt;=参数输入表!$I$798,$F$178/参数输入表!$I$798,$F$178/('表2-折旧摊销表'!$BA$26+1-'表2-折旧摊销表'!$F$26))</f>
        <v>0</v>
      </c>
      <c r="N180" s="368"/>
      <c r="O180" s="368"/>
      <c r="P180" s="368"/>
      <c r="Q180" s="368"/>
      <c r="R180" s="368"/>
      <c r="S180" s="368"/>
      <c r="T180" s="368"/>
      <c r="U180" s="368"/>
      <c r="V180" s="368"/>
      <c r="W180" s="368"/>
      <c r="X180" s="368"/>
      <c r="Y180" s="368"/>
      <c r="Z180" s="368"/>
      <c r="AA180" s="368"/>
      <c r="AB180" s="368"/>
      <c r="AC180" s="368"/>
      <c r="AD180" s="368"/>
      <c r="AE180" s="368"/>
      <c r="AF180" s="368"/>
      <c r="AG180" s="368"/>
      <c r="AH180" s="368"/>
      <c r="AI180" s="368"/>
      <c r="AJ180" s="368"/>
      <c r="AK180" s="368"/>
      <c r="AL180" s="368"/>
      <c r="AM180" s="368"/>
      <c r="AN180" s="368"/>
      <c r="AO180" s="368"/>
      <c r="AP180" s="368"/>
      <c r="AQ180" s="368"/>
      <c r="AR180" s="368"/>
      <c r="AS180" s="368"/>
      <c r="AT180" s="368"/>
      <c r="AU180" s="368"/>
      <c r="AV180" s="368"/>
      <c r="AW180" s="368"/>
      <c r="AX180" s="368"/>
      <c r="AY180" s="368"/>
      <c r="AZ180" s="368"/>
      <c r="BA180" s="369"/>
    </row>
    <row r="181" s="105" customFormat="1" spans="2:53">
      <c r="B181" s="408"/>
      <c r="C181" s="389" t="s">
        <v>75</v>
      </c>
      <c r="D181" s="375">
        <f t="shared" si="175"/>
        <v>0</v>
      </c>
      <c r="E181" s="266" t="s">
        <v>130</v>
      </c>
      <c r="F181" s="368"/>
      <c r="G181" s="368">
        <f>IF('表2-折旧摊销表'!$BA$26+1-'表2-折旧摊销表'!$G$26&gt;=参数输入表!$I$798,$G$178/参数输入表!$I$798,$G$178/('表2-折旧摊销表'!$BA$26+1-'表2-折旧摊销表'!$G$26))</f>
        <v>0</v>
      </c>
      <c r="H181" s="368">
        <f>IF('表2-折旧摊销表'!$BA$26+1-'表2-折旧摊销表'!$G$26&gt;=参数输入表!$I$798,$G$178/参数输入表!$I$798,$G$178/('表2-折旧摊销表'!$BA$26+1-'表2-折旧摊销表'!$G$26))</f>
        <v>0</v>
      </c>
      <c r="I181" s="368">
        <f>IF('表2-折旧摊销表'!$BA$26+1-'表2-折旧摊销表'!$G$26&gt;=参数输入表!$I$798,$G$178/参数输入表!$I$798,$G$178/('表2-折旧摊销表'!$BA$26+1-'表2-折旧摊销表'!$G$26))</f>
        <v>0</v>
      </c>
      <c r="J181" s="368">
        <f>IF('表2-折旧摊销表'!$BA$26+1-'表2-折旧摊销表'!$G$26&gt;=参数输入表!$I$798,$G$178/参数输入表!$I$798,$G$178/('表2-折旧摊销表'!$BA$26+1-'表2-折旧摊销表'!$G$26))</f>
        <v>0</v>
      </c>
      <c r="K181" s="368">
        <f>IF('表2-折旧摊销表'!$BA$26+1-'表2-折旧摊销表'!$G$26&gt;=参数输入表!$I$798,$G$178/参数输入表!$I$798,$G$178/('表2-折旧摊销表'!$BA$26+1-'表2-折旧摊销表'!$G$26))</f>
        <v>0</v>
      </c>
      <c r="L181" s="368">
        <f>IF('表2-折旧摊销表'!$BA$26+1-'表2-折旧摊销表'!$G$26&gt;=参数输入表!$I$798,$G$178/参数输入表!$I$798,$G$178/('表2-折旧摊销表'!$BA$26+1-'表2-折旧摊销表'!$G$26))</f>
        <v>0</v>
      </c>
      <c r="M181" s="368">
        <f>IF('表2-折旧摊销表'!$BA$26+1-'表2-折旧摊销表'!$G$26&gt;=参数输入表!$I$798,$G$178/参数输入表!$I$798,$G$178/('表2-折旧摊销表'!$BA$26+1-'表2-折旧摊销表'!$G$26))</f>
        <v>0</v>
      </c>
      <c r="N181" s="368">
        <f>IF('表2-折旧摊销表'!$BA$26+1-'表2-折旧摊销表'!$G$26&gt;=参数输入表!$I$798,$G$178/参数输入表!$I$798,$G$178/('表2-折旧摊销表'!$BA$26+1-'表2-折旧摊销表'!$G$26))</f>
        <v>0</v>
      </c>
      <c r="O181" s="368"/>
      <c r="P181" s="368"/>
      <c r="Q181" s="368"/>
      <c r="R181" s="368"/>
      <c r="S181" s="368"/>
      <c r="T181" s="368"/>
      <c r="U181" s="368"/>
      <c r="V181" s="368"/>
      <c r="W181" s="368"/>
      <c r="X181" s="368"/>
      <c r="Y181" s="368"/>
      <c r="Z181" s="368"/>
      <c r="AA181" s="368"/>
      <c r="AB181" s="368"/>
      <c r="AC181" s="368"/>
      <c r="AD181" s="368"/>
      <c r="AE181" s="368"/>
      <c r="AF181" s="368"/>
      <c r="AG181" s="368"/>
      <c r="AH181" s="368"/>
      <c r="AI181" s="368"/>
      <c r="AJ181" s="368"/>
      <c r="AK181" s="368"/>
      <c r="AL181" s="368"/>
      <c r="AM181" s="368"/>
      <c r="AN181" s="368"/>
      <c r="AO181" s="368"/>
      <c r="AP181" s="368"/>
      <c r="AQ181" s="368"/>
      <c r="AR181" s="368"/>
      <c r="AS181" s="368"/>
      <c r="AT181" s="368"/>
      <c r="AU181" s="368"/>
      <c r="AV181" s="368"/>
      <c r="AW181" s="368"/>
      <c r="AX181" s="368"/>
      <c r="AY181" s="368"/>
      <c r="AZ181" s="368"/>
      <c r="BA181" s="369"/>
    </row>
    <row r="182" s="105" customFormat="1" spans="2:53">
      <c r="B182" s="408"/>
      <c r="C182" s="389" t="s">
        <v>76</v>
      </c>
      <c r="D182" s="375">
        <f t="shared" ref="D182:D227" si="176">SUM(F182:BA182)</f>
        <v>0</v>
      </c>
      <c r="E182" s="266" t="s">
        <v>130</v>
      </c>
      <c r="F182" s="368"/>
      <c r="G182" s="368"/>
      <c r="H182" s="368">
        <f>IF('表2-折旧摊销表'!$BA$26+1-'表2-折旧摊销表'!$H$26&gt;=参数输入表!$I$798,$H$178/参数输入表!$I$798,$H$178/('表2-折旧摊销表'!$BA$26+1-'表2-折旧摊销表'!$H$26))</f>
        <v>0</v>
      </c>
      <c r="I182" s="368">
        <f>IF('表2-折旧摊销表'!$BA$26+1-'表2-折旧摊销表'!$H$26&gt;=参数输入表!$I$798,$H$178/参数输入表!$I$798,$H$178/('表2-折旧摊销表'!$BA$26+1-'表2-折旧摊销表'!$H$26))</f>
        <v>0</v>
      </c>
      <c r="J182" s="368">
        <f>IF('表2-折旧摊销表'!$BA$26+1-'表2-折旧摊销表'!$H$26&gt;=参数输入表!$I$798,$H$178/参数输入表!$I$798,$H$178/('表2-折旧摊销表'!$BA$26+1-'表2-折旧摊销表'!$H$26))</f>
        <v>0</v>
      </c>
      <c r="K182" s="368">
        <f>IF('表2-折旧摊销表'!$BA$26+1-'表2-折旧摊销表'!$H$26&gt;=参数输入表!$I$798,$H$178/参数输入表!$I$798,$H$178/('表2-折旧摊销表'!$BA$26+1-'表2-折旧摊销表'!$H$26))</f>
        <v>0</v>
      </c>
      <c r="L182" s="368">
        <f>IF('表2-折旧摊销表'!$BA$26+1-'表2-折旧摊销表'!$H$26&gt;=参数输入表!$I$798,$H$178/参数输入表!$I$798,$H$178/('表2-折旧摊销表'!$BA$26+1-'表2-折旧摊销表'!$H$26))</f>
        <v>0</v>
      </c>
      <c r="M182" s="368">
        <f>IF('表2-折旧摊销表'!$BA$26+1-'表2-折旧摊销表'!$H$26&gt;=参数输入表!$I$798,$H$178/参数输入表!$I$798,$H$178/('表2-折旧摊销表'!$BA$26+1-'表2-折旧摊销表'!$H$26))</f>
        <v>0</v>
      </c>
      <c r="N182" s="368">
        <f>IF('表2-折旧摊销表'!$BA$26+1-'表2-折旧摊销表'!$H$26&gt;=参数输入表!$I$798,$H$178/参数输入表!$I$798,$H$178/('表2-折旧摊销表'!$BA$26+1-'表2-折旧摊销表'!$H$26))</f>
        <v>0</v>
      </c>
      <c r="O182" s="368">
        <f>IF('表2-折旧摊销表'!$BA$26+1-'表2-折旧摊销表'!$H$26&gt;=参数输入表!$I$798,$H$178/参数输入表!$I$798,$H$178/('表2-折旧摊销表'!$BA$26+1-'表2-折旧摊销表'!$H$26))</f>
        <v>0</v>
      </c>
      <c r="P182" s="368"/>
      <c r="Q182" s="368"/>
      <c r="R182" s="368"/>
      <c r="S182" s="368"/>
      <c r="T182" s="368"/>
      <c r="U182" s="368"/>
      <c r="V182" s="368"/>
      <c r="W182" s="368"/>
      <c r="X182" s="368"/>
      <c r="Y182" s="368"/>
      <c r="Z182" s="368"/>
      <c r="AA182" s="368"/>
      <c r="AB182" s="368"/>
      <c r="AC182" s="368"/>
      <c r="AD182" s="368"/>
      <c r="AE182" s="368"/>
      <c r="AF182" s="368"/>
      <c r="AG182" s="368"/>
      <c r="AH182" s="368"/>
      <c r="AI182" s="368"/>
      <c r="AJ182" s="368"/>
      <c r="AK182" s="368"/>
      <c r="AL182" s="368"/>
      <c r="AM182" s="368"/>
      <c r="AN182" s="368"/>
      <c r="AO182" s="368"/>
      <c r="AP182" s="368"/>
      <c r="AQ182" s="368"/>
      <c r="AR182" s="368"/>
      <c r="AS182" s="368"/>
      <c r="AT182" s="368"/>
      <c r="AU182" s="368"/>
      <c r="AV182" s="368"/>
      <c r="AW182" s="368"/>
      <c r="AX182" s="368"/>
      <c r="AY182" s="368"/>
      <c r="AZ182" s="368"/>
      <c r="BA182" s="369"/>
    </row>
    <row r="183" s="105" customFormat="1" spans="2:53">
      <c r="B183" s="408"/>
      <c r="C183" s="389" t="s">
        <v>77</v>
      </c>
      <c r="D183" s="375">
        <f t="shared" si="176"/>
        <v>0</v>
      </c>
      <c r="E183" s="266" t="s">
        <v>130</v>
      </c>
      <c r="F183" s="368"/>
      <c r="G183" s="368"/>
      <c r="H183" s="368"/>
      <c r="I183" s="368">
        <f>IF('表2-折旧摊销表'!$BA$26+1-'表2-折旧摊销表'!$I$26&gt;=参数输入表!$I$798,$I$178/参数输入表!$I$798,$I$178/('表2-折旧摊销表'!$BA$26+1-'表2-折旧摊销表'!$I$26))</f>
        <v>0</v>
      </c>
      <c r="J183" s="368">
        <f>IF('表2-折旧摊销表'!$BA$26+1-'表2-折旧摊销表'!$I$26&gt;=参数输入表!$I$798,$I$178/参数输入表!$I$798,$I$178/('表2-折旧摊销表'!$BA$26+1-'表2-折旧摊销表'!$I$26))</f>
        <v>0</v>
      </c>
      <c r="K183" s="368">
        <f>IF('表2-折旧摊销表'!$BA$26+1-'表2-折旧摊销表'!$I$26&gt;=参数输入表!$I$798,$I$178/参数输入表!$I$798,$I$178/('表2-折旧摊销表'!$BA$26+1-'表2-折旧摊销表'!$I$26))</f>
        <v>0</v>
      </c>
      <c r="L183" s="368">
        <f>IF('表2-折旧摊销表'!$BA$26+1-'表2-折旧摊销表'!$I$26&gt;=参数输入表!$I$798,$I$178/参数输入表!$I$798,$I$178/('表2-折旧摊销表'!$BA$26+1-'表2-折旧摊销表'!$I$26))</f>
        <v>0</v>
      </c>
      <c r="M183" s="368">
        <f>IF('表2-折旧摊销表'!$BA$26+1-'表2-折旧摊销表'!$I$26&gt;=参数输入表!$I$798,$I$178/参数输入表!$I$798,$I$178/('表2-折旧摊销表'!$BA$26+1-'表2-折旧摊销表'!$I$26))</f>
        <v>0</v>
      </c>
      <c r="N183" s="368">
        <f>IF('表2-折旧摊销表'!$BA$26+1-'表2-折旧摊销表'!$I$26&gt;=参数输入表!$I$798,$I$178/参数输入表!$I$798,$I$178/('表2-折旧摊销表'!$BA$26+1-'表2-折旧摊销表'!$I$26))</f>
        <v>0</v>
      </c>
      <c r="O183" s="368">
        <f>IF('表2-折旧摊销表'!$BA$26+1-'表2-折旧摊销表'!$I$26&gt;=参数输入表!$I$798,$I$178/参数输入表!$I$798,$I$178/('表2-折旧摊销表'!$BA$26+1-'表2-折旧摊销表'!$I$26))</f>
        <v>0</v>
      </c>
      <c r="P183" s="368">
        <f>IF('表2-折旧摊销表'!$BA$26+1-'表2-折旧摊销表'!$I$26&gt;=参数输入表!$I$798,$I$178/参数输入表!$I$798,$I$178/('表2-折旧摊销表'!$BA$26+1-'表2-折旧摊销表'!$I$26))</f>
        <v>0</v>
      </c>
      <c r="Q183" s="368"/>
      <c r="R183" s="368"/>
      <c r="S183" s="368"/>
      <c r="T183" s="368"/>
      <c r="U183" s="368"/>
      <c r="V183" s="368"/>
      <c r="W183" s="368"/>
      <c r="X183" s="368"/>
      <c r="Y183" s="368"/>
      <c r="Z183" s="368"/>
      <c r="AA183" s="368"/>
      <c r="AB183" s="368"/>
      <c r="AC183" s="368"/>
      <c r="AD183" s="368"/>
      <c r="AE183" s="368"/>
      <c r="AF183" s="368"/>
      <c r="AG183" s="368"/>
      <c r="AH183" s="368"/>
      <c r="AI183" s="368"/>
      <c r="AJ183" s="368"/>
      <c r="AK183" s="368"/>
      <c r="AL183" s="368"/>
      <c r="AM183" s="368"/>
      <c r="AN183" s="368"/>
      <c r="AO183" s="368"/>
      <c r="AP183" s="368"/>
      <c r="AQ183" s="368"/>
      <c r="AR183" s="368"/>
      <c r="AS183" s="368"/>
      <c r="AT183" s="368"/>
      <c r="AU183" s="368"/>
      <c r="AV183" s="368"/>
      <c r="AW183" s="368"/>
      <c r="AX183" s="368"/>
      <c r="AY183" s="368"/>
      <c r="AZ183" s="368"/>
      <c r="BA183" s="369"/>
    </row>
    <row r="184" s="105" customFormat="1" spans="2:53">
      <c r="B184" s="408"/>
      <c r="C184" s="389" t="s">
        <v>78</v>
      </c>
      <c r="D184" s="375">
        <f t="shared" si="176"/>
        <v>0</v>
      </c>
      <c r="E184" s="266" t="s">
        <v>130</v>
      </c>
      <c r="F184" s="368"/>
      <c r="G184" s="368"/>
      <c r="H184" s="368"/>
      <c r="I184" s="368"/>
      <c r="J184" s="368">
        <f>IF('表2-折旧摊销表'!$BA$26+1-'表2-折旧摊销表'!$J$26&gt;=参数输入表!$I$798,$J$178/参数输入表!$I$798,$J$178/('表2-折旧摊销表'!$BA$26+1-'表2-折旧摊销表'!$J$26))</f>
        <v>0</v>
      </c>
      <c r="K184" s="368">
        <f>IF('表2-折旧摊销表'!$BA$26+1-'表2-折旧摊销表'!$J$26&gt;=参数输入表!$I$798,$J$178/参数输入表!$I$798,$J$178/('表2-折旧摊销表'!$BA$26+1-'表2-折旧摊销表'!$J$26))</f>
        <v>0</v>
      </c>
      <c r="L184" s="368">
        <f>IF('表2-折旧摊销表'!$BA$26+1-'表2-折旧摊销表'!$J$26&gt;=参数输入表!$I$798,$J$178/参数输入表!$I$798,$J$178/('表2-折旧摊销表'!$BA$26+1-'表2-折旧摊销表'!$J$26))</f>
        <v>0</v>
      </c>
      <c r="M184" s="368">
        <f>IF('表2-折旧摊销表'!$BA$26+1-'表2-折旧摊销表'!$J$26&gt;=参数输入表!$I$798,$J$178/参数输入表!$I$798,$J$178/('表2-折旧摊销表'!$BA$26+1-'表2-折旧摊销表'!$J$26))</f>
        <v>0</v>
      </c>
      <c r="N184" s="368">
        <f>IF('表2-折旧摊销表'!$BA$26+1-'表2-折旧摊销表'!$J$26&gt;=参数输入表!$I$798,$J$178/参数输入表!$I$798,$J$178/('表2-折旧摊销表'!$BA$26+1-'表2-折旧摊销表'!$J$26))</f>
        <v>0</v>
      </c>
      <c r="O184" s="368">
        <f>IF('表2-折旧摊销表'!$BA$26+1-'表2-折旧摊销表'!$J$26&gt;=参数输入表!$I$798,$J$178/参数输入表!$I$798,$J$178/('表2-折旧摊销表'!$BA$26+1-'表2-折旧摊销表'!$J$26))</f>
        <v>0</v>
      </c>
      <c r="P184" s="368">
        <f>IF('表2-折旧摊销表'!$BA$26+1-'表2-折旧摊销表'!$J$26&gt;=参数输入表!$I$798,$J$178/参数输入表!$I$798,$J$178/('表2-折旧摊销表'!$BA$26+1-'表2-折旧摊销表'!$J$26))</f>
        <v>0</v>
      </c>
      <c r="Q184" s="368">
        <f>IF('表2-折旧摊销表'!$BA$26+1-'表2-折旧摊销表'!$J$26&gt;=参数输入表!$I$798,$J$178/参数输入表!$I$798,$J$178/('表2-折旧摊销表'!$BA$26+1-'表2-折旧摊销表'!$J$26))</f>
        <v>0</v>
      </c>
      <c r="R184" s="368"/>
      <c r="S184" s="368"/>
      <c r="T184" s="368"/>
      <c r="U184" s="368"/>
      <c r="V184" s="368"/>
      <c r="W184" s="368"/>
      <c r="X184" s="368"/>
      <c r="Y184" s="368"/>
      <c r="Z184" s="368"/>
      <c r="AA184" s="368"/>
      <c r="AB184" s="368"/>
      <c r="AC184" s="368"/>
      <c r="AD184" s="368"/>
      <c r="AE184" s="368"/>
      <c r="AF184" s="368"/>
      <c r="AG184" s="368"/>
      <c r="AH184" s="368"/>
      <c r="AI184" s="368"/>
      <c r="AJ184" s="368"/>
      <c r="AK184" s="368"/>
      <c r="AL184" s="368"/>
      <c r="AM184" s="368"/>
      <c r="AN184" s="368"/>
      <c r="AO184" s="368"/>
      <c r="AP184" s="368"/>
      <c r="AQ184" s="368"/>
      <c r="AR184" s="368"/>
      <c r="AS184" s="368"/>
      <c r="AT184" s="368"/>
      <c r="AU184" s="368"/>
      <c r="AV184" s="368"/>
      <c r="AW184" s="368"/>
      <c r="AX184" s="368"/>
      <c r="AY184" s="368"/>
      <c r="AZ184" s="368"/>
      <c r="BA184" s="369"/>
    </row>
    <row r="185" s="105" customFormat="1" spans="2:53">
      <c r="B185" s="408"/>
      <c r="C185" s="389" t="s">
        <v>79</v>
      </c>
      <c r="D185" s="375">
        <f t="shared" si="176"/>
        <v>0</v>
      </c>
      <c r="E185" s="266" t="s">
        <v>130</v>
      </c>
      <c r="F185" s="368"/>
      <c r="G185" s="368"/>
      <c r="H185" s="368"/>
      <c r="I185" s="368"/>
      <c r="J185" s="368"/>
      <c r="K185" s="368">
        <f>IF('表2-折旧摊销表'!$BA$26+1-'表2-折旧摊销表'!$K$26&gt;=参数输入表!$I$798,$K$178/参数输入表!$I$798,$K$178/('表2-折旧摊销表'!$BA$26+1-'表2-折旧摊销表'!$K$26))</f>
        <v>0</v>
      </c>
      <c r="L185" s="368">
        <f>IF('表2-折旧摊销表'!$BA$26+1-'表2-折旧摊销表'!$K$26&gt;=参数输入表!$I$798,$K$178/参数输入表!$I$798,$K$178/('表2-折旧摊销表'!$BA$26+1-'表2-折旧摊销表'!$K$26))</f>
        <v>0</v>
      </c>
      <c r="M185" s="368">
        <f>IF('表2-折旧摊销表'!$BA$26+1-'表2-折旧摊销表'!$K$26&gt;=参数输入表!$I$798,$K$178/参数输入表!$I$798,$K$178/('表2-折旧摊销表'!$BA$26+1-'表2-折旧摊销表'!$K$26))</f>
        <v>0</v>
      </c>
      <c r="N185" s="368">
        <f>IF('表2-折旧摊销表'!$BA$26+1-'表2-折旧摊销表'!$K$26&gt;=参数输入表!$I$798,$K$178/参数输入表!$I$798,$K$178/('表2-折旧摊销表'!$BA$26+1-'表2-折旧摊销表'!$K$26))</f>
        <v>0</v>
      </c>
      <c r="O185" s="368">
        <f>IF('表2-折旧摊销表'!$BA$26+1-'表2-折旧摊销表'!$K$26&gt;=参数输入表!$I$798,$K$178/参数输入表!$I$798,$K$178/('表2-折旧摊销表'!$BA$26+1-'表2-折旧摊销表'!$K$26))</f>
        <v>0</v>
      </c>
      <c r="P185" s="368">
        <f>IF('表2-折旧摊销表'!$BA$26+1-'表2-折旧摊销表'!$K$26&gt;=参数输入表!$I$798,$K$178/参数输入表!$I$798,$K$178/('表2-折旧摊销表'!$BA$26+1-'表2-折旧摊销表'!$K$26))</f>
        <v>0</v>
      </c>
      <c r="Q185" s="368">
        <f>IF('表2-折旧摊销表'!$BA$26+1-'表2-折旧摊销表'!$K$26&gt;=参数输入表!$I$798,$K$178/参数输入表!$I$798,$K$178/('表2-折旧摊销表'!$BA$26+1-'表2-折旧摊销表'!$K$26))</f>
        <v>0</v>
      </c>
      <c r="R185" s="368">
        <f>IF('表2-折旧摊销表'!$BA$26+1-'表2-折旧摊销表'!$K$26&gt;=参数输入表!$I$798,$K$178/参数输入表!$I$798,$K$178/('表2-折旧摊销表'!$BA$26+1-'表2-折旧摊销表'!$K$26))</f>
        <v>0</v>
      </c>
      <c r="S185" s="368"/>
      <c r="T185" s="368"/>
      <c r="U185" s="368"/>
      <c r="V185" s="368"/>
      <c r="W185" s="368"/>
      <c r="X185" s="368"/>
      <c r="Y185" s="368"/>
      <c r="Z185" s="368"/>
      <c r="AA185" s="368"/>
      <c r="AB185" s="368"/>
      <c r="AC185" s="368"/>
      <c r="AD185" s="368"/>
      <c r="AE185" s="368"/>
      <c r="AF185" s="368"/>
      <c r="AG185" s="368"/>
      <c r="AH185" s="368"/>
      <c r="AI185" s="368"/>
      <c r="AJ185" s="368"/>
      <c r="AK185" s="368"/>
      <c r="AL185" s="368"/>
      <c r="AM185" s="368"/>
      <c r="AN185" s="368"/>
      <c r="AO185" s="368"/>
      <c r="AP185" s="368"/>
      <c r="AQ185" s="368"/>
      <c r="AR185" s="368"/>
      <c r="AS185" s="368"/>
      <c r="AT185" s="368"/>
      <c r="AU185" s="368"/>
      <c r="AV185" s="368"/>
      <c r="AW185" s="368"/>
      <c r="AX185" s="368"/>
      <c r="AY185" s="368"/>
      <c r="AZ185" s="368"/>
      <c r="BA185" s="369"/>
    </row>
    <row r="186" s="105" customFormat="1" spans="2:53">
      <c r="B186" s="408"/>
      <c r="C186" s="389" t="s">
        <v>80</v>
      </c>
      <c r="D186" s="375">
        <f t="shared" si="176"/>
        <v>0</v>
      </c>
      <c r="E186" s="266" t="s">
        <v>130</v>
      </c>
      <c r="F186" s="368"/>
      <c r="G186" s="368"/>
      <c r="H186" s="368"/>
      <c r="I186" s="368"/>
      <c r="J186" s="368"/>
      <c r="K186" s="368"/>
      <c r="L186" s="368">
        <f>IF('表2-折旧摊销表'!$BA$26+1-'表2-折旧摊销表'!$L$26&gt;=参数输入表!$I$798,$L$178/参数输入表!$I$798,$L$178/('表2-折旧摊销表'!$BA$26+1-'表2-折旧摊销表'!$L$26))</f>
        <v>0</v>
      </c>
      <c r="M186" s="368">
        <f>IF('表2-折旧摊销表'!$BA$26+1-'表2-折旧摊销表'!$L$26&gt;=参数输入表!$I$798,$L$178/参数输入表!$I$798,$L$178/('表2-折旧摊销表'!$BA$26+1-'表2-折旧摊销表'!$L$26))</f>
        <v>0</v>
      </c>
      <c r="N186" s="368">
        <f>IF('表2-折旧摊销表'!$BA$26+1-'表2-折旧摊销表'!$L$26&gt;=参数输入表!$I$798,$L$178/参数输入表!$I$798,$L$178/('表2-折旧摊销表'!$BA$26+1-'表2-折旧摊销表'!$L$26))</f>
        <v>0</v>
      </c>
      <c r="O186" s="368">
        <f>IF('表2-折旧摊销表'!$BA$26+1-'表2-折旧摊销表'!$L$26&gt;=参数输入表!$I$798,$L$178/参数输入表!$I$798,$L$178/('表2-折旧摊销表'!$BA$26+1-'表2-折旧摊销表'!$L$26))</f>
        <v>0</v>
      </c>
      <c r="P186" s="368">
        <f>IF('表2-折旧摊销表'!$BA$26+1-'表2-折旧摊销表'!$L$26&gt;=参数输入表!$I$798,$L$178/参数输入表!$I$798,$L$178/('表2-折旧摊销表'!$BA$26+1-'表2-折旧摊销表'!$L$26))</f>
        <v>0</v>
      </c>
      <c r="Q186" s="368">
        <f>IF('表2-折旧摊销表'!$BA$26+1-'表2-折旧摊销表'!$L$26&gt;=参数输入表!$I$798,$L$178/参数输入表!$I$798,$L$178/('表2-折旧摊销表'!$BA$26+1-'表2-折旧摊销表'!$L$26))</f>
        <v>0</v>
      </c>
      <c r="R186" s="368">
        <f>IF('表2-折旧摊销表'!$BA$26+1-'表2-折旧摊销表'!$L$26&gt;=参数输入表!$I$798,$L$178/参数输入表!$I$798,$L$178/('表2-折旧摊销表'!$BA$26+1-'表2-折旧摊销表'!$L$26))</f>
        <v>0</v>
      </c>
      <c r="S186" s="368">
        <f>IF('表2-折旧摊销表'!$BA$26+1-'表2-折旧摊销表'!$L$26&gt;=参数输入表!$I$798,$L$178/参数输入表!$I$798,$L$178/('表2-折旧摊销表'!$BA$26+1-'表2-折旧摊销表'!$L$26))</f>
        <v>0</v>
      </c>
      <c r="T186" s="368"/>
      <c r="U186" s="368"/>
      <c r="V186" s="368"/>
      <c r="W186" s="368"/>
      <c r="X186" s="368"/>
      <c r="Y186" s="368"/>
      <c r="Z186" s="368"/>
      <c r="AA186" s="368"/>
      <c r="AB186" s="368"/>
      <c r="AC186" s="368"/>
      <c r="AD186" s="368"/>
      <c r="AE186" s="368"/>
      <c r="AF186" s="368"/>
      <c r="AG186" s="368"/>
      <c r="AH186" s="368"/>
      <c r="AI186" s="368"/>
      <c r="AJ186" s="368"/>
      <c r="AK186" s="368"/>
      <c r="AL186" s="368"/>
      <c r="AM186" s="368"/>
      <c r="AN186" s="368"/>
      <c r="AO186" s="368"/>
      <c r="AP186" s="368"/>
      <c r="AQ186" s="368"/>
      <c r="AR186" s="368"/>
      <c r="AS186" s="368"/>
      <c r="AT186" s="368"/>
      <c r="AU186" s="368"/>
      <c r="AV186" s="368"/>
      <c r="AW186" s="368"/>
      <c r="AX186" s="368"/>
      <c r="AY186" s="368"/>
      <c r="AZ186" s="368"/>
      <c r="BA186" s="369"/>
    </row>
    <row r="187" s="105" customFormat="1" spans="2:53">
      <c r="B187" s="408"/>
      <c r="C187" s="389" t="s">
        <v>81</v>
      </c>
      <c r="D187" s="375">
        <f t="shared" si="176"/>
        <v>0</v>
      </c>
      <c r="E187" s="266" t="s">
        <v>130</v>
      </c>
      <c r="F187" s="368"/>
      <c r="G187" s="368"/>
      <c r="H187" s="368"/>
      <c r="I187" s="368"/>
      <c r="J187" s="368"/>
      <c r="K187" s="368"/>
      <c r="L187" s="368"/>
      <c r="M187" s="368">
        <f>IF('表2-折旧摊销表'!$BA$26+1-'表2-折旧摊销表'!$M$26&gt;=参数输入表!$I$798,$M$178/参数输入表!$I$798,$M$178/('表2-折旧摊销表'!$BA$26+1-'表2-折旧摊销表'!$M$26))</f>
        <v>0</v>
      </c>
      <c r="N187" s="368">
        <f>IF('表2-折旧摊销表'!$BA$26+1-'表2-折旧摊销表'!$M$26&gt;=参数输入表!$I$798,$M$178/参数输入表!$I$798,$M$178/('表2-折旧摊销表'!$BA$26+1-'表2-折旧摊销表'!$M$26))</f>
        <v>0</v>
      </c>
      <c r="O187" s="368">
        <f>IF('表2-折旧摊销表'!$BA$26+1-'表2-折旧摊销表'!$M$26&gt;=参数输入表!$I$798,$M$178/参数输入表!$I$798,$M$178/('表2-折旧摊销表'!$BA$26+1-'表2-折旧摊销表'!$M$26))</f>
        <v>0</v>
      </c>
      <c r="P187" s="368">
        <f>IF('表2-折旧摊销表'!$BA$26+1-'表2-折旧摊销表'!$M$26&gt;=参数输入表!$I$798,$M$178/参数输入表!$I$798,$M$178/('表2-折旧摊销表'!$BA$26+1-'表2-折旧摊销表'!$M$26))</f>
        <v>0</v>
      </c>
      <c r="Q187" s="368">
        <f>IF('表2-折旧摊销表'!$BA$26+1-'表2-折旧摊销表'!$M$26&gt;=参数输入表!$I$798,$M$178/参数输入表!$I$798,$M$178/('表2-折旧摊销表'!$BA$26+1-'表2-折旧摊销表'!$M$26))</f>
        <v>0</v>
      </c>
      <c r="R187" s="368">
        <f>IF('表2-折旧摊销表'!$BA$26+1-'表2-折旧摊销表'!$M$26&gt;=参数输入表!$I$798,$M$178/参数输入表!$I$798,$M$178/('表2-折旧摊销表'!$BA$26+1-'表2-折旧摊销表'!$M$26))</f>
        <v>0</v>
      </c>
      <c r="S187" s="368">
        <f>IF('表2-折旧摊销表'!$BA$26+1-'表2-折旧摊销表'!$M$26&gt;=参数输入表!$I$798,$M$178/参数输入表!$I$798,$M$178/('表2-折旧摊销表'!$BA$26+1-'表2-折旧摊销表'!$M$26))</f>
        <v>0</v>
      </c>
      <c r="T187" s="368">
        <f>IF('表2-折旧摊销表'!$BA$26+1-'表2-折旧摊销表'!$M$26&gt;=参数输入表!$I$798,$M$178/参数输入表!$I$798,$M$178/('表2-折旧摊销表'!$BA$26+1-'表2-折旧摊销表'!$M$26))</f>
        <v>0</v>
      </c>
      <c r="U187" s="368"/>
      <c r="V187" s="368"/>
      <c r="W187" s="368"/>
      <c r="X187" s="368"/>
      <c r="Y187" s="368"/>
      <c r="Z187" s="368"/>
      <c r="AA187" s="368"/>
      <c r="AB187" s="368"/>
      <c r="AC187" s="368"/>
      <c r="AD187" s="368"/>
      <c r="AE187" s="368"/>
      <c r="AF187" s="368"/>
      <c r="AG187" s="368"/>
      <c r="AH187" s="368"/>
      <c r="AI187" s="368"/>
      <c r="AJ187" s="368"/>
      <c r="AK187" s="368"/>
      <c r="AL187" s="368"/>
      <c r="AM187" s="368"/>
      <c r="AN187" s="368"/>
      <c r="AO187" s="368"/>
      <c r="AP187" s="368"/>
      <c r="AQ187" s="368"/>
      <c r="AR187" s="368"/>
      <c r="AS187" s="368"/>
      <c r="AT187" s="368"/>
      <c r="AU187" s="368"/>
      <c r="AV187" s="368"/>
      <c r="AW187" s="368"/>
      <c r="AX187" s="368"/>
      <c r="AY187" s="368"/>
      <c r="AZ187" s="368"/>
      <c r="BA187" s="369"/>
    </row>
    <row r="188" s="105" customFormat="1" spans="2:53">
      <c r="B188" s="408"/>
      <c r="C188" s="389" t="s">
        <v>82</v>
      </c>
      <c r="D188" s="375">
        <f t="shared" si="176"/>
        <v>0</v>
      </c>
      <c r="E188" s="266" t="s">
        <v>130</v>
      </c>
      <c r="F188" s="368"/>
      <c r="G188" s="368"/>
      <c r="H188" s="368"/>
      <c r="I188" s="368"/>
      <c r="J188" s="368"/>
      <c r="K188" s="368"/>
      <c r="L188" s="368"/>
      <c r="M188" s="368"/>
      <c r="N188" s="368">
        <f>IF('表2-折旧摊销表'!$BA$26+1-'表2-折旧摊销表'!$N$26&gt;=参数输入表!$I$798,$N$178/参数输入表!$I$798,$N$178/('表2-折旧摊销表'!$BA$26+1-'表2-折旧摊销表'!$N$26))</f>
        <v>0</v>
      </c>
      <c r="O188" s="368">
        <f>IF('表2-折旧摊销表'!$BA$26+1-'表2-折旧摊销表'!$N$26&gt;=参数输入表!$I$798,$N$178/参数输入表!$I$798,$N$178/('表2-折旧摊销表'!$BA$26+1-'表2-折旧摊销表'!$N$26))</f>
        <v>0</v>
      </c>
      <c r="P188" s="368">
        <f>IF('表2-折旧摊销表'!$BA$26+1-'表2-折旧摊销表'!$N$26&gt;=参数输入表!$I$798,$N$178/参数输入表!$I$798,$N$178/('表2-折旧摊销表'!$BA$26+1-'表2-折旧摊销表'!$N$26))</f>
        <v>0</v>
      </c>
      <c r="Q188" s="368">
        <f>IF('表2-折旧摊销表'!$BA$26+1-'表2-折旧摊销表'!$N$26&gt;=参数输入表!$I$798,$N$178/参数输入表!$I$798,$N$178/('表2-折旧摊销表'!$BA$26+1-'表2-折旧摊销表'!$N$26))</f>
        <v>0</v>
      </c>
      <c r="R188" s="368">
        <f>IF('表2-折旧摊销表'!$BA$26+1-'表2-折旧摊销表'!$N$26&gt;=参数输入表!$I$798,$N$178/参数输入表!$I$798,$N$178/('表2-折旧摊销表'!$BA$26+1-'表2-折旧摊销表'!$N$26))</f>
        <v>0</v>
      </c>
      <c r="S188" s="368">
        <f>IF('表2-折旧摊销表'!$BA$26+1-'表2-折旧摊销表'!$N$26&gt;=参数输入表!$I$798,$N$178/参数输入表!$I$798,$N$178/('表2-折旧摊销表'!$BA$26+1-'表2-折旧摊销表'!$N$26))</f>
        <v>0</v>
      </c>
      <c r="T188" s="368">
        <f>IF('表2-折旧摊销表'!$BA$26+1-'表2-折旧摊销表'!$N$26&gt;=参数输入表!$I$798,$N$178/参数输入表!$I$798,$N$178/('表2-折旧摊销表'!$BA$26+1-'表2-折旧摊销表'!$N$26))</f>
        <v>0</v>
      </c>
      <c r="U188" s="368">
        <f>IF('表2-折旧摊销表'!$BA$26+1-'表2-折旧摊销表'!$N$26&gt;=参数输入表!$I$798,$N$178/参数输入表!$I$798,$N$178/('表2-折旧摊销表'!$BA$26+1-'表2-折旧摊销表'!$N$26))</f>
        <v>0</v>
      </c>
      <c r="V188" s="368"/>
      <c r="W188" s="368"/>
      <c r="X188" s="368"/>
      <c r="Y188" s="368"/>
      <c r="Z188" s="368"/>
      <c r="AA188" s="368"/>
      <c r="AB188" s="368"/>
      <c r="AC188" s="368"/>
      <c r="AD188" s="368"/>
      <c r="AE188" s="368"/>
      <c r="AF188" s="368"/>
      <c r="AG188" s="368"/>
      <c r="AH188" s="368"/>
      <c r="AI188" s="368"/>
      <c r="AJ188" s="368"/>
      <c r="AK188" s="368"/>
      <c r="AL188" s="368"/>
      <c r="AM188" s="368"/>
      <c r="AN188" s="368"/>
      <c r="AO188" s="368"/>
      <c r="AP188" s="368"/>
      <c r="AQ188" s="368"/>
      <c r="AR188" s="368"/>
      <c r="AS188" s="368"/>
      <c r="AT188" s="368"/>
      <c r="AU188" s="368"/>
      <c r="AV188" s="368"/>
      <c r="AW188" s="368"/>
      <c r="AX188" s="368"/>
      <c r="AY188" s="368"/>
      <c r="AZ188" s="368"/>
      <c r="BA188" s="369"/>
    </row>
    <row r="189" s="105" customFormat="1" spans="2:53">
      <c r="B189" s="408"/>
      <c r="C189" s="389" t="s">
        <v>83</v>
      </c>
      <c r="D189" s="375">
        <f t="shared" si="176"/>
        <v>0</v>
      </c>
      <c r="E189" s="266" t="s">
        <v>130</v>
      </c>
      <c r="F189" s="368"/>
      <c r="G189" s="368"/>
      <c r="H189" s="368"/>
      <c r="I189" s="368"/>
      <c r="J189" s="368"/>
      <c r="K189" s="368"/>
      <c r="L189" s="368"/>
      <c r="M189" s="368"/>
      <c r="N189" s="368"/>
      <c r="O189" s="368">
        <f>IF('表2-折旧摊销表'!$BA$26+1-'表2-折旧摊销表'!$O$26&gt;=参数输入表!$I$798,$O$178/参数输入表!$I$798,$O$178/('表2-折旧摊销表'!$BA$26+1-'表2-折旧摊销表'!$O$26))</f>
        <v>0</v>
      </c>
      <c r="P189" s="368">
        <f>IF('表2-折旧摊销表'!$BA$26+1-'表2-折旧摊销表'!$O$26&gt;=参数输入表!$I$798,$O$178/参数输入表!$I$798,$O$178/('表2-折旧摊销表'!$BA$26+1-'表2-折旧摊销表'!$O$26))</f>
        <v>0</v>
      </c>
      <c r="Q189" s="368">
        <f>IF('表2-折旧摊销表'!$BA$26+1-'表2-折旧摊销表'!$O$26&gt;=参数输入表!$I$798,$O$178/参数输入表!$I$798,$O$178/('表2-折旧摊销表'!$BA$26+1-'表2-折旧摊销表'!$O$26))</f>
        <v>0</v>
      </c>
      <c r="R189" s="368">
        <f>IF('表2-折旧摊销表'!$BA$26+1-'表2-折旧摊销表'!$O$26&gt;=参数输入表!$I$798,$O$178/参数输入表!$I$798,$O$178/('表2-折旧摊销表'!$BA$26+1-'表2-折旧摊销表'!$O$26))</f>
        <v>0</v>
      </c>
      <c r="S189" s="368">
        <f>IF('表2-折旧摊销表'!$BA$26+1-'表2-折旧摊销表'!$O$26&gt;=参数输入表!$I$798,$O$178/参数输入表!$I$798,$O$178/('表2-折旧摊销表'!$BA$26+1-'表2-折旧摊销表'!$O$26))</f>
        <v>0</v>
      </c>
      <c r="T189" s="368">
        <f>IF('表2-折旧摊销表'!$BA$26+1-'表2-折旧摊销表'!$O$26&gt;=参数输入表!$I$798,$O$178/参数输入表!$I$798,$O$178/('表2-折旧摊销表'!$BA$26+1-'表2-折旧摊销表'!$O$26))</f>
        <v>0</v>
      </c>
      <c r="U189" s="368">
        <f>IF('表2-折旧摊销表'!$BA$26+1-'表2-折旧摊销表'!$O$26&gt;=参数输入表!$I$798,$O$178/参数输入表!$I$798,$O$178/('表2-折旧摊销表'!$BA$26+1-'表2-折旧摊销表'!$O$26))</f>
        <v>0</v>
      </c>
      <c r="V189" s="368">
        <f>IF('表2-折旧摊销表'!$BA$26+1-'表2-折旧摊销表'!$O$26&gt;=参数输入表!$I$798,$O$178/参数输入表!$I$798,$O$178/('表2-折旧摊销表'!$BA$26+1-'表2-折旧摊销表'!$O$26))</f>
        <v>0</v>
      </c>
      <c r="W189" s="368"/>
      <c r="X189" s="368"/>
      <c r="Y189" s="368"/>
      <c r="Z189" s="368"/>
      <c r="AA189" s="368"/>
      <c r="AB189" s="368"/>
      <c r="AC189" s="368"/>
      <c r="AD189" s="368"/>
      <c r="AE189" s="368"/>
      <c r="AF189" s="368"/>
      <c r="AG189" s="368"/>
      <c r="AH189" s="368"/>
      <c r="AI189" s="368"/>
      <c r="AJ189" s="368"/>
      <c r="AK189" s="368"/>
      <c r="AL189" s="368"/>
      <c r="AM189" s="368"/>
      <c r="AN189" s="368"/>
      <c r="AO189" s="368"/>
      <c r="AP189" s="368"/>
      <c r="AQ189" s="368"/>
      <c r="AR189" s="368"/>
      <c r="AS189" s="368"/>
      <c r="AT189" s="368"/>
      <c r="AU189" s="368"/>
      <c r="AV189" s="368"/>
      <c r="AW189" s="368"/>
      <c r="AX189" s="368"/>
      <c r="AY189" s="368"/>
      <c r="AZ189" s="368"/>
      <c r="BA189" s="369"/>
    </row>
    <row r="190" s="105" customFormat="1" spans="2:53">
      <c r="B190" s="408"/>
      <c r="C190" s="389" t="s">
        <v>84</v>
      </c>
      <c r="D190" s="375">
        <f t="shared" si="176"/>
        <v>0</v>
      </c>
      <c r="E190" s="266" t="s">
        <v>130</v>
      </c>
      <c r="F190" s="368"/>
      <c r="G190" s="368"/>
      <c r="H190" s="368"/>
      <c r="I190" s="368"/>
      <c r="J190" s="368"/>
      <c r="K190" s="368"/>
      <c r="L190" s="368"/>
      <c r="M190" s="368"/>
      <c r="N190" s="368"/>
      <c r="O190" s="368"/>
      <c r="P190" s="368">
        <f>IF('表2-折旧摊销表'!$BA$26+1-'表2-折旧摊销表'!$P$26&gt;=参数输入表!$I$798,$P$178/参数输入表!$I$798,$P$178/('表2-折旧摊销表'!$BA$26+1-'表2-折旧摊销表'!$P$26))</f>
        <v>0</v>
      </c>
      <c r="Q190" s="368">
        <f>IF('表2-折旧摊销表'!$BA$26+1-'表2-折旧摊销表'!$P$26&gt;=参数输入表!$I$798,$P$178/参数输入表!$I$798,$P$178/('表2-折旧摊销表'!$BA$26+1-'表2-折旧摊销表'!$P$26))</f>
        <v>0</v>
      </c>
      <c r="R190" s="368">
        <f>IF('表2-折旧摊销表'!$BA$26+1-'表2-折旧摊销表'!$P$26&gt;=参数输入表!$I$798,$P$178/参数输入表!$I$798,$P$178/('表2-折旧摊销表'!$BA$26+1-'表2-折旧摊销表'!$P$26))</f>
        <v>0</v>
      </c>
      <c r="S190" s="368">
        <f>IF('表2-折旧摊销表'!$BA$26+1-'表2-折旧摊销表'!$P$26&gt;=参数输入表!$I$798,$P$178/参数输入表!$I$798,$P$178/('表2-折旧摊销表'!$BA$26+1-'表2-折旧摊销表'!$P$26))</f>
        <v>0</v>
      </c>
      <c r="T190" s="368">
        <f>IF('表2-折旧摊销表'!$BA$26+1-'表2-折旧摊销表'!$P$26&gt;=参数输入表!$I$798,$P$178/参数输入表!$I$798,$P$178/('表2-折旧摊销表'!$BA$26+1-'表2-折旧摊销表'!$P$26))</f>
        <v>0</v>
      </c>
      <c r="U190" s="368">
        <f>IF('表2-折旧摊销表'!$BA$26+1-'表2-折旧摊销表'!$P$26&gt;=参数输入表!$I$798,$P$178/参数输入表!$I$798,$P$178/('表2-折旧摊销表'!$BA$26+1-'表2-折旧摊销表'!$P$26))</f>
        <v>0</v>
      </c>
      <c r="V190" s="368">
        <f>IF('表2-折旧摊销表'!$BA$26+1-'表2-折旧摊销表'!$P$26&gt;=参数输入表!$I$798,$P$178/参数输入表!$I$798,$P$178/('表2-折旧摊销表'!$BA$26+1-'表2-折旧摊销表'!$P$26))</f>
        <v>0</v>
      </c>
      <c r="W190" s="368">
        <f>IF('表2-折旧摊销表'!$BA$26+1-'表2-折旧摊销表'!$P$26&gt;=参数输入表!$I$798,$P$178/参数输入表!$I$798,$P$178/('表2-折旧摊销表'!$BA$26+1-'表2-折旧摊销表'!$P$26))</f>
        <v>0</v>
      </c>
      <c r="X190" s="368"/>
      <c r="Y190" s="368"/>
      <c r="Z190" s="368"/>
      <c r="AA190" s="368"/>
      <c r="AB190" s="368"/>
      <c r="AC190" s="368"/>
      <c r="AD190" s="368"/>
      <c r="AE190" s="368"/>
      <c r="AF190" s="368"/>
      <c r="AG190" s="368"/>
      <c r="AH190" s="368"/>
      <c r="AI190" s="368"/>
      <c r="AJ190" s="368"/>
      <c r="AK190" s="368"/>
      <c r="AL190" s="368"/>
      <c r="AM190" s="368"/>
      <c r="AN190" s="368"/>
      <c r="AO190" s="368"/>
      <c r="AP190" s="368"/>
      <c r="AQ190" s="368"/>
      <c r="AR190" s="368"/>
      <c r="AS190" s="368"/>
      <c r="AT190" s="368"/>
      <c r="AU190" s="368"/>
      <c r="AV190" s="368"/>
      <c r="AW190" s="368"/>
      <c r="AX190" s="368"/>
      <c r="AY190" s="368"/>
      <c r="AZ190" s="368"/>
      <c r="BA190" s="369"/>
    </row>
    <row r="191" s="105" customFormat="1" spans="2:53">
      <c r="B191" s="408"/>
      <c r="C191" s="389" t="s">
        <v>85</v>
      </c>
      <c r="D191" s="375">
        <f t="shared" si="176"/>
        <v>0</v>
      </c>
      <c r="E191" s="266" t="s">
        <v>130</v>
      </c>
      <c r="F191" s="368"/>
      <c r="G191" s="368"/>
      <c r="H191" s="368"/>
      <c r="I191" s="368"/>
      <c r="J191" s="368"/>
      <c r="K191" s="368"/>
      <c r="L191" s="368"/>
      <c r="M191" s="368"/>
      <c r="N191" s="368"/>
      <c r="O191" s="368"/>
      <c r="P191" s="368"/>
      <c r="Q191" s="368">
        <f>IF('表2-折旧摊销表'!$BA$26+1-'表2-折旧摊销表'!$Q$26&gt;=参数输入表!$I$798,$Q$178/参数输入表!$I$798,$Q$178/('表2-折旧摊销表'!$BA$26+1-'表2-折旧摊销表'!$Q$26))</f>
        <v>0</v>
      </c>
      <c r="R191" s="368">
        <f>IF('表2-折旧摊销表'!$BA$26+1-'表2-折旧摊销表'!$Q$26&gt;=参数输入表!$I$798,$Q$178/参数输入表!$I$798,$Q$178/('表2-折旧摊销表'!$BA$26+1-'表2-折旧摊销表'!$Q$26))</f>
        <v>0</v>
      </c>
      <c r="S191" s="368">
        <f>IF('表2-折旧摊销表'!$BA$26+1-'表2-折旧摊销表'!$Q$26&gt;=参数输入表!$I$798,$Q$178/参数输入表!$I$798,$Q$178/('表2-折旧摊销表'!$BA$26+1-'表2-折旧摊销表'!$Q$26))</f>
        <v>0</v>
      </c>
      <c r="T191" s="368">
        <f>IF('表2-折旧摊销表'!$BA$26+1-'表2-折旧摊销表'!$Q$26&gt;=参数输入表!$I$798,$Q$178/参数输入表!$I$798,$Q$178/('表2-折旧摊销表'!$BA$26+1-'表2-折旧摊销表'!$Q$26))</f>
        <v>0</v>
      </c>
      <c r="U191" s="368">
        <f>IF('表2-折旧摊销表'!$BA$26+1-'表2-折旧摊销表'!$Q$26&gt;=参数输入表!$I$798,$Q$178/参数输入表!$I$798,$Q$178/('表2-折旧摊销表'!$BA$26+1-'表2-折旧摊销表'!$Q$26))</f>
        <v>0</v>
      </c>
      <c r="V191" s="368">
        <f>IF('表2-折旧摊销表'!$BA$26+1-'表2-折旧摊销表'!$Q$26&gt;=参数输入表!$I$798,$Q$178/参数输入表!$I$798,$Q$178/('表2-折旧摊销表'!$BA$26+1-'表2-折旧摊销表'!$Q$26))</f>
        <v>0</v>
      </c>
      <c r="W191" s="368">
        <f>IF('表2-折旧摊销表'!$BA$26+1-'表2-折旧摊销表'!$Q$26&gt;=参数输入表!$I$798,$Q$178/参数输入表!$I$798,$Q$178/('表2-折旧摊销表'!$BA$26+1-'表2-折旧摊销表'!$Q$26))</f>
        <v>0</v>
      </c>
      <c r="X191" s="368">
        <f>IF('表2-折旧摊销表'!$BA$26+1-'表2-折旧摊销表'!$Q$26&gt;=参数输入表!$I$798,$Q$178/参数输入表!$I$798,$Q$178/('表2-折旧摊销表'!$BA$26+1-'表2-折旧摊销表'!$Q$26))</f>
        <v>0</v>
      </c>
      <c r="Y191" s="368"/>
      <c r="Z191" s="368"/>
      <c r="AA191" s="368"/>
      <c r="AB191" s="368"/>
      <c r="AC191" s="368"/>
      <c r="AD191" s="368"/>
      <c r="AE191" s="368"/>
      <c r="AF191" s="368"/>
      <c r="AG191" s="368"/>
      <c r="AH191" s="368"/>
      <c r="AI191" s="368"/>
      <c r="AJ191" s="368"/>
      <c r="AK191" s="368"/>
      <c r="AL191" s="368"/>
      <c r="AM191" s="368"/>
      <c r="AN191" s="368"/>
      <c r="AO191" s="368"/>
      <c r="AP191" s="368"/>
      <c r="AQ191" s="368"/>
      <c r="AR191" s="368"/>
      <c r="AS191" s="368"/>
      <c r="AT191" s="368"/>
      <c r="AU191" s="368"/>
      <c r="AV191" s="368"/>
      <c r="AW191" s="368"/>
      <c r="AX191" s="368"/>
      <c r="AY191" s="368"/>
      <c r="AZ191" s="368"/>
      <c r="BA191" s="369"/>
    </row>
    <row r="192" s="105" customFormat="1" spans="2:53">
      <c r="B192" s="408"/>
      <c r="C192" s="389" t="s">
        <v>86</v>
      </c>
      <c r="D192" s="375">
        <f t="shared" si="176"/>
        <v>0</v>
      </c>
      <c r="E192" s="266" t="s">
        <v>130</v>
      </c>
      <c r="F192" s="368"/>
      <c r="G192" s="368"/>
      <c r="H192" s="368"/>
      <c r="I192" s="368"/>
      <c r="J192" s="368"/>
      <c r="K192" s="368"/>
      <c r="L192" s="368"/>
      <c r="M192" s="368"/>
      <c r="N192" s="368"/>
      <c r="O192" s="368"/>
      <c r="P192" s="368"/>
      <c r="Q192" s="368"/>
      <c r="R192" s="368">
        <f>IF('表2-折旧摊销表'!$BA$26+1-'表2-折旧摊销表'!$R$26&gt;=参数输入表!$I$798,$R$178/参数输入表!$I$798,$R$178/('表2-折旧摊销表'!$BA$26+1-'表2-折旧摊销表'!$R$26))</f>
        <v>0</v>
      </c>
      <c r="S192" s="368">
        <f>IF('表2-折旧摊销表'!$BA$26+1-'表2-折旧摊销表'!$R$26&gt;=参数输入表!$I$798,$R$178/参数输入表!$I$798,$R$178/('表2-折旧摊销表'!$BA$26+1-'表2-折旧摊销表'!$R$26))</f>
        <v>0</v>
      </c>
      <c r="T192" s="368">
        <f>IF('表2-折旧摊销表'!$BA$26+1-'表2-折旧摊销表'!$R$26&gt;=参数输入表!$I$798,$R$178/参数输入表!$I$798,$R$178/('表2-折旧摊销表'!$BA$26+1-'表2-折旧摊销表'!$R$26))</f>
        <v>0</v>
      </c>
      <c r="U192" s="368">
        <f>IF('表2-折旧摊销表'!$BA$26+1-'表2-折旧摊销表'!$R$26&gt;=参数输入表!$I$798,$R$178/参数输入表!$I$798,$R$178/('表2-折旧摊销表'!$BA$26+1-'表2-折旧摊销表'!$R$26))</f>
        <v>0</v>
      </c>
      <c r="V192" s="368">
        <f>IF('表2-折旧摊销表'!$BA$26+1-'表2-折旧摊销表'!$R$26&gt;=参数输入表!$I$798,$R$178/参数输入表!$I$798,$R$178/('表2-折旧摊销表'!$BA$26+1-'表2-折旧摊销表'!$R$26))</f>
        <v>0</v>
      </c>
      <c r="W192" s="368">
        <f>IF('表2-折旧摊销表'!$BA$26+1-'表2-折旧摊销表'!$R$26&gt;=参数输入表!$I$798,$R$178/参数输入表!$I$798,$R$178/('表2-折旧摊销表'!$BA$26+1-'表2-折旧摊销表'!$R$26))</f>
        <v>0</v>
      </c>
      <c r="X192" s="368">
        <f>IF('表2-折旧摊销表'!$BA$26+1-'表2-折旧摊销表'!$R$26&gt;=参数输入表!$I$798,$R$178/参数输入表!$I$798,$R$178/('表2-折旧摊销表'!$BA$26+1-'表2-折旧摊销表'!$R$26))</f>
        <v>0</v>
      </c>
      <c r="Y192" s="368">
        <f>IF('表2-折旧摊销表'!$BA$26+1-'表2-折旧摊销表'!$R$26&gt;=参数输入表!$I$798,$R$178/参数输入表!$I$798,$R$178/('表2-折旧摊销表'!$BA$26+1-'表2-折旧摊销表'!$R$26))</f>
        <v>0</v>
      </c>
      <c r="Z192" s="368"/>
      <c r="AA192" s="368"/>
      <c r="AB192" s="368"/>
      <c r="AC192" s="368"/>
      <c r="AD192" s="368"/>
      <c r="AE192" s="368"/>
      <c r="AF192" s="368"/>
      <c r="AG192" s="368"/>
      <c r="AH192" s="368"/>
      <c r="AI192" s="368"/>
      <c r="AJ192" s="368"/>
      <c r="AK192" s="368"/>
      <c r="AL192" s="368"/>
      <c r="AM192" s="368"/>
      <c r="AN192" s="368"/>
      <c r="AO192" s="368"/>
      <c r="AP192" s="368"/>
      <c r="AQ192" s="368"/>
      <c r="AR192" s="368"/>
      <c r="AS192" s="368"/>
      <c r="AT192" s="368"/>
      <c r="AU192" s="368"/>
      <c r="AV192" s="368"/>
      <c r="AW192" s="368"/>
      <c r="AX192" s="368"/>
      <c r="AY192" s="368"/>
      <c r="AZ192" s="368"/>
      <c r="BA192" s="369"/>
    </row>
    <row r="193" s="105" customFormat="1" spans="2:53">
      <c r="B193" s="408"/>
      <c r="C193" s="389" t="s">
        <v>87</v>
      </c>
      <c r="D193" s="375">
        <f t="shared" si="176"/>
        <v>0</v>
      </c>
      <c r="E193" s="266" t="s">
        <v>130</v>
      </c>
      <c r="F193" s="368"/>
      <c r="G193" s="368"/>
      <c r="H193" s="368"/>
      <c r="I193" s="368"/>
      <c r="J193" s="368"/>
      <c r="K193" s="368"/>
      <c r="L193" s="368"/>
      <c r="M193" s="368"/>
      <c r="N193" s="368"/>
      <c r="O193" s="368"/>
      <c r="P193" s="368"/>
      <c r="Q193" s="368"/>
      <c r="R193" s="368"/>
      <c r="S193" s="368">
        <f>IF('表2-折旧摊销表'!$BA$26+1-'表2-折旧摊销表'!$S$26&gt;=参数输入表!$I$798,$S$178/参数输入表!$I$798,$S$178/('表2-折旧摊销表'!$BA$26+1-'表2-折旧摊销表'!$S$26))</f>
        <v>0</v>
      </c>
      <c r="T193" s="368">
        <f>IF('表2-折旧摊销表'!$BA$26+1-'表2-折旧摊销表'!$S$26&gt;=参数输入表!$I$798,$S$178/参数输入表!$I$798,$S$178/('表2-折旧摊销表'!$BA$26+1-'表2-折旧摊销表'!$S$26))</f>
        <v>0</v>
      </c>
      <c r="U193" s="368">
        <f>IF('表2-折旧摊销表'!$BA$26+1-'表2-折旧摊销表'!$S$26&gt;=参数输入表!$I$798,$S$178/参数输入表!$I$798,$S$178/('表2-折旧摊销表'!$BA$26+1-'表2-折旧摊销表'!$S$26))</f>
        <v>0</v>
      </c>
      <c r="V193" s="368">
        <f>IF('表2-折旧摊销表'!$BA$26+1-'表2-折旧摊销表'!$S$26&gt;=参数输入表!$I$798,$S$178/参数输入表!$I$798,$S$178/('表2-折旧摊销表'!$BA$26+1-'表2-折旧摊销表'!$S$26))</f>
        <v>0</v>
      </c>
      <c r="W193" s="368">
        <f>IF('表2-折旧摊销表'!$BA$26+1-'表2-折旧摊销表'!$S$26&gt;=参数输入表!$I$798,$S$178/参数输入表!$I$798,$S$178/('表2-折旧摊销表'!$BA$26+1-'表2-折旧摊销表'!$S$26))</f>
        <v>0</v>
      </c>
      <c r="X193" s="368">
        <f>IF('表2-折旧摊销表'!$BA$26+1-'表2-折旧摊销表'!$S$26&gt;=参数输入表!$I$798,$S$178/参数输入表!$I$798,$S$178/('表2-折旧摊销表'!$BA$26+1-'表2-折旧摊销表'!$S$26))</f>
        <v>0</v>
      </c>
      <c r="Y193" s="368">
        <f>IF('表2-折旧摊销表'!$BA$26+1-'表2-折旧摊销表'!$S$26&gt;=参数输入表!$I$798,$S$178/参数输入表!$I$798,$S$178/('表2-折旧摊销表'!$BA$26+1-'表2-折旧摊销表'!$S$26))</f>
        <v>0</v>
      </c>
      <c r="Z193" s="368">
        <f>IF('表2-折旧摊销表'!$BA$26+1-'表2-折旧摊销表'!$S$26&gt;=参数输入表!$I$798,$S$178/参数输入表!$I$798,$S$178/('表2-折旧摊销表'!$BA$26+1-'表2-折旧摊销表'!$S$26))</f>
        <v>0</v>
      </c>
      <c r="AA193" s="368"/>
      <c r="AB193" s="368"/>
      <c r="AC193" s="368"/>
      <c r="AD193" s="368"/>
      <c r="AE193" s="368"/>
      <c r="AF193" s="368"/>
      <c r="AG193" s="368"/>
      <c r="AH193" s="368"/>
      <c r="AI193" s="368"/>
      <c r="AJ193" s="368"/>
      <c r="AK193" s="368"/>
      <c r="AL193" s="368"/>
      <c r="AM193" s="368"/>
      <c r="AN193" s="368"/>
      <c r="AO193" s="368"/>
      <c r="AP193" s="368"/>
      <c r="AQ193" s="368"/>
      <c r="AR193" s="368"/>
      <c r="AS193" s="368"/>
      <c r="AT193" s="368"/>
      <c r="AU193" s="368"/>
      <c r="AV193" s="368"/>
      <c r="AW193" s="368"/>
      <c r="AX193" s="368"/>
      <c r="AY193" s="368"/>
      <c r="AZ193" s="368"/>
      <c r="BA193" s="369"/>
    </row>
    <row r="194" s="105" customFormat="1" spans="2:53">
      <c r="B194" s="408"/>
      <c r="C194" s="389" t="s">
        <v>88</v>
      </c>
      <c r="D194" s="375">
        <f t="shared" si="176"/>
        <v>0</v>
      </c>
      <c r="E194" s="266" t="s">
        <v>130</v>
      </c>
      <c r="F194" s="368"/>
      <c r="G194" s="368"/>
      <c r="H194" s="368"/>
      <c r="I194" s="368"/>
      <c r="J194" s="368"/>
      <c r="K194" s="368"/>
      <c r="L194" s="368"/>
      <c r="M194" s="368"/>
      <c r="N194" s="368"/>
      <c r="O194" s="368"/>
      <c r="P194" s="368"/>
      <c r="Q194" s="368"/>
      <c r="R194" s="368"/>
      <c r="S194" s="368"/>
      <c r="T194" s="368">
        <f>IF('表2-折旧摊销表'!$BA$26+1-'表2-折旧摊销表'!$T$26&gt;=参数输入表!$I$798,$T$178/参数输入表!$I$798,$T$178/('表2-折旧摊销表'!$BA$26+1-'表2-折旧摊销表'!$T$26))</f>
        <v>0</v>
      </c>
      <c r="U194" s="368">
        <f>IF('表2-折旧摊销表'!$BA$26+1-'表2-折旧摊销表'!$T$26&gt;=参数输入表!$I$798,$T$178/参数输入表!$I$798,$T$178/('表2-折旧摊销表'!$BA$26+1-'表2-折旧摊销表'!$T$26))</f>
        <v>0</v>
      </c>
      <c r="V194" s="368">
        <f>IF('表2-折旧摊销表'!$BA$26+1-'表2-折旧摊销表'!$T$26&gt;=参数输入表!$I$798,$T$178/参数输入表!$I$798,$T$178/('表2-折旧摊销表'!$BA$26+1-'表2-折旧摊销表'!$T$26))</f>
        <v>0</v>
      </c>
      <c r="W194" s="368">
        <f>IF('表2-折旧摊销表'!$BA$26+1-'表2-折旧摊销表'!$T$26&gt;=参数输入表!$I$798,$T$178/参数输入表!$I$798,$T$178/('表2-折旧摊销表'!$BA$26+1-'表2-折旧摊销表'!$T$26))</f>
        <v>0</v>
      </c>
      <c r="X194" s="368">
        <f>IF('表2-折旧摊销表'!$BA$26+1-'表2-折旧摊销表'!$T$26&gt;=参数输入表!$I$798,$T$178/参数输入表!$I$798,$T$178/('表2-折旧摊销表'!$BA$26+1-'表2-折旧摊销表'!$T$26))</f>
        <v>0</v>
      </c>
      <c r="Y194" s="368">
        <f>IF('表2-折旧摊销表'!$BA$26+1-'表2-折旧摊销表'!$T$26&gt;=参数输入表!$I$798,$T$178/参数输入表!$I$798,$T$178/('表2-折旧摊销表'!$BA$26+1-'表2-折旧摊销表'!$T$26))</f>
        <v>0</v>
      </c>
      <c r="Z194" s="368">
        <f>IF('表2-折旧摊销表'!$BA$26+1-'表2-折旧摊销表'!$T$26&gt;=参数输入表!$I$798,$T$178/参数输入表!$I$798,$T$178/('表2-折旧摊销表'!$BA$26+1-'表2-折旧摊销表'!$T$26))</f>
        <v>0</v>
      </c>
      <c r="AA194" s="368">
        <f>IF('表2-折旧摊销表'!$BA$26+1-'表2-折旧摊销表'!$T$26&gt;=参数输入表!$I$798,$T$178/参数输入表!$I$798,$T$178/('表2-折旧摊销表'!$BA$26+1-'表2-折旧摊销表'!$T$26))</f>
        <v>0</v>
      </c>
      <c r="AB194" s="368"/>
      <c r="AC194" s="368"/>
      <c r="AD194" s="368"/>
      <c r="AE194" s="368"/>
      <c r="AF194" s="368"/>
      <c r="AG194" s="368"/>
      <c r="AH194" s="368"/>
      <c r="AI194" s="368"/>
      <c r="AJ194" s="368"/>
      <c r="AK194" s="368"/>
      <c r="AL194" s="368"/>
      <c r="AM194" s="368"/>
      <c r="AN194" s="368"/>
      <c r="AO194" s="368"/>
      <c r="AP194" s="368"/>
      <c r="AQ194" s="368"/>
      <c r="AR194" s="368"/>
      <c r="AS194" s="368"/>
      <c r="AT194" s="368"/>
      <c r="AU194" s="368"/>
      <c r="AV194" s="368"/>
      <c r="AW194" s="368"/>
      <c r="AX194" s="368"/>
      <c r="AY194" s="368"/>
      <c r="AZ194" s="368"/>
      <c r="BA194" s="369"/>
    </row>
    <row r="195" s="105" customFormat="1" spans="2:53">
      <c r="B195" s="408"/>
      <c r="C195" s="389" t="s">
        <v>89</v>
      </c>
      <c r="D195" s="375">
        <f t="shared" si="176"/>
        <v>0</v>
      </c>
      <c r="E195" s="266" t="s">
        <v>130</v>
      </c>
      <c r="F195" s="368"/>
      <c r="G195" s="368"/>
      <c r="H195" s="368"/>
      <c r="I195" s="368"/>
      <c r="J195" s="368"/>
      <c r="K195" s="368"/>
      <c r="L195" s="368"/>
      <c r="M195" s="368"/>
      <c r="N195" s="368"/>
      <c r="O195" s="368"/>
      <c r="P195" s="368"/>
      <c r="Q195" s="368"/>
      <c r="R195" s="368"/>
      <c r="S195" s="368"/>
      <c r="T195" s="368"/>
      <c r="U195" s="368">
        <f>IF('表2-折旧摊销表'!$BA$26+1-'表2-折旧摊销表'!$U$26&gt;=参数输入表!$I$798,$U$178/参数输入表!$I$798,$U$178/('表2-折旧摊销表'!$BA$26+1-'表2-折旧摊销表'!$U$26))</f>
        <v>0</v>
      </c>
      <c r="V195" s="368">
        <f>IF('表2-折旧摊销表'!$BA$26+1-'表2-折旧摊销表'!$U$26&gt;=参数输入表!$I$798,$U$178/参数输入表!$I$798,$U$178/('表2-折旧摊销表'!$BA$26+1-'表2-折旧摊销表'!$U$26))</f>
        <v>0</v>
      </c>
      <c r="W195" s="368">
        <f>IF('表2-折旧摊销表'!$BA$26+1-'表2-折旧摊销表'!$U$26&gt;=参数输入表!$I$798,$U$178/参数输入表!$I$798,$U$178/('表2-折旧摊销表'!$BA$26+1-'表2-折旧摊销表'!$U$26))</f>
        <v>0</v>
      </c>
      <c r="X195" s="368">
        <f>IF('表2-折旧摊销表'!$BA$26+1-'表2-折旧摊销表'!$U$26&gt;=参数输入表!$I$798,$U$178/参数输入表!$I$798,$U$178/('表2-折旧摊销表'!$BA$26+1-'表2-折旧摊销表'!$U$26))</f>
        <v>0</v>
      </c>
      <c r="Y195" s="368">
        <f>IF('表2-折旧摊销表'!$BA$26+1-'表2-折旧摊销表'!$U$26&gt;=参数输入表!$I$798,$U$178/参数输入表!$I$798,$U$178/('表2-折旧摊销表'!$BA$26+1-'表2-折旧摊销表'!$U$26))</f>
        <v>0</v>
      </c>
      <c r="Z195" s="368">
        <f>IF('表2-折旧摊销表'!$BA$26+1-'表2-折旧摊销表'!$U$26&gt;=参数输入表!$I$798,$U$178/参数输入表!$I$798,$U$178/('表2-折旧摊销表'!$BA$26+1-'表2-折旧摊销表'!$U$26))</f>
        <v>0</v>
      </c>
      <c r="AA195" s="368">
        <f>IF('表2-折旧摊销表'!$BA$26+1-'表2-折旧摊销表'!$U$26&gt;=参数输入表!$I$798,$U$178/参数输入表!$I$798,$U$178/('表2-折旧摊销表'!$BA$26+1-'表2-折旧摊销表'!$U$26))</f>
        <v>0</v>
      </c>
      <c r="AB195" s="368">
        <f>IF('表2-折旧摊销表'!$BA$26+1-'表2-折旧摊销表'!$U$26&gt;=参数输入表!$I$798,$U$178/参数输入表!$I$798,$U$178/('表2-折旧摊销表'!$BA$26+1-'表2-折旧摊销表'!$U$26))</f>
        <v>0</v>
      </c>
      <c r="AC195" s="368"/>
      <c r="AD195" s="368"/>
      <c r="AE195" s="368"/>
      <c r="AF195" s="368"/>
      <c r="AG195" s="368"/>
      <c r="AH195" s="368"/>
      <c r="AI195" s="368"/>
      <c r="AJ195" s="368"/>
      <c r="AK195" s="368"/>
      <c r="AL195" s="368"/>
      <c r="AM195" s="368"/>
      <c r="AN195" s="368"/>
      <c r="AO195" s="368"/>
      <c r="AP195" s="368"/>
      <c r="AQ195" s="368"/>
      <c r="AR195" s="368"/>
      <c r="AS195" s="368"/>
      <c r="AT195" s="368"/>
      <c r="AU195" s="368"/>
      <c r="AV195" s="368"/>
      <c r="AW195" s="368"/>
      <c r="AX195" s="368"/>
      <c r="AY195" s="368"/>
      <c r="AZ195" s="368"/>
      <c r="BA195" s="369"/>
    </row>
    <row r="196" s="105" customFormat="1" spans="2:53">
      <c r="B196" s="408"/>
      <c r="C196" s="389" t="s">
        <v>90</v>
      </c>
      <c r="D196" s="375">
        <f t="shared" si="176"/>
        <v>0</v>
      </c>
      <c r="E196" s="266" t="s">
        <v>130</v>
      </c>
      <c r="F196" s="368"/>
      <c r="G196" s="368"/>
      <c r="H196" s="368"/>
      <c r="I196" s="368"/>
      <c r="J196" s="368"/>
      <c r="K196" s="368"/>
      <c r="L196" s="368"/>
      <c r="M196" s="368"/>
      <c r="N196" s="368"/>
      <c r="O196" s="368"/>
      <c r="P196" s="368"/>
      <c r="Q196" s="368"/>
      <c r="R196" s="368"/>
      <c r="S196" s="368"/>
      <c r="T196" s="368"/>
      <c r="U196" s="368"/>
      <c r="V196" s="368">
        <f>IF('表2-折旧摊销表'!$BA$26+1-'表2-折旧摊销表'!$V$26&gt;=参数输入表!$I$798,$V$178/参数输入表!$I$798,$V$178/('表2-折旧摊销表'!$BA$26+1-'表2-折旧摊销表'!$V$26))</f>
        <v>0</v>
      </c>
      <c r="W196" s="368">
        <f>IF('表2-折旧摊销表'!$BA$26+1-'表2-折旧摊销表'!$V$26&gt;=参数输入表!$I$798,$V$178/参数输入表!$I$798,$V$178/('表2-折旧摊销表'!$BA$26+1-'表2-折旧摊销表'!$V$26))</f>
        <v>0</v>
      </c>
      <c r="X196" s="368">
        <f>IF('表2-折旧摊销表'!$BA$26+1-'表2-折旧摊销表'!$V$26&gt;=参数输入表!$I$798,$V$178/参数输入表!$I$798,$V$178/('表2-折旧摊销表'!$BA$26+1-'表2-折旧摊销表'!$V$26))</f>
        <v>0</v>
      </c>
      <c r="Y196" s="368">
        <f>IF('表2-折旧摊销表'!$BA$26+1-'表2-折旧摊销表'!$V$26&gt;=参数输入表!$I$798,$V$178/参数输入表!$I$798,$V$178/('表2-折旧摊销表'!$BA$26+1-'表2-折旧摊销表'!$V$26))</f>
        <v>0</v>
      </c>
      <c r="Z196" s="368">
        <f>IF('表2-折旧摊销表'!$BA$26+1-'表2-折旧摊销表'!$V$26&gt;=参数输入表!$I$798,$V$178/参数输入表!$I$798,$V$178/('表2-折旧摊销表'!$BA$26+1-'表2-折旧摊销表'!$V$26))</f>
        <v>0</v>
      </c>
      <c r="AA196" s="368">
        <f>IF('表2-折旧摊销表'!$BA$26+1-'表2-折旧摊销表'!$V$26&gt;=参数输入表!$I$798,$V$178/参数输入表!$I$798,$V$178/('表2-折旧摊销表'!$BA$26+1-'表2-折旧摊销表'!$V$26))</f>
        <v>0</v>
      </c>
      <c r="AB196" s="368">
        <f>IF('表2-折旧摊销表'!$BA$26+1-'表2-折旧摊销表'!$V$26&gt;=参数输入表!$I$798,$V$178/参数输入表!$I$798,$V$178/('表2-折旧摊销表'!$BA$26+1-'表2-折旧摊销表'!$V$26))</f>
        <v>0</v>
      </c>
      <c r="AC196" s="368">
        <f>IF('表2-折旧摊销表'!$BA$26+1-'表2-折旧摊销表'!$V$26&gt;=参数输入表!$I$798,$V$178/参数输入表!$I$798,$V$178/('表2-折旧摊销表'!$BA$26+1-'表2-折旧摊销表'!$V$26))</f>
        <v>0</v>
      </c>
      <c r="AD196" s="368"/>
      <c r="AE196" s="368"/>
      <c r="AF196" s="368"/>
      <c r="AG196" s="368"/>
      <c r="AH196" s="368"/>
      <c r="AI196" s="368"/>
      <c r="AJ196" s="368"/>
      <c r="AK196" s="368"/>
      <c r="AL196" s="368"/>
      <c r="AM196" s="368"/>
      <c r="AN196" s="368"/>
      <c r="AO196" s="368"/>
      <c r="AP196" s="368"/>
      <c r="AQ196" s="368"/>
      <c r="AR196" s="368"/>
      <c r="AS196" s="368"/>
      <c r="AT196" s="368"/>
      <c r="AU196" s="368"/>
      <c r="AV196" s="368"/>
      <c r="AW196" s="368"/>
      <c r="AX196" s="368"/>
      <c r="AY196" s="368"/>
      <c r="AZ196" s="368"/>
      <c r="BA196" s="369"/>
    </row>
    <row r="197" s="105" customFormat="1" spans="2:53">
      <c r="B197" s="408"/>
      <c r="C197" s="389" t="s">
        <v>91</v>
      </c>
      <c r="D197" s="375">
        <f t="shared" si="176"/>
        <v>0</v>
      </c>
      <c r="E197" s="266" t="s">
        <v>130</v>
      </c>
      <c r="F197" s="368"/>
      <c r="G197" s="368"/>
      <c r="H197" s="368"/>
      <c r="I197" s="368"/>
      <c r="J197" s="368"/>
      <c r="K197" s="368"/>
      <c r="L197" s="368"/>
      <c r="M197" s="368"/>
      <c r="N197" s="368"/>
      <c r="O197" s="368"/>
      <c r="P197" s="368"/>
      <c r="Q197" s="368"/>
      <c r="R197" s="368"/>
      <c r="S197" s="368"/>
      <c r="T197" s="368"/>
      <c r="U197" s="368"/>
      <c r="V197" s="368"/>
      <c r="W197" s="368">
        <f>IF('表2-折旧摊销表'!$BA$26+1-'表2-折旧摊销表'!$W$26&gt;=参数输入表!$I$798,$W$178/参数输入表!$I$798,$W$178/('表2-折旧摊销表'!$BA$26+1-'表2-折旧摊销表'!$W$26))</f>
        <v>0</v>
      </c>
      <c r="X197" s="368">
        <f>IF('表2-折旧摊销表'!$BA$26+1-'表2-折旧摊销表'!$W$26&gt;=参数输入表!$I$798,$W$178/参数输入表!$I$798,$W$178/('表2-折旧摊销表'!$BA$26+1-'表2-折旧摊销表'!$W$26))</f>
        <v>0</v>
      </c>
      <c r="Y197" s="368">
        <f>IF('表2-折旧摊销表'!$BA$26+1-'表2-折旧摊销表'!$W$26&gt;=参数输入表!$I$798,$W$178/参数输入表!$I$798,$W$178/('表2-折旧摊销表'!$BA$26+1-'表2-折旧摊销表'!$W$26))</f>
        <v>0</v>
      </c>
      <c r="Z197" s="368">
        <f>IF('表2-折旧摊销表'!$BA$26+1-'表2-折旧摊销表'!$W$26&gt;=参数输入表!$I$798,$W$178/参数输入表!$I$798,$W$178/('表2-折旧摊销表'!$BA$26+1-'表2-折旧摊销表'!$W$26))</f>
        <v>0</v>
      </c>
      <c r="AA197" s="368">
        <f>IF('表2-折旧摊销表'!$BA$26+1-'表2-折旧摊销表'!$W$26&gt;=参数输入表!$I$798,$W$178/参数输入表!$I$798,$W$178/('表2-折旧摊销表'!$BA$26+1-'表2-折旧摊销表'!$W$26))</f>
        <v>0</v>
      </c>
      <c r="AB197" s="368">
        <f>IF('表2-折旧摊销表'!$BA$26+1-'表2-折旧摊销表'!$W$26&gt;=参数输入表!$I$798,$W$178/参数输入表!$I$798,$W$178/('表2-折旧摊销表'!$BA$26+1-'表2-折旧摊销表'!$W$26))</f>
        <v>0</v>
      </c>
      <c r="AC197" s="368">
        <f>IF('表2-折旧摊销表'!$BA$26+1-'表2-折旧摊销表'!$W$26&gt;=参数输入表!$I$798,$W$178/参数输入表!$I$798,$W$178/('表2-折旧摊销表'!$BA$26+1-'表2-折旧摊销表'!$W$26))</f>
        <v>0</v>
      </c>
      <c r="AD197" s="368">
        <f>IF('表2-折旧摊销表'!$BA$26+1-'表2-折旧摊销表'!$W$26&gt;=参数输入表!$I$798,$W$178/参数输入表!$I$798,$W$178/('表2-折旧摊销表'!$BA$26+1-'表2-折旧摊销表'!$W$26))</f>
        <v>0</v>
      </c>
      <c r="AE197" s="368"/>
      <c r="AF197" s="368"/>
      <c r="AG197" s="368"/>
      <c r="AH197" s="368"/>
      <c r="AI197" s="368"/>
      <c r="AJ197" s="368"/>
      <c r="AK197" s="368"/>
      <c r="AL197" s="368"/>
      <c r="AM197" s="368"/>
      <c r="AN197" s="368"/>
      <c r="AO197" s="368"/>
      <c r="AP197" s="368"/>
      <c r="AQ197" s="368"/>
      <c r="AR197" s="368"/>
      <c r="AS197" s="368"/>
      <c r="AT197" s="368"/>
      <c r="AU197" s="368"/>
      <c r="AV197" s="368"/>
      <c r="AW197" s="368"/>
      <c r="AX197" s="368"/>
      <c r="AY197" s="368"/>
      <c r="AZ197" s="368"/>
      <c r="BA197" s="369"/>
    </row>
    <row r="198" s="105" customFormat="1" spans="2:53">
      <c r="B198" s="408"/>
      <c r="C198" s="389" t="s">
        <v>92</v>
      </c>
      <c r="D198" s="375">
        <f t="shared" si="176"/>
        <v>1327.43362831858</v>
      </c>
      <c r="E198" s="266" t="s">
        <v>130</v>
      </c>
      <c r="F198" s="368"/>
      <c r="G198" s="368"/>
      <c r="H198" s="368"/>
      <c r="I198" s="368"/>
      <c r="J198" s="368"/>
      <c r="K198" s="368"/>
      <c r="L198" s="368"/>
      <c r="M198" s="368"/>
      <c r="N198" s="368"/>
      <c r="O198" s="368"/>
      <c r="P198" s="368"/>
      <c r="Q198" s="368"/>
      <c r="R198" s="368"/>
      <c r="S198" s="368"/>
      <c r="T198" s="368"/>
      <c r="U198" s="368"/>
      <c r="V198" s="368"/>
      <c r="W198" s="368"/>
      <c r="X198" s="368">
        <f>IF('表2-折旧摊销表'!$BA$26+1-'表2-折旧摊销表'!$X$26&gt;=参数输入表!$I$798,$X$178/参数输入表!$I$798,$X$178/('表2-折旧摊销表'!$BA$26+1-'表2-折旧摊销表'!$X$26))</f>
        <v>165.929203539823</v>
      </c>
      <c r="Y198" s="368">
        <f>IF('表2-折旧摊销表'!$BA$26+1-'表2-折旧摊销表'!$X$26&gt;=参数输入表!$I$798,$X$178/参数输入表!$I$798,$X$178/('表2-折旧摊销表'!$BA$26+1-'表2-折旧摊销表'!$X$26))</f>
        <v>165.929203539823</v>
      </c>
      <c r="Z198" s="368">
        <f>IF('表2-折旧摊销表'!$BA$26+1-'表2-折旧摊销表'!$X$26&gt;=参数输入表!$I$798,$X$178/参数输入表!$I$798,$X$178/('表2-折旧摊销表'!$BA$26+1-'表2-折旧摊销表'!$X$26))</f>
        <v>165.929203539823</v>
      </c>
      <c r="AA198" s="368">
        <f>IF('表2-折旧摊销表'!$BA$26+1-'表2-折旧摊销表'!$X$26&gt;=参数输入表!$I$798,$X$178/参数输入表!$I$798,$X$178/('表2-折旧摊销表'!$BA$26+1-'表2-折旧摊销表'!$X$26))</f>
        <v>165.929203539823</v>
      </c>
      <c r="AB198" s="368">
        <f>IF('表2-折旧摊销表'!$BA$26+1-'表2-折旧摊销表'!$X$26&gt;=参数输入表!$I$798,$X$178/参数输入表!$I$798,$X$178/('表2-折旧摊销表'!$BA$26+1-'表2-折旧摊销表'!$X$26))</f>
        <v>165.929203539823</v>
      </c>
      <c r="AC198" s="368">
        <f>IF('表2-折旧摊销表'!$BA$26+1-'表2-折旧摊销表'!$X$26&gt;=参数输入表!$I$798,$X$178/参数输入表!$I$798,$X$178/('表2-折旧摊销表'!$BA$26+1-'表2-折旧摊销表'!$X$26))</f>
        <v>165.929203539823</v>
      </c>
      <c r="AD198" s="368">
        <f>IF('表2-折旧摊销表'!$BA$26+1-'表2-折旧摊销表'!$X$26&gt;=参数输入表!$I$798,$X$178/参数输入表!$I$798,$X$178/('表2-折旧摊销表'!$BA$26+1-'表2-折旧摊销表'!$X$26))</f>
        <v>165.929203539823</v>
      </c>
      <c r="AE198" s="368">
        <f>IF('表2-折旧摊销表'!$BA$26+1-'表2-折旧摊销表'!$X$26&gt;=参数输入表!$I$798,$X$178/参数输入表!$I$798,$X$178/('表2-折旧摊销表'!$BA$26+1-'表2-折旧摊销表'!$X$26))</f>
        <v>165.929203539823</v>
      </c>
      <c r="AF198" s="368"/>
      <c r="AG198" s="368"/>
      <c r="AH198" s="368"/>
      <c r="AI198" s="368"/>
      <c r="AJ198" s="368"/>
      <c r="AK198" s="368"/>
      <c r="AL198" s="368"/>
      <c r="AM198" s="368"/>
      <c r="AN198" s="368"/>
      <c r="AO198" s="368"/>
      <c r="AP198" s="368"/>
      <c r="AQ198" s="368"/>
      <c r="AR198" s="368"/>
      <c r="AS198" s="368"/>
      <c r="AT198" s="368"/>
      <c r="AU198" s="368"/>
      <c r="AV198" s="368"/>
      <c r="AW198" s="368"/>
      <c r="AX198" s="368"/>
      <c r="AY198" s="368"/>
      <c r="AZ198" s="368"/>
      <c r="BA198" s="369"/>
    </row>
    <row r="199" s="105" customFormat="1" spans="2:53">
      <c r="B199" s="408"/>
      <c r="C199" s="389" t="s">
        <v>93</v>
      </c>
      <c r="D199" s="375">
        <f t="shared" si="176"/>
        <v>0</v>
      </c>
      <c r="E199" s="266" t="s">
        <v>130</v>
      </c>
      <c r="F199" s="368"/>
      <c r="G199" s="368"/>
      <c r="H199" s="368"/>
      <c r="I199" s="368"/>
      <c r="J199" s="368"/>
      <c r="K199" s="368"/>
      <c r="L199" s="368"/>
      <c r="M199" s="368"/>
      <c r="N199" s="368"/>
      <c r="O199" s="368"/>
      <c r="P199" s="368"/>
      <c r="Q199" s="368"/>
      <c r="R199" s="368"/>
      <c r="S199" s="368"/>
      <c r="T199" s="368"/>
      <c r="U199" s="368"/>
      <c r="V199" s="368"/>
      <c r="W199" s="368"/>
      <c r="X199" s="368"/>
      <c r="Y199" s="368">
        <f>IF('表2-折旧摊销表'!$BA$26+1-'表2-折旧摊销表'!$Y$26&gt;=参数输入表!$I$798,$Y$178/参数输入表!$I$798,$Y$178/('表2-折旧摊销表'!$BA$26+1-'表2-折旧摊销表'!$Y$26))</f>
        <v>0</v>
      </c>
      <c r="Z199" s="368">
        <f>IF('表2-折旧摊销表'!$BA$26+1-'表2-折旧摊销表'!$Y$26&gt;=参数输入表!$I$798,$Y$178/参数输入表!$I$798,$Y$178/('表2-折旧摊销表'!$BA$26+1-'表2-折旧摊销表'!$Y$26))</f>
        <v>0</v>
      </c>
      <c r="AA199" s="368">
        <f>IF('表2-折旧摊销表'!$BA$26+1-'表2-折旧摊销表'!$Y$26&gt;=参数输入表!$I$798,$Y$178/参数输入表!$I$798,$Y$178/('表2-折旧摊销表'!$BA$26+1-'表2-折旧摊销表'!$Y$26))</f>
        <v>0</v>
      </c>
      <c r="AB199" s="368">
        <f>IF('表2-折旧摊销表'!$BA$26+1-'表2-折旧摊销表'!$Y$26&gt;=参数输入表!$I$798,$Y$178/参数输入表!$I$798,$Y$178/('表2-折旧摊销表'!$BA$26+1-'表2-折旧摊销表'!$Y$26))</f>
        <v>0</v>
      </c>
      <c r="AC199" s="368">
        <f>IF('表2-折旧摊销表'!$BA$26+1-'表2-折旧摊销表'!$Y$26&gt;=参数输入表!$I$798,$Y$178/参数输入表!$I$798,$Y$178/('表2-折旧摊销表'!$BA$26+1-'表2-折旧摊销表'!$Y$26))</f>
        <v>0</v>
      </c>
      <c r="AD199" s="368">
        <f>IF('表2-折旧摊销表'!$BA$26+1-'表2-折旧摊销表'!$Y$26&gt;=参数输入表!$I$798,$Y$178/参数输入表!$I$798,$Y$178/('表2-折旧摊销表'!$BA$26+1-'表2-折旧摊销表'!$Y$26))</f>
        <v>0</v>
      </c>
      <c r="AE199" s="368">
        <f>IF('表2-折旧摊销表'!$BA$26+1-'表2-折旧摊销表'!$Y$26&gt;=参数输入表!$I$798,$Y$178/参数输入表!$I$798,$Y$178/('表2-折旧摊销表'!$BA$26+1-'表2-折旧摊销表'!$Y$26))</f>
        <v>0</v>
      </c>
      <c r="AF199" s="368">
        <f>IF('表2-折旧摊销表'!$BA$26+1-'表2-折旧摊销表'!$Y$26&gt;=参数输入表!$I$798,$Y$178/参数输入表!$I$798,$Y$178/('表2-折旧摊销表'!$BA$26+1-'表2-折旧摊销表'!$Y$26))</f>
        <v>0</v>
      </c>
      <c r="AG199" s="368"/>
      <c r="AH199" s="368"/>
      <c r="AI199" s="368"/>
      <c r="AJ199" s="368"/>
      <c r="AK199" s="368"/>
      <c r="AL199" s="368"/>
      <c r="AM199" s="368"/>
      <c r="AN199" s="368"/>
      <c r="AO199" s="368"/>
      <c r="AP199" s="368"/>
      <c r="AQ199" s="368"/>
      <c r="AR199" s="368"/>
      <c r="AS199" s="368"/>
      <c r="AT199" s="368"/>
      <c r="AU199" s="368"/>
      <c r="AV199" s="368"/>
      <c r="AW199" s="368"/>
      <c r="AX199" s="368"/>
      <c r="AY199" s="368"/>
      <c r="AZ199" s="368"/>
      <c r="BA199" s="369"/>
    </row>
    <row r="200" s="105" customFormat="1" spans="2:53">
      <c r="B200" s="408"/>
      <c r="C200" s="389" t="s">
        <v>94</v>
      </c>
      <c r="D200" s="375">
        <f t="shared" si="176"/>
        <v>0</v>
      </c>
      <c r="E200" s="266" t="s">
        <v>130</v>
      </c>
      <c r="F200" s="368"/>
      <c r="G200" s="368"/>
      <c r="H200" s="368"/>
      <c r="I200" s="368"/>
      <c r="J200" s="368"/>
      <c r="K200" s="368"/>
      <c r="L200" s="368"/>
      <c r="M200" s="368"/>
      <c r="N200" s="368"/>
      <c r="O200" s="368"/>
      <c r="P200" s="368"/>
      <c r="Q200" s="368"/>
      <c r="R200" s="368"/>
      <c r="S200" s="368"/>
      <c r="T200" s="368"/>
      <c r="U200" s="368"/>
      <c r="V200" s="368"/>
      <c r="W200" s="368"/>
      <c r="X200" s="368"/>
      <c r="Y200" s="368"/>
      <c r="Z200" s="368">
        <f>IF('表2-折旧摊销表'!$BA$26+1-'表2-折旧摊销表'!$Z$26&gt;=参数输入表!$I$798,$Z$178/参数输入表!$I$798,$Z$178/('表2-折旧摊销表'!$BA$26+1-'表2-折旧摊销表'!$Z$26))</f>
        <v>0</v>
      </c>
      <c r="AA200" s="368">
        <f>IF('表2-折旧摊销表'!$BA$26+1-'表2-折旧摊销表'!$Z$26&gt;=参数输入表!$I$798,$Z$178/参数输入表!$I$798,$Z$178/('表2-折旧摊销表'!$BA$26+1-'表2-折旧摊销表'!$Z$26))</f>
        <v>0</v>
      </c>
      <c r="AB200" s="368">
        <f>IF('表2-折旧摊销表'!$BA$26+1-'表2-折旧摊销表'!$Z$26&gt;=参数输入表!$I$798,$Z$178/参数输入表!$I$798,$Z$178/('表2-折旧摊销表'!$BA$26+1-'表2-折旧摊销表'!$Z$26))</f>
        <v>0</v>
      </c>
      <c r="AC200" s="368">
        <f>IF('表2-折旧摊销表'!$BA$26+1-'表2-折旧摊销表'!$Z$26&gt;=参数输入表!$I$798,$Z$178/参数输入表!$I$798,$Z$178/('表2-折旧摊销表'!$BA$26+1-'表2-折旧摊销表'!$Z$26))</f>
        <v>0</v>
      </c>
      <c r="AD200" s="368">
        <f>IF('表2-折旧摊销表'!$BA$26+1-'表2-折旧摊销表'!$Z$26&gt;=参数输入表!$I$798,$Z$178/参数输入表!$I$798,$Z$178/('表2-折旧摊销表'!$BA$26+1-'表2-折旧摊销表'!$Z$26))</f>
        <v>0</v>
      </c>
      <c r="AE200" s="368">
        <f>IF('表2-折旧摊销表'!$BA$26+1-'表2-折旧摊销表'!$Z$26&gt;=参数输入表!$I$798,$Z$178/参数输入表!$I$798,$Z$178/('表2-折旧摊销表'!$BA$26+1-'表2-折旧摊销表'!$Z$26))</f>
        <v>0</v>
      </c>
      <c r="AF200" s="368">
        <f>IF('表2-折旧摊销表'!$BA$26+1-'表2-折旧摊销表'!$Z$26&gt;=参数输入表!$I$798,$Z$178/参数输入表!$I$798,$Z$178/('表2-折旧摊销表'!$BA$26+1-'表2-折旧摊销表'!$Z$26))</f>
        <v>0</v>
      </c>
      <c r="AG200" s="368">
        <f>IF('表2-折旧摊销表'!$BA$26+1-'表2-折旧摊销表'!$Z$26&gt;=参数输入表!$I$798,$Z$178/参数输入表!$I$798,$Z$178/('表2-折旧摊销表'!$BA$26+1-'表2-折旧摊销表'!$Z$26))</f>
        <v>0</v>
      </c>
      <c r="AH200" s="368"/>
      <c r="AI200" s="368"/>
      <c r="AJ200" s="368"/>
      <c r="AK200" s="368"/>
      <c r="AL200" s="368"/>
      <c r="AM200" s="368"/>
      <c r="AN200" s="368"/>
      <c r="AO200" s="368"/>
      <c r="AP200" s="368"/>
      <c r="AQ200" s="368"/>
      <c r="AR200" s="368"/>
      <c r="AS200" s="368"/>
      <c r="AT200" s="368"/>
      <c r="AU200" s="368"/>
      <c r="AV200" s="368"/>
      <c r="AW200" s="368"/>
      <c r="AX200" s="368"/>
      <c r="AY200" s="368"/>
      <c r="AZ200" s="368"/>
      <c r="BA200" s="369"/>
    </row>
    <row r="201" s="105" customFormat="1" spans="2:53">
      <c r="B201" s="408"/>
      <c r="C201" s="389" t="s">
        <v>95</v>
      </c>
      <c r="D201" s="375">
        <f t="shared" si="176"/>
        <v>0</v>
      </c>
      <c r="E201" s="266" t="s">
        <v>130</v>
      </c>
      <c r="F201" s="368"/>
      <c r="G201" s="368"/>
      <c r="H201" s="368"/>
      <c r="I201" s="368"/>
      <c r="J201" s="368"/>
      <c r="K201" s="368"/>
      <c r="L201" s="368"/>
      <c r="M201" s="368"/>
      <c r="N201" s="368"/>
      <c r="O201" s="368"/>
      <c r="P201" s="368"/>
      <c r="Q201" s="368"/>
      <c r="R201" s="368"/>
      <c r="S201" s="368"/>
      <c r="T201" s="368"/>
      <c r="U201" s="368"/>
      <c r="V201" s="368"/>
      <c r="W201" s="368"/>
      <c r="X201" s="368"/>
      <c r="Y201" s="368"/>
      <c r="Z201" s="368"/>
      <c r="AA201" s="368">
        <f>IF('表2-折旧摊销表'!$BA$26+1-'表2-折旧摊销表'!$AA$26&gt;=参数输入表!$I$798,$AA$178/参数输入表!$I$798,$AA$178/('表2-折旧摊销表'!$BA$26+1-'表2-折旧摊销表'!$AA$26))</f>
        <v>0</v>
      </c>
      <c r="AB201" s="368">
        <f>IF('表2-折旧摊销表'!$BA$26+1-'表2-折旧摊销表'!$AA$26&gt;=参数输入表!$I$798,$AA$178/参数输入表!$I$798,$AA$178/('表2-折旧摊销表'!$BA$26+1-'表2-折旧摊销表'!$AA$26))</f>
        <v>0</v>
      </c>
      <c r="AC201" s="368">
        <f>IF('表2-折旧摊销表'!$BA$26+1-'表2-折旧摊销表'!$AA$26&gt;=参数输入表!$I$798,$AA$178/参数输入表!$I$798,$AA$178/('表2-折旧摊销表'!$BA$26+1-'表2-折旧摊销表'!$AA$26))</f>
        <v>0</v>
      </c>
      <c r="AD201" s="368">
        <f>IF('表2-折旧摊销表'!$BA$26+1-'表2-折旧摊销表'!$AA$26&gt;=参数输入表!$I$798,$AA$178/参数输入表!$I$798,$AA$178/('表2-折旧摊销表'!$BA$26+1-'表2-折旧摊销表'!$AA$26))</f>
        <v>0</v>
      </c>
      <c r="AE201" s="368">
        <f>IF('表2-折旧摊销表'!$BA$26+1-'表2-折旧摊销表'!$AA$26&gt;=参数输入表!$I$798,$AA$178/参数输入表!$I$798,$AA$178/('表2-折旧摊销表'!$BA$26+1-'表2-折旧摊销表'!$AA$26))</f>
        <v>0</v>
      </c>
      <c r="AF201" s="368">
        <f>IF('表2-折旧摊销表'!$BA$26+1-'表2-折旧摊销表'!$AA$26&gt;=参数输入表!$I$798,$AA$178/参数输入表!$I$798,$AA$178/('表2-折旧摊销表'!$BA$26+1-'表2-折旧摊销表'!$AA$26))</f>
        <v>0</v>
      </c>
      <c r="AG201" s="368">
        <f>IF('表2-折旧摊销表'!$BA$26+1-'表2-折旧摊销表'!$AA$26&gt;=参数输入表!$I$798,$AA$178/参数输入表!$I$798,$AA$178/('表2-折旧摊销表'!$BA$26+1-'表2-折旧摊销表'!$AA$26))</f>
        <v>0</v>
      </c>
      <c r="AH201" s="368">
        <f>IF('表2-折旧摊销表'!$BA$26+1-'表2-折旧摊销表'!$AA$26&gt;=参数输入表!$I$798,$AA$178/参数输入表!$I$798,$AA$178/('表2-折旧摊销表'!$BA$26+1-'表2-折旧摊销表'!$AA$26))</f>
        <v>0</v>
      </c>
      <c r="AI201" s="368"/>
      <c r="AJ201" s="368"/>
      <c r="AK201" s="368"/>
      <c r="AL201" s="368"/>
      <c r="AM201" s="368"/>
      <c r="AN201" s="368"/>
      <c r="AO201" s="368"/>
      <c r="AP201" s="368"/>
      <c r="AQ201" s="368"/>
      <c r="AR201" s="368"/>
      <c r="AS201" s="368"/>
      <c r="AT201" s="368"/>
      <c r="AU201" s="368"/>
      <c r="AV201" s="368"/>
      <c r="AW201" s="368"/>
      <c r="AX201" s="368"/>
      <c r="AY201" s="368"/>
      <c r="AZ201" s="368"/>
      <c r="BA201" s="369"/>
    </row>
    <row r="202" s="105" customFormat="1" spans="2:53">
      <c r="B202" s="408"/>
      <c r="C202" s="389" t="s">
        <v>96</v>
      </c>
      <c r="D202" s="375">
        <f t="shared" si="176"/>
        <v>0</v>
      </c>
      <c r="E202" s="266" t="s">
        <v>130</v>
      </c>
      <c r="F202" s="368"/>
      <c r="G202" s="368"/>
      <c r="H202" s="368"/>
      <c r="I202" s="368"/>
      <c r="J202" s="368"/>
      <c r="K202" s="368"/>
      <c r="L202" s="368"/>
      <c r="M202" s="368"/>
      <c r="N202" s="368"/>
      <c r="O202" s="368"/>
      <c r="P202" s="368"/>
      <c r="Q202" s="368"/>
      <c r="R202" s="368"/>
      <c r="S202" s="368"/>
      <c r="T202" s="368"/>
      <c r="U202" s="368"/>
      <c r="V202" s="368"/>
      <c r="W202" s="368"/>
      <c r="X202" s="368"/>
      <c r="Y202" s="368"/>
      <c r="Z202" s="368"/>
      <c r="AA202" s="368"/>
      <c r="AB202" s="368">
        <f>IF('表2-折旧摊销表'!$BA$26+1-'表2-折旧摊销表'!$AB$26&gt;=参数输入表!$I$798,$AB$178/参数输入表!$I$798,$AB$178/('表2-折旧摊销表'!$BA$26+1-'表2-折旧摊销表'!$AB$26))</f>
        <v>0</v>
      </c>
      <c r="AC202" s="368">
        <f>IF('表2-折旧摊销表'!$BA$26+1-'表2-折旧摊销表'!$AB$26&gt;=参数输入表!$I$798,$AB$178/参数输入表!$I$798,$AB$178/('表2-折旧摊销表'!$BA$26+1-'表2-折旧摊销表'!$AB$26))</f>
        <v>0</v>
      </c>
      <c r="AD202" s="368">
        <f>IF('表2-折旧摊销表'!$BA$26+1-'表2-折旧摊销表'!$AB$26&gt;=参数输入表!$I$798,$AB$178/参数输入表!$I$798,$AB$178/('表2-折旧摊销表'!$BA$26+1-'表2-折旧摊销表'!$AB$26))</f>
        <v>0</v>
      </c>
      <c r="AE202" s="368">
        <f>IF('表2-折旧摊销表'!$BA$26+1-'表2-折旧摊销表'!$AB$26&gt;=参数输入表!$I$798,$AB$178/参数输入表!$I$798,$AB$178/('表2-折旧摊销表'!$BA$26+1-'表2-折旧摊销表'!$AB$26))</f>
        <v>0</v>
      </c>
      <c r="AF202" s="368">
        <f>IF('表2-折旧摊销表'!$BA$26+1-'表2-折旧摊销表'!$AB$26&gt;=参数输入表!$I$798,$AB$178/参数输入表!$I$798,$AB$178/('表2-折旧摊销表'!$BA$26+1-'表2-折旧摊销表'!$AB$26))</f>
        <v>0</v>
      </c>
      <c r="AG202" s="368">
        <f>IF('表2-折旧摊销表'!$BA$26+1-'表2-折旧摊销表'!$AB$26&gt;=参数输入表!$I$798,$AB$178/参数输入表!$I$798,$AB$178/('表2-折旧摊销表'!$BA$26+1-'表2-折旧摊销表'!$AB$26))</f>
        <v>0</v>
      </c>
      <c r="AH202" s="368">
        <f>IF('表2-折旧摊销表'!$BA$26+1-'表2-折旧摊销表'!$AB$26&gt;=参数输入表!$I$798,$AB$178/参数输入表!$I$798,$AB$178/('表2-折旧摊销表'!$BA$26+1-'表2-折旧摊销表'!$AB$26))</f>
        <v>0</v>
      </c>
      <c r="AI202" s="368">
        <f>IF('表2-折旧摊销表'!$BA$26+1-'表2-折旧摊销表'!$AB$26&gt;=参数输入表!$I$798,$AB$178/参数输入表!$I$798,$AB$178/('表2-折旧摊销表'!$BA$26+1-'表2-折旧摊销表'!$AB$26))</f>
        <v>0</v>
      </c>
      <c r="AJ202" s="368"/>
      <c r="AK202" s="368"/>
      <c r="AL202" s="368"/>
      <c r="AM202" s="368"/>
      <c r="AN202" s="368"/>
      <c r="AO202" s="368"/>
      <c r="AP202" s="368"/>
      <c r="AQ202" s="368"/>
      <c r="AR202" s="368"/>
      <c r="AS202" s="368"/>
      <c r="AT202" s="368"/>
      <c r="AU202" s="368"/>
      <c r="AV202" s="368"/>
      <c r="AW202" s="368"/>
      <c r="AX202" s="368"/>
      <c r="AY202" s="368"/>
      <c r="AZ202" s="368"/>
      <c r="BA202" s="369"/>
    </row>
    <row r="203" s="105" customFormat="1" spans="2:53">
      <c r="B203" s="408"/>
      <c r="C203" s="389" t="s">
        <v>97</v>
      </c>
      <c r="D203" s="375">
        <f t="shared" si="176"/>
        <v>0</v>
      </c>
      <c r="E203" s="266" t="s">
        <v>130</v>
      </c>
      <c r="F203" s="368"/>
      <c r="G203" s="368"/>
      <c r="H203" s="368"/>
      <c r="I203" s="368"/>
      <c r="J203" s="368"/>
      <c r="K203" s="368"/>
      <c r="L203" s="368"/>
      <c r="M203" s="368"/>
      <c r="N203" s="368"/>
      <c r="O203" s="368"/>
      <c r="P203" s="368"/>
      <c r="Q203" s="368"/>
      <c r="R203" s="368"/>
      <c r="S203" s="368"/>
      <c r="T203" s="368"/>
      <c r="U203" s="368"/>
      <c r="V203" s="368"/>
      <c r="W203" s="368"/>
      <c r="X203" s="368"/>
      <c r="Y203" s="368"/>
      <c r="Z203" s="368"/>
      <c r="AA203" s="368"/>
      <c r="AB203" s="368"/>
      <c r="AC203" s="368">
        <f>IF('表2-折旧摊销表'!$BA$26+1-'表2-折旧摊销表'!$AC$26&gt;=参数输入表!$I$798,$AC$178/参数输入表!$I$798,$AC$178/('表2-折旧摊销表'!$BA$26+1-'表2-折旧摊销表'!$AC$26))</f>
        <v>0</v>
      </c>
      <c r="AD203" s="368">
        <f>IF('表2-折旧摊销表'!$BA$26+1-'表2-折旧摊销表'!$AC$26&gt;=参数输入表!$I$798,$AC$178/参数输入表!$I$798,$AC$178/('表2-折旧摊销表'!$BA$26+1-'表2-折旧摊销表'!$AC$26))</f>
        <v>0</v>
      </c>
      <c r="AE203" s="368">
        <f>IF('表2-折旧摊销表'!$BA$26+1-'表2-折旧摊销表'!$AC$26&gt;=参数输入表!$I$798,$AC$178/参数输入表!$I$798,$AC$178/('表2-折旧摊销表'!$BA$26+1-'表2-折旧摊销表'!$AC$26))</f>
        <v>0</v>
      </c>
      <c r="AF203" s="368">
        <f>IF('表2-折旧摊销表'!$BA$26+1-'表2-折旧摊销表'!$AC$26&gt;=参数输入表!$I$798,$AC$178/参数输入表!$I$798,$AC$178/('表2-折旧摊销表'!$BA$26+1-'表2-折旧摊销表'!$AC$26))</f>
        <v>0</v>
      </c>
      <c r="AG203" s="368">
        <f>IF('表2-折旧摊销表'!$BA$26+1-'表2-折旧摊销表'!$AC$26&gt;=参数输入表!$I$798,$AC$178/参数输入表!$I$798,$AC$178/('表2-折旧摊销表'!$BA$26+1-'表2-折旧摊销表'!$AC$26))</f>
        <v>0</v>
      </c>
      <c r="AH203" s="368">
        <f>IF('表2-折旧摊销表'!$BA$26+1-'表2-折旧摊销表'!$AC$26&gt;=参数输入表!$I$798,$AC$178/参数输入表!$I$798,$AC$178/('表2-折旧摊销表'!$BA$26+1-'表2-折旧摊销表'!$AC$26))</f>
        <v>0</v>
      </c>
      <c r="AI203" s="368">
        <f>IF('表2-折旧摊销表'!$BA$26+1-'表2-折旧摊销表'!$AC$26&gt;=参数输入表!$I$798,$AC$178/参数输入表!$I$798,$AC$178/('表2-折旧摊销表'!$BA$26+1-'表2-折旧摊销表'!$AC$26))</f>
        <v>0</v>
      </c>
      <c r="AJ203" s="368">
        <f>IF('表2-折旧摊销表'!$BA$26+1-'表2-折旧摊销表'!$AC$26&gt;=参数输入表!$I$798,$AC$178/参数输入表!$I$798,$AC$178/('表2-折旧摊销表'!$BA$26+1-'表2-折旧摊销表'!$AC$26))</f>
        <v>0</v>
      </c>
      <c r="AK203" s="368"/>
      <c r="AL203" s="368"/>
      <c r="AM203" s="368"/>
      <c r="AN203" s="368"/>
      <c r="AO203" s="368"/>
      <c r="AP203" s="368"/>
      <c r="AQ203" s="368"/>
      <c r="AR203" s="368"/>
      <c r="AS203" s="368"/>
      <c r="AT203" s="368"/>
      <c r="AU203" s="368"/>
      <c r="AV203" s="368"/>
      <c r="AW203" s="368"/>
      <c r="AX203" s="368"/>
      <c r="AY203" s="368"/>
      <c r="AZ203" s="368"/>
      <c r="BA203" s="369"/>
    </row>
    <row r="204" s="105" customFormat="1" spans="2:53">
      <c r="B204" s="408"/>
      <c r="C204" s="389" t="s">
        <v>98</v>
      </c>
      <c r="D204" s="375">
        <f t="shared" si="176"/>
        <v>0</v>
      </c>
      <c r="E204" s="266" t="s">
        <v>130</v>
      </c>
      <c r="F204" s="368"/>
      <c r="G204" s="368"/>
      <c r="H204" s="368"/>
      <c r="I204" s="368"/>
      <c r="J204" s="368"/>
      <c r="K204" s="368"/>
      <c r="L204" s="368"/>
      <c r="M204" s="368"/>
      <c r="N204" s="368"/>
      <c r="O204" s="368"/>
      <c r="P204" s="368"/>
      <c r="Q204" s="368"/>
      <c r="R204" s="368"/>
      <c r="S204" s="368"/>
      <c r="T204" s="368"/>
      <c r="U204" s="368"/>
      <c r="V204" s="368"/>
      <c r="W204" s="368"/>
      <c r="X204" s="368"/>
      <c r="Y204" s="368"/>
      <c r="Z204" s="368"/>
      <c r="AA204" s="368"/>
      <c r="AB204" s="368"/>
      <c r="AC204" s="368"/>
      <c r="AD204" s="368">
        <f>IF('表2-折旧摊销表'!$BA$26+1-'表2-折旧摊销表'!$AD$26&gt;=参数输入表!$I$798,$AD$178/参数输入表!$I$798,$AD$178/('表2-折旧摊销表'!$BA$26+1-'表2-折旧摊销表'!$AD$26))</f>
        <v>0</v>
      </c>
      <c r="AE204" s="368">
        <f>IF('表2-折旧摊销表'!$BA$26+1-'表2-折旧摊销表'!$AD$26&gt;=参数输入表!$I$798,$AD$178/参数输入表!$I$798,$AD$178/('表2-折旧摊销表'!$BA$26+1-'表2-折旧摊销表'!$AD$26))</f>
        <v>0</v>
      </c>
      <c r="AF204" s="368">
        <f>IF('表2-折旧摊销表'!$BA$26+1-'表2-折旧摊销表'!$AD$26&gt;=参数输入表!$I$798,$AD$178/参数输入表!$I$798,$AD$178/('表2-折旧摊销表'!$BA$26+1-'表2-折旧摊销表'!$AD$26))</f>
        <v>0</v>
      </c>
      <c r="AG204" s="368">
        <f>IF('表2-折旧摊销表'!$BA$26+1-'表2-折旧摊销表'!$AD$26&gt;=参数输入表!$I$798,$AD$178/参数输入表!$I$798,$AD$178/('表2-折旧摊销表'!$BA$26+1-'表2-折旧摊销表'!$AD$26))</f>
        <v>0</v>
      </c>
      <c r="AH204" s="368">
        <f>IF('表2-折旧摊销表'!$BA$26+1-'表2-折旧摊销表'!$AD$26&gt;=参数输入表!$I$798,$AD$178/参数输入表!$I$798,$AD$178/('表2-折旧摊销表'!$BA$26+1-'表2-折旧摊销表'!$AD$26))</f>
        <v>0</v>
      </c>
      <c r="AI204" s="368">
        <f>IF('表2-折旧摊销表'!$BA$26+1-'表2-折旧摊销表'!$AD$26&gt;=参数输入表!$I$798,$AD$178/参数输入表!$I$798,$AD$178/('表2-折旧摊销表'!$BA$26+1-'表2-折旧摊销表'!$AD$26))</f>
        <v>0</v>
      </c>
      <c r="AJ204" s="368">
        <f>IF('表2-折旧摊销表'!$BA$26+1-'表2-折旧摊销表'!$AD$26&gt;=参数输入表!$I$798,$AD$178/参数输入表!$I$798,$AD$178/('表2-折旧摊销表'!$BA$26+1-'表2-折旧摊销表'!$AD$26))</f>
        <v>0</v>
      </c>
      <c r="AK204" s="368">
        <f>IF('表2-折旧摊销表'!$BA$26+1-'表2-折旧摊销表'!$AD$26&gt;=参数输入表!$I$798,$AD$178/参数输入表!$I$798,$AD$178/('表2-折旧摊销表'!$BA$26+1-'表2-折旧摊销表'!$AD$26))</f>
        <v>0</v>
      </c>
      <c r="AL204" s="368"/>
      <c r="AM204" s="368"/>
      <c r="AN204" s="368"/>
      <c r="AO204" s="368"/>
      <c r="AP204" s="368"/>
      <c r="AQ204" s="368"/>
      <c r="AR204" s="368"/>
      <c r="AS204" s="368"/>
      <c r="AT204" s="368"/>
      <c r="AU204" s="368"/>
      <c r="AV204" s="368"/>
      <c r="AW204" s="368"/>
      <c r="AX204" s="368"/>
      <c r="AY204" s="368"/>
      <c r="AZ204" s="368"/>
      <c r="BA204" s="369"/>
    </row>
    <row r="205" s="105" customFormat="1" spans="2:53">
      <c r="B205" s="408"/>
      <c r="C205" s="389" t="s">
        <v>99</v>
      </c>
      <c r="D205" s="375">
        <f t="shared" si="176"/>
        <v>0</v>
      </c>
      <c r="E205" s="266" t="s">
        <v>130</v>
      </c>
      <c r="F205" s="368"/>
      <c r="G205" s="368"/>
      <c r="H205" s="368"/>
      <c r="I205" s="368"/>
      <c r="J205" s="368"/>
      <c r="K205" s="368"/>
      <c r="L205" s="368"/>
      <c r="M205" s="368"/>
      <c r="N205" s="368"/>
      <c r="O205" s="368"/>
      <c r="P205" s="368"/>
      <c r="Q205" s="368"/>
      <c r="R205" s="368"/>
      <c r="S205" s="368"/>
      <c r="T205" s="368"/>
      <c r="U205" s="368"/>
      <c r="V205" s="368"/>
      <c r="W205" s="368"/>
      <c r="X205" s="368"/>
      <c r="Y205" s="368"/>
      <c r="Z205" s="368"/>
      <c r="AA205" s="368"/>
      <c r="AB205" s="368"/>
      <c r="AC205" s="368"/>
      <c r="AD205" s="368"/>
      <c r="AE205" s="368">
        <f>IF('表2-折旧摊销表'!$BA$26+1-'表2-折旧摊销表'!$AE$26&gt;=参数输入表!$I$798,$AE$178/参数输入表!$I$798,$AE$178/('表2-折旧摊销表'!$BA$26+1-'表2-折旧摊销表'!$AE$26))</f>
        <v>0</v>
      </c>
      <c r="AF205" s="368">
        <f>IF('表2-折旧摊销表'!$BA$26+1-'表2-折旧摊销表'!$AE$26&gt;=参数输入表!$I$798,$AE$178/参数输入表!$I$798,$AE$178/('表2-折旧摊销表'!$BA$26+1-'表2-折旧摊销表'!$AE$26))</f>
        <v>0</v>
      </c>
      <c r="AG205" s="368">
        <f>IF('表2-折旧摊销表'!$BA$26+1-'表2-折旧摊销表'!$AE$26&gt;=参数输入表!$I$798,$AE$178/参数输入表!$I$798,$AE$178/('表2-折旧摊销表'!$BA$26+1-'表2-折旧摊销表'!$AE$26))</f>
        <v>0</v>
      </c>
      <c r="AH205" s="368">
        <f>IF('表2-折旧摊销表'!$BA$26+1-'表2-折旧摊销表'!$AE$26&gt;=参数输入表!$I$798,$AE$178/参数输入表!$I$798,$AE$178/('表2-折旧摊销表'!$BA$26+1-'表2-折旧摊销表'!$AE$26))</f>
        <v>0</v>
      </c>
      <c r="AI205" s="368">
        <f>IF('表2-折旧摊销表'!$BA$26+1-'表2-折旧摊销表'!$AE$26&gt;=参数输入表!$I$798,$AE$178/参数输入表!$I$798,$AE$178/('表2-折旧摊销表'!$BA$26+1-'表2-折旧摊销表'!$AE$26))</f>
        <v>0</v>
      </c>
      <c r="AJ205" s="368">
        <f>IF('表2-折旧摊销表'!$BA$26+1-'表2-折旧摊销表'!$AE$26&gt;=参数输入表!$I$798,$AE$178/参数输入表!$I$798,$AE$178/('表2-折旧摊销表'!$BA$26+1-'表2-折旧摊销表'!$AE$26))</f>
        <v>0</v>
      </c>
      <c r="AK205" s="368">
        <f>IF('表2-折旧摊销表'!$BA$26+1-'表2-折旧摊销表'!$AE$26&gt;=参数输入表!$I$798,$AE$178/参数输入表!$I$798,$AE$178/('表2-折旧摊销表'!$BA$26+1-'表2-折旧摊销表'!$AE$26))</f>
        <v>0</v>
      </c>
      <c r="AL205" s="368">
        <f>IF('表2-折旧摊销表'!$BA$26+1-'表2-折旧摊销表'!$AE$26&gt;=参数输入表!$I$798,$AE$178/参数输入表!$I$798,$AE$178/('表2-折旧摊销表'!$BA$26+1-'表2-折旧摊销表'!$AE$26))</f>
        <v>0</v>
      </c>
      <c r="AM205" s="368"/>
      <c r="AN205" s="368"/>
      <c r="AO205" s="368"/>
      <c r="AP205" s="368"/>
      <c r="AQ205" s="368"/>
      <c r="AR205" s="368"/>
      <c r="AS205" s="368"/>
      <c r="AT205" s="368"/>
      <c r="AU205" s="368"/>
      <c r="AV205" s="368"/>
      <c r="AW205" s="368"/>
      <c r="AX205" s="368"/>
      <c r="AY205" s="368"/>
      <c r="AZ205" s="368"/>
      <c r="BA205" s="369"/>
    </row>
    <row r="206" s="105" customFormat="1" spans="2:53">
      <c r="B206" s="408"/>
      <c r="C206" s="389" t="s">
        <v>100</v>
      </c>
      <c r="D206" s="375">
        <f t="shared" si="176"/>
        <v>1327.43362831858</v>
      </c>
      <c r="E206" s="266" t="s">
        <v>130</v>
      </c>
      <c r="F206" s="368"/>
      <c r="G206" s="368"/>
      <c r="H206" s="368"/>
      <c r="I206" s="368"/>
      <c r="J206" s="368"/>
      <c r="K206" s="368"/>
      <c r="L206" s="368"/>
      <c r="M206" s="368"/>
      <c r="N206" s="368"/>
      <c r="O206" s="368"/>
      <c r="P206" s="368"/>
      <c r="Q206" s="368"/>
      <c r="R206" s="368"/>
      <c r="S206" s="368"/>
      <c r="T206" s="368"/>
      <c r="U206" s="368"/>
      <c r="V206" s="368"/>
      <c r="W206" s="368"/>
      <c r="X206" s="368"/>
      <c r="Y206" s="368"/>
      <c r="Z206" s="368"/>
      <c r="AA206" s="368"/>
      <c r="AB206" s="368"/>
      <c r="AC206" s="368"/>
      <c r="AD206" s="368"/>
      <c r="AE206" s="368"/>
      <c r="AF206" s="368">
        <f>IF('表2-折旧摊销表'!$BA$26+1-'表2-折旧摊销表'!$AF$26&gt;=参数输入表!$I$798,$AF$178/参数输入表!$I$798,$AF$178/('表2-折旧摊销表'!$BA$26+1-'表2-折旧摊销表'!$AF$26))</f>
        <v>165.929203539823</v>
      </c>
      <c r="AG206" s="368">
        <f>IF('表2-折旧摊销表'!$BA$26+1-'表2-折旧摊销表'!$AF$26&gt;=参数输入表!$I$798,$AF$178/参数输入表!$I$798,$AF$178/('表2-折旧摊销表'!$BA$26+1-'表2-折旧摊销表'!$AF$26))</f>
        <v>165.929203539823</v>
      </c>
      <c r="AH206" s="368">
        <f>IF('表2-折旧摊销表'!$BA$26+1-'表2-折旧摊销表'!$AF$26&gt;=参数输入表!$I$798,$AF$178/参数输入表!$I$798,$AF$178/('表2-折旧摊销表'!$BA$26+1-'表2-折旧摊销表'!$AF$26))</f>
        <v>165.929203539823</v>
      </c>
      <c r="AI206" s="368">
        <f>IF('表2-折旧摊销表'!$BA$26+1-'表2-折旧摊销表'!$AF$26&gt;=参数输入表!$I$798,$AF$178/参数输入表!$I$798,$AF$178/('表2-折旧摊销表'!$BA$26+1-'表2-折旧摊销表'!$AF$26))</f>
        <v>165.929203539823</v>
      </c>
      <c r="AJ206" s="368">
        <f>IF('表2-折旧摊销表'!$BA$26+1-'表2-折旧摊销表'!$AF$26&gt;=参数输入表!$I$798,$AF$178/参数输入表!$I$798,$AF$178/('表2-折旧摊销表'!$BA$26+1-'表2-折旧摊销表'!$AF$26))</f>
        <v>165.929203539823</v>
      </c>
      <c r="AK206" s="368">
        <f>IF('表2-折旧摊销表'!$BA$26+1-'表2-折旧摊销表'!$AF$26&gt;=参数输入表!$I$798,$AF$178/参数输入表!$I$798,$AF$178/('表2-折旧摊销表'!$BA$26+1-'表2-折旧摊销表'!$AF$26))</f>
        <v>165.929203539823</v>
      </c>
      <c r="AL206" s="368">
        <f>IF('表2-折旧摊销表'!$BA$26+1-'表2-折旧摊销表'!$AF$26&gt;=参数输入表!$I$798,$AF$178/参数输入表!$I$798,$AF$178/('表2-折旧摊销表'!$BA$26+1-'表2-折旧摊销表'!$AF$26))</f>
        <v>165.929203539823</v>
      </c>
      <c r="AM206" s="368">
        <f>IF('表2-折旧摊销表'!$BA$26+1-'表2-折旧摊销表'!$AF$26&gt;=参数输入表!$I$798,$AF$178/参数输入表!$I$798,$AF$178/('表2-折旧摊销表'!$BA$26+1-'表2-折旧摊销表'!$AF$26))</f>
        <v>165.929203539823</v>
      </c>
      <c r="AN206" s="368"/>
      <c r="AO206" s="368"/>
      <c r="AP206" s="368"/>
      <c r="AQ206" s="368"/>
      <c r="AR206" s="368"/>
      <c r="AS206" s="368"/>
      <c r="AT206" s="368"/>
      <c r="AU206" s="368"/>
      <c r="AV206" s="368"/>
      <c r="AW206" s="368"/>
      <c r="AX206" s="368"/>
      <c r="AY206" s="368"/>
      <c r="AZ206" s="368"/>
      <c r="BA206" s="369"/>
    </row>
    <row r="207" s="105" customFormat="1" spans="2:53">
      <c r="B207" s="408"/>
      <c r="C207" s="389" t="s">
        <v>101</v>
      </c>
      <c r="D207" s="375">
        <f t="shared" si="176"/>
        <v>0</v>
      </c>
      <c r="E207" s="266" t="s">
        <v>130</v>
      </c>
      <c r="F207" s="368"/>
      <c r="G207" s="368"/>
      <c r="H207" s="368"/>
      <c r="I207" s="368"/>
      <c r="J207" s="368"/>
      <c r="K207" s="368"/>
      <c r="L207" s="368"/>
      <c r="M207" s="368"/>
      <c r="N207" s="368"/>
      <c r="O207" s="368"/>
      <c r="P207" s="368"/>
      <c r="Q207" s="368"/>
      <c r="R207" s="368"/>
      <c r="S207" s="368"/>
      <c r="T207" s="368"/>
      <c r="U207" s="368"/>
      <c r="V207" s="368"/>
      <c r="W207" s="368"/>
      <c r="X207" s="368"/>
      <c r="Y207" s="368"/>
      <c r="Z207" s="368"/>
      <c r="AA207" s="368"/>
      <c r="AB207" s="368"/>
      <c r="AC207" s="368"/>
      <c r="AD207" s="368"/>
      <c r="AE207" s="368"/>
      <c r="AF207" s="368"/>
      <c r="AG207" s="368">
        <f>IF('表2-折旧摊销表'!$BA$26+1-'表2-折旧摊销表'!$AG$26&gt;=参数输入表!$I$798,$AG$178/参数输入表!$I$798,$AG$178/('表2-折旧摊销表'!$BA$26+1-'表2-折旧摊销表'!$AG$26))</f>
        <v>0</v>
      </c>
      <c r="AH207" s="368">
        <f>IF('表2-折旧摊销表'!$BA$26+1-'表2-折旧摊销表'!$AG$26&gt;=参数输入表!$I$798,$AG$178/参数输入表!$I$798,$AG$178/('表2-折旧摊销表'!$BA$26+1-'表2-折旧摊销表'!$AG$26))</f>
        <v>0</v>
      </c>
      <c r="AI207" s="368">
        <f>IF('表2-折旧摊销表'!$BA$26+1-'表2-折旧摊销表'!$AG$26&gt;=参数输入表!$I$798,$AG$178/参数输入表!$I$798,$AG$178/('表2-折旧摊销表'!$BA$26+1-'表2-折旧摊销表'!$AG$26))</f>
        <v>0</v>
      </c>
      <c r="AJ207" s="368">
        <f>IF('表2-折旧摊销表'!$BA$26+1-'表2-折旧摊销表'!$AG$26&gt;=参数输入表!$I$798,$AG$178/参数输入表!$I$798,$AG$178/('表2-折旧摊销表'!$BA$26+1-'表2-折旧摊销表'!$AG$26))</f>
        <v>0</v>
      </c>
      <c r="AK207" s="368">
        <f>IF('表2-折旧摊销表'!$BA$26+1-'表2-折旧摊销表'!$AG$26&gt;=参数输入表!$I$798,$AG$178/参数输入表!$I$798,$AG$178/('表2-折旧摊销表'!$BA$26+1-'表2-折旧摊销表'!$AG$26))</f>
        <v>0</v>
      </c>
      <c r="AL207" s="368">
        <f>IF('表2-折旧摊销表'!$BA$26+1-'表2-折旧摊销表'!$AG$26&gt;=参数输入表!$I$798,$AG$178/参数输入表!$I$798,$AG$178/('表2-折旧摊销表'!$BA$26+1-'表2-折旧摊销表'!$AG$26))</f>
        <v>0</v>
      </c>
      <c r="AM207" s="368">
        <f>IF('表2-折旧摊销表'!$BA$26+1-'表2-折旧摊销表'!$AG$26&gt;=参数输入表!$I$798,$AG$178/参数输入表!$I$798,$AG$178/('表2-折旧摊销表'!$BA$26+1-'表2-折旧摊销表'!$AG$26))</f>
        <v>0</v>
      </c>
      <c r="AN207" s="368">
        <f>IF('表2-折旧摊销表'!$BA$26+1-'表2-折旧摊销表'!$AG$26&gt;=参数输入表!$I$798,$AG$178/参数输入表!$I$798,$AG$178/('表2-折旧摊销表'!$BA$26+1-'表2-折旧摊销表'!$AG$26))</f>
        <v>0</v>
      </c>
      <c r="AO207" s="368"/>
      <c r="AP207" s="368"/>
      <c r="AQ207" s="368"/>
      <c r="AR207" s="368"/>
      <c r="AS207" s="368"/>
      <c r="AT207" s="368"/>
      <c r="AU207" s="368"/>
      <c r="AV207" s="368"/>
      <c r="AW207" s="368"/>
      <c r="AX207" s="368"/>
      <c r="AY207" s="368"/>
      <c r="AZ207" s="368"/>
      <c r="BA207" s="369"/>
    </row>
    <row r="208" s="105" customFormat="1" spans="2:53">
      <c r="B208" s="408"/>
      <c r="C208" s="389" t="s">
        <v>102</v>
      </c>
      <c r="D208" s="375">
        <f t="shared" si="176"/>
        <v>0</v>
      </c>
      <c r="E208" s="266" t="s">
        <v>130</v>
      </c>
      <c r="F208" s="368"/>
      <c r="G208" s="368"/>
      <c r="H208" s="368"/>
      <c r="I208" s="368"/>
      <c r="J208" s="368"/>
      <c r="K208" s="368"/>
      <c r="L208" s="368"/>
      <c r="M208" s="368"/>
      <c r="N208" s="368"/>
      <c r="O208" s="368"/>
      <c r="P208" s="368"/>
      <c r="Q208" s="368"/>
      <c r="R208" s="368"/>
      <c r="S208" s="368"/>
      <c r="T208" s="368"/>
      <c r="U208" s="368"/>
      <c r="V208" s="368"/>
      <c r="W208" s="368"/>
      <c r="X208" s="368"/>
      <c r="Y208" s="368"/>
      <c r="Z208" s="368"/>
      <c r="AA208" s="368"/>
      <c r="AB208" s="368"/>
      <c r="AC208" s="368"/>
      <c r="AD208" s="368"/>
      <c r="AE208" s="368"/>
      <c r="AF208" s="368"/>
      <c r="AG208" s="368"/>
      <c r="AH208" s="368">
        <f>IF('表2-折旧摊销表'!$BA$26+1-'表2-折旧摊销表'!$AH$26&gt;=参数输入表!$I$798,$AH$178/参数输入表!$I$798,$AH$178/('表2-折旧摊销表'!$BA$26+1-'表2-折旧摊销表'!$AH$26))</f>
        <v>0</v>
      </c>
      <c r="AI208" s="368">
        <f>IF('表2-折旧摊销表'!$BA$26+1-'表2-折旧摊销表'!$AH$26&gt;=参数输入表!$I$798,$AH$178/参数输入表!$I$798,$AH$178/('表2-折旧摊销表'!$BA$26+1-'表2-折旧摊销表'!$AH$26))</f>
        <v>0</v>
      </c>
      <c r="AJ208" s="368">
        <f>IF('表2-折旧摊销表'!$BA$26+1-'表2-折旧摊销表'!$AH$26&gt;=参数输入表!$I$798,$AH$178/参数输入表!$I$798,$AH$178/('表2-折旧摊销表'!$BA$26+1-'表2-折旧摊销表'!$AH$26))</f>
        <v>0</v>
      </c>
      <c r="AK208" s="368">
        <f>IF('表2-折旧摊销表'!$BA$26+1-'表2-折旧摊销表'!$AH$26&gt;=参数输入表!$I$798,$AH$178/参数输入表!$I$798,$AH$178/('表2-折旧摊销表'!$BA$26+1-'表2-折旧摊销表'!$AH$26))</f>
        <v>0</v>
      </c>
      <c r="AL208" s="368">
        <f>IF('表2-折旧摊销表'!$BA$26+1-'表2-折旧摊销表'!$AH$26&gt;=参数输入表!$I$798,$AH$178/参数输入表!$I$798,$AH$178/('表2-折旧摊销表'!$BA$26+1-'表2-折旧摊销表'!$AH$26))</f>
        <v>0</v>
      </c>
      <c r="AM208" s="368">
        <f>IF('表2-折旧摊销表'!$BA$26+1-'表2-折旧摊销表'!$AH$26&gt;=参数输入表!$I$798,$AH$178/参数输入表!$I$798,$AH$178/('表2-折旧摊销表'!$BA$26+1-'表2-折旧摊销表'!$AH$26))</f>
        <v>0</v>
      </c>
      <c r="AN208" s="368">
        <f>IF('表2-折旧摊销表'!$BA$26+1-'表2-折旧摊销表'!$AH$26&gt;=参数输入表!$I$798,$AH$178/参数输入表!$I$798,$AH$178/('表2-折旧摊销表'!$BA$26+1-'表2-折旧摊销表'!$AH$26))</f>
        <v>0</v>
      </c>
      <c r="AO208" s="368">
        <f>IF('表2-折旧摊销表'!$BA$26+1-'表2-折旧摊销表'!$AH$26&gt;=参数输入表!$I$798,$AH$178/参数输入表!$I$798,$AH$178/('表2-折旧摊销表'!$BA$26+1-'表2-折旧摊销表'!$AH$26))</f>
        <v>0</v>
      </c>
      <c r="AP208" s="368"/>
      <c r="AQ208" s="368"/>
      <c r="AR208" s="368"/>
      <c r="AS208" s="368"/>
      <c r="AT208" s="368"/>
      <c r="AU208" s="368"/>
      <c r="AV208" s="368"/>
      <c r="AW208" s="368"/>
      <c r="AX208" s="368"/>
      <c r="AY208" s="368"/>
      <c r="AZ208" s="368"/>
      <c r="BA208" s="369"/>
    </row>
    <row r="209" s="105" customFormat="1" spans="2:53">
      <c r="B209" s="408"/>
      <c r="C209" s="389" t="s">
        <v>103</v>
      </c>
      <c r="D209" s="375">
        <f t="shared" si="176"/>
        <v>0</v>
      </c>
      <c r="E209" s="266" t="s">
        <v>130</v>
      </c>
      <c r="F209" s="368"/>
      <c r="G209" s="368"/>
      <c r="H209" s="368"/>
      <c r="I209" s="368"/>
      <c r="J209" s="368"/>
      <c r="K209" s="368"/>
      <c r="L209" s="368"/>
      <c r="M209" s="368"/>
      <c r="N209" s="368"/>
      <c r="O209" s="368"/>
      <c r="P209" s="368"/>
      <c r="Q209" s="368"/>
      <c r="R209" s="368"/>
      <c r="S209" s="368"/>
      <c r="T209" s="368"/>
      <c r="U209" s="368"/>
      <c r="V209" s="368"/>
      <c r="W209" s="368"/>
      <c r="X209" s="368"/>
      <c r="Y209" s="368"/>
      <c r="Z209" s="368"/>
      <c r="AA209" s="368"/>
      <c r="AB209" s="368"/>
      <c r="AC209" s="368"/>
      <c r="AD209" s="368"/>
      <c r="AE209" s="368"/>
      <c r="AF209" s="368"/>
      <c r="AG209" s="368"/>
      <c r="AH209" s="368"/>
      <c r="AI209" s="368">
        <f>IF('表2-折旧摊销表'!$BA$26+1-'表2-折旧摊销表'!$AI$26&gt;=参数输入表!$I$798,$AI$178/参数输入表!$I$798,$AI$178/('表2-折旧摊销表'!$BA$26+1-'表2-折旧摊销表'!$AI$26))</f>
        <v>0</v>
      </c>
      <c r="AJ209" s="368">
        <f>IF('表2-折旧摊销表'!$BA$26+1-'表2-折旧摊销表'!$AI$26&gt;=参数输入表!$I$798,$AI$178/参数输入表!$I$798,$AI$178/('表2-折旧摊销表'!$BA$26+1-'表2-折旧摊销表'!$AI$26))</f>
        <v>0</v>
      </c>
      <c r="AK209" s="368">
        <f>IF('表2-折旧摊销表'!$BA$26+1-'表2-折旧摊销表'!$AI$26&gt;=参数输入表!$I$798,$AI$178/参数输入表!$I$798,$AI$178/('表2-折旧摊销表'!$BA$26+1-'表2-折旧摊销表'!$AI$26))</f>
        <v>0</v>
      </c>
      <c r="AL209" s="368">
        <f>IF('表2-折旧摊销表'!$BA$26+1-'表2-折旧摊销表'!$AI$26&gt;=参数输入表!$I$798,$AI$178/参数输入表!$I$798,$AI$178/('表2-折旧摊销表'!$BA$26+1-'表2-折旧摊销表'!$AI$26))</f>
        <v>0</v>
      </c>
      <c r="AM209" s="368">
        <f>IF('表2-折旧摊销表'!$BA$26+1-'表2-折旧摊销表'!$AI$26&gt;=参数输入表!$I$798,$AI$178/参数输入表!$I$798,$AI$178/('表2-折旧摊销表'!$BA$26+1-'表2-折旧摊销表'!$AI$26))</f>
        <v>0</v>
      </c>
      <c r="AN209" s="368">
        <f>IF('表2-折旧摊销表'!$BA$26+1-'表2-折旧摊销表'!$AI$26&gt;=参数输入表!$I$798,$AI$178/参数输入表!$I$798,$AI$178/('表2-折旧摊销表'!$BA$26+1-'表2-折旧摊销表'!$AI$26))</f>
        <v>0</v>
      </c>
      <c r="AO209" s="368">
        <f>IF('表2-折旧摊销表'!$BA$26+1-'表2-折旧摊销表'!$AI$26&gt;=参数输入表!$I$798,$AI$178/参数输入表!$I$798,$AI$178/('表2-折旧摊销表'!$BA$26+1-'表2-折旧摊销表'!$AI$26))</f>
        <v>0</v>
      </c>
      <c r="AP209" s="368">
        <f>IF('表2-折旧摊销表'!$BA$26+1-'表2-折旧摊销表'!$AI$26&gt;=参数输入表!$I$798,$AI$178/参数输入表!$I$798,$AI$178/('表2-折旧摊销表'!$BA$26+1-'表2-折旧摊销表'!$AI$26))</f>
        <v>0</v>
      </c>
      <c r="AQ209" s="368"/>
      <c r="AR209" s="368"/>
      <c r="AS209" s="368"/>
      <c r="AT209" s="368"/>
      <c r="AU209" s="368"/>
      <c r="AV209" s="368"/>
      <c r="AW209" s="368"/>
      <c r="AX209" s="368"/>
      <c r="AY209" s="368"/>
      <c r="AZ209" s="368"/>
      <c r="BA209" s="369"/>
    </row>
    <row r="210" s="105" customFormat="1" spans="2:53">
      <c r="B210" s="408"/>
      <c r="C210" s="389" t="s">
        <v>104</v>
      </c>
      <c r="D210" s="375">
        <f t="shared" si="176"/>
        <v>0</v>
      </c>
      <c r="E210" s="266" t="s">
        <v>130</v>
      </c>
      <c r="F210" s="368"/>
      <c r="G210" s="368"/>
      <c r="H210" s="368"/>
      <c r="I210" s="368"/>
      <c r="J210" s="368"/>
      <c r="K210" s="368"/>
      <c r="L210" s="368"/>
      <c r="M210" s="368"/>
      <c r="N210" s="368"/>
      <c r="O210" s="368"/>
      <c r="P210" s="368"/>
      <c r="Q210" s="368"/>
      <c r="R210" s="368"/>
      <c r="S210" s="368"/>
      <c r="T210" s="368"/>
      <c r="U210" s="368"/>
      <c r="V210" s="368"/>
      <c r="W210" s="368"/>
      <c r="X210" s="368"/>
      <c r="Y210" s="368"/>
      <c r="Z210" s="368"/>
      <c r="AA210" s="368"/>
      <c r="AB210" s="368"/>
      <c r="AC210" s="368"/>
      <c r="AD210" s="368"/>
      <c r="AE210" s="368"/>
      <c r="AF210" s="368"/>
      <c r="AG210" s="368"/>
      <c r="AH210" s="368"/>
      <c r="AI210" s="368"/>
      <c r="AJ210" s="368">
        <f>IF('表2-折旧摊销表'!$BA$26+1-'表2-折旧摊销表'!$AJ$26&gt;=参数输入表!$I$798,$AJ$178/参数输入表!$I$798,$AJ$178/('表2-折旧摊销表'!$BA$26+1-'表2-折旧摊销表'!$AJ$26))</f>
        <v>0</v>
      </c>
      <c r="AK210" s="368">
        <f>IF('表2-折旧摊销表'!$BA$26+1-'表2-折旧摊销表'!$AJ$26&gt;=参数输入表!$I$798,$AJ$178/参数输入表!$I$798,$AJ$178/('表2-折旧摊销表'!$BA$26+1-'表2-折旧摊销表'!$AJ$26))</f>
        <v>0</v>
      </c>
      <c r="AL210" s="368">
        <f>IF('表2-折旧摊销表'!$BA$26+1-'表2-折旧摊销表'!$AJ$26&gt;=参数输入表!$I$798,$AJ$178/参数输入表!$I$798,$AJ$178/('表2-折旧摊销表'!$BA$26+1-'表2-折旧摊销表'!$AJ$26))</f>
        <v>0</v>
      </c>
      <c r="AM210" s="368">
        <f>IF('表2-折旧摊销表'!$BA$26+1-'表2-折旧摊销表'!$AJ$26&gt;=参数输入表!$I$798,$AJ$178/参数输入表!$I$798,$AJ$178/('表2-折旧摊销表'!$BA$26+1-'表2-折旧摊销表'!$AJ$26))</f>
        <v>0</v>
      </c>
      <c r="AN210" s="368">
        <f>IF('表2-折旧摊销表'!$BA$26+1-'表2-折旧摊销表'!$AJ$26&gt;=参数输入表!$I$798,$AJ$178/参数输入表!$I$798,$AJ$178/('表2-折旧摊销表'!$BA$26+1-'表2-折旧摊销表'!$AJ$26))</f>
        <v>0</v>
      </c>
      <c r="AO210" s="368">
        <f>IF('表2-折旧摊销表'!$BA$26+1-'表2-折旧摊销表'!$AJ$26&gt;=参数输入表!$I$798,$AJ$178/参数输入表!$I$798,$AJ$178/('表2-折旧摊销表'!$BA$26+1-'表2-折旧摊销表'!$AJ$26))</f>
        <v>0</v>
      </c>
      <c r="AP210" s="368">
        <f>IF('表2-折旧摊销表'!$BA$26+1-'表2-折旧摊销表'!$AJ$26&gt;=参数输入表!$I$798,$AJ$178/参数输入表!$I$798,$AJ$178/('表2-折旧摊销表'!$BA$26+1-'表2-折旧摊销表'!$AJ$26))</f>
        <v>0</v>
      </c>
      <c r="AQ210" s="368">
        <f>IF('表2-折旧摊销表'!$BA$26+1-'表2-折旧摊销表'!$AJ$26&gt;=参数输入表!$I$798,$AJ$178/参数输入表!$I$798,$AJ$178/('表2-折旧摊销表'!$BA$26+1-'表2-折旧摊销表'!$AJ$26))</f>
        <v>0</v>
      </c>
      <c r="AR210" s="368"/>
      <c r="AS210" s="368"/>
      <c r="AT210" s="368"/>
      <c r="AU210" s="368"/>
      <c r="AV210" s="368"/>
      <c r="AW210" s="368"/>
      <c r="AX210" s="368"/>
      <c r="AY210" s="368"/>
      <c r="AZ210" s="368"/>
      <c r="BA210" s="369"/>
    </row>
    <row r="211" s="105" customFormat="1" spans="2:53">
      <c r="B211" s="408"/>
      <c r="C211" s="389" t="s">
        <v>105</v>
      </c>
      <c r="D211" s="375">
        <f t="shared" si="176"/>
        <v>0</v>
      </c>
      <c r="E211" s="266" t="s">
        <v>130</v>
      </c>
      <c r="F211" s="368"/>
      <c r="G211" s="368"/>
      <c r="H211" s="368"/>
      <c r="I211" s="368"/>
      <c r="J211" s="368"/>
      <c r="K211" s="368"/>
      <c r="L211" s="368"/>
      <c r="M211" s="368"/>
      <c r="N211" s="368"/>
      <c r="O211" s="368"/>
      <c r="P211" s="368"/>
      <c r="Q211" s="368"/>
      <c r="R211" s="368"/>
      <c r="S211" s="368"/>
      <c r="T211" s="368"/>
      <c r="U211" s="368"/>
      <c r="V211" s="368"/>
      <c r="W211" s="368"/>
      <c r="X211" s="368"/>
      <c r="Y211" s="368"/>
      <c r="Z211" s="368"/>
      <c r="AA211" s="368"/>
      <c r="AB211" s="368"/>
      <c r="AC211" s="368"/>
      <c r="AD211" s="368"/>
      <c r="AE211" s="368"/>
      <c r="AF211" s="368"/>
      <c r="AG211" s="368"/>
      <c r="AH211" s="368"/>
      <c r="AI211" s="368"/>
      <c r="AJ211" s="368"/>
      <c r="AK211" s="368">
        <f>IF('表2-折旧摊销表'!$BA$26+1-'表2-折旧摊销表'!$AK$26&gt;=参数输入表!$I$798,$AK$178/参数输入表!$I$798,$AK$178/('表2-折旧摊销表'!$BA$26+1-'表2-折旧摊销表'!$AK$26))</f>
        <v>0</v>
      </c>
      <c r="AL211" s="368">
        <f>IF('表2-折旧摊销表'!$BA$26+1-'表2-折旧摊销表'!$AK$26&gt;=参数输入表!$I$798,$AK$178/参数输入表!$I$798,$AK$178/('表2-折旧摊销表'!$BA$26+1-'表2-折旧摊销表'!$AK$26))</f>
        <v>0</v>
      </c>
      <c r="AM211" s="368">
        <f>IF('表2-折旧摊销表'!$BA$26+1-'表2-折旧摊销表'!$AK$26&gt;=参数输入表!$I$798,$AK$178/参数输入表!$I$798,$AK$178/('表2-折旧摊销表'!$BA$26+1-'表2-折旧摊销表'!$AK$26))</f>
        <v>0</v>
      </c>
      <c r="AN211" s="368">
        <f>IF('表2-折旧摊销表'!$BA$26+1-'表2-折旧摊销表'!$AK$26&gt;=参数输入表!$I$798,$AK$178/参数输入表!$I$798,$AK$178/('表2-折旧摊销表'!$BA$26+1-'表2-折旧摊销表'!$AK$26))</f>
        <v>0</v>
      </c>
      <c r="AO211" s="368">
        <f>IF('表2-折旧摊销表'!$BA$26+1-'表2-折旧摊销表'!$AK$26&gt;=参数输入表!$I$798,$AK$178/参数输入表!$I$798,$AK$178/('表2-折旧摊销表'!$BA$26+1-'表2-折旧摊销表'!$AK$26))</f>
        <v>0</v>
      </c>
      <c r="AP211" s="368">
        <f>IF('表2-折旧摊销表'!$BA$26+1-'表2-折旧摊销表'!$AK$26&gt;=参数输入表!$I$798,$AK$178/参数输入表!$I$798,$AK$178/('表2-折旧摊销表'!$BA$26+1-'表2-折旧摊销表'!$AK$26))</f>
        <v>0</v>
      </c>
      <c r="AQ211" s="368">
        <f>IF('表2-折旧摊销表'!$BA$26+1-'表2-折旧摊销表'!$AK$26&gt;=参数输入表!$I$798,$AK$178/参数输入表!$I$798,$AK$178/('表2-折旧摊销表'!$BA$26+1-'表2-折旧摊销表'!$AK$26))</f>
        <v>0</v>
      </c>
      <c r="AR211" s="368">
        <f>IF('表2-折旧摊销表'!$BA$26+1-'表2-折旧摊销表'!$AK$26&gt;=参数输入表!$I$798,$AK$178/参数输入表!$I$798,$AK$178/('表2-折旧摊销表'!$BA$26+1-'表2-折旧摊销表'!$AK$26))</f>
        <v>0</v>
      </c>
      <c r="AS211" s="368"/>
      <c r="AT211" s="368"/>
      <c r="AU211" s="368"/>
      <c r="AV211" s="368"/>
      <c r="AW211" s="368"/>
      <c r="AX211" s="368"/>
      <c r="AY211" s="368"/>
      <c r="AZ211" s="368"/>
      <c r="BA211" s="369"/>
    </row>
    <row r="212" s="105" customFormat="1" spans="2:53">
      <c r="B212" s="408"/>
      <c r="C212" s="389" t="s">
        <v>106</v>
      </c>
      <c r="D212" s="375">
        <f t="shared" si="176"/>
        <v>0</v>
      </c>
      <c r="E212" s="266" t="s">
        <v>130</v>
      </c>
      <c r="F212" s="368"/>
      <c r="G212" s="368"/>
      <c r="H212" s="368"/>
      <c r="I212" s="368"/>
      <c r="J212" s="368"/>
      <c r="K212" s="368"/>
      <c r="L212" s="368"/>
      <c r="M212" s="368"/>
      <c r="N212" s="368"/>
      <c r="O212" s="368"/>
      <c r="P212" s="368"/>
      <c r="Q212" s="368"/>
      <c r="R212" s="368"/>
      <c r="S212" s="368"/>
      <c r="T212" s="368"/>
      <c r="U212" s="368"/>
      <c r="V212" s="368"/>
      <c r="W212" s="368"/>
      <c r="X212" s="368"/>
      <c r="Y212" s="368"/>
      <c r="Z212" s="368"/>
      <c r="AA212" s="368"/>
      <c r="AB212" s="368"/>
      <c r="AC212" s="368"/>
      <c r="AD212" s="368"/>
      <c r="AE212" s="368"/>
      <c r="AF212" s="368"/>
      <c r="AG212" s="368"/>
      <c r="AH212" s="368"/>
      <c r="AI212" s="368"/>
      <c r="AJ212" s="368"/>
      <c r="AK212" s="368"/>
      <c r="AL212" s="368">
        <f>IF('表2-折旧摊销表'!$BA$26+1-'表2-折旧摊销表'!$AL$26&gt;=参数输入表!$I$798,$AL$178/参数输入表!$I$798,$AL$178/('表2-折旧摊销表'!$BA$26+1-'表2-折旧摊销表'!$AL$26))</f>
        <v>0</v>
      </c>
      <c r="AM212" s="368">
        <f>IF('表2-折旧摊销表'!$BA$26+1-'表2-折旧摊销表'!$AL$26&gt;=参数输入表!$I$798,$AL$178/参数输入表!$I$798,$AL$178/('表2-折旧摊销表'!$BA$26+1-'表2-折旧摊销表'!$AL$26))</f>
        <v>0</v>
      </c>
      <c r="AN212" s="368">
        <f>IF('表2-折旧摊销表'!$BA$26+1-'表2-折旧摊销表'!$AL$26&gt;=参数输入表!$I$798,$AL$178/参数输入表!$I$798,$AL$178/('表2-折旧摊销表'!$BA$26+1-'表2-折旧摊销表'!$AL$26))</f>
        <v>0</v>
      </c>
      <c r="AO212" s="368">
        <f>IF('表2-折旧摊销表'!$BA$26+1-'表2-折旧摊销表'!$AL$26&gt;=参数输入表!$I$798,$AL$178/参数输入表!$I$798,$AL$178/('表2-折旧摊销表'!$BA$26+1-'表2-折旧摊销表'!$AL$26))</f>
        <v>0</v>
      </c>
      <c r="AP212" s="368">
        <f>IF('表2-折旧摊销表'!$BA$26+1-'表2-折旧摊销表'!$AL$26&gt;=参数输入表!$I$798,$AL$178/参数输入表!$I$798,$AL$178/('表2-折旧摊销表'!$BA$26+1-'表2-折旧摊销表'!$AL$26))</f>
        <v>0</v>
      </c>
      <c r="AQ212" s="368">
        <f>IF('表2-折旧摊销表'!$BA$26+1-'表2-折旧摊销表'!$AL$26&gt;=参数输入表!$I$798,$AL$178/参数输入表!$I$798,$AL$178/('表2-折旧摊销表'!$BA$26+1-'表2-折旧摊销表'!$AL$26))</f>
        <v>0</v>
      </c>
      <c r="AR212" s="368">
        <f>IF('表2-折旧摊销表'!$BA$26+1-'表2-折旧摊销表'!$AL$26&gt;=参数输入表!$I$798,$AL$178/参数输入表!$I$798,$AL$178/('表2-折旧摊销表'!$BA$26+1-'表2-折旧摊销表'!$AL$26))</f>
        <v>0</v>
      </c>
      <c r="AS212" s="368">
        <f>IF('表2-折旧摊销表'!$BA$26+1-'表2-折旧摊销表'!$AL$26&gt;=参数输入表!$I$798,$AL$178/参数输入表!$I$798,$AL$178/('表2-折旧摊销表'!$BA$26+1-'表2-折旧摊销表'!$AL$26))</f>
        <v>0</v>
      </c>
      <c r="AT212" s="368"/>
      <c r="AU212" s="368"/>
      <c r="AV212" s="368"/>
      <c r="AW212" s="368"/>
      <c r="AX212" s="368"/>
      <c r="AY212" s="368"/>
      <c r="AZ212" s="368"/>
      <c r="BA212" s="369"/>
    </row>
    <row r="213" s="105" customFormat="1" spans="2:53">
      <c r="B213" s="408"/>
      <c r="C213" s="389" t="s">
        <v>107</v>
      </c>
      <c r="D213" s="375">
        <f t="shared" si="176"/>
        <v>0</v>
      </c>
      <c r="E213" s="266" t="s">
        <v>130</v>
      </c>
      <c r="F213" s="368"/>
      <c r="G213" s="368"/>
      <c r="H213" s="368"/>
      <c r="I213" s="368"/>
      <c r="J213" s="368"/>
      <c r="K213" s="368"/>
      <c r="L213" s="368"/>
      <c r="M213" s="368"/>
      <c r="N213" s="368"/>
      <c r="O213" s="368"/>
      <c r="P213" s="368"/>
      <c r="Q213" s="368"/>
      <c r="R213" s="368"/>
      <c r="S213" s="368"/>
      <c r="T213" s="368"/>
      <c r="U213" s="368"/>
      <c r="V213" s="368"/>
      <c r="W213" s="368"/>
      <c r="X213" s="368"/>
      <c r="Y213" s="368"/>
      <c r="Z213" s="368"/>
      <c r="AA213" s="368"/>
      <c r="AB213" s="368"/>
      <c r="AC213" s="368"/>
      <c r="AD213" s="368"/>
      <c r="AE213" s="368"/>
      <c r="AF213" s="368"/>
      <c r="AG213" s="368"/>
      <c r="AH213" s="368"/>
      <c r="AI213" s="368"/>
      <c r="AJ213" s="368"/>
      <c r="AK213" s="368"/>
      <c r="AL213" s="368"/>
      <c r="AM213" s="368">
        <f>IF('表2-折旧摊销表'!$BA$26+1-'表2-折旧摊销表'!$AM$26&gt;=参数输入表!$I$798,$AM$178/参数输入表!$I$798,$AM$178/('表2-折旧摊销表'!$BA$26+1-'表2-折旧摊销表'!$AM$26))</f>
        <v>0</v>
      </c>
      <c r="AN213" s="368">
        <f>IF('表2-折旧摊销表'!$BA$26+1-'表2-折旧摊销表'!$AM$26&gt;=参数输入表!$I$798,$AM$178/参数输入表!$I$798,$AM$178/('表2-折旧摊销表'!$BA$26+1-'表2-折旧摊销表'!$AM$26))</f>
        <v>0</v>
      </c>
      <c r="AO213" s="368">
        <f>IF('表2-折旧摊销表'!$BA$26+1-'表2-折旧摊销表'!$AM$26&gt;=参数输入表!$I$798,$AM$178/参数输入表!$I$798,$AM$178/('表2-折旧摊销表'!$BA$26+1-'表2-折旧摊销表'!$AM$26))</f>
        <v>0</v>
      </c>
      <c r="AP213" s="368">
        <f>IF('表2-折旧摊销表'!$BA$26+1-'表2-折旧摊销表'!$AM$26&gt;=参数输入表!$I$798,$AM$178/参数输入表!$I$798,$AM$178/('表2-折旧摊销表'!$BA$26+1-'表2-折旧摊销表'!$AM$26))</f>
        <v>0</v>
      </c>
      <c r="AQ213" s="368">
        <f>IF('表2-折旧摊销表'!$BA$26+1-'表2-折旧摊销表'!$AM$26&gt;=参数输入表!$I$798,$AM$178/参数输入表!$I$798,$AM$178/('表2-折旧摊销表'!$BA$26+1-'表2-折旧摊销表'!$AM$26))</f>
        <v>0</v>
      </c>
      <c r="AR213" s="368">
        <f>IF('表2-折旧摊销表'!$BA$26+1-'表2-折旧摊销表'!$AM$26&gt;=参数输入表!$I$798,$AM$178/参数输入表!$I$798,$AM$178/('表2-折旧摊销表'!$BA$26+1-'表2-折旧摊销表'!$AM$26))</f>
        <v>0</v>
      </c>
      <c r="AS213" s="368">
        <f>IF('表2-折旧摊销表'!$BA$26+1-'表2-折旧摊销表'!$AM$26&gt;=参数输入表!$I$798,$AM$178/参数输入表!$I$798,$AM$178/('表2-折旧摊销表'!$BA$26+1-'表2-折旧摊销表'!$AM$26))</f>
        <v>0</v>
      </c>
      <c r="AT213" s="368">
        <f>IF('表2-折旧摊销表'!$BA$26+1-'表2-折旧摊销表'!$AM$26&gt;=参数输入表!$I$798,$AM$178/参数输入表!$I$798,$AM$178/('表2-折旧摊销表'!$BA$26+1-'表2-折旧摊销表'!$AM$26))</f>
        <v>0</v>
      </c>
      <c r="AU213" s="368"/>
      <c r="AV213" s="368"/>
      <c r="AW213" s="368"/>
      <c r="AX213" s="368"/>
      <c r="AY213" s="368"/>
      <c r="AZ213" s="368"/>
      <c r="BA213" s="369"/>
    </row>
    <row r="214" s="105" customFormat="1" spans="2:53">
      <c r="B214" s="408"/>
      <c r="C214" s="389" t="s">
        <v>108</v>
      </c>
      <c r="D214" s="375">
        <f t="shared" si="176"/>
        <v>1327.43362831858</v>
      </c>
      <c r="E214" s="266" t="s">
        <v>130</v>
      </c>
      <c r="F214" s="368"/>
      <c r="G214" s="368"/>
      <c r="H214" s="368"/>
      <c r="I214" s="368"/>
      <c r="J214" s="368"/>
      <c r="K214" s="368"/>
      <c r="L214" s="368"/>
      <c r="M214" s="368"/>
      <c r="N214" s="368"/>
      <c r="O214" s="368"/>
      <c r="P214" s="368"/>
      <c r="Q214" s="368"/>
      <c r="R214" s="368"/>
      <c r="S214" s="368"/>
      <c r="T214" s="368"/>
      <c r="U214" s="368"/>
      <c r="V214" s="368"/>
      <c r="W214" s="368"/>
      <c r="X214" s="368"/>
      <c r="Y214" s="368"/>
      <c r="Z214" s="368"/>
      <c r="AA214" s="368"/>
      <c r="AB214" s="368"/>
      <c r="AC214" s="368"/>
      <c r="AD214" s="368"/>
      <c r="AE214" s="368"/>
      <c r="AF214" s="368"/>
      <c r="AG214" s="368"/>
      <c r="AH214" s="368"/>
      <c r="AI214" s="368"/>
      <c r="AJ214" s="368"/>
      <c r="AK214" s="368"/>
      <c r="AL214" s="368"/>
      <c r="AM214" s="368"/>
      <c r="AN214" s="368">
        <f>IF('表2-折旧摊销表'!$BA$26+1-'表2-折旧摊销表'!$AN$26&gt;=参数输入表!$I$798,$AN$178/参数输入表!$I$798,$AN$178/('表2-折旧摊销表'!$BA$26+1-'表2-折旧摊销表'!$AN$26))</f>
        <v>165.929203539823</v>
      </c>
      <c r="AO214" s="368">
        <f>IF('表2-折旧摊销表'!$BA$26+1-'表2-折旧摊销表'!$AN$26&gt;=参数输入表!$I$798,$AN$178/参数输入表!$I$798,$AN$178/('表2-折旧摊销表'!$BA$26+1-'表2-折旧摊销表'!$AN$26))</f>
        <v>165.929203539823</v>
      </c>
      <c r="AP214" s="368">
        <f>IF('表2-折旧摊销表'!$BA$26+1-'表2-折旧摊销表'!$AN$26&gt;=参数输入表!$I$798,$AN$178/参数输入表!$I$798,$AN$178/('表2-折旧摊销表'!$BA$26+1-'表2-折旧摊销表'!$AN$26))</f>
        <v>165.929203539823</v>
      </c>
      <c r="AQ214" s="368">
        <f>IF('表2-折旧摊销表'!$BA$26+1-'表2-折旧摊销表'!$AN$26&gt;=参数输入表!$I$798,$AN$178/参数输入表!$I$798,$AN$178/('表2-折旧摊销表'!$BA$26+1-'表2-折旧摊销表'!$AN$26))</f>
        <v>165.929203539823</v>
      </c>
      <c r="AR214" s="368">
        <f>IF('表2-折旧摊销表'!$BA$26+1-'表2-折旧摊销表'!$AN$26&gt;=参数输入表!$I$798,$AN$178/参数输入表!$I$798,$AN$178/('表2-折旧摊销表'!$BA$26+1-'表2-折旧摊销表'!$AN$26))</f>
        <v>165.929203539823</v>
      </c>
      <c r="AS214" s="368">
        <f>IF('表2-折旧摊销表'!$BA$26+1-'表2-折旧摊销表'!$AN$26&gt;=参数输入表!$I$798,$AN$178/参数输入表!$I$798,$AN$178/('表2-折旧摊销表'!$BA$26+1-'表2-折旧摊销表'!$AN$26))</f>
        <v>165.929203539823</v>
      </c>
      <c r="AT214" s="368">
        <f>IF('表2-折旧摊销表'!$BA$26+1-'表2-折旧摊销表'!$AN$26&gt;=参数输入表!$I$798,$AN$178/参数输入表!$I$798,$AN$178/('表2-折旧摊销表'!$BA$26+1-'表2-折旧摊销表'!$AN$26))</f>
        <v>165.929203539823</v>
      </c>
      <c r="AU214" s="368">
        <f>IF('表2-折旧摊销表'!$BA$26+1-'表2-折旧摊销表'!$AN$26&gt;=参数输入表!$I$798,$AN$178/参数输入表!$I$798,$AN$178/('表2-折旧摊销表'!$BA$26+1-'表2-折旧摊销表'!$AN$26))</f>
        <v>165.929203539823</v>
      </c>
      <c r="AV214" s="368"/>
      <c r="AW214" s="368"/>
      <c r="AX214" s="368"/>
      <c r="AY214" s="368"/>
      <c r="AZ214" s="368"/>
      <c r="BA214" s="369"/>
    </row>
    <row r="215" s="105" customFormat="1" spans="2:53">
      <c r="B215" s="408"/>
      <c r="C215" s="389" t="s">
        <v>109</v>
      </c>
      <c r="D215" s="375">
        <f t="shared" si="176"/>
        <v>0</v>
      </c>
      <c r="E215" s="266" t="s">
        <v>130</v>
      </c>
      <c r="F215" s="368"/>
      <c r="G215" s="368"/>
      <c r="H215" s="368"/>
      <c r="I215" s="368"/>
      <c r="J215" s="368"/>
      <c r="K215" s="368"/>
      <c r="L215" s="368"/>
      <c r="M215" s="368"/>
      <c r="N215" s="368"/>
      <c r="O215" s="368"/>
      <c r="P215" s="368"/>
      <c r="Q215" s="368"/>
      <c r="R215" s="368"/>
      <c r="S215" s="368"/>
      <c r="T215" s="368"/>
      <c r="U215" s="368"/>
      <c r="V215" s="368"/>
      <c r="W215" s="368"/>
      <c r="X215" s="368"/>
      <c r="Y215" s="368"/>
      <c r="Z215" s="368"/>
      <c r="AA215" s="368"/>
      <c r="AB215" s="368"/>
      <c r="AC215" s="368"/>
      <c r="AD215" s="368"/>
      <c r="AE215" s="368"/>
      <c r="AF215" s="368"/>
      <c r="AG215" s="368"/>
      <c r="AH215" s="368"/>
      <c r="AI215" s="368"/>
      <c r="AJ215" s="368"/>
      <c r="AK215" s="368"/>
      <c r="AL215" s="368"/>
      <c r="AM215" s="368"/>
      <c r="AN215" s="368"/>
      <c r="AO215" s="368">
        <f>IF('表2-折旧摊销表'!$BA$26+1-'表2-折旧摊销表'!$AO$26&gt;=参数输入表!$I$798,$AO$178/参数输入表!$I$798,$AO$178/('表2-折旧摊销表'!$BA$26+1-'表2-折旧摊销表'!$AO$26))</f>
        <v>0</v>
      </c>
      <c r="AP215" s="368">
        <f>IF('表2-折旧摊销表'!$BA$26+1-'表2-折旧摊销表'!$AO$26&gt;=参数输入表!$I$798,$AO$178/参数输入表!$I$798,$AO$178/('表2-折旧摊销表'!$BA$26+1-'表2-折旧摊销表'!$AO$26))</f>
        <v>0</v>
      </c>
      <c r="AQ215" s="368">
        <f>IF('表2-折旧摊销表'!$BA$26+1-'表2-折旧摊销表'!$AO$26&gt;=参数输入表!$I$798,$AO$178/参数输入表!$I$798,$AO$178/('表2-折旧摊销表'!$BA$26+1-'表2-折旧摊销表'!$AO$26))</f>
        <v>0</v>
      </c>
      <c r="AR215" s="368">
        <f>IF('表2-折旧摊销表'!$BA$26+1-'表2-折旧摊销表'!$AO$26&gt;=参数输入表!$I$798,$AO$178/参数输入表!$I$798,$AO$178/('表2-折旧摊销表'!$BA$26+1-'表2-折旧摊销表'!$AO$26))</f>
        <v>0</v>
      </c>
      <c r="AS215" s="368">
        <f>IF('表2-折旧摊销表'!$BA$26+1-'表2-折旧摊销表'!$AO$26&gt;=参数输入表!$I$798,$AO$178/参数输入表!$I$798,$AO$178/('表2-折旧摊销表'!$BA$26+1-'表2-折旧摊销表'!$AO$26))</f>
        <v>0</v>
      </c>
      <c r="AT215" s="368">
        <f>IF('表2-折旧摊销表'!$BA$26+1-'表2-折旧摊销表'!$AO$26&gt;=参数输入表!$I$798,$AO$178/参数输入表!$I$798,$AO$178/('表2-折旧摊销表'!$BA$26+1-'表2-折旧摊销表'!$AO$26))</f>
        <v>0</v>
      </c>
      <c r="AU215" s="368">
        <f>IF('表2-折旧摊销表'!$BA$26+1-'表2-折旧摊销表'!$AO$26&gt;=参数输入表!$I$798,$AO$178/参数输入表!$I$798,$AO$178/('表2-折旧摊销表'!$BA$26+1-'表2-折旧摊销表'!$AO$26))</f>
        <v>0</v>
      </c>
      <c r="AV215" s="368">
        <f>IF('表2-折旧摊销表'!$BA$26+1-'表2-折旧摊销表'!$AO$26&gt;=参数输入表!$I$798,$AO$178/参数输入表!$I$798,$AO$178/('表2-折旧摊销表'!$BA$26+1-'表2-折旧摊销表'!$AO$26))</f>
        <v>0</v>
      </c>
      <c r="AW215" s="368"/>
      <c r="AX215" s="368"/>
      <c r="AY215" s="368"/>
      <c r="AZ215" s="368"/>
      <c r="BA215" s="369"/>
    </row>
    <row r="216" s="105" customFormat="1" spans="2:53">
      <c r="B216" s="408"/>
      <c r="C216" s="389" t="s">
        <v>110</v>
      </c>
      <c r="D216" s="375">
        <f t="shared" si="176"/>
        <v>0</v>
      </c>
      <c r="E216" s="266" t="s">
        <v>130</v>
      </c>
      <c r="F216" s="368"/>
      <c r="G216" s="368"/>
      <c r="H216" s="368"/>
      <c r="I216" s="368"/>
      <c r="J216" s="368"/>
      <c r="K216" s="368"/>
      <c r="L216" s="368"/>
      <c r="M216" s="368"/>
      <c r="N216" s="368"/>
      <c r="O216" s="368"/>
      <c r="P216" s="368"/>
      <c r="Q216" s="368"/>
      <c r="R216" s="368"/>
      <c r="S216" s="368"/>
      <c r="T216" s="368"/>
      <c r="U216" s="368"/>
      <c r="V216" s="368"/>
      <c r="W216" s="368"/>
      <c r="X216" s="368"/>
      <c r="Y216" s="368"/>
      <c r="Z216" s="368"/>
      <c r="AA216" s="368"/>
      <c r="AB216" s="368"/>
      <c r="AC216" s="368"/>
      <c r="AD216" s="368"/>
      <c r="AE216" s="368"/>
      <c r="AF216" s="368"/>
      <c r="AG216" s="368"/>
      <c r="AH216" s="368"/>
      <c r="AI216" s="368"/>
      <c r="AJ216" s="368"/>
      <c r="AK216" s="368"/>
      <c r="AL216" s="368"/>
      <c r="AM216" s="368"/>
      <c r="AN216" s="368"/>
      <c r="AO216" s="368"/>
      <c r="AP216" s="368">
        <f>IF('表2-折旧摊销表'!$BA$26+1-'表2-折旧摊销表'!$AP$26&gt;=参数输入表!$I$798,$AP$178/参数输入表!$I$798,$AP$178/('表2-折旧摊销表'!$BA$26+1-'表2-折旧摊销表'!$AP$26))</f>
        <v>0</v>
      </c>
      <c r="AQ216" s="368">
        <f>IF('表2-折旧摊销表'!$BA$26+1-'表2-折旧摊销表'!$AP$26&gt;=参数输入表!$I$798,$AP$178/参数输入表!$I$798,$AP$178/('表2-折旧摊销表'!$BA$26+1-'表2-折旧摊销表'!$AP$26))</f>
        <v>0</v>
      </c>
      <c r="AR216" s="368">
        <f>IF('表2-折旧摊销表'!$BA$26+1-'表2-折旧摊销表'!$AP$26&gt;=参数输入表!$I$798,$AP$178/参数输入表!$I$798,$AP$178/('表2-折旧摊销表'!$BA$26+1-'表2-折旧摊销表'!$AP$26))</f>
        <v>0</v>
      </c>
      <c r="AS216" s="368">
        <f>IF('表2-折旧摊销表'!$BA$26+1-'表2-折旧摊销表'!$AP$26&gt;=参数输入表!$I$798,$AP$178/参数输入表!$I$798,$AP$178/('表2-折旧摊销表'!$BA$26+1-'表2-折旧摊销表'!$AP$26))</f>
        <v>0</v>
      </c>
      <c r="AT216" s="368">
        <f>IF('表2-折旧摊销表'!$BA$26+1-'表2-折旧摊销表'!$AP$26&gt;=参数输入表!$I$798,$AP$178/参数输入表!$I$798,$AP$178/('表2-折旧摊销表'!$BA$26+1-'表2-折旧摊销表'!$AP$26))</f>
        <v>0</v>
      </c>
      <c r="AU216" s="368">
        <f>IF('表2-折旧摊销表'!$BA$26+1-'表2-折旧摊销表'!$AP$26&gt;=参数输入表!$I$798,$AP$178/参数输入表!$I$798,$AP$178/('表2-折旧摊销表'!$BA$26+1-'表2-折旧摊销表'!$AP$26))</f>
        <v>0</v>
      </c>
      <c r="AV216" s="368">
        <f>IF('表2-折旧摊销表'!$BA$26+1-'表2-折旧摊销表'!$AP$26&gt;=参数输入表!$I$798,$AP$178/参数输入表!$I$798,$AP$178/('表2-折旧摊销表'!$BA$26+1-'表2-折旧摊销表'!$AP$26))</f>
        <v>0</v>
      </c>
      <c r="AW216" s="368">
        <f>IF('表2-折旧摊销表'!$BA$26+1-'表2-折旧摊销表'!$AP$26&gt;=参数输入表!$I$798,$AP$178/参数输入表!$I$798,$AP$178/('表2-折旧摊销表'!$BA$26+1-'表2-折旧摊销表'!$AP$26))</f>
        <v>0</v>
      </c>
      <c r="AX216" s="368"/>
      <c r="AY216" s="368"/>
      <c r="AZ216" s="368"/>
      <c r="BA216" s="369"/>
    </row>
    <row r="217" s="105" customFormat="1" spans="2:53">
      <c r="B217" s="408"/>
      <c r="C217" s="389" t="s">
        <v>111</v>
      </c>
      <c r="D217" s="375">
        <f t="shared" si="176"/>
        <v>0</v>
      </c>
      <c r="E217" s="266" t="s">
        <v>130</v>
      </c>
      <c r="F217" s="368"/>
      <c r="G217" s="368"/>
      <c r="H217" s="368"/>
      <c r="I217" s="368"/>
      <c r="J217" s="368"/>
      <c r="K217" s="368"/>
      <c r="L217" s="368"/>
      <c r="M217" s="368"/>
      <c r="N217" s="368"/>
      <c r="O217" s="368"/>
      <c r="P217" s="368"/>
      <c r="Q217" s="368"/>
      <c r="R217" s="368"/>
      <c r="S217" s="368"/>
      <c r="T217" s="368"/>
      <c r="U217" s="368"/>
      <c r="V217" s="368"/>
      <c r="W217" s="368"/>
      <c r="X217" s="368"/>
      <c r="Y217" s="368"/>
      <c r="Z217" s="368"/>
      <c r="AA217" s="368"/>
      <c r="AB217" s="368"/>
      <c r="AC217" s="368"/>
      <c r="AD217" s="368"/>
      <c r="AE217" s="368"/>
      <c r="AF217" s="368"/>
      <c r="AG217" s="368"/>
      <c r="AH217" s="368"/>
      <c r="AI217" s="368"/>
      <c r="AJ217" s="368"/>
      <c r="AK217" s="368"/>
      <c r="AL217" s="368"/>
      <c r="AM217" s="368"/>
      <c r="AN217" s="368"/>
      <c r="AO217" s="368"/>
      <c r="AP217" s="368"/>
      <c r="AQ217" s="368">
        <f>IF('表2-折旧摊销表'!$BA$26+1-'表2-折旧摊销表'!$AQ$26&gt;=参数输入表!$I$798,$AQ$178/参数输入表!$I$798,$AQ$178/('表2-折旧摊销表'!$BA$26+1-'表2-折旧摊销表'!$AQ$26))</f>
        <v>0</v>
      </c>
      <c r="AR217" s="368">
        <f>IF('表2-折旧摊销表'!$BA$26+1-'表2-折旧摊销表'!$AQ$26&gt;=参数输入表!$I$798,$AQ$178/参数输入表!$I$798,$AQ$178/('表2-折旧摊销表'!$BA$26+1-'表2-折旧摊销表'!$AQ$26))</f>
        <v>0</v>
      </c>
      <c r="AS217" s="368">
        <f>IF('表2-折旧摊销表'!$BA$26+1-'表2-折旧摊销表'!$AQ$26&gt;=参数输入表!$I$798,$AQ$178/参数输入表!$I$798,$AQ$178/('表2-折旧摊销表'!$BA$26+1-'表2-折旧摊销表'!$AQ$26))</f>
        <v>0</v>
      </c>
      <c r="AT217" s="368">
        <f>IF('表2-折旧摊销表'!$BA$26+1-'表2-折旧摊销表'!$AQ$26&gt;=参数输入表!$I$798,$AQ$178/参数输入表!$I$798,$AQ$178/('表2-折旧摊销表'!$BA$26+1-'表2-折旧摊销表'!$AQ$26))</f>
        <v>0</v>
      </c>
      <c r="AU217" s="368">
        <f>IF('表2-折旧摊销表'!$BA$26+1-'表2-折旧摊销表'!$AQ$26&gt;=参数输入表!$I$798,$AQ$178/参数输入表!$I$798,$AQ$178/('表2-折旧摊销表'!$BA$26+1-'表2-折旧摊销表'!$AQ$26))</f>
        <v>0</v>
      </c>
      <c r="AV217" s="368">
        <f>IF('表2-折旧摊销表'!$BA$26+1-'表2-折旧摊销表'!$AQ$26&gt;=参数输入表!$I$798,$AQ$178/参数输入表!$I$798,$AQ$178/('表2-折旧摊销表'!$BA$26+1-'表2-折旧摊销表'!$AQ$26))</f>
        <v>0</v>
      </c>
      <c r="AW217" s="368">
        <f>IF('表2-折旧摊销表'!$BA$26+1-'表2-折旧摊销表'!$AQ$26&gt;=参数输入表!$I$798,$AQ$178/参数输入表!$I$798,$AQ$178/('表2-折旧摊销表'!$BA$26+1-'表2-折旧摊销表'!$AQ$26))</f>
        <v>0</v>
      </c>
      <c r="AX217" s="368">
        <f>IF('表2-折旧摊销表'!$BA$26+1-'表2-折旧摊销表'!$AQ$26&gt;=参数输入表!$I$798,$AQ$178/参数输入表!$I$798,$AQ$178/('表2-折旧摊销表'!$BA$26+1-'表2-折旧摊销表'!$AQ$26))</f>
        <v>0</v>
      </c>
      <c r="AY217" s="368"/>
      <c r="AZ217" s="368"/>
      <c r="BA217" s="369"/>
    </row>
    <row r="218" s="105" customFormat="1" spans="2:53">
      <c r="B218" s="408"/>
      <c r="C218" s="389" t="s">
        <v>112</v>
      </c>
      <c r="D218" s="375">
        <f t="shared" si="176"/>
        <v>0</v>
      </c>
      <c r="E218" s="266" t="s">
        <v>130</v>
      </c>
      <c r="F218" s="368"/>
      <c r="G218" s="368"/>
      <c r="H218" s="368"/>
      <c r="I218" s="368"/>
      <c r="J218" s="368"/>
      <c r="K218" s="368"/>
      <c r="L218" s="368"/>
      <c r="M218" s="368"/>
      <c r="N218" s="368"/>
      <c r="O218" s="368"/>
      <c r="P218" s="368"/>
      <c r="Q218" s="368"/>
      <c r="R218" s="368"/>
      <c r="S218" s="368"/>
      <c r="T218" s="368"/>
      <c r="U218" s="368"/>
      <c r="V218" s="368"/>
      <c r="W218" s="368"/>
      <c r="X218" s="368"/>
      <c r="Y218" s="368"/>
      <c r="Z218" s="368"/>
      <c r="AA218" s="368"/>
      <c r="AB218" s="368"/>
      <c r="AC218" s="368"/>
      <c r="AD218" s="368"/>
      <c r="AE218" s="368"/>
      <c r="AF218" s="368"/>
      <c r="AG218" s="368"/>
      <c r="AH218" s="368"/>
      <c r="AI218" s="368"/>
      <c r="AJ218" s="368"/>
      <c r="AK218" s="368"/>
      <c r="AL218" s="368"/>
      <c r="AM218" s="368"/>
      <c r="AN218" s="368"/>
      <c r="AO218" s="368"/>
      <c r="AP218" s="368"/>
      <c r="AQ218" s="368"/>
      <c r="AR218" s="368">
        <f>IF('表2-折旧摊销表'!$BA$26+1-'表2-折旧摊销表'!$AR$26&gt;=参数输入表!$I$798,$AR$178/参数输入表!$I$798,$AR$178/('表2-折旧摊销表'!$BA$26+1-'表2-折旧摊销表'!$AR$26))</f>
        <v>0</v>
      </c>
      <c r="AS218" s="368">
        <f>IF('表2-折旧摊销表'!$BA$26+1-'表2-折旧摊销表'!$AR$26&gt;=参数输入表!$I$798,$AR$178/参数输入表!$I$798,$AR$178/('表2-折旧摊销表'!$BA$26+1-'表2-折旧摊销表'!$AR$26))</f>
        <v>0</v>
      </c>
      <c r="AT218" s="368">
        <f>IF('表2-折旧摊销表'!$BA$26+1-'表2-折旧摊销表'!$AR$26&gt;=参数输入表!$I$798,$AR$178/参数输入表!$I$798,$AR$178/('表2-折旧摊销表'!$BA$26+1-'表2-折旧摊销表'!$AR$26))</f>
        <v>0</v>
      </c>
      <c r="AU218" s="368">
        <f>IF('表2-折旧摊销表'!$BA$26+1-'表2-折旧摊销表'!$AR$26&gt;=参数输入表!$I$798,$AR$178/参数输入表!$I$798,$AR$178/('表2-折旧摊销表'!$BA$26+1-'表2-折旧摊销表'!$AR$26))</f>
        <v>0</v>
      </c>
      <c r="AV218" s="368">
        <f>IF('表2-折旧摊销表'!$BA$26+1-'表2-折旧摊销表'!$AR$26&gt;=参数输入表!$I$798,$AR$178/参数输入表!$I$798,$AR$178/('表2-折旧摊销表'!$BA$26+1-'表2-折旧摊销表'!$AR$26))</f>
        <v>0</v>
      </c>
      <c r="AW218" s="368">
        <f>IF('表2-折旧摊销表'!$BA$26+1-'表2-折旧摊销表'!$AR$26&gt;=参数输入表!$I$798,$AR$178/参数输入表!$I$798,$AR$178/('表2-折旧摊销表'!$BA$26+1-'表2-折旧摊销表'!$AR$26))</f>
        <v>0</v>
      </c>
      <c r="AX218" s="368">
        <f>IF('表2-折旧摊销表'!$BA$26+1-'表2-折旧摊销表'!$AR$26&gt;=参数输入表!$I$798,$AR$178/参数输入表!$I$798,$AR$178/('表2-折旧摊销表'!$BA$26+1-'表2-折旧摊销表'!$AR$26))</f>
        <v>0</v>
      </c>
      <c r="AY218" s="368">
        <f>IF('表2-折旧摊销表'!$BA$26+1-'表2-折旧摊销表'!$AR$26&gt;=参数输入表!$I$798,$AR$178/参数输入表!$I$798,$AR$178/('表2-折旧摊销表'!$BA$26+1-'表2-折旧摊销表'!$AR$26))</f>
        <v>0</v>
      </c>
      <c r="AZ218" s="368"/>
      <c r="BA218" s="369"/>
    </row>
    <row r="219" s="105" customFormat="1" spans="2:53">
      <c r="B219" s="408"/>
      <c r="C219" s="389" t="s">
        <v>113</v>
      </c>
      <c r="D219" s="375">
        <f t="shared" si="176"/>
        <v>0</v>
      </c>
      <c r="E219" s="266" t="s">
        <v>130</v>
      </c>
      <c r="F219" s="368"/>
      <c r="G219" s="368"/>
      <c r="H219" s="368"/>
      <c r="I219" s="368"/>
      <c r="J219" s="368"/>
      <c r="K219" s="368"/>
      <c r="L219" s="368"/>
      <c r="M219" s="368"/>
      <c r="N219" s="368"/>
      <c r="O219" s="368"/>
      <c r="P219" s="368"/>
      <c r="Q219" s="368"/>
      <c r="R219" s="368"/>
      <c r="S219" s="368"/>
      <c r="T219" s="368"/>
      <c r="U219" s="368"/>
      <c r="V219" s="368"/>
      <c r="W219" s="368"/>
      <c r="X219" s="368"/>
      <c r="Y219" s="368"/>
      <c r="Z219" s="368"/>
      <c r="AA219" s="368"/>
      <c r="AB219" s="368"/>
      <c r="AC219" s="368"/>
      <c r="AD219" s="368"/>
      <c r="AE219" s="368"/>
      <c r="AF219" s="368"/>
      <c r="AG219" s="368"/>
      <c r="AH219" s="368"/>
      <c r="AI219" s="368"/>
      <c r="AJ219" s="368"/>
      <c r="AK219" s="368"/>
      <c r="AL219" s="368"/>
      <c r="AM219" s="368"/>
      <c r="AN219" s="368"/>
      <c r="AO219" s="368"/>
      <c r="AP219" s="368"/>
      <c r="AQ219" s="368"/>
      <c r="AR219" s="368"/>
      <c r="AS219" s="368">
        <f>IF('表2-折旧摊销表'!$BA$26+1-'表2-折旧摊销表'!$AS$26&gt;=参数输入表!$I$798,$AS$178/参数输入表!$I$798,$AS$178/('表2-折旧摊销表'!$BA$26+1-'表2-折旧摊销表'!$AS$26))</f>
        <v>0</v>
      </c>
      <c r="AT219" s="368">
        <f>IF('表2-折旧摊销表'!$BA$26+1-'表2-折旧摊销表'!$AS$26&gt;=参数输入表!$I$798,$AS$178/参数输入表!$I$798,$AS$178/('表2-折旧摊销表'!$BA$26+1-'表2-折旧摊销表'!$AS$26))</f>
        <v>0</v>
      </c>
      <c r="AU219" s="368">
        <f>IF('表2-折旧摊销表'!$BA$26+1-'表2-折旧摊销表'!$AS$26&gt;=参数输入表!$I$798,$AS$178/参数输入表!$I$798,$AS$178/('表2-折旧摊销表'!$BA$26+1-'表2-折旧摊销表'!$AS$26))</f>
        <v>0</v>
      </c>
      <c r="AV219" s="368">
        <f>IF('表2-折旧摊销表'!$BA$26+1-'表2-折旧摊销表'!$AS$26&gt;=参数输入表!$I$798,$AS$178/参数输入表!$I$798,$AS$178/('表2-折旧摊销表'!$BA$26+1-'表2-折旧摊销表'!$AS$26))</f>
        <v>0</v>
      </c>
      <c r="AW219" s="368">
        <f>IF('表2-折旧摊销表'!$BA$26+1-'表2-折旧摊销表'!$AS$26&gt;=参数输入表!$I$798,$AS$178/参数输入表!$I$798,$AS$178/('表2-折旧摊销表'!$BA$26+1-'表2-折旧摊销表'!$AS$26))</f>
        <v>0</v>
      </c>
      <c r="AX219" s="368">
        <f>IF('表2-折旧摊销表'!$BA$26+1-'表2-折旧摊销表'!$AS$26&gt;=参数输入表!$I$798,$AS$178/参数输入表!$I$798,$AS$178/('表2-折旧摊销表'!$BA$26+1-'表2-折旧摊销表'!$AS$26))</f>
        <v>0</v>
      </c>
      <c r="AY219" s="368">
        <f>IF('表2-折旧摊销表'!$BA$26+1-'表2-折旧摊销表'!$AS$26&gt;=参数输入表!$I$798,$AS$178/参数输入表!$I$798,$AS$178/('表2-折旧摊销表'!$BA$26+1-'表2-折旧摊销表'!$AS$26))</f>
        <v>0</v>
      </c>
      <c r="AZ219" s="368">
        <f>IF('表2-折旧摊销表'!$BA$26+1-'表2-折旧摊销表'!$AS$26&gt;=参数输入表!$I$798,$AS$178/参数输入表!$I$798,$AS$178/('表2-折旧摊销表'!$BA$26+1-'表2-折旧摊销表'!$AS$26))</f>
        <v>0</v>
      </c>
      <c r="BA219" s="369"/>
    </row>
    <row r="220" s="105" customFormat="1" spans="2:53">
      <c r="B220" s="408"/>
      <c r="C220" s="389" t="s">
        <v>114</v>
      </c>
      <c r="D220" s="375">
        <f t="shared" si="176"/>
        <v>0</v>
      </c>
      <c r="E220" s="266" t="s">
        <v>130</v>
      </c>
      <c r="F220" s="368"/>
      <c r="G220" s="368"/>
      <c r="H220" s="368"/>
      <c r="I220" s="368"/>
      <c r="J220" s="368"/>
      <c r="K220" s="368"/>
      <c r="L220" s="368"/>
      <c r="M220" s="368"/>
      <c r="N220" s="368"/>
      <c r="O220" s="368"/>
      <c r="P220" s="368"/>
      <c r="Q220" s="368"/>
      <c r="R220" s="368"/>
      <c r="S220" s="368"/>
      <c r="T220" s="368"/>
      <c r="U220" s="368"/>
      <c r="V220" s="368"/>
      <c r="W220" s="368"/>
      <c r="X220" s="368"/>
      <c r="Y220" s="368"/>
      <c r="Z220" s="368"/>
      <c r="AA220" s="368"/>
      <c r="AB220" s="368"/>
      <c r="AC220" s="368"/>
      <c r="AD220" s="368"/>
      <c r="AE220" s="368"/>
      <c r="AF220" s="368"/>
      <c r="AG220" s="368"/>
      <c r="AH220" s="368"/>
      <c r="AI220" s="368"/>
      <c r="AJ220" s="368"/>
      <c r="AK220" s="368"/>
      <c r="AL220" s="368"/>
      <c r="AM220" s="368"/>
      <c r="AN220" s="368"/>
      <c r="AO220" s="368"/>
      <c r="AP220" s="368"/>
      <c r="AQ220" s="368"/>
      <c r="AR220" s="368"/>
      <c r="AS220" s="368"/>
      <c r="AT220" s="368">
        <f>IF('表2-折旧摊销表'!$BA$26+1-'表2-折旧摊销表'!$AT$26&gt;=参数输入表!$I$798,$AT$178/参数输入表!$I$798,$AT$178/('表2-折旧摊销表'!$BA$26+1-'表2-折旧摊销表'!$AT$26))</f>
        <v>0</v>
      </c>
      <c r="AU220" s="368">
        <f>IF('表2-折旧摊销表'!$BA$26+1-'表2-折旧摊销表'!$AT$26&gt;=参数输入表!$I$798,$AT$178/参数输入表!$I$798,$AT$178/('表2-折旧摊销表'!$BA$26+1-'表2-折旧摊销表'!$AT$26))</f>
        <v>0</v>
      </c>
      <c r="AV220" s="368">
        <f>IF('表2-折旧摊销表'!$BA$26+1-'表2-折旧摊销表'!$AT$26&gt;=参数输入表!$I$798,$AT$178/参数输入表!$I$798,$AT$178/('表2-折旧摊销表'!$BA$26+1-'表2-折旧摊销表'!$AT$26))</f>
        <v>0</v>
      </c>
      <c r="AW220" s="368">
        <f>IF('表2-折旧摊销表'!$BA$26+1-'表2-折旧摊销表'!$AT$26&gt;=参数输入表!$I$798,$AT$178/参数输入表!$I$798,$AT$178/('表2-折旧摊销表'!$BA$26+1-'表2-折旧摊销表'!$AT$26))</f>
        <v>0</v>
      </c>
      <c r="AX220" s="368">
        <f>IF('表2-折旧摊销表'!$BA$26+1-'表2-折旧摊销表'!$AT$26&gt;=参数输入表!$I$798,$AT$178/参数输入表!$I$798,$AT$178/('表2-折旧摊销表'!$BA$26+1-'表2-折旧摊销表'!$AT$26))</f>
        <v>0</v>
      </c>
      <c r="AY220" s="368">
        <f>IF('表2-折旧摊销表'!$BA$26+1-'表2-折旧摊销表'!$AT$26&gt;=参数输入表!$I$798,$AT$178/参数输入表!$I$798,$AT$178/('表2-折旧摊销表'!$BA$26+1-'表2-折旧摊销表'!$AT$26))</f>
        <v>0</v>
      </c>
      <c r="AZ220" s="368">
        <f>IF('表2-折旧摊销表'!$BA$26+1-'表2-折旧摊销表'!$AT$26&gt;=参数输入表!$I$798,$AT$178/参数输入表!$I$798,$AT$178/('表2-折旧摊销表'!$BA$26+1-'表2-折旧摊销表'!$AT$26))</f>
        <v>0</v>
      </c>
      <c r="BA220" s="369">
        <f>IF('表2-折旧摊销表'!$BA$26+1-'表2-折旧摊销表'!$AT$26&gt;=参数输入表!$I$798,$AT$178/参数输入表!$I$798,$AT$178/('表2-折旧摊销表'!$BA$26+1-'表2-折旧摊销表'!$AT$26))</f>
        <v>0</v>
      </c>
    </row>
    <row r="221" s="105" customFormat="1" spans="2:53">
      <c r="B221" s="408"/>
      <c r="C221" s="389" t="s">
        <v>115</v>
      </c>
      <c r="D221" s="375">
        <f t="shared" si="176"/>
        <v>0</v>
      </c>
      <c r="E221" s="266" t="s">
        <v>130</v>
      </c>
      <c r="F221" s="368"/>
      <c r="G221" s="368"/>
      <c r="H221" s="368"/>
      <c r="I221" s="368"/>
      <c r="J221" s="368"/>
      <c r="K221" s="368"/>
      <c r="L221" s="368"/>
      <c r="M221" s="368"/>
      <c r="N221" s="368"/>
      <c r="O221" s="368"/>
      <c r="P221" s="368"/>
      <c r="Q221" s="368"/>
      <c r="R221" s="368"/>
      <c r="S221" s="368"/>
      <c r="T221" s="368"/>
      <c r="U221" s="368"/>
      <c r="V221" s="368"/>
      <c r="W221" s="368"/>
      <c r="X221" s="368"/>
      <c r="Y221" s="368"/>
      <c r="Z221" s="368"/>
      <c r="AA221" s="368"/>
      <c r="AB221" s="368"/>
      <c r="AC221" s="368"/>
      <c r="AD221" s="368"/>
      <c r="AE221" s="368"/>
      <c r="AF221" s="368"/>
      <c r="AG221" s="368"/>
      <c r="AH221" s="368"/>
      <c r="AI221" s="368"/>
      <c r="AJ221" s="368"/>
      <c r="AK221" s="368"/>
      <c r="AL221" s="368"/>
      <c r="AM221" s="368"/>
      <c r="AN221" s="368"/>
      <c r="AO221" s="368"/>
      <c r="AP221" s="368"/>
      <c r="AQ221" s="368"/>
      <c r="AR221" s="368"/>
      <c r="AS221" s="368"/>
      <c r="AT221" s="368"/>
      <c r="AU221" s="368">
        <f>IF('表2-折旧摊销表'!$BA$26+1-'表2-折旧摊销表'!$AU$26&gt;=参数输入表!$I$798,$AU$178/参数输入表!$I$798,$AU$178/('表2-折旧摊销表'!$BA$26+1-'表2-折旧摊销表'!$AU$26))</f>
        <v>0</v>
      </c>
      <c r="AV221" s="368">
        <f>IF('表2-折旧摊销表'!$BA$26+1-'表2-折旧摊销表'!$AU$26&gt;=参数输入表!$I$798,$AU$178/参数输入表!$I$798,$AU$178/('表2-折旧摊销表'!$BA$26+1-'表2-折旧摊销表'!$AU$26))</f>
        <v>0</v>
      </c>
      <c r="AW221" s="368">
        <f>IF('表2-折旧摊销表'!$BA$26+1-'表2-折旧摊销表'!$AU$26&gt;=参数输入表!$I$798,$AU$178/参数输入表!$I$798,$AU$178/('表2-折旧摊销表'!$BA$26+1-'表2-折旧摊销表'!$AU$26))</f>
        <v>0</v>
      </c>
      <c r="AX221" s="368">
        <f>IF('表2-折旧摊销表'!$BA$26+1-'表2-折旧摊销表'!$AU$26&gt;=参数输入表!$I$798,$AU$178/参数输入表!$I$798,$AU$178/('表2-折旧摊销表'!$BA$26+1-'表2-折旧摊销表'!$AU$26))</f>
        <v>0</v>
      </c>
      <c r="AY221" s="368">
        <f>IF('表2-折旧摊销表'!$BA$26+1-'表2-折旧摊销表'!$AU$26&gt;=参数输入表!$I$798,$AU$178/参数输入表!$I$798,$AU$178/('表2-折旧摊销表'!$BA$26+1-'表2-折旧摊销表'!$AU$26))</f>
        <v>0</v>
      </c>
      <c r="AZ221" s="368">
        <f>IF('表2-折旧摊销表'!$BA$26+1-'表2-折旧摊销表'!$AU$26&gt;=参数输入表!$I$798,$AU$178/参数输入表!$I$798,$AU$178/('表2-折旧摊销表'!$BA$26+1-'表2-折旧摊销表'!$AU$26))</f>
        <v>0</v>
      </c>
      <c r="BA221" s="369">
        <f>IF('表2-折旧摊销表'!$BA$26+1-'表2-折旧摊销表'!$AU$26&gt;=参数输入表!$I$798,$AU$178/参数输入表!$I$798,$AU$178/('表2-折旧摊销表'!$BA$26+1-'表2-折旧摊销表'!$AU$26))</f>
        <v>0</v>
      </c>
    </row>
    <row r="222" s="105" customFormat="1" spans="2:53">
      <c r="B222" s="408"/>
      <c r="C222" s="389" t="s">
        <v>116</v>
      </c>
      <c r="D222" s="375">
        <f t="shared" si="176"/>
        <v>1327.43362831858</v>
      </c>
      <c r="E222" s="266" t="s">
        <v>130</v>
      </c>
      <c r="F222" s="368"/>
      <c r="G222" s="368"/>
      <c r="H222" s="368"/>
      <c r="I222" s="368"/>
      <c r="J222" s="368"/>
      <c r="K222" s="368"/>
      <c r="L222" s="368"/>
      <c r="M222" s="368"/>
      <c r="N222" s="368"/>
      <c r="O222" s="368"/>
      <c r="P222" s="368"/>
      <c r="Q222" s="368"/>
      <c r="R222" s="368"/>
      <c r="S222" s="368"/>
      <c r="T222" s="368"/>
      <c r="U222" s="368"/>
      <c r="V222" s="368"/>
      <c r="W222" s="368"/>
      <c r="X222" s="368"/>
      <c r="Y222" s="368"/>
      <c r="Z222" s="368"/>
      <c r="AA222" s="368"/>
      <c r="AB222" s="368"/>
      <c r="AC222" s="368"/>
      <c r="AD222" s="368"/>
      <c r="AE222" s="368"/>
      <c r="AF222" s="368"/>
      <c r="AG222" s="368"/>
      <c r="AH222" s="368"/>
      <c r="AI222" s="368"/>
      <c r="AJ222" s="368"/>
      <c r="AK222" s="368"/>
      <c r="AL222" s="368"/>
      <c r="AM222" s="368"/>
      <c r="AN222" s="368"/>
      <c r="AO222" s="368"/>
      <c r="AP222" s="368"/>
      <c r="AQ222" s="368"/>
      <c r="AR222" s="368"/>
      <c r="AS222" s="368"/>
      <c r="AT222" s="368"/>
      <c r="AU222" s="368"/>
      <c r="AV222" s="368">
        <f>IF('表2-折旧摊销表'!$BA$26+1-'表2-折旧摊销表'!$AV$26&gt;=参数输入表!$I$798,$AV$178/参数输入表!$I$798,$AV$178/('表2-折旧摊销表'!$BA$26+1-'表2-折旧摊销表'!$AV$26))</f>
        <v>221.238938053097</v>
      </c>
      <c r="AW222" s="368">
        <f>IF('表2-折旧摊销表'!$BA$26+1-'表2-折旧摊销表'!$AV$26&gt;=参数输入表!$I$798,$AV$178/参数输入表!$I$798,$AV$178/('表2-折旧摊销表'!$BA$26+1-'表2-折旧摊销表'!$AV$26))</f>
        <v>221.238938053097</v>
      </c>
      <c r="AX222" s="368">
        <f>IF('表2-折旧摊销表'!$BA$26+1-'表2-折旧摊销表'!$AV$26&gt;=参数输入表!$I$798,$AV$178/参数输入表!$I$798,$AV$178/('表2-折旧摊销表'!$BA$26+1-'表2-折旧摊销表'!$AV$26))</f>
        <v>221.238938053097</v>
      </c>
      <c r="AY222" s="368">
        <f>IF('表2-折旧摊销表'!$BA$26+1-'表2-折旧摊销表'!$AV$26&gt;=参数输入表!$I$798,$AV$178/参数输入表!$I$798,$AV$178/('表2-折旧摊销表'!$BA$26+1-'表2-折旧摊销表'!$AV$26))</f>
        <v>221.238938053097</v>
      </c>
      <c r="AZ222" s="368">
        <f>IF('表2-折旧摊销表'!$BA$26+1-'表2-折旧摊销表'!$AV$26&gt;=参数输入表!$I$798,$AV$178/参数输入表!$I$798,$AV$178/('表2-折旧摊销表'!$BA$26+1-'表2-折旧摊销表'!$AV$26))</f>
        <v>221.238938053097</v>
      </c>
      <c r="BA222" s="369">
        <f>IF('表2-折旧摊销表'!$BA$26+1-'表2-折旧摊销表'!$AV$26&gt;=参数输入表!$I$798,$AV$178/参数输入表!$I$798,$AV$178/('表2-折旧摊销表'!$BA$26+1-'表2-折旧摊销表'!$AV$26))</f>
        <v>221.238938053097</v>
      </c>
    </row>
    <row r="223" s="105" customFormat="1" spans="2:53">
      <c r="B223" s="408"/>
      <c r="C223" s="389" t="s">
        <v>117</v>
      </c>
      <c r="D223" s="375">
        <f t="shared" si="176"/>
        <v>0</v>
      </c>
      <c r="E223" s="266" t="s">
        <v>130</v>
      </c>
      <c r="F223" s="368"/>
      <c r="G223" s="368"/>
      <c r="H223" s="368"/>
      <c r="I223" s="368"/>
      <c r="J223" s="368"/>
      <c r="K223" s="368"/>
      <c r="L223" s="368"/>
      <c r="M223" s="368"/>
      <c r="N223" s="368"/>
      <c r="O223" s="368"/>
      <c r="P223" s="368"/>
      <c r="Q223" s="368"/>
      <c r="R223" s="368"/>
      <c r="S223" s="368"/>
      <c r="T223" s="368"/>
      <c r="U223" s="368"/>
      <c r="V223" s="368"/>
      <c r="W223" s="368"/>
      <c r="X223" s="368"/>
      <c r="Y223" s="368"/>
      <c r="Z223" s="368"/>
      <c r="AA223" s="368"/>
      <c r="AB223" s="368"/>
      <c r="AC223" s="368"/>
      <c r="AD223" s="368"/>
      <c r="AE223" s="368"/>
      <c r="AF223" s="368"/>
      <c r="AG223" s="368"/>
      <c r="AH223" s="368"/>
      <c r="AI223" s="368"/>
      <c r="AJ223" s="368"/>
      <c r="AK223" s="368"/>
      <c r="AL223" s="368"/>
      <c r="AM223" s="368"/>
      <c r="AN223" s="368"/>
      <c r="AO223" s="368"/>
      <c r="AP223" s="368"/>
      <c r="AQ223" s="368"/>
      <c r="AR223" s="368"/>
      <c r="AS223" s="368"/>
      <c r="AT223" s="368"/>
      <c r="AU223" s="368"/>
      <c r="AV223" s="368"/>
      <c r="AW223" s="368">
        <f>IF('表2-折旧摊销表'!$BA$26+1-'表2-折旧摊销表'!$AW$26&gt;=参数输入表!$I$798,$AW$178/参数输入表!$I$798,$AW$178/('表2-折旧摊销表'!$BA$26+1-'表2-折旧摊销表'!$AW$26))</f>
        <v>0</v>
      </c>
      <c r="AX223" s="368">
        <f>IF('表2-折旧摊销表'!$BA$26+1-'表2-折旧摊销表'!$AW$26&gt;=参数输入表!$I$798,$AW$178/参数输入表!$I$798,$AW$178/('表2-折旧摊销表'!$BA$26+1-'表2-折旧摊销表'!$AW$26))</f>
        <v>0</v>
      </c>
      <c r="AY223" s="368">
        <f>IF('表2-折旧摊销表'!$BA$26+1-'表2-折旧摊销表'!$AW$26&gt;=参数输入表!$I$798,$AW$178/参数输入表!$I$798,$AW$178/('表2-折旧摊销表'!$BA$26+1-'表2-折旧摊销表'!$AW$26))</f>
        <v>0</v>
      </c>
      <c r="AZ223" s="368">
        <f>IF('表2-折旧摊销表'!$BA$26+1-'表2-折旧摊销表'!$AW$26&gt;=参数输入表!$I$798,$AW$178/参数输入表!$I$798,$AW$178/('表2-折旧摊销表'!$BA$26+1-'表2-折旧摊销表'!$AW$26))</f>
        <v>0</v>
      </c>
      <c r="BA223" s="369">
        <f>IF('表2-折旧摊销表'!$BA$26+1-'表2-折旧摊销表'!$AW$26&gt;=参数输入表!$I$798,$AW$178/参数输入表!$I$798,$AW$178/('表2-折旧摊销表'!$BA$26+1-'表2-折旧摊销表'!$AW$26))</f>
        <v>0</v>
      </c>
    </row>
    <row r="224" s="105" customFormat="1" spans="2:53">
      <c r="B224" s="408"/>
      <c r="C224" s="389" t="s">
        <v>118</v>
      </c>
      <c r="D224" s="375">
        <f t="shared" si="176"/>
        <v>0</v>
      </c>
      <c r="E224" s="266" t="s">
        <v>130</v>
      </c>
      <c r="F224" s="368"/>
      <c r="G224" s="368"/>
      <c r="H224" s="368"/>
      <c r="I224" s="368"/>
      <c r="J224" s="368"/>
      <c r="K224" s="368"/>
      <c r="L224" s="368"/>
      <c r="M224" s="368"/>
      <c r="N224" s="368"/>
      <c r="O224" s="368"/>
      <c r="P224" s="368"/>
      <c r="Q224" s="368"/>
      <c r="R224" s="368"/>
      <c r="S224" s="368"/>
      <c r="T224" s="368"/>
      <c r="U224" s="368"/>
      <c r="V224" s="368"/>
      <c r="W224" s="368"/>
      <c r="X224" s="368"/>
      <c r="Y224" s="368"/>
      <c r="Z224" s="368"/>
      <c r="AA224" s="368"/>
      <c r="AB224" s="368"/>
      <c r="AC224" s="368"/>
      <c r="AD224" s="368"/>
      <c r="AE224" s="368"/>
      <c r="AF224" s="368"/>
      <c r="AG224" s="368"/>
      <c r="AH224" s="368"/>
      <c r="AI224" s="368"/>
      <c r="AJ224" s="368"/>
      <c r="AK224" s="368"/>
      <c r="AL224" s="368"/>
      <c r="AM224" s="368"/>
      <c r="AN224" s="368"/>
      <c r="AO224" s="368"/>
      <c r="AP224" s="368"/>
      <c r="AQ224" s="368"/>
      <c r="AR224" s="368"/>
      <c r="AS224" s="368"/>
      <c r="AT224" s="368"/>
      <c r="AU224" s="368"/>
      <c r="AV224" s="368"/>
      <c r="AW224" s="368"/>
      <c r="AX224" s="368">
        <f>IF('表2-折旧摊销表'!$BA$26+1-'表2-折旧摊销表'!$AX$26&gt;=参数输入表!$I$798,$AX$178/参数输入表!$I$798,$AX$178/('表2-折旧摊销表'!$BA$26+1-'表2-折旧摊销表'!$AX$26))</f>
        <v>0</v>
      </c>
      <c r="AY224" s="368">
        <f>IF('表2-折旧摊销表'!$BA$26+1-'表2-折旧摊销表'!$AX$26&gt;=参数输入表!$I$798,$AX$178/参数输入表!$I$798,$AX$178/('表2-折旧摊销表'!$BA$26+1-'表2-折旧摊销表'!$AX$26))</f>
        <v>0</v>
      </c>
      <c r="AZ224" s="368">
        <f>IF('表2-折旧摊销表'!$BA$26+1-'表2-折旧摊销表'!$AX$26&gt;=参数输入表!$I$798,$AX$178/参数输入表!$I$798,$AX$178/('表2-折旧摊销表'!$BA$26+1-'表2-折旧摊销表'!$AX$26))</f>
        <v>0</v>
      </c>
      <c r="BA224" s="369">
        <f>IF('表2-折旧摊销表'!$BA$26+1-'表2-折旧摊销表'!$AX$26&gt;=参数输入表!$I$798,$AX$178/参数输入表!$I$798,$AX$178/('表2-折旧摊销表'!$BA$26+1-'表2-折旧摊销表'!$AX$26))</f>
        <v>0</v>
      </c>
    </row>
    <row r="225" s="105" customFormat="1" spans="2:53">
      <c r="B225" s="408"/>
      <c r="C225" s="389" t="s">
        <v>119</v>
      </c>
      <c r="D225" s="375">
        <f t="shared" si="176"/>
        <v>0</v>
      </c>
      <c r="E225" s="266" t="s">
        <v>130</v>
      </c>
      <c r="F225" s="368"/>
      <c r="G225" s="368"/>
      <c r="H225" s="368"/>
      <c r="I225" s="368"/>
      <c r="J225" s="368"/>
      <c r="K225" s="368"/>
      <c r="L225" s="368"/>
      <c r="M225" s="368"/>
      <c r="N225" s="368"/>
      <c r="O225" s="368"/>
      <c r="P225" s="368"/>
      <c r="Q225" s="368"/>
      <c r="R225" s="368"/>
      <c r="S225" s="368"/>
      <c r="T225" s="368"/>
      <c r="U225" s="368"/>
      <c r="V225" s="368"/>
      <c r="W225" s="368"/>
      <c r="X225" s="368"/>
      <c r="Y225" s="368"/>
      <c r="Z225" s="368"/>
      <c r="AA225" s="368"/>
      <c r="AB225" s="368"/>
      <c r="AC225" s="368"/>
      <c r="AD225" s="368"/>
      <c r="AE225" s="368"/>
      <c r="AF225" s="368"/>
      <c r="AG225" s="368"/>
      <c r="AH225" s="368"/>
      <c r="AI225" s="368"/>
      <c r="AJ225" s="368"/>
      <c r="AK225" s="368"/>
      <c r="AL225" s="368"/>
      <c r="AM225" s="368"/>
      <c r="AN225" s="368"/>
      <c r="AO225" s="368"/>
      <c r="AP225" s="368"/>
      <c r="AQ225" s="368"/>
      <c r="AR225" s="368"/>
      <c r="AS225" s="368"/>
      <c r="AT225" s="368"/>
      <c r="AU225" s="368"/>
      <c r="AV225" s="368"/>
      <c r="AW225" s="368"/>
      <c r="AX225" s="368"/>
      <c r="AY225" s="368">
        <f>IF('表2-折旧摊销表'!$BA$26+1-'表2-折旧摊销表'!$AY$26&gt;=参数输入表!$I$798,$AY$178/参数输入表!$I$798,$AY$178/('表2-折旧摊销表'!$BA$26+1-'表2-折旧摊销表'!$AY$26))</f>
        <v>0</v>
      </c>
      <c r="AZ225" s="368">
        <f>IF('表2-折旧摊销表'!$BA$26+1-'表2-折旧摊销表'!$AY$26&gt;=参数输入表!$I$798,$AY$178/参数输入表!$I$798,$AY$178/('表2-折旧摊销表'!$BA$26+1-'表2-折旧摊销表'!$AY$26))</f>
        <v>0</v>
      </c>
      <c r="BA225" s="369">
        <f>IF('表2-折旧摊销表'!$BA$26+1-'表2-折旧摊销表'!$AY$26&gt;=参数输入表!$I$798,$AY$178/参数输入表!$I$798,$AY$178/('表2-折旧摊销表'!$BA$26+1-'表2-折旧摊销表'!$AY$26))</f>
        <v>0</v>
      </c>
    </row>
    <row r="226" s="105" customFormat="1" spans="2:53">
      <c r="B226" s="408"/>
      <c r="C226" s="389" t="s">
        <v>120</v>
      </c>
      <c r="D226" s="375">
        <f t="shared" si="176"/>
        <v>0</v>
      </c>
      <c r="E226" s="266" t="s">
        <v>130</v>
      </c>
      <c r="F226" s="368"/>
      <c r="G226" s="368"/>
      <c r="H226" s="368"/>
      <c r="I226" s="368"/>
      <c r="J226" s="368"/>
      <c r="K226" s="368"/>
      <c r="L226" s="368"/>
      <c r="M226" s="368"/>
      <c r="N226" s="368"/>
      <c r="O226" s="368"/>
      <c r="P226" s="368"/>
      <c r="Q226" s="368"/>
      <c r="R226" s="368"/>
      <c r="S226" s="368"/>
      <c r="T226" s="368"/>
      <c r="U226" s="368"/>
      <c r="V226" s="368"/>
      <c r="W226" s="368"/>
      <c r="X226" s="368"/>
      <c r="Y226" s="368"/>
      <c r="Z226" s="368"/>
      <c r="AA226" s="368"/>
      <c r="AB226" s="368"/>
      <c r="AC226" s="368"/>
      <c r="AD226" s="368"/>
      <c r="AE226" s="368"/>
      <c r="AF226" s="368"/>
      <c r="AG226" s="368"/>
      <c r="AH226" s="368"/>
      <c r="AI226" s="368"/>
      <c r="AJ226" s="368"/>
      <c r="AK226" s="368"/>
      <c r="AL226" s="368"/>
      <c r="AM226" s="368"/>
      <c r="AN226" s="368"/>
      <c r="AO226" s="368"/>
      <c r="AP226" s="368"/>
      <c r="AQ226" s="368"/>
      <c r="AR226" s="368"/>
      <c r="AS226" s="368"/>
      <c r="AT226" s="368"/>
      <c r="AU226" s="368"/>
      <c r="AV226" s="368"/>
      <c r="AW226" s="368"/>
      <c r="AX226" s="368"/>
      <c r="AY226" s="368"/>
      <c r="AZ226" s="368">
        <f>IF('表2-折旧摊销表'!$BA$26+1-'表2-折旧摊销表'!$AZ$26&gt;=参数输入表!$I$798,$AZ$178/参数输入表!$I$798,$AZ$178/('表2-折旧摊销表'!$BA$26+1-'表2-折旧摊销表'!$AZ$26))</f>
        <v>0</v>
      </c>
      <c r="BA226" s="369">
        <f>IF('表2-折旧摊销表'!$BA$26+1-'表2-折旧摊销表'!$AZ$26&gt;=参数输入表!$I$798,$AZ$178/参数输入表!$I$798,$AZ$178/('表2-折旧摊销表'!$BA$26+1-'表2-折旧摊销表'!$AZ$26))</f>
        <v>0</v>
      </c>
    </row>
    <row r="227" s="105" customFormat="1" spans="2:53">
      <c r="B227" s="408"/>
      <c r="C227" s="389" t="s">
        <v>121</v>
      </c>
      <c r="D227" s="375">
        <f t="shared" si="176"/>
        <v>0</v>
      </c>
      <c r="E227" s="266" t="s">
        <v>130</v>
      </c>
      <c r="F227" s="368"/>
      <c r="G227" s="368"/>
      <c r="H227" s="368"/>
      <c r="I227" s="368"/>
      <c r="J227" s="368"/>
      <c r="K227" s="368"/>
      <c r="L227" s="368"/>
      <c r="M227" s="368"/>
      <c r="N227" s="368"/>
      <c r="O227" s="368"/>
      <c r="P227" s="368"/>
      <c r="Q227" s="368"/>
      <c r="R227" s="368"/>
      <c r="S227" s="368"/>
      <c r="T227" s="368"/>
      <c r="U227" s="368"/>
      <c r="V227" s="368"/>
      <c r="W227" s="368"/>
      <c r="X227" s="368"/>
      <c r="Y227" s="368"/>
      <c r="Z227" s="368"/>
      <c r="AA227" s="368"/>
      <c r="AB227" s="368"/>
      <c r="AC227" s="368"/>
      <c r="AD227" s="368"/>
      <c r="AE227" s="368"/>
      <c r="AF227" s="368"/>
      <c r="AG227" s="368"/>
      <c r="AH227" s="368"/>
      <c r="AI227" s="368"/>
      <c r="AJ227" s="368"/>
      <c r="AK227" s="368"/>
      <c r="AL227" s="368"/>
      <c r="AM227" s="368"/>
      <c r="AN227" s="368"/>
      <c r="AO227" s="368"/>
      <c r="AP227" s="368"/>
      <c r="AQ227" s="368"/>
      <c r="AR227" s="368"/>
      <c r="AS227" s="368"/>
      <c r="AT227" s="368"/>
      <c r="AU227" s="368"/>
      <c r="AV227" s="368"/>
      <c r="AW227" s="368"/>
      <c r="AX227" s="368"/>
      <c r="AY227" s="368"/>
      <c r="AZ227" s="368"/>
      <c r="BA227" s="369">
        <f>IF('表2-折旧摊销表'!$BA$26+1-'表2-折旧摊销表'!$BA$26&gt;=参数输入表!$I$798,$BA$178/参数输入表!$I$798,$BA$178/('表2-折旧摊销表'!$BA$26+1-'表2-折旧摊销表'!$BA$26))</f>
        <v>0</v>
      </c>
    </row>
    <row r="228" s="105" customFormat="1" spans="2:53">
      <c r="B228" s="408"/>
      <c r="C228" s="133" t="s">
        <v>738</v>
      </c>
      <c r="D228" s="375"/>
      <c r="E228" s="367" t="s">
        <v>130</v>
      </c>
      <c r="F228" s="366">
        <f>F179</f>
        <v>0</v>
      </c>
      <c r="G228" s="366">
        <f>F228+G179</f>
        <v>0</v>
      </c>
      <c r="H228" s="366">
        <f t="shared" ref="H228:BA228" si="177">G228+H179</f>
        <v>0</v>
      </c>
      <c r="I228" s="366">
        <f t="shared" si="177"/>
        <v>0</v>
      </c>
      <c r="J228" s="366">
        <f t="shared" si="177"/>
        <v>0</v>
      </c>
      <c r="K228" s="366">
        <f t="shared" si="177"/>
        <v>0</v>
      </c>
      <c r="L228" s="366">
        <f t="shared" si="177"/>
        <v>0</v>
      </c>
      <c r="M228" s="366">
        <f t="shared" si="177"/>
        <v>0</v>
      </c>
      <c r="N228" s="366">
        <f t="shared" si="177"/>
        <v>0</v>
      </c>
      <c r="O228" s="366">
        <f t="shared" si="177"/>
        <v>0</v>
      </c>
      <c r="P228" s="366">
        <f t="shared" si="177"/>
        <v>0</v>
      </c>
      <c r="Q228" s="366">
        <f t="shared" si="177"/>
        <v>0</v>
      </c>
      <c r="R228" s="366">
        <f t="shared" si="177"/>
        <v>0</v>
      </c>
      <c r="S228" s="366">
        <f t="shared" si="177"/>
        <v>0</v>
      </c>
      <c r="T228" s="366">
        <f t="shared" si="177"/>
        <v>0</v>
      </c>
      <c r="U228" s="366">
        <f t="shared" si="177"/>
        <v>0</v>
      </c>
      <c r="V228" s="366">
        <f t="shared" si="177"/>
        <v>0</v>
      </c>
      <c r="W228" s="366">
        <f t="shared" si="177"/>
        <v>0</v>
      </c>
      <c r="X228" s="366">
        <f t="shared" si="177"/>
        <v>165.929203539823</v>
      </c>
      <c r="Y228" s="366">
        <f t="shared" si="177"/>
        <v>331.858407079646</v>
      </c>
      <c r="Z228" s="366">
        <f t="shared" si="177"/>
        <v>497.787610619469</v>
      </c>
      <c r="AA228" s="366">
        <f t="shared" si="177"/>
        <v>663.716814159292</v>
      </c>
      <c r="AB228" s="366">
        <f t="shared" si="177"/>
        <v>829.646017699115</v>
      </c>
      <c r="AC228" s="366">
        <f t="shared" si="177"/>
        <v>995.575221238938</v>
      </c>
      <c r="AD228" s="366">
        <f t="shared" si="177"/>
        <v>1161.50442477876</v>
      </c>
      <c r="AE228" s="366">
        <f t="shared" si="177"/>
        <v>1327.43362831858</v>
      </c>
      <c r="AF228" s="366">
        <f t="shared" si="177"/>
        <v>1493.36283185841</v>
      </c>
      <c r="AG228" s="366">
        <f t="shared" si="177"/>
        <v>1659.29203539823</v>
      </c>
      <c r="AH228" s="366">
        <f t="shared" si="177"/>
        <v>1825.22123893805</v>
      </c>
      <c r="AI228" s="366">
        <f t="shared" si="177"/>
        <v>1991.15044247788</v>
      </c>
      <c r="AJ228" s="366">
        <f t="shared" si="177"/>
        <v>2157.0796460177</v>
      </c>
      <c r="AK228" s="366">
        <f t="shared" si="177"/>
        <v>2323.00884955752</v>
      </c>
      <c r="AL228" s="366">
        <f t="shared" si="177"/>
        <v>2488.93805309735</v>
      </c>
      <c r="AM228" s="366">
        <f t="shared" si="177"/>
        <v>2654.86725663717</v>
      </c>
      <c r="AN228" s="366">
        <f t="shared" si="177"/>
        <v>2820.79646017699</v>
      </c>
      <c r="AO228" s="366">
        <f t="shared" si="177"/>
        <v>2986.72566371681</v>
      </c>
      <c r="AP228" s="366">
        <f t="shared" si="177"/>
        <v>3152.65486725664</v>
      </c>
      <c r="AQ228" s="366">
        <f t="shared" si="177"/>
        <v>3318.58407079646</v>
      </c>
      <c r="AR228" s="366">
        <f t="shared" si="177"/>
        <v>3484.51327433628</v>
      </c>
      <c r="AS228" s="366">
        <f t="shared" si="177"/>
        <v>3650.44247787611</v>
      </c>
      <c r="AT228" s="366">
        <f t="shared" si="177"/>
        <v>3816.37168141593</v>
      </c>
      <c r="AU228" s="366">
        <f t="shared" si="177"/>
        <v>3982.30088495575</v>
      </c>
      <c r="AV228" s="366">
        <f t="shared" si="177"/>
        <v>4203.53982300885</v>
      </c>
      <c r="AW228" s="366">
        <f t="shared" si="177"/>
        <v>4424.77876106195</v>
      </c>
      <c r="AX228" s="366">
        <f t="shared" si="177"/>
        <v>4646.01769911504</v>
      </c>
      <c r="AY228" s="366">
        <f t="shared" si="177"/>
        <v>4867.25663716814</v>
      </c>
      <c r="AZ228" s="366">
        <f t="shared" si="177"/>
        <v>5088.49557522124</v>
      </c>
      <c r="BA228" s="385">
        <f t="shared" si="177"/>
        <v>5309.73451327434</v>
      </c>
    </row>
    <row r="229" s="105" customFormat="1" ht="17.25" spans="2:53">
      <c r="B229" s="409"/>
      <c r="C229" s="380" t="s">
        <v>739</v>
      </c>
      <c r="D229" s="383"/>
      <c r="E229" s="382" t="s">
        <v>130</v>
      </c>
      <c r="F229" s="383">
        <f>F177+F178-F179</f>
        <v>0</v>
      </c>
      <c r="G229" s="383">
        <f t="shared" ref="G229:BA229" si="178">G177+G178-G179</f>
        <v>0</v>
      </c>
      <c r="H229" s="383">
        <f t="shared" si="178"/>
        <v>0</v>
      </c>
      <c r="I229" s="383">
        <f t="shared" si="178"/>
        <v>0</v>
      </c>
      <c r="J229" s="383">
        <f t="shared" si="178"/>
        <v>0</v>
      </c>
      <c r="K229" s="383">
        <f t="shared" si="178"/>
        <v>0</v>
      </c>
      <c r="L229" s="383">
        <f t="shared" si="178"/>
        <v>0</v>
      </c>
      <c r="M229" s="383">
        <f t="shared" si="178"/>
        <v>0</v>
      </c>
      <c r="N229" s="383">
        <f t="shared" si="178"/>
        <v>0</v>
      </c>
      <c r="O229" s="383">
        <f t="shared" si="178"/>
        <v>0</v>
      </c>
      <c r="P229" s="383">
        <f t="shared" si="178"/>
        <v>0</v>
      </c>
      <c r="Q229" s="383">
        <f t="shared" si="178"/>
        <v>0</v>
      </c>
      <c r="R229" s="383">
        <f t="shared" si="178"/>
        <v>0</v>
      </c>
      <c r="S229" s="383">
        <f t="shared" si="178"/>
        <v>0</v>
      </c>
      <c r="T229" s="383">
        <f t="shared" si="178"/>
        <v>0</v>
      </c>
      <c r="U229" s="383">
        <f t="shared" si="178"/>
        <v>0</v>
      </c>
      <c r="V229" s="383">
        <f t="shared" si="178"/>
        <v>0</v>
      </c>
      <c r="W229" s="383">
        <f t="shared" si="178"/>
        <v>0</v>
      </c>
      <c r="X229" s="383">
        <f t="shared" si="178"/>
        <v>1161.50442477876</v>
      </c>
      <c r="Y229" s="383">
        <f t="shared" si="178"/>
        <v>995.575221238938</v>
      </c>
      <c r="Z229" s="383">
        <f t="shared" si="178"/>
        <v>829.646017699115</v>
      </c>
      <c r="AA229" s="383">
        <f t="shared" si="178"/>
        <v>663.716814159292</v>
      </c>
      <c r="AB229" s="383">
        <f t="shared" si="178"/>
        <v>497.787610619469</v>
      </c>
      <c r="AC229" s="383">
        <f t="shared" si="178"/>
        <v>331.858407079646</v>
      </c>
      <c r="AD229" s="383">
        <f t="shared" si="178"/>
        <v>165.929203539823</v>
      </c>
      <c r="AE229" s="383">
        <f t="shared" si="178"/>
        <v>0</v>
      </c>
      <c r="AF229" s="383">
        <f t="shared" si="178"/>
        <v>1161.50442477876</v>
      </c>
      <c r="AG229" s="383">
        <f t="shared" si="178"/>
        <v>995.575221238938</v>
      </c>
      <c r="AH229" s="383">
        <f t="shared" si="178"/>
        <v>829.646017699115</v>
      </c>
      <c r="AI229" s="383">
        <f t="shared" si="178"/>
        <v>663.716814159292</v>
      </c>
      <c r="AJ229" s="383">
        <f t="shared" si="178"/>
        <v>497.787610619469</v>
      </c>
      <c r="AK229" s="383">
        <f t="shared" si="178"/>
        <v>331.858407079646</v>
      </c>
      <c r="AL229" s="383">
        <f t="shared" si="178"/>
        <v>165.929203539823</v>
      </c>
      <c r="AM229" s="383">
        <f t="shared" si="178"/>
        <v>0</v>
      </c>
      <c r="AN229" s="383">
        <f t="shared" si="178"/>
        <v>1161.50442477876</v>
      </c>
      <c r="AO229" s="383">
        <f t="shared" si="178"/>
        <v>995.575221238938</v>
      </c>
      <c r="AP229" s="383">
        <f t="shared" si="178"/>
        <v>829.646017699115</v>
      </c>
      <c r="AQ229" s="383">
        <f t="shared" si="178"/>
        <v>663.716814159292</v>
      </c>
      <c r="AR229" s="383">
        <f t="shared" si="178"/>
        <v>497.787610619469</v>
      </c>
      <c r="AS229" s="383">
        <f t="shared" si="178"/>
        <v>331.858407079646</v>
      </c>
      <c r="AT229" s="383">
        <f t="shared" si="178"/>
        <v>165.929203539823</v>
      </c>
      <c r="AU229" s="383">
        <f t="shared" si="178"/>
        <v>0</v>
      </c>
      <c r="AV229" s="383">
        <f t="shared" si="178"/>
        <v>1106.19469026549</v>
      </c>
      <c r="AW229" s="383">
        <f t="shared" si="178"/>
        <v>884.955752212389</v>
      </c>
      <c r="AX229" s="383">
        <f t="shared" si="178"/>
        <v>663.716814159292</v>
      </c>
      <c r="AY229" s="383">
        <f t="shared" si="178"/>
        <v>442.477876106195</v>
      </c>
      <c r="AZ229" s="383">
        <f t="shared" si="178"/>
        <v>221.238938053097</v>
      </c>
      <c r="BA229" s="384">
        <f t="shared" si="178"/>
        <v>0</v>
      </c>
    </row>
    <row r="230" s="105" customFormat="1" spans="2:53">
      <c r="B230" s="410">
        <v>6</v>
      </c>
      <c r="C230" s="411" t="s">
        <v>740</v>
      </c>
      <c r="D230" s="412">
        <f ca="1">SUM(F230:BA230)</f>
        <v>918355.666726027</v>
      </c>
      <c r="E230" s="358" t="s">
        <v>130</v>
      </c>
      <c r="F230" s="413">
        <f ca="1">F32+F43+F54+F63+F117+F126+F179</f>
        <v>0</v>
      </c>
      <c r="G230" s="413">
        <f ca="1" t="shared" ref="G230:BA230" si="179">G32+G43+G54+G63+G117+G126+G179</f>
        <v>0</v>
      </c>
      <c r="H230" s="413">
        <f ca="1" t="shared" si="179"/>
        <v>0</v>
      </c>
      <c r="I230" s="413">
        <f ca="1" t="shared" si="179"/>
        <v>0</v>
      </c>
      <c r="J230" s="413">
        <f ca="1" t="shared" si="179"/>
        <v>0</v>
      </c>
      <c r="K230" s="413">
        <f ca="1" t="shared" si="179"/>
        <v>0</v>
      </c>
      <c r="L230" s="413">
        <f ca="1" t="shared" si="179"/>
        <v>0</v>
      </c>
      <c r="M230" s="413">
        <f ca="1" t="shared" si="179"/>
        <v>12678.6790909568</v>
      </c>
      <c r="N230" s="413">
        <f ca="1" t="shared" si="179"/>
        <v>32093.0729375623</v>
      </c>
      <c r="O230" s="413">
        <f ca="1" t="shared" si="179"/>
        <v>31630.5729375623</v>
      </c>
      <c r="P230" s="413">
        <f ca="1" t="shared" si="179"/>
        <v>31630.5729375623</v>
      </c>
      <c r="Q230" s="413">
        <f ca="1" t="shared" si="179"/>
        <v>31630.5729375623</v>
      </c>
      <c r="R230" s="413">
        <f ca="1" t="shared" si="179"/>
        <v>31630.5729375623</v>
      </c>
      <c r="S230" s="413">
        <f ca="1" t="shared" si="179"/>
        <v>31630.5729375623</v>
      </c>
      <c r="T230" s="413">
        <f ca="1" t="shared" si="179"/>
        <v>31630.5729375623</v>
      </c>
      <c r="U230" s="413">
        <f ca="1" t="shared" si="179"/>
        <v>31630.5729375623</v>
      </c>
      <c r="V230" s="413">
        <f ca="1" t="shared" si="179"/>
        <v>31630.5729375623</v>
      </c>
      <c r="W230" s="413">
        <f ca="1" t="shared" si="179"/>
        <v>31630.5729375623</v>
      </c>
      <c r="X230" s="413">
        <f ca="1" t="shared" si="179"/>
        <v>31796.5021411022</v>
      </c>
      <c r="Y230" s="413">
        <f ca="1" t="shared" si="179"/>
        <v>33406.3645264233</v>
      </c>
      <c r="Z230" s="413">
        <f ca="1" t="shared" si="179"/>
        <v>33091.3645264233</v>
      </c>
      <c r="AA230" s="413">
        <f ca="1" t="shared" si="179"/>
        <v>33091.3645264233</v>
      </c>
      <c r="AB230" s="413">
        <f ca="1" t="shared" si="179"/>
        <v>33091.3645264233</v>
      </c>
      <c r="AC230" s="413">
        <f ca="1" t="shared" si="179"/>
        <v>33091.3645264233</v>
      </c>
      <c r="AD230" s="413">
        <f ca="1" t="shared" si="179"/>
        <v>33091.3645264233</v>
      </c>
      <c r="AE230" s="413">
        <f ca="1" t="shared" si="179"/>
        <v>31332.105267164</v>
      </c>
      <c r="AF230" s="413">
        <f ca="1" t="shared" si="179"/>
        <v>28869.142304201</v>
      </c>
      <c r="AG230" s="413">
        <f ca="1" t="shared" si="179"/>
        <v>28631.642304201</v>
      </c>
      <c r="AH230" s="413">
        <f ca="1" t="shared" si="179"/>
        <v>28299.142304201</v>
      </c>
      <c r="AI230" s="413">
        <f ca="1" t="shared" si="179"/>
        <v>28299.142304201</v>
      </c>
      <c r="AJ230" s="413">
        <f ca="1" t="shared" si="179"/>
        <v>28299.142304201</v>
      </c>
      <c r="AK230" s="413">
        <f ca="1" t="shared" si="179"/>
        <v>28299.142304201</v>
      </c>
      <c r="AL230" s="413">
        <f ca="1" t="shared" si="179"/>
        <v>28299.142304201</v>
      </c>
      <c r="AM230" s="413">
        <f ca="1" t="shared" si="179"/>
        <v>28299.142304201</v>
      </c>
      <c r="AN230" s="413">
        <f ca="1" t="shared" si="179"/>
        <v>28299.142304201</v>
      </c>
      <c r="AO230" s="413">
        <f ca="1" t="shared" si="179"/>
        <v>28299.142304201</v>
      </c>
      <c r="AP230" s="413">
        <f ca="1" t="shared" si="179"/>
        <v>17379.7224725035</v>
      </c>
      <c r="AQ230" s="413">
        <f ca="1" t="shared" si="179"/>
        <v>2092.53470812698</v>
      </c>
      <c r="AR230" s="413">
        <f ca="1" t="shared" si="179"/>
        <v>2092.53470812698</v>
      </c>
      <c r="AS230" s="413">
        <f ca="1" t="shared" si="179"/>
        <v>2296.40830649599</v>
      </c>
      <c r="AT230" s="413">
        <f ca="1" t="shared" si="179"/>
        <v>2296.40830649599</v>
      </c>
      <c r="AU230" s="413">
        <f ca="1" t="shared" si="179"/>
        <v>2296.40830649599</v>
      </c>
      <c r="AV230" s="413">
        <f ca="1" t="shared" si="179"/>
        <v>2351.71804100926</v>
      </c>
      <c r="AW230" s="413">
        <f ca="1" t="shared" si="179"/>
        <v>2351.71804100926</v>
      </c>
      <c r="AX230" s="413">
        <f ca="1" t="shared" si="179"/>
        <v>2351.71804100926</v>
      </c>
      <c r="AY230" s="413">
        <f ca="1" t="shared" si="179"/>
        <v>2504.62323978602</v>
      </c>
      <c r="AZ230" s="413">
        <f ca="1" t="shared" si="179"/>
        <v>2504.62323978602</v>
      </c>
      <c r="BA230" s="413">
        <f ca="1" t="shared" si="179"/>
        <v>2504.62323978602</v>
      </c>
    </row>
    <row r="231" s="105" customFormat="1" ht="17.25" spans="2:53">
      <c r="B231" s="409">
        <v>7</v>
      </c>
      <c r="C231" s="414" t="s">
        <v>741</v>
      </c>
      <c r="D231" s="415"/>
      <c r="E231" s="416" t="s">
        <v>130</v>
      </c>
      <c r="F231" s="417">
        <f ca="1">F38+F49+F60+F112+F123+F176+F229</f>
        <v>0</v>
      </c>
      <c r="G231" s="417">
        <f ca="1" t="shared" ref="G231:BA231" si="180">G38+G49+G60+G112+G123+G176+G229</f>
        <v>0</v>
      </c>
      <c r="H231" s="417">
        <f ca="1" t="shared" si="180"/>
        <v>0</v>
      </c>
      <c r="I231" s="417">
        <f ca="1" t="shared" si="180"/>
        <v>0</v>
      </c>
      <c r="J231" s="417">
        <f ca="1" t="shared" si="180"/>
        <v>0</v>
      </c>
      <c r="K231" s="417">
        <f ca="1" t="shared" si="180"/>
        <v>0</v>
      </c>
      <c r="L231" s="417">
        <f ca="1" t="shared" si="180"/>
        <v>0</v>
      </c>
      <c r="M231" s="417">
        <f ca="1" t="shared" si="180"/>
        <v>886512.50015762</v>
      </c>
      <c r="N231" s="417">
        <f ca="1" t="shared" si="180"/>
        <v>854878.142816387</v>
      </c>
      <c r="O231" s="417">
        <f ca="1" t="shared" si="180"/>
        <v>823247.569878825</v>
      </c>
      <c r="P231" s="417">
        <f ca="1" t="shared" si="180"/>
        <v>791616.996941263</v>
      </c>
      <c r="Q231" s="417">
        <f ca="1" t="shared" si="180"/>
        <v>759986.4240037</v>
      </c>
      <c r="R231" s="417">
        <f ca="1" t="shared" si="180"/>
        <v>728355.851066138</v>
      </c>
      <c r="S231" s="417">
        <f ca="1" t="shared" si="180"/>
        <v>697183.993724906</v>
      </c>
      <c r="T231" s="417">
        <f ca="1" t="shared" si="180"/>
        <v>665553.420787344</v>
      </c>
      <c r="U231" s="417">
        <f ca="1" t="shared" si="180"/>
        <v>633922.847849781</v>
      </c>
      <c r="V231" s="417">
        <f ca="1" t="shared" si="180"/>
        <v>602292.274912219</v>
      </c>
      <c r="W231" s="417">
        <f ca="1" t="shared" si="180"/>
        <v>570661.701974657</v>
      </c>
      <c r="X231" s="417">
        <f ca="1" t="shared" si="180"/>
        <v>540651.349058204</v>
      </c>
      <c r="Y231" s="417">
        <f ca="1" t="shared" si="180"/>
        <v>525593.608384991</v>
      </c>
      <c r="Z231" s="417">
        <f ca="1" t="shared" si="180"/>
        <v>492502.243858568</v>
      </c>
      <c r="AA231" s="417">
        <f ca="1" t="shared" si="180"/>
        <v>459410.879332145</v>
      </c>
      <c r="AB231" s="417">
        <f ca="1" t="shared" si="180"/>
        <v>426319.514805721</v>
      </c>
      <c r="AC231" s="417">
        <f ca="1" t="shared" si="180"/>
        <v>393686.865875628</v>
      </c>
      <c r="AD231" s="417">
        <f ca="1" t="shared" si="180"/>
        <v>360595.501349205</v>
      </c>
      <c r="AE231" s="417">
        <f ca="1" t="shared" si="180"/>
        <v>329263.396082041</v>
      </c>
      <c r="AF231" s="417">
        <f ca="1" t="shared" si="180"/>
        <v>301721.687406159</v>
      </c>
      <c r="AG231" s="417">
        <f ca="1" t="shared" si="180"/>
        <v>273090.045101958</v>
      </c>
      <c r="AH231" s="417">
        <f ca="1" t="shared" si="180"/>
        <v>245249.618394087</v>
      </c>
      <c r="AI231" s="417">
        <f ca="1" t="shared" si="180"/>
        <v>235299.099943097</v>
      </c>
      <c r="AJ231" s="417">
        <f ca="1" t="shared" si="180"/>
        <v>206999.957638896</v>
      </c>
      <c r="AK231" s="417">
        <f ca="1" t="shared" si="180"/>
        <v>178700.815334695</v>
      </c>
      <c r="AL231" s="417">
        <f ca="1" t="shared" si="180"/>
        <v>150401.673030494</v>
      </c>
      <c r="AM231" s="417">
        <f ca="1" t="shared" si="180"/>
        <v>122561.246322623</v>
      </c>
      <c r="AN231" s="417">
        <f ca="1" t="shared" si="180"/>
        <v>95589.537646741</v>
      </c>
      <c r="AO231" s="417">
        <f ca="1" t="shared" si="180"/>
        <v>67290.3953425401</v>
      </c>
      <c r="AP231" s="417">
        <f ca="1" t="shared" si="180"/>
        <v>49910.6728700366</v>
      </c>
      <c r="AQ231" s="417">
        <f ca="1" t="shared" si="180"/>
        <v>47818.1381619096</v>
      </c>
      <c r="AR231" s="417">
        <f ca="1" t="shared" si="180"/>
        <v>46184.3190501129</v>
      </c>
      <c r="AS231" s="417">
        <f ca="1" t="shared" si="180"/>
        <v>62236.5345968279</v>
      </c>
      <c r="AT231" s="417">
        <f ca="1" t="shared" si="180"/>
        <v>59940.1262903319</v>
      </c>
      <c r="AU231" s="417">
        <f ca="1" t="shared" si="180"/>
        <v>57643.717983836</v>
      </c>
      <c r="AV231" s="417">
        <f ca="1" t="shared" si="180"/>
        <v>56619.4335711453</v>
      </c>
      <c r="AW231" s="417">
        <f ca="1" t="shared" si="180"/>
        <v>54726.4311264663</v>
      </c>
      <c r="AX231" s="417">
        <f ca="1" t="shared" si="180"/>
        <v>52374.713085457</v>
      </c>
      <c r="AY231" s="417">
        <f ca="1" t="shared" si="180"/>
        <v>50328.8054420012</v>
      </c>
      <c r="AZ231" s="417">
        <f ca="1" t="shared" si="180"/>
        <v>47824.1822022152</v>
      </c>
      <c r="BA231" s="417">
        <f ca="1" t="shared" si="180"/>
        <v>45319.5589624292</v>
      </c>
    </row>
    <row r="233" spans="2:53">
      <c r="C233" s="418" t="s">
        <v>742</v>
      </c>
    </row>
    <row r="234" spans="2:53">
      <c r="C234" s="314"/>
    </row>
    <row r="235" ht="17.25" spans="2:53">
      <c r="C235" s="107" t="s">
        <v>684</v>
      </c>
    </row>
    <row r="236" spans="2:53">
      <c r="C236" s="311" t="s">
        <v>743</v>
      </c>
      <c r="D236" s="312">
        <f>'表1-资金筹措及还本付息表'!D8</f>
        <v>859973.95</v>
      </c>
    </row>
    <row r="237" spans="2:53">
      <c r="C237" s="315" t="s">
        <v>167</v>
      </c>
      <c r="D237" s="316">
        <f>参数输入表!I221</f>
        <v>67754.50497608</v>
      </c>
    </row>
    <row r="238" spans="2:53">
      <c r="C238" s="315" t="s">
        <v>307</v>
      </c>
      <c r="D238" s="419">
        <f>D236-D237-参数输入表!I636</f>
        <v>712219.44502392</v>
      </c>
      <c r="F238" s="314" t="s">
        <v>744</v>
      </c>
    </row>
    <row r="239" spans="2:53">
      <c r="C239" s="315" t="s">
        <v>687</v>
      </c>
      <c r="D239" s="316" t="s">
        <v>329</v>
      </c>
      <c r="F239" s="314" t="s">
        <v>745</v>
      </c>
    </row>
    <row r="240" spans="2:53">
      <c r="C240" s="315" t="s">
        <v>689</v>
      </c>
      <c r="D240" s="318">
        <f>参数输入表!I622</f>
        <v>29</v>
      </c>
    </row>
    <row r="241" ht="17.25" spans="2:53">
      <c r="C241" s="319" t="s">
        <v>690</v>
      </c>
      <c r="D241" s="320">
        <f>参数输入表!I623</f>
        <v>0.05</v>
      </c>
      <c r="L241" s="330"/>
    </row>
    <row r="242" ht="20" spans="2:53">
      <c r="G242" s="420" t="s">
        <v>746</v>
      </c>
      <c r="H242" s="420"/>
      <c r="I242" s="420"/>
      <c r="J242" s="420"/>
      <c r="K242" s="420"/>
      <c r="L242" s="420"/>
      <c r="M242" s="420"/>
    </row>
    <row r="243" ht="17.25" spans="2:53">
      <c r="B243" s="107" t="s">
        <v>747</v>
      </c>
      <c r="D243" s="339"/>
      <c r="E243" s="340"/>
    </row>
    <row r="244" spans="2:53">
      <c r="B244" s="342" t="s">
        <v>2</v>
      </c>
      <c r="C244" s="343" t="s">
        <v>490</v>
      </c>
      <c r="D244" s="343" t="s">
        <v>491</v>
      </c>
      <c r="E244" s="343" t="s">
        <v>9</v>
      </c>
      <c r="F244" s="11">
        <v>2023</v>
      </c>
      <c r="G244" s="11">
        <v>2024</v>
      </c>
      <c r="H244" s="11">
        <v>2025</v>
      </c>
      <c r="I244" s="11">
        <v>2026</v>
      </c>
      <c r="J244" s="11">
        <v>2027</v>
      </c>
      <c r="K244" s="11">
        <v>2028</v>
      </c>
      <c r="L244" s="12">
        <v>2029</v>
      </c>
      <c r="M244" s="12">
        <v>2030</v>
      </c>
      <c r="N244" s="13">
        <v>2031</v>
      </c>
      <c r="O244" s="13">
        <v>2032</v>
      </c>
      <c r="P244" s="13">
        <v>2033</v>
      </c>
      <c r="Q244" s="13">
        <v>2034</v>
      </c>
      <c r="R244" s="13">
        <v>2035</v>
      </c>
      <c r="S244" s="13">
        <v>2036</v>
      </c>
      <c r="T244" s="13">
        <v>2037</v>
      </c>
      <c r="U244" s="13">
        <v>2038</v>
      </c>
      <c r="V244" s="13">
        <v>2039</v>
      </c>
      <c r="W244" s="13">
        <v>2040</v>
      </c>
      <c r="X244" s="13">
        <v>2041</v>
      </c>
      <c r="Y244" s="13">
        <v>2042</v>
      </c>
      <c r="Z244" s="13">
        <v>2043</v>
      </c>
      <c r="AA244" s="13">
        <v>2044</v>
      </c>
      <c r="AB244" s="13">
        <v>2045</v>
      </c>
      <c r="AC244" s="13">
        <v>2046</v>
      </c>
      <c r="AD244" s="13">
        <v>2047</v>
      </c>
      <c r="AE244" s="13">
        <v>2048</v>
      </c>
      <c r="AF244" s="13">
        <v>2049</v>
      </c>
      <c r="AG244" s="13">
        <v>2050</v>
      </c>
      <c r="AH244" s="13">
        <v>2051</v>
      </c>
      <c r="AI244" s="13">
        <v>2052</v>
      </c>
      <c r="AJ244" s="13">
        <v>2053</v>
      </c>
      <c r="AK244" s="13">
        <v>2054</v>
      </c>
      <c r="AL244" s="13">
        <v>2055</v>
      </c>
      <c r="AM244" s="13">
        <v>2056</v>
      </c>
      <c r="AN244" s="13">
        <v>2057</v>
      </c>
      <c r="AO244" s="13">
        <v>2058</v>
      </c>
      <c r="AP244" s="13">
        <v>2059</v>
      </c>
      <c r="AQ244" s="13">
        <v>2060</v>
      </c>
      <c r="AR244" s="13">
        <v>2061</v>
      </c>
      <c r="AS244" s="13">
        <v>2062</v>
      </c>
      <c r="AT244" s="13">
        <v>2063</v>
      </c>
      <c r="AU244" s="13">
        <v>2064</v>
      </c>
      <c r="AV244" s="13">
        <v>2065</v>
      </c>
      <c r="AW244" s="13">
        <v>2066</v>
      </c>
      <c r="AX244" s="13">
        <v>2067</v>
      </c>
      <c r="AY244" s="13">
        <v>2068</v>
      </c>
      <c r="AZ244" s="13">
        <v>2069</v>
      </c>
      <c r="BA244" s="14">
        <v>2070</v>
      </c>
    </row>
    <row r="245" ht="17.25" spans="2:53">
      <c r="B245" s="344"/>
      <c r="C245" s="345"/>
      <c r="D245" s="345"/>
      <c r="E245" s="345"/>
      <c r="F245" s="346">
        <v>1</v>
      </c>
      <c r="G245" s="346">
        <v>2</v>
      </c>
      <c r="H245" s="346">
        <v>3</v>
      </c>
      <c r="I245" s="346">
        <v>4</v>
      </c>
      <c r="J245" s="346">
        <v>5</v>
      </c>
      <c r="K245" s="346">
        <v>6</v>
      </c>
      <c r="L245" s="347">
        <v>7</v>
      </c>
      <c r="M245" s="347">
        <v>8</v>
      </c>
      <c r="N245" s="348">
        <v>9</v>
      </c>
      <c r="O245" s="348">
        <v>10</v>
      </c>
      <c r="P245" s="348">
        <v>11</v>
      </c>
      <c r="Q245" s="348">
        <v>12</v>
      </c>
      <c r="R245" s="348">
        <v>13</v>
      </c>
      <c r="S245" s="348">
        <v>14</v>
      </c>
      <c r="T245" s="348">
        <v>15</v>
      </c>
      <c r="U245" s="348">
        <v>16</v>
      </c>
      <c r="V245" s="348">
        <v>17</v>
      </c>
      <c r="W245" s="348">
        <v>18</v>
      </c>
      <c r="X245" s="348">
        <v>19</v>
      </c>
      <c r="Y245" s="348">
        <v>20</v>
      </c>
      <c r="Z245" s="348">
        <v>21</v>
      </c>
      <c r="AA245" s="348">
        <v>22</v>
      </c>
      <c r="AB245" s="348">
        <v>23</v>
      </c>
      <c r="AC245" s="348">
        <v>24</v>
      </c>
      <c r="AD245" s="348">
        <v>25</v>
      </c>
      <c r="AE245" s="348">
        <v>26</v>
      </c>
      <c r="AF245" s="348">
        <v>27</v>
      </c>
      <c r="AG245" s="348">
        <v>28</v>
      </c>
      <c r="AH245" s="348">
        <v>29</v>
      </c>
      <c r="AI245" s="348">
        <v>30</v>
      </c>
      <c r="AJ245" s="348">
        <v>31</v>
      </c>
      <c r="AK245" s="348">
        <v>32</v>
      </c>
      <c r="AL245" s="348">
        <v>33</v>
      </c>
      <c r="AM245" s="348">
        <v>34</v>
      </c>
      <c r="AN245" s="348">
        <v>35</v>
      </c>
      <c r="AO245" s="348">
        <v>36</v>
      </c>
      <c r="AP245" s="348">
        <v>37</v>
      </c>
      <c r="AQ245" s="348">
        <v>38</v>
      </c>
      <c r="AR245" s="348">
        <v>39</v>
      </c>
      <c r="AS245" s="348">
        <v>40</v>
      </c>
      <c r="AT245" s="348">
        <v>41</v>
      </c>
      <c r="AU245" s="348">
        <v>42</v>
      </c>
      <c r="AV245" s="348">
        <v>43</v>
      </c>
      <c r="AW245" s="348">
        <v>44</v>
      </c>
      <c r="AX245" s="348">
        <v>45</v>
      </c>
      <c r="AY245" s="348">
        <v>46</v>
      </c>
      <c r="AZ245" s="348">
        <v>47</v>
      </c>
      <c r="BA245" s="349">
        <v>48</v>
      </c>
    </row>
    <row r="246" s="105" customFormat="1" spans="2:53">
      <c r="B246" s="355">
        <v>1.1</v>
      </c>
      <c r="C246" s="351" t="s">
        <v>748</v>
      </c>
      <c r="D246" s="352"/>
      <c r="E246" s="352" t="s">
        <v>31</v>
      </c>
      <c r="F246" s="421">
        <f>SUMIF('投产&amp;达产比例'!$T$11:$T$58,F244,'投产&amp;达产比例'!$U$11:$U$58)</f>
        <v>0</v>
      </c>
      <c r="G246" s="421">
        <f>SUMIF('投产&amp;达产比例'!$T$11:$T$58,G244,'投产&amp;达产比例'!$U$11:$U$58)</f>
        <v>0</v>
      </c>
      <c r="H246" s="421">
        <f>SUMIF('投产&amp;达产比例'!$T$11:$T$58,H244,'投产&amp;达产比例'!$U$11:$U$58)</f>
        <v>0</v>
      </c>
      <c r="I246" s="421">
        <f>SUMIF('投产&amp;达产比例'!$T$11:$T$58,I244,'投产&amp;达产比例'!$U$11:$U$58)</f>
        <v>0</v>
      </c>
      <c r="J246" s="421">
        <f>SUMIF('投产&amp;达产比例'!$T$11:$T$58,J244,'投产&amp;达产比例'!$U$11:$U$58)</f>
        <v>0</v>
      </c>
      <c r="K246" s="421">
        <f>SUMIF('投产&amp;达产比例'!$T$11:$T$58,K244,'投产&amp;达产比例'!$U$11:$U$58)</f>
        <v>0</v>
      </c>
      <c r="L246" s="421">
        <f>SUMIF('投产&amp;达产比例'!$T$11:$T$58,L244,'投产&amp;达产比例'!$U$11:$U$58)</f>
        <v>0</v>
      </c>
      <c r="M246" s="421">
        <f>SUMIF('投产&amp;达产比例'!$T$11:$T$58,M244,'投产&amp;达产比例'!$U$11:$U$58)</f>
        <v>1</v>
      </c>
      <c r="N246" s="421">
        <f>SUMIF('投产&amp;达产比例'!$T$11:$T$58,N244,'投产&amp;达产比例'!$U$11:$U$58)</f>
        <v>1</v>
      </c>
      <c r="O246" s="421">
        <f>SUMIF('投产&amp;达产比例'!$T$11:$T$58,O244,'投产&amp;达产比例'!$U$11:$U$58)</f>
        <v>1</v>
      </c>
      <c r="P246" s="421">
        <f>SUMIF('投产&amp;达产比例'!$T$11:$T$58,P244,'投产&amp;达产比例'!$U$11:$U$58)</f>
        <v>1</v>
      </c>
      <c r="Q246" s="421">
        <f>SUMIF('投产&amp;达产比例'!$T$11:$T$58,Q244,'投产&amp;达产比例'!$U$11:$U$58)</f>
        <v>1</v>
      </c>
      <c r="R246" s="421">
        <f>SUMIF('投产&amp;达产比例'!$T$11:$T$58,R244,'投产&amp;达产比例'!$U$11:$U$58)</f>
        <v>1</v>
      </c>
      <c r="S246" s="421">
        <f>SUMIF('投产&amp;达产比例'!$T$11:$T$58,S244,'投产&amp;达产比例'!$U$11:$U$58)</f>
        <v>1</v>
      </c>
      <c r="T246" s="421">
        <f>SUMIF('投产&amp;达产比例'!$T$11:$T$58,T244,'投产&amp;达产比例'!$U$11:$U$58)</f>
        <v>1</v>
      </c>
      <c r="U246" s="421">
        <f>SUMIF('投产&amp;达产比例'!$T$11:$T$58,U244,'投产&amp;达产比例'!$U$11:$U$58)</f>
        <v>1</v>
      </c>
      <c r="V246" s="421">
        <f>SUMIF('投产&amp;达产比例'!$T$11:$T$58,V244,'投产&amp;达产比例'!$U$11:$U$58)</f>
        <v>1</v>
      </c>
      <c r="W246" s="421">
        <f>SUMIF('投产&amp;达产比例'!$T$11:$T$58,W244,'投产&amp;达产比例'!$U$11:$U$58)</f>
        <v>1</v>
      </c>
      <c r="X246" s="421">
        <f>SUMIF('投产&amp;达产比例'!$T$11:$T$58,X244,'投产&amp;达产比例'!$U$11:$U$58)</f>
        <v>1</v>
      </c>
      <c r="Y246" s="421">
        <f>SUMIF('投产&amp;达产比例'!$T$11:$T$58,Y244,'投产&amp;达产比例'!$U$11:$U$58)</f>
        <v>1</v>
      </c>
      <c r="Z246" s="421">
        <f>SUMIF('投产&amp;达产比例'!$T$11:$T$58,Z244,'投产&amp;达产比例'!$U$11:$U$58)</f>
        <v>1</v>
      </c>
      <c r="AA246" s="421">
        <f>SUMIF('投产&amp;达产比例'!$T$11:$T$58,AA244,'投产&amp;达产比例'!$U$11:$U$58)</f>
        <v>1</v>
      </c>
      <c r="AB246" s="421">
        <f>SUMIF('投产&amp;达产比例'!$T$11:$T$58,AB244,'投产&amp;达产比例'!$U$11:$U$58)</f>
        <v>1</v>
      </c>
      <c r="AC246" s="421">
        <f>SUMIF('投产&amp;达产比例'!$T$11:$T$58,AC244,'投产&amp;达产比例'!$U$11:$U$58)</f>
        <v>1</v>
      </c>
      <c r="AD246" s="421">
        <f>SUMIF('投产&amp;达产比例'!$T$11:$T$58,AD244,'投产&amp;达产比例'!$U$11:$U$58)</f>
        <v>1</v>
      </c>
      <c r="AE246" s="421">
        <f>SUMIF('投产&amp;达产比例'!$T$11:$T$58,AE244,'投产&amp;达产比例'!$U$11:$U$58)</f>
        <v>1</v>
      </c>
      <c r="AF246" s="421">
        <f>SUMIF('投产&amp;达产比例'!$T$11:$T$58,AF244,'投产&amp;达产比例'!$U$11:$U$58)</f>
        <v>1</v>
      </c>
      <c r="AG246" s="421">
        <f>SUMIF('投产&amp;达产比例'!$T$11:$T$58,AG244,'投产&amp;达产比例'!$U$11:$U$58)</f>
        <v>1</v>
      </c>
      <c r="AH246" s="421">
        <f>SUMIF('投产&amp;达产比例'!$T$11:$T$58,AH244,'投产&amp;达产比例'!$U$11:$U$58)</f>
        <v>1</v>
      </c>
      <c r="AI246" s="421">
        <f>SUMIF('投产&amp;达产比例'!$T$11:$T$58,AI244,'投产&amp;达产比例'!$U$11:$U$58)</f>
        <v>1</v>
      </c>
      <c r="AJ246" s="421">
        <f>SUMIF('投产&amp;达产比例'!$T$11:$T$58,AJ244,'投产&amp;达产比例'!$U$11:$U$58)</f>
        <v>1</v>
      </c>
      <c r="AK246" s="421">
        <f>SUMIF('投产&amp;达产比例'!$T$11:$T$58,AK244,'投产&amp;达产比例'!$U$11:$U$58)</f>
        <v>1</v>
      </c>
      <c r="AL246" s="421">
        <f>SUMIF('投产&amp;达产比例'!$T$11:$T$58,AL244,'投产&amp;达产比例'!$U$11:$U$58)</f>
        <v>1</v>
      </c>
      <c r="AM246" s="421">
        <f>SUMIF('投产&amp;达产比例'!$T$11:$T$58,AM244,'投产&amp;达产比例'!$U$11:$U$58)</f>
        <v>1</v>
      </c>
      <c r="AN246" s="421">
        <f>SUMIF('投产&amp;达产比例'!$T$11:$T$58,AN244,'投产&amp;达产比例'!$U$11:$U$58)</f>
        <v>1</v>
      </c>
      <c r="AO246" s="421">
        <f>SUMIF('投产&amp;达产比例'!$T$11:$T$58,AO244,'投产&amp;达产比例'!$U$11:$U$58)</f>
        <v>1</v>
      </c>
      <c r="AP246" s="421">
        <f>SUMIF('投产&amp;达产比例'!$T$11:$T$58,AP244,'投产&amp;达产比例'!$U$11:$U$58)</f>
        <v>1</v>
      </c>
      <c r="AQ246" s="421">
        <f>SUMIF('投产&amp;达产比例'!$T$11:$T$58,AQ244,'投产&amp;达产比例'!$U$11:$U$58)</f>
        <v>1</v>
      </c>
      <c r="AR246" s="421">
        <f>SUMIF('投产&amp;达产比例'!$T$11:$T$58,AR244,'投产&amp;达产比例'!$U$11:$U$58)</f>
        <v>1</v>
      </c>
      <c r="AS246" s="421">
        <f>SUMIF('投产&amp;达产比例'!$T$11:$T$58,AS244,'投产&amp;达产比例'!$U$11:$U$58)</f>
        <v>1</v>
      </c>
      <c r="AT246" s="421">
        <f>SUMIF('投产&amp;达产比例'!$T$11:$T$58,AT244,'投产&amp;达产比例'!$U$11:$U$58)</f>
        <v>1</v>
      </c>
      <c r="AU246" s="421">
        <f>SUMIF('投产&amp;达产比例'!$T$11:$T$58,AU244,'投产&amp;达产比例'!$U$11:$U$58)</f>
        <v>1</v>
      </c>
      <c r="AV246" s="421">
        <f>SUMIF('投产&amp;达产比例'!$T$11:$T$58,AV244,'投产&amp;达产比例'!$U$11:$U$58)</f>
        <v>1</v>
      </c>
      <c r="AW246" s="421">
        <f>SUMIF('投产&amp;达产比例'!$T$11:$T$58,AW244,'投产&amp;达产比例'!$U$11:$U$58)</f>
        <v>1</v>
      </c>
      <c r="AX246" s="421">
        <f>SUMIF('投产&amp;达产比例'!$T$11:$T$58,AX244,'投产&amp;达产比例'!$U$11:$U$58)</f>
        <v>1</v>
      </c>
      <c r="AY246" s="421">
        <f>SUMIF('投产&amp;达产比例'!$T$11:$T$58,AY244,'投产&amp;达产比例'!$U$11:$U$58)</f>
        <v>1</v>
      </c>
      <c r="AZ246" s="421">
        <f>SUMIF('投产&amp;达产比例'!$T$11:$T$58,AZ244,'投产&amp;达产比例'!$U$11:$U$58)</f>
        <v>1</v>
      </c>
      <c r="BA246" s="422">
        <f>SUMIF('投产&amp;达产比例'!$T$11:$T$58,BA244,'投产&amp;达产比例'!$U$11:$U$58)</f>
        <v>1</v>
      </c>
    </row>
    <row r="247" s="105" customFormat="1" spans="2:53">
      <c r="B247" s="360"/>
      <c r="C247" s="133" t="s">
        <v>749</v>
      </c>
      <c r="D247" s="423"/>
      <c r="E247" s="367" t="s">
        <v>130</v>
      </c>
      <c r="F247" s="366">
        <f>(参数输入表!$I$214-参数输入表!$I$221-参数输入表!$I$625-参数输入表!$I$630-参数输入表!$I$636)*F246</f>
        <v>0</v>
      </c>
      <c r="G247" s="366">
        <f>(参数输入表!$I$214-参数输入表!$I$221-参数输入表!$I$625-参数输入表!$I$630-参数输入表!$I$636)*G246</f>
        <v>0</v>
      </c>
      <c r="H247" s="366">
        <f>(参数输入表!$I$214-参数输入表!$I$221-参数输入表!$I$625-参数输入表!$I$630-参数输入表!$I$636)*H246</f>
        <v>0</v>
      </c>
      <c r="I247" s="366">
        <f>(参数输入表!$I$214-参数输入表!$I$221-参数输入表!$I$625-参数输入表!$I$630-参数输入表!$I$636)*I246</f>
        <v>0</v>
      </c>
      <c r="J247" s="366">
        <f>(参数输入表!$I$214-参数输入表!$I$221-参数输入表!$I$625-参数输入表!$I$630-参数输入表!$I$636)*J246</f>
        <v>0</v>
      </c>
      <c r="K247" s="366">
        <f>(参数输入表!$I$214-参数输入表!$I$221-参数输入表!$I$625-参数输入表!$I$630-参数输入表!$I$636)*K246</f>
        <v>0</v>
      </c>
      <c r="L247" s="366">
        <f>(参数输入表!$I$214-参数输入表!$I$221-参数输入表!$I$625-参数输入表!$I$630-参数输入表!$I$636)*L246</f>
        <v>0</v>
      </c>
      <c r="M247" s="366">
        <f>(参数输入表!$I$214-参数输入表!$I$221-参数输入表!$I$625-参数输入表!$I$630-参数输入表!$I$636)*M246</f>
        <v>693019.44502392</v>
      </c>
      <c r="N247" s="366">
        <f>(参数输入表!$I$214-参数输入表!$I$221-参数输入表!$I$625-参数输入表!$I$630-参数输入表!$I$636)*N246</f>
        <v>693019.44502392</v>
      </c>
      <c r="O247" s="366">
        <f>(参数输入表!$I$214-参数输入表!$I$221-参数输入表!$I$625-参数输入表!$I$630-参数输入表!$I$636)*O246</f>
        <v>693019.44502392</v>
      </c>
      <c r="P247" s="366">
        <f>(参数输入表!$I$214-参数输入表!$I$221-参数输入表!$I$625-参数输入表!$I$630-参数输入表!$I$636)*P246</f>
        <v>693019.44502392</v>
      </c>
      <c r="Q247" s="366">
        <f>(参数输入表!$I$214-参数输入表!$I$221-参数输入表!$I$625-参数输入表!$I$630-参数输入表!$I$636)*Q246</f>
        <v>693019.44502392</v>
      </c>
      <c r="R247" s="366">
        <f>(参数输入表!$I$214-参数输入表!$I$221-参数输入表!$I$625-参数输入表!$I$630-参数输入表!$I$636)*R246</f>
        <v>693019.44502392</v>
      </c>
      <c r="S247" s="366">
        <f>(参数输入表!$I$214-参数输入表!$I$221-参数输入表!$I$625-参数输入表!$I$630-参数输入表!$I$636)*S246</f>
        <v>693019.44502392</v>
      </c>
      <c r="T247" s="366">
        <f>(参数输入表!$I$214-参数输入表!$I$221-参数输入表!$I$625-参数输入表!$I$630-参数输入表!$I$636)*T246</f>
        <v>693019.44502392</v>
      </c>
      <c r="U247" s="366">
        <f>(参数输入表!$I$214-参数输入表!$I$221-参数输入表!$I$625-参数输入表!$I$630-参数输入表!$I$636)*U246</f>
        <v>693019.44502392</v>
      </c>
      <c r="V247" s="366">
        <f>(参数输入表!$I$214-参数输入表!$I$221-参数输入表!$I$625-参数输入表!$I$630-参数输入表!$I$636)*V246</f>
        <v>693019.44502392</v>
      </c>
      <c r="W247" s="366">
        <f>(参数输入表!$I$214-参数输入表!$I$221-参数输入表!$I$625-参数输入表!$I$630-参数输入表!$I$636)*W246</f>
        <v>693019.44502392</v>
      </c>
      <c r="X247" s="366">
        <f>(参数输入表!$I$214-参数输入表!$I$221-参数输入表!$I$625-参数输入表!$I$630-参数输入表!$I$636)*X246</f>
        <v>693019.44502392</v>
      </c>
      <c r="Y247" s="366">
        <f>(参数输入表!$I$214-参数输入表!$I$221-参数输入表!$I$625-参数输入表!$I$630-参数输入表!$I$636)*Y246</f>
        <v>693019.44502392</v>
      </c>
      <c r="Z247" s="366">
        <f>(参数输入表!$I$214-参数输入表!$I$221-参数输入表!$I$625-参数输入表!$I$630-参数输入表!$I$636)*Z246</f>
        <v>693019.44502392</v>
      </c>
      <c r="AA247" s="366">
        <f>(参数输入表!$I$214-参数输入表!$I$221-参数输入表!$I$625-参数输入表!$I$630-参数输入表!$I$636)*AA246</f>
        <v>693019.44502392</v>
      </c>
      <c r="AB247" s="366">
        <f>(参数输入表!$I$214-参数输入表!$I$221-参数输入表!$I$625-参数输入表!$I$630-参数输入表!$I$636)*AB246</f>
        <v>693019.44502392</v>
      </c>
      <c r="AC247" s="366">
        <f>(参数输入表!$I$214-参数输入表!$I$221-参数输入表!$I$625-参数输入表!$I$630-参数输入表!$I$636)*AC246</f>
        <v>693019.44502392</v>
      </c>
      <c r="AD247" s="366">
        <f>(参数输入表!$I$214-参数输入表!$I$221-参数输入表!$I$625-参数输入表!$I$630-参数输入表!$I$636)*AD246</f>
        <v>693019.44502392</v>
      </c>
      <c r="AE247" s="366">
        <f>(参数输入表!$I$214-参数输入表!$I$221-参数输入表!$I$625-参数输入表!$I$630-参数输入表!$I$636)*AE246</f>
        <v>693019.44502392</v>
      </c>
      <c r="AF247" s="366">
        <f>(参数输入表!$I$214-参数输入表!$I$221-参数输入表!$I$625-参数输入表!$I$630-参数输入表!$I$636)*AF246</f>
        <v>693019.44502392</v>
      </c>
      <c r="AG247" s="366">
        <f>(参数输入表!$I$214-参数输入表!$I$221-参数输入表!$I$625-参数输入表!$I$630-参数输入表!$I$636)*AG246</f>
        <v>693019.44502392</v>
      </c>
      <c r="AH247" s="366">
        <f>(参数输入表!$I$214-参数输入表!$I$221-参数输入表!$I$625-参数输入表!$I$630-参数输入表!$I$636)*AH246</f>
        <v>693019.44502392</v>
      </c>
      <c r="AI247" s="366">
        <f>(参数输入表!$I$214-参数输入表!$I$221-参数输入表!$I$625-参数输入表!$I$630-参数输入表!$I$636)*AI246</f>
        <v>693019.44502392</v>
      </c>
      <c r="AJ247" s="366">
        <f>(参数输入表!$I$214-参数输入表!$I$221-参数输入表!$I$625-参数输入表!$I$630-参数输入表!$I$636)*AJ246</f>
        <v>693019.44502392</v>
      </c>
      <c r="AK247" s="366">
        <f>(参数输入表!$I$214-参数输入表!$I$221-参数输入表!$I$625-参数输入表!$I$630-参数输入表!$I$636)*AK246</f>
        <v>693019.44502392</v>
      </c>
      <c r="AL247" s="366">
        <f>(参数输入表!$I$214-参数输入表!$I$221-参数输入表!$I$625-参数输入表!$I$630-参数输入表!$I$636)*AL246</f>
        <v>693019.44502392</v>
      </c>
      <c r="AM247" s="366">
        <f>(参数输入表!$I$214-参数输入表!$I$221-参数输入表!$I$625-参数输入表!$I$630-参数输入表!$I$636)*AM246</f>
        <v>693019.44502392</v>
      </c>
      <c r="AN247" s="366">
        <f>(参数输入表!$I$214-参数输入表!$I$221-参数输入表!$I$625-参数输入表!$I$630-参数输入表!$I$636)*AN246</f>
        <v>693019.44502392</v>
      </c>
      <c r="AO247" s="366">
        <f>(参数输入表!$I$214-参数输入表!$I$221-参数输入表!$I$625-参数输入表!$I$630-参数输入表!$I$636)*AO246</f>
        <v>693019.44502392</v>
      </c>
      <c r="AP247" s="366">
        <f>(参数输入表!$I$214-参数输入表!$I$221-参数输入表!$I$625-参数输入表!$I$630-参数输入表!$I$636)*AP246</f>
        <v>693019.44502392</v>
      </c>
      <c r="AQ247" s="366">
        <f>(参数输入表!$I$214-参数输入表!$I$221-参数输入表!$I$625-参数输入表!$I$630-参数输入表!$I$636)*AQ246</f>
        <v>693019.44502392</v>
      </c>
      <c r="AR247" s="366">
        <f>(参数输入表!$I$214-参数输入表!$I$221-参数输入表!$I$625-参数输入表!$I$630-参数输入表!$I$636)*AR246</f>
        <v>693019.44502392</v>
      </c>
      <c r="AS247" s="366">
        <f>(参数输入表!$I$214-参数输入表!$I$221-参数输入表!$I$625-参数输入表!$I$630-参数输入表!$I$636)*AS246</f>
        <v>693019.44502392</v>
      </c>
      <c r="AT247" s="366">
        <f>(参数输入表!$I$214-参数输入表!$I$221-参数输入表!$I$625-参数输入表!$I$630-参数输入表!$I$636)*AT246</f>
        <v>693019.44502392</v>
      </c>
      <c r="AU247" s="366">
        <f>(参数输入表!$I$214-参数输入表!$I$221-参数输入表!$I$625-参数输入表!$I$630-参数输入表!$I$636)*AU246</f>
        <v>693019.44502392</v>
      </c>
      <c r="AV247" s="366">
        <f>(参数输入表!$I$214-参数输入表!$I$221-参数输入表!$I$625-参数输入表!$I$630-参数输入表!$I$636)*AV246</f>
        <v>693019.44502392</v>
      </c>
      <c r="AW247" s="366">
        <f>(参数输入表!$I$214-参数输入表!$I$221-参数输入表!$I$625-参数输入表!$I$630-参数输入表!$I$636)*AW246</f>
        <v>693019.44502392</v>
      </c>
      <c r="AX247" s="366">
        <f>(参数输入表!$I$214-参数输入表!$I$221-参数输入表!$I$625-参数输入表!$I$630-参数输入表!$I$636)*AX246</f>
        <v>693019.44502392</v>
      </c>
      <c r="AY247" s="366">
        <f>(参数输入表!$I$214-参数输入表!$I$221-参数输入表!$I$625-参数输入表!$I$630-参数输入表!$I$636)*AY246</f>
        <v>693019.44502392</v>
      </c>
      <c r="AZ247" s="366">
        <f>(参数输入表!$I$214-参数输入表!$I$221-参数输入表!$I$625-参数输入表!$I$630-参数输入表!$I$636)*AZ246</f>
        <v>693019.44502392</v>
      </c>
      <c r="BA247" s="385">
        <f>(参数输入表!$I$214-参数输入表!$I$221-参数输入表!$I$625-参数输入表!$I$630-参数输入表!$I$636)*BA246</f>
        <v>693019.44502392</v>
      </c>
    </row>
    <row r="248" s="105" customFormat="1" spans="2:53">
      <c r="B248" s="360"/>
      <c r="C248" s="365" t="s">
        <v>750</v>
      </c>
      <c r="D248" s="366">
        <f>SUM(F248:BA248)</f>
        <v>693019.44502392</v>
      </c>
      <c r="E248" s="367" t="s">
        <v>130</v>
      </c>
      <c r="F248" s="366">
        <f>IF(F245-参数输入表!$I$4&gt;0,0,'表1-资金筹措及还本付息表'!F8+'表1-资金筹措及还本付息表'!G8-投资概算明细!F46-投资概算明细!G46-F259-F270-F285)</f>
        <v>75819.1496566936</v>
      </c>
      <c r="G248" s="366">
        <f>IF(G245-参数输入表!$I$4&gt;0,0,'表1-资金筹措及还本付息表'!H8-投资概算明细!H46-G259-G270-G285)</f>
        <v>73761.999237633</v>
      </c>
      <c r="H248" s="366">
        <f>IF(H245-参数输入表!$I$4&gt;0,0,'表1-资金筹措及还本付息表'!I8-投资概算明细!I46-H259-H270-H285)</f>
        <v>83569.3364941804</v>
      </c>
      <c r="I248" s="366">
        <f>IF(I245-参数输入表!$I$4&gt;0,0,'表1-资金筹措及还本付息表'!J8-投资概算明细!J46-I259-I270-I285)</f>
        <v>91311.6831867285</v>
      </c>
      <c r="J248" s="366">
        <f>IF(J245-参数输入表!$I$4&gt;0,0,'表1-资金筹措及还本付息表'!K8-投资概算明细!K46-J259-J270-J285)</f>
        <v>121924.413068375</v>
      </c>
      <c r="K248" s="366">
        <f>IF(K245-参数输入表!$I$4&gt;0,0,'表1-资金筹措及还本付息表'!L8-投资概算明细!L46-K259-K270-K285)</f>
        <v>111792.386144504</v>
      </c>
      <c r="L248" s="366">
        <f>IF(L245-参数输入表!$I$4&gt;0,0,'表1-资金筹措及还本付息表'!M8+'表1-资金筹措及还本付息表'!N8-投资概算明细!M46-投资概算明细!N46-L259-L270-L285)</f>
        <v>94190.9101244227</v>
      </c>
      <c r="M248" s="366">
        <f>IF(M245-参数输入表!$I$4&gt;0,0,'表1-资金筹措及还本付息表'!O8+'表1-资金筹措及还本付息表'!Q8-投资概算明细!O46-M259-M270-M285)</f>
        <v>40649.5671113827</v>
      </c>
      <c r="N248" s="366">
        <f>IF(N245-参数输入表!$I$4&gt;0,0,'表1-资金筹措及还本付息表'!R8-投资概算明细!P46-N259-N270-N285)</f>
        <v>0</v>
      </c>
      <c r="O248" s="366">
        <f>IF(O245-参数输入表!$I$4&gt;0,0,'表1-资金筹措及还本付息表'!S8-投资概算明细!Q46-O259-O270-O285)</f>
        <v>0</v>
      </c>
      <c r="P248" s="366">
        <f>IF(P245-参数输入表!$I$4&gt;0,0,'表1-资金筹措及还本付息表'!T8-投资概算明细!R46-P259-P270-P285)</f>
        <v>0</v>
      </c>
      <c r="Q248" s="366">
        <f>IF(Q245-参数输入表!$I$4&gt;0,0,'表1-资金筹措及还本付息表'!U8-投资概算明细!S46-Q259-Q270-Q285)</f>
        <v>0</v>
      </c>
      <c r="R248" s="366">
        <f>IF(R245-参数输入表!$I$4&gt;0,0,'表1-资金筹措及还本付息表'!V8-投资概算明细!T46-R259-R270-R285)</f>
        <v>0</v>
      </c>
      <c r="S248" s="366">
        <f>IF(S245-参数输入表!$I$4&gt;0,0,'表1-资金筹措及还本付息表'!W8-投资概算明细!U46-S259-S270-S285)</f>
        <v>0</v>
      </c>
      <c r="T248" s="366">
        <f>IF(T245-参数输入表!$I$4&gt;0,0,'表1-资金筹措及还本付息表'!X8-投资概算明细!V46-T259-T270-T285)</f>
        <v>0</v>
      </c>
      <c r="U248" s="366">
        <f>IF(U245-参数输入表!$I$4&gt;0,0,'表1-资金筹措及还本付息表'!Y8-投资概算明细!W46-U259-U270-U285)</f>
        <v>0</v>
      </c>
      <c r="V248" s="366">
        <f>IF(V245-参数输入表!$I$4&gt;0,0,'表1-资金筹措及还本付息表'!Z8-投资概算明细!X46-V259-V270-V285)</f>
        <v>0</v>
      </c>
      <c r="W248" s="366">
        <f>IF(W245-参数输入表!$I$4&gt;0,0,'表1-资金筹措及还本付息表'!AA8-投资概算明细!Y46-W259-W270-W285)</f>
        <v>0</v>
      </c>
      <c r="X248" s="366">
        <f>IF(X245-参数输入表!$I$4&gt;0,0,'表1-资金筹措及还本付息表'!AB8-投资概算明细!Z46-X259-X270-X285)</f>
        <v>0</v>
      </c>
      <c r="Y248" s="366">
        <f>IF(Y245-参数输入表!$I$4&gt;0,0,'表1-资金筹措及还本付息表'!AC8-投资概算明细!AA46-Y259-Y270-Y285)</f>
        <v>0</v>
      </c>
      <c r="Z248" s="366">
        <f>IF(Z245-参数输入表!$I$4&gt;0,0,'表1-资金筹措及还本付息表'!AD8-投资概算明细!AB46-Z259-Z270-Z285)</f>
        <v>0</v>
      </c>
      <c r="AA248" s="366">
        <f>IF(AA245-参数输入表!$I$4&gt;0,0,'表1-资金筹措及还本付息表'!AE8-投资概算明细!AC46-AA259-AA270-AA285)</f>
        <v>0</v>
      </c>
      <c r="AB248" s="366">
        <f>IF(AB245-参数输入表!$I$4&gt;0,0,'表1-资金筹措及还本付息表'!AF8-投资概算明细!AD46-AB259-AB270-AB285)</f>
        <v>0</v>
      </c>
      <c r="AC248" s="366">
        <f>IF(AC245-参数输入表!$I$4&gt;0,0,'表1-资金筹措及还本付息表'!AG8-投资概算明细!AE46-AC259-AC270-AC285)</f>
        <v>0</v>
      </c>
      <c r="AD248" s="366">
        <f>IF(AD245-参数输入表!$I$4&gt;0,0,'表1-资金筹措及还本付息表'!AH8-投资概算明细!AF46-AD259-AD270-AD285)</f>
        <v>0</v>
      </c>
      <c r="AE248" s="366">
        <f>IF(AE245-参数输入表!$I$4&gt;0,0,'表1-资金筹措及还本付息表'!AI8-投资概算明细!AG46-AE259-AE270-AE285)</f>
        <v>0</v>
      </c>
      <c r="AF248" s="366">
        <f>IF(AF245-参数输入表!$I$4&gt;0,0,'表1-资金筹措及还本付息表'!AJ8-投资概算明细!AH46-AF259-AF270-AF285)</f>
        <v>0</v>
      </c>
      <c r="AG248" s="366">
        <f>IF(AG245-参数输入表!$I$4&gt;0,0,'表1-资金筹措及还本付息表'!AK8-投资概算明细!AI46-AG259-AG270-AG285)</f>
        <v>0</v>
      </c>
      <c r="AH248" s="366">
        <f>IF(AH245-参数输入表!$I$4&gt;0,0,'表1-资金筹措及还本付息表'!AL8-投资概算明细!AJ46-AH259-AH270-AH285)</f>
        <v>0</v>
      </c>
      <c r="AI248" s="366">
        <f>IF(AI245-参数输入表!$I$4&gt;0,0,'表1-资金筹措及还本付息表'!AM8-投资概算明细!AK46-AI259-AI270-AI285)</f>
        <v>0</v>
      </c>
      <c r="AJ248" s="366">
        <f>IF(AJ245-参数输入表!$I$4&gt;0,0,'表1-资金筹措及还本付息表'!AN8-投资概算明细!AL46-AJ259-AJ270-AJ285)</f>
        <v>0</v>
      </c>
      <c r="AK248" s="366">
        <f>IF(AK245-参数输入表!$I$4&gt;0,0,'表1-资金筹措及还本付息表'!AO8-投资概算明细!AM46-AK259-AK270-AK285)</f>
        <v>0</v>
      </c>
      <c r="AL248" s="366">
        <f>IF(AL245-参数输入表!$I$4&gt;0,0,'表1-资金筹措及还本付息表'!AP8-投资概算明细!AN46-AL259-AL270-AL285)</f>
        <v>0</v>
      </c>
      <c r="AM248" s="366">
        <f>IF(AM245-参数输入表!$I$4&gt;0,0,'表1-资金筹措及还本付息表'!AQ8-投资概算明细!AO46-AM259-AM270-AM285)</f>
        <v>0</v>
      </c>
      <c r="AN248" s="366">
        <f>IF(AN245-参数输入表!$I$4&gt;0,0,'表1-资金筹措及还本付息表'!AR8-投资概算明细!AP46-AN259-AN270-AN285)</f>
        <v>0</v>
      </c>
      <c r="AO248" s="366">
        <f>IF(AO245-参数输入表!$I$4&gt;0,0,'表1-资金筹措及还本付息表'!AS8-投资概算明细!AQ46-AO259-AO270-AO285)</f>
        <v>0</v>
      </c>
      <c r="AP248" s="366">
        <f>IF(AP245-参数输入表!$I$4&gt;0,0,'表1-资金筹措及还本付息表'!AT8-投资概算明细!AR46-AP259-AP270-AP285)</f>
        <v>0</v>
      </c>
      <c r="AQ248" s="366">
        <f>IF(AQ245-参数输入表!$I$4&gt;0,0,'表1-资金筹措及还本付息表'!AU8-投资概算明细!AS46-AQ259-AQ270-AQ285)</f>
        <v>0</v>
      </c>
      <c r="AR248" s="366">
        <f>IF(AR245-参数输入表!$I$4&gt;0,0,'表1-资金筹措及还本付息表'!AV8-投资概算明细!AT46-AR259-AR270-AR285)</f>
        <v>0</v>
      </c>
      <c r="AS248" s="366">
        <f>IF(AS245-参数输入表!$I$4&gt;0,0,'表1-资金筹措及还本付息表'!AW8-投资概算明细!AU46-AS259-AS270-AS285)</f>
        <v>0</v>
      </c>
      <c r="AT248" s="366">
        <f>IF(AT245-参数输入表!$I$4&gt;0,0,'表1-资金筹措及还本付息表'!AX8-投资概算明细!AV46-AT259-AT270-AT285)</f>
        <v>0</v>
      </c>
      <c r="AU248" s="366">
        <f>IF(AU245-参数输入表!$I$4&gt;0,0,'表1-资金筹措及还本付息表'!AY8-投资概算明细!AW46-AU259-AU270-AU285)</f>
        <v>0</v>
      </c>
      <c r="AV248" s="366">
        <f>IF(AV245-参数输入表!$I$4&gt;0,0,'表1-资金筹措及还本付息表'!AZ8-投资概算明细!AX46-AV259-AV270-AV285)</f>
        <v>0</v>
      </c>
      <c r="AW248" s="366">
        <f>IF(AW245-参数输入表!$I$4&gt;0,0,'表1-资金筹措及还本付息表'!BA8-投资概算明细!AY46-AW259-AW270-AW285)</f>
        <v>0</v>
      </c>
      <c r="AX248" s="366">
        <f>IF(AX245-参数输入表!$I$4&gt;0,0,'表1-资金筹措及还本付息表'!BB8-投资概算明细!AZ46-AX259-AX270-AX285)</f>
        <v>0</v>
      </c>
      <c r="AY248" s="366">
        <f>IF(AY245-参数输入表!$I$4&gt;0,0,'表1-资金筹措及还本付息表'!BC8-投资概算明细!BA46-AY259-AY270-AY285)</f>
        <v>0</v>
      </c>
      <c r="AZ248" s="366">
        <f>IF(AZ245-参数输入表!$I$4&gt;0,0,'表1-资金筹措及还本付息表'!BD8-投资概算明细!BB46-AZ259-AZ270-AZ285)</f>
        <v>0</v>
      </c>
      <c r="BA248" s="385">
        <f>IF(BA245-参数输入表!$I$4&gt;0,0,'表1-资金筹措及还本付息表'!BE8-投资概算明细!BC46-BA259-BA270-BA285)</f>
        <v>0</v>
      </c>
    </row>
    <row r="249" s="192" customFormat="1" spans="2:53">
      <c r="B249" s="360"/>
      <c r="C249" s="365" t="s">
        <v>751</v>
      </c>
      <c r="D249" s="366"/>
      <c r="E249" s="367" t="s">
        <v>130</v>
      </c>
      <c r="F249" s="366">
        <f>F248</f>
        <v>75819.1496566936</v>
      </c>
      <c r="G249" s="366">
        <f>F249+G248</f>
        <v>149581.148894327</v>
      </c>
      <c r="H249" s="366">
        <f t="shared" ref="H249:M249" si="181">G249+H248</f>
        <v>233150.485388507</v>
      </c>
      <c r="I249" s="366">
        <f t="shared" si="181"/>
        <v>324462.168575235</v>
      </c>
      <c r="J249" s="366">
        <f t="shared" si="181"/>
        <v>446386.581643611</v>
      </c>
      <c r="K249" s="366">
        <f t="shared" si="181"/>
        <v>558178.967788115</v>
      </c>
      <c r="L249" s="366">
        <f t="shared" si="181"/>
        <v>652369.877912537</v>
      </c>
      <c r="M249" s="366">
        <f t="shared" si="181"/>
        <v>693019.44502392</v>
      </c>
      <c r="N249" s="366">
        <f t="shared" ref="N249:BA249" si="182">M249+N248</f>
        <v>693019.44502392</v>
      </c>
      <c r="O249" s="366">
        <f t="shared" si="182"/>
        <v>693019.44502392</v>
      </c>
      <c r="P249" s="366">
        <f t="shared" si="182"/>
        <v>693019.44502392</v>
      </c>
      <c r="Q249" s="366">
        <f t="shared" si="182"/>
        <v>693019.44502392</v>
      </c>
      <c r="R249" s="366">
        <f t="shared" si="182"/>
        <v>693019.44502392</v>
      </c>
      <c r="S249" s="366">
        <f t="shared" si="182"/>
        <v>693019.44502392</v>
      </c>
      <c r="T249" s="366">
        <f t="shared" si="182"/>
        <v>693019.44502392</v>
      </c>
      <c r="U249" s="366">
        <f t="shared" si="182"/>
        <v>693019.44502392</v>
      </c>
      <c r="V249" s="366">
        <f t="shared" si="182"/>
        <v>693019.44502392</v>
      </c>
      <c r="W249" s="366">
        <f t="shared" si="182"/>
        <v>693019.44502392</v>
      </c>
      <c r="X249" s="366">
        <f t="shared" si="182"/>
        <v>693019.44502392</v>
      </c>
      <c r="Y249" s="366">
        <f t="shared" si="182"/>
        <v>693019.44502392</v>
      </c>
      <c r="Z249" s="366">
        <f t="shared" si="182"/>
        <v>693019.44502392</v>
      </c>
      <c r="AA249" s="366">
        <f t="shared" si="182"/>
        <v>693019.44502392</v>
      </c>
      <c r="AB249" s="366">
        <f t="shared" si="182"/>
        <v>693019.44502392</v>
      </c>
      <c r="AC249" s="366">
        <f t="shared" si="182"/>
        <v>693019.44502392</v>
      </c>
      <c r="AD249" s="366">
        <f t="shared" si="182"/>
        <v>693019.44502392</v>
      </c>
      <c r="AE249" s="366">
        <f t="shared" si="182"/>
        <v>693019.44502392</v>
      </c>
      <c r="AF249" s="366">
        <f t="shared" si="182"/>
        <v>693019.44502392</v>
      </c>
      <c r="AG249" s="366">
        <f t="shared" si="182"/>
        <v>693019.44502392</v>
      </c>
      <c r="AH249" s="366">
        <f t="shared" si="182"/>
        <v>693019.44502392</v>
      </c>
      <c r="AI249" s="366">
        <f t="shared" si="182"/>
        <v>693019.44502392</v>
      </c>
      <c r="AJ249" s="366">
        <f t="shared" si="182"/>
        <v>693019.44502392</v>
      </c>
      <c r="AK249" s="366">
        <f t="shared" si="182"/>
        <v>693019.44502392</v>
      </c>
      <c r="AL249" s="366">
        <f t="shared" si="182"/>
        <v>693019.44502392</v>
      </c>
      <c r="AM249" s="366">
        <f t="shared" si="182"/>
        <v>693019.44502392</v>
      </c>
      <c r="AN249" s="366">
        <f t="shared" si="182"/>
        <v>693019.44502392</v>
      </c>
      <c r="AO249" s="366">
        <f t="shared" si="182"/>
        <v>693019.44502392</v>
      </c>
      <c r="AP249" s="366">
        <f t="shared" si="182"/>
        <v>693019.44502392</v>
      </c>
      <c r="AQ249" s="366">
        <f t="shared" si="182"/>
        <v>693019.44502392</v>
      </c>
      <c r="AR249" s="366">
        <f t="shared" si="182"/>
        <v>693019.44502392</v>
      </c>
      <c r="AS249" s="366">
        <f t="shared" si="182"/>
        <v>693019.44502392</v>
      </c>
      <c r="AT249" s="366">
        <f t="shared" si="182"/>
        <v>693019.44502392</v>
      </c>
      <c r="AU249" s="366">
        <f t="shared" si="182"/>
        <v>693019.44502392</v>
      </c>
      <c r="AV249" s="366">
        <f t="shared" si="182"/>
        <v>693019.44502392</v>
      </c>
      <c r="AW249" s="366">
        <f t="shared" si="182"/>
        <v>693019.44502392</v>
      </c>
      <c r="AX249" s="366">
        <f t="shared" si="182"/>
        <v>693019.44502392</v>
      </c>
      <c r="AY249" s="366">
        <f t="shared" si="182"/>
        <v>693019.44502392</v>
      </c>
      <c r="AZ249" s="366">
        <f t="shared" si="182"/>
        <v>693019.44502392</v>
      </c>
      <c r="BA249" s="385">
        <f t="shared" si="182"/>
        <v>693019.44502392</v>
      </c>
    </row>
    <row r="250" s="192" customFormat="1" spans="2:53">
      <c r="B250" s="360"/>
      <c r="C250" s="133" t="s">
        <v>705</v>
      </c>
      <c r="D250" s="366"/>
      <c r="E250" s="367" t="s">
        <v>130</v>
      </c>
      <c r="F250" s="366">
        <f>F249-F247</f>
        <v>75819.1496566936</v>
      </c>
      <c r="G250" s="366">
        <f t="shared" ref="G250:BA250" si="183">G249-G247</f>
        <v>149581.148894327</v>
      </c>
      <c r="H250" s="366">
        <f t="shared" si="183"/>
        <v>233150.485388507</v>
      </c>
      <c r="I250" s="366">
        <f t="shared" si="183"/>
        <v>324462.168575235</v>
      </c>
      <c r="J250" s="366">
        <f t="shared" si="183"/>
        <v>446386.581643611</v>
      </c>
      <c r="K250" s="366">
        <f t="shared" si="183"/>
        <v>558178.967788115</v>
      </c>
      <c r="L250" s="366">
        <f t="shared" si="183"/>
        <v>652369.877912537</v>
      </c>
      <c r="M250" s="366">
        <f t="shared" si="183"/>
        <v>0</v>
      </c>
      <c r="N250" s="366">
        <f t="shared" si="183"/>
        <v>0</v>
      </c>
      <c r="O250" s="366">
        <f t="shared" si="183"/>
        <v>0</v>
      </c>
      <c r="P250" s="366">
        <f t="shared" si="183"/>
        <v>0</v>
      </c>
      <c r="Q250" s="366">
        <f t="shared" si="183"/>
        <v>0</v>
      </c>
      <c r="R250" s="366">
        <f t="shared" si="183"/>
        <v>0</v>
      </c>
      <c r="S250" s="366">
        <f t="shared" si="183"/>
        <v>0</v>
      </c>
      <c r="T250" s="366">
        <f t="shared" si="183"/>
        <v>0</v>
      </c>
      <c r="U250" s="366">
        <f t="shared" si="183"/>
        <v>0</v>
      </c>
      <c r="V250" s="366">
        <f t="shared" si="183"/>
        <v>0</v>
      </c>
      <c r="W250" s="366">
        <f t="shared" si="183"/>
        <v>0</v>
      </c>
      <c r="X250" s="366">
        <f t="shared" si="183"/>
        <v>0</v>
      </c>
      <c r="Y250" s="366">
        <f t="shared" si="183"/>
        <v>0</v>
      </c>
      <c r="Z250" s="366">
        <f t="shared" si="183"/>
        <v>0</v>
      </c>
      <c r="AA250" s="366">
        <f t="shared" si="183"/>
        <v>0</v>
      </c>
      <c r="AB250" s="366">
        <f t="shared" si="183"/>
        <v>0</v>
      </c>
      <c r="AC250" s="366">
        <f t="shared" si="183"/>
        <v>0</v>
      </c>
      <c r="AD250" s="366">
        <f t="shared" si="183"/>
        <v>0</v>
      </c>
      <c r="AE250" s="366">
        <f t="shared" si="183"/>
        <v>0</v>
      </c>
      <c r="AF250" s="366">
        <f t="shared" si="183"/>
        <v>0</v>
      </c>
      <c r="AG250" s="366">
        <f t="shared" si="183"/>
        <v>0</v>
      </c>
      <c r="AH250" s="366">
        <f t="shared" si="183"/>
        <v>0</v>
      </c>
      <c r="AI250" s="366">
        <f t="shared" si="183"/>
        <v>0</v>
      </c>
      <c r="AJ250" s="366">
        <f t="shared" si="183"/>
        <v>0</v>
      </c>
      <c r="AK250" s="366">
        <f t="shared" si="183"/>
        <v>0</v>
      </c>
      <c r="AL250" s="366">
        <f t="shared" si="183"/>
        <v>0</v>
      </c>
      <c r="AM250" s="366">
        <f t="shared" si="183"/>
        <v>0</v>
      </c>
      <c r="AN250" s="366">
        <f t="shared" si="183"/>
        <v>0</v>
      </c>
      <c r="AO250" s="366">
        <f t="shared" si="183"/>
        <v>0</v>
      </c>
      <c r="AP250" s="366">
        <f t="shared" si="183"/>
        <v>0</v>
      </c>
      <c r="AQ250" s="366">
        <f t="shared" si="183"/>
        <v>0</v>
      </c>
      <c r="AR250" s="366">
        <f t="shared" si="183"/>
        <v>0</v>
      </c>
      <c r="AS250" s="366">
        <f t="shared" si="183"/>
        <v>0</v>
      </c>
      <c r="AT250" s="366">
        <f t="shared" si="183"/>
        <v>0</v>
      </c>
      <c r="AU250" s="366">
        <f t="shared" si="183"/>
        <v>0</v>
      </c>
      <c r="AV250" s="366">
        <f t="shared" si="183"/>
        <v>0</v>
      </c>
      <c r="AW250" s="366">
        <f t="shared" si="183"/>
        <v>0</v>
      </c>
      <c r="AX250" s="366">
        <f t="shared" si="183"/>
        <v>0</v>
      </c>
      <c r="AY250" s="366">
        <f t="shared" si="183"/>
        <v>0</v>
      </c>
      <c r="AZ250" s="366">
        <f t="shared" si="183"/>
        <v>0</v>
      </c>
      <c r="BA250" s="385">
        <f t="shared" si="183"/>
        <v>0</v>
      </c>
    </row>
    <row r="251" s="309" customFormat="1" spans="2:53">
      <c r="B251" s="360"/>
      <c r="C251" s="370" t="s">
        <v>752</v>
      </c>
      <c r="D251" s="371">
        <f>SUM(F251:BA251)</f>
        <v>658368.472772724</v>
      </c>
      <c r="E251" s="367" t="s">
        <v>130</v>
      </c>
      <c r="F251" s="371">
        <f>SUM(F252:F255)</f>
        <v>0</v>
      </c>
      <c r="G251" s="371">
        <f t="shared" ref="G251:BA251" si="184">SUM(G252:G255)</f>
        <v>0</v>
      </c>
      <c r="H251" s="371">
        <f t="shared" si="184"/>
        <v>0</v>
      </c>
      <c r="I251" s="371">
        <f t="shared" si="184"/>
        <v>0</v>
      </c>
      <c r="J251" s="371">
        <f t="shared" si="184"/>
        <v>0</v>
      </c>
      <c r="K251" s="371">
        <f t="shared" si="184"/>
        <v>0</v>
      </c>
      <c r="L251" s="371">
        <f t="shared" si="184"/>
        <v>0</v>
      </c>
      <c r="M251" s="371">
        <f t="shared" si="184"/>
        <v>9459.31713753914</v>
      </c>
      <c r="N251" s="371">
        <f t="shared" si="184"/>
        <v>22702.3611300939</v>
      </c>
      <c r="O251" s="371">
        <f t="shared" si="184"/>
        <v>22702.3611300939</v>
      </c>
      <c r="P251" s="371">
        <f t="shared" si="184"/>
        <v>22702.3611300939</v>
      </c>
      <c r="Q251" s="371">
        <f t="shared" si="184"/>
        <v>22702.3611300939</v>
      </c>
      <c r="R251" s="371">
        <f t="shared" si="184"/>
        <v>22702.3611300939</v>
      </c>
      <c r="S251" s="371">
        <f t="shared" si="184"/>
        <v>22702.3611300939</v>
      </c>
      <c r="T251" s="371">
        <f t="shared" si="184"/>
        <v>22702.3611300939</v>
      </c>
      <c r="U251" s="371">
        <f t="shared" si="184"/>
        <v>22702.3611300939</v>
      </c>
      <c r="V251" s="371">
        <f t="shared" si="184"/>
        <v>22702.3611300939</v>
      </c>
      <c r="W251" s="371">
        <f t="shared" si="184"/>
        <v>22702.3611300939</v>
      </c>
      <c r="X251" s="371">
        <f t="shared" si="184"/>
        <v>22702.3611300939</v>
      </c>
      <c r="Y251" s="371">
        <f t="shared" si="184"/>
        <v>22702.3611300939</v>
      </c>
      <c r="Z251" s="371">
        <f t="shared" si="184"/>
        <v>22702.3611300939</v>
      </c>
      <c r="AA251" s="371">
        <f t="shared" si="184"/>
        <v>22702.3611300939</v>
      </c>
      <c r="AB251" s="371">
        <f t="shared" si="184"/>
        <v>22702.3611300939</v>
      </c>
      <c r="AC251" s="371">
        <f t="shared" si="184"/>
        <v>22702.3611300939</v>
      </c>
      <c r="AD251" s="371">
        <f t="shared" si="184"/>
        <v>22702.3611300939</v>
      </c>
      <c r="AE251" s="371">
        <f t="shared" si="184"/>
        <v>22702.3611300939</v>
      </c>
      <c r="AF251" s="371">
        <f t="shared" si="184"/>
        <v>22702.3611300939</v>
      </c>
      <c r="AG251" s="371">
        <f t="shared" si="184"/>
        <v>22702.3611300939</v>
      </c>
      <c r="AH251" s="371">
        <f t="shared" si="184"/>
        <v>22702.3611300939</v>
      </c>
      <c r="AI251" s="371">
        <f t="shared" si="184"/>
        <v>22702.3611300939</v>
      </c>
      <c r="AJ251" s="371">
        <f t="shared" si="184"/>
        <v>22702.3611300939</v>
      </c>
      <c r="AK251" s="371">
        <f t="shared" si="184"/>
        <v>22702.3611300939</v>
      </c>
      <c r="AL251" s="371">
        <f t="shared" si="184"/>
        <v>22702.3611300939</v>
      </c>
      <c r="AM251" s="371">
        <f t="shared" si="184"/>
        <v>22702.3611300939</v>
      </c>
      <c r="AN251" s="371">
        <f t="shared" si="184"/>
        <v>22702.3611300939</v>
      </c>
      <c r="AO251" s="371">
        <f t="shared" si="184"/>
        <v>22702.3611300939</v>
      </c>
      <c r="AP251" s="371">
        <f t="shared" si="184"/>
        <v>13243.0439925548</v>
      </c>
      <c r="AQ251" s="371">
        <f t="shared" si="184"/>
        <v>0</v>
      </c>
      <c r="AR251" s="371">
        <f t="shared" si="184"/>
        <v>0</v>
      </c>
      <c r="AS251" s="371">
        <f t="shared" si="184"/>
        <v>0</v>
      </c>
      <c r="AT251" s="371">
        <f t="shared" si="184"/>
        <v>0</v>
      </c>
      <c r="AU251" s="371">
        <f t="shared" si="184"/>
        <v>0</v>
      </c>
      <c r="AV251" s="371">
        <f t="shared" si="184"/>
        <v>0</v>
      </c>
      <c r="AW251" s="371">
        <f t="shared" si="184"/>
        <v>0</v>
      </c>
      <c r="AX251" s="371">
        <f t="shared" si="184"/>
        <v>0</v>
      </c>
      <c r="AY251" s="371">
        <f t="shared" si="184"/>
        <v>0</v>
      </c>
      <c r="AZ251" s="371">
        <f t="shared" si="184"/>
        <v>0</v>
      </c>
      <c r="BA251" s="386">
        <f t="shared" si="184"/>
        <v>0</v>
      </c>
    </row>
    <row r="252" s="105" customFormat="1" spans="2:53">
      <c r="B252" s="360"/>
      <c r="C252" s="374" t="s">
        <v>471</v>
      </c>
      <c r="D252" s="375">
        <f>SUM(F252:BA252)</f>
        <v>0</v>
      </c>
      <c r="E252" s="266" t="s">
        <v>130</v>
      </c>
      <c r="F252" s="368">
        <f>(参数输入表!$I$214-参数输入表!$I$221-参数输入表!$I$625-参数输入表!$I$630-参数输入表!$I$636)*(1-参数输入表!$I$623)*参数输入表!$I$36*时间序列!C22/(参数输入表!$I$622*12)</f>
        <v>0</v>
      </c>
      <c r="G252" s="368">
        <f>(参数输入表!$I$214-参数输入表!$I$221-参数输入表!$I$625-参数输入表!$I$630-参数输入表!$I$636)*(1-参数输入表!$I$623)*参数输入表!$I$36*时间序列!D22/(参数输入表!$I$622*12)</f>
        <v>0</v>
      </c>
      <c r="H252" s="368">
        <f>(参数输入表!$I$214-参数输入表!$I$221-参数输入表!$I$625-参数输入表!$I$630-参数输入表!$I$636)*(1-参数输入表!$I$623)*参数输入表!$I$36*时间序列!E22/(参数输入表!$I$622*12)</f>
        <v>0</v>
      </c>
      <c r="I252" s="368">
        <f>(参数输入表!$I$214-参数输入表!$I$221-参数输入表!$I$625-参数输入表!$I$630-参数输入表!$I$636)*(1-参数输入表!$I$623)*参数输入表!$I$36*时间序列!F22/(参数输入表!$I$622*12)</f>
        <v>0</v>
      </c>
      <c r="J252" s="368">
        <f>(参数输入表!$I$214-参数输入表!$I$221-参数输入表!$I$625-参数输入表!$I$630-参数输入表!$I$636)*(1-参数输入表!$I$623)*参数输入表!$I$36*时间序列!G22/(参数输入表!$I$622*12)</f>
        <v>0</v>
      </c>
      <c r="K252" s="368">
        <f>(参数输入表!$I$214-参数输入表!$I$221-参数输入表!$I$625-参数输入表!$I$630-参数输入表!$I$636)*(1-参数输入表!$I$623)*参数输入表!$I$36*时间序列!H22/(参数输入表!$I$622*12)</f>
        <v>0</v>
      </c>
      <c r="L252" s="368">
        <f>(参数输入表!$I$214-参数输入表!$I$221-参数输入表!$I$625-参数输入表!$I$630-参数输入表!$I$636)*(1-参数输入表!$I$623)*参数输入表!$I$36*时间序列!I22/(参数输入表!$I$622*12)</f>
        <v>0</v>
      </c>
      <c r="M252" s="368">
        <f>(参数输入表!$I$214-参数输入表!$I$221-参数输入表!$I$625-参数输入表!$I$630-参数输入表!$I$636)*(1-参数输入表!$I$623)*参数输入表!$I$36*时间序列!J22/(参数输入表!$I$622*12)</f>
        <v>0</v>
      </c>
      <c r="N252" s="368">
        <f>(参数输入表!$I$214-参数输入表!$I$221-参数输入表!$I$625-参数输入表!$I$630-参数输入表!$I$636)*(1-参数输入表!$I$623)*参数输入表!$I$36*时间序列!K22/(参数输入表!$I$622*12)</f>
        <v>0</v>
      </c>
      <c r="O252" s="368">
        <f>(参数输入表!$I$214-参数输入表!$I$221-参数输入表!$I$625-参数输入表!$I$630-参数输入表!$I$636)*(1-参数输入表!$I$623)*参数输入表!$I$36*时间序列!L22/(参数输入表!$I$622*12)</f>
        <v>0</v>
      </c>
      <c r="P252" s="368">
        <f>(参数输入表!$I$214-参数输入表!$I$221-参数输入表!$I$625-参数输入表!$I$630-参数输入表!$I$636)*(1-参数输入表!$I$623)*参数输入表!$I$36*时间序列!M22/(参数输入表!$I$622*12)</f>
        <v>0</v>
      </c>
      <c r="Q252" s="368">
        <f>(参数输入表!$I$214-参数输入表!$I$221-参数输入表!$I$625-参数输入表!$I$630-参数输入表!$I$636)*(1-参数输入表!$I$623)*参数输入表!$I$36*时间序列!N22/(参数输入表!$I$622*12)</f>
        <v>0</v>
      </c>
      <c r="R252" s="368">
        <f>(参数输入表!$I$214-参数输入表!$I$221-参数输入表!$I$625-参数输入表!$I$630-参数输入表!$I$636)*(1-参数输入表!$I$623)*参数输入表!$I$36*时间序列!O22/(参数输入表!$I$622*12)</f>
        <v>0</v>
      </c>
      <c r="S252" s="368">
        <f>(参数输入表!$I$214-参数输入表!$I$221-参数输入表!$I$625-参数输入表!$I$630-参数输入表!$I$636)*(1-参数输入表!$I$623)*参数输入表!$I$36*时间序列!P22/(参数输入表!$I$622*12)</f>
        <v>0</v>
      </c>
      <c r="T252" s="368">
        <f>(参数输入表!$I$214-参数输入表!$I$221-参数输入表!$I$625-参数输入表!$I$630-参数输入表!$I$636)*(1-参数输入表!$I$623)*参数输入表!$I$36*时间序列!Q22/(参数输入表!$I$622*12)</f>
        <v>0</v>
      </c>
      <c r="U252" s="368">
        <f>(参数输入表!$I$214-参数输入表!$I$221-参数输入表!$I$625-参数输入表!$I$630-参数输入表!$I$636)*(1-参数输入表!$I$623)*参数输入表!$I$36*时间序列!R22/(参数输入表!$I$622*12)</f>
        <v>0</v>
      </c>
      <c r="V252" s="368">
        <f>(参数输入表!$I$214-参数输入表!$I$221-参数输入表!$I$625-参数输入表!$I$630-参数输入表!$I$636)*(1-参数输入表!$I$623)*参数输入表!$I$36*时间序列!S22/(参数输入表!$I$622*12)</f>
        <v>0</v>
      </c>
      <c r="W252" s="368">
        <f>(参数输入表!$I$214-参数输入表!$I$221-参数输入表!$I$625-参数输入表!$I$630-参数输入表!$I$636)*(1-参数输入表!$I$623)*参数输入表!$I$36*时间序列!T22/(参数输入表!$I$622*12)</f>
        <v>0</v>
      </c>
      <c r="X252" s="368">
        <f>(参数输入表!$I$214-参数输入表!$I$221-参数输入表!$I$625-参数输入表!$I$630-参数输入表!$I$636)*(1-参数输入表!$I$623)*参数输入表!$I$36*时间序列!U22/(参数输入表!$I$622*12)</f>
        <v>0</v>
      </c>
      <c r="Y252" s="368">
        <f>(参数输入表!$I$214-参数输入表!$I$221-参数输入表!$I$625-参数输入表!$I$630-参数输入表!$I$636)*(1-参数输入表!$I$623)*参数输入表!$I$36*时间序列!V22/(参数输入表!$I$622*12)</f>
        <v>0</v>
      </c>
      <c r="Z252" s="368">
        <f>(参数输入表!$I$214-参数输入表!$I$221-参数输入表!$I$625-参数输入表!$I$630-参数输入表!$I$636)*(1-参数输入表!$I$623)*参数输入表!$I$36*时间序列!W22/(参数输入表!$I$622*12)</f>
        <v>0</v>
      </c>
      <c r="AA252" s="368">
        <f>(参数输入表!$I$214-参数输入表!$I$221-参数输入表!$I$625-参数输入表!$I$630-参数输入表!$I$636)*(1-参数输入表!$I$623)*参数输入表!$I$36*时间序列!X22/(参数输入表!$I$622*12)</f>
        <v>0</v>
      </c>
      <c r="AB252" s="368">
        <f>(参数输入表!$I$214-参数输入表!$I$221-参数输入表!$I$625-参数输入表!$I$630-参数输入表!$I$636)*(1-参数输入表!$I$623)*参数输入表!$I$36*时间序列!Y22/(参数输入表!$I$622*12)</f>
        <v>0</v>
      </c>
      <c r="AC252" s="368">
        <f>(参数输入表!$I$214-参数输入表!$I$221-参数输入表!$I$625-参数输入表!$I$630-参数输入表!$I$636)*(1-参数输入表!$I$623)*参数输入表!$I$36*时间序列!Z22/(参数输入表!$I$622*12)</f>
        <v>0</v>
      </c>
      <c r="AD252" s="368">
        <f>(参数输入表!$I$214-参数输入表!$I$221-参数输入表!$I$625-参数输入表!$I$630-参数输入表!$I$636)*(1-参数输入表!$I$623)*参数输入表!$I$36*时间序列!AA22/(参数输入表!$I$622*12)</f>
        <v>0</v>
      </c>
      <c r="AE252" s="368">
        <f>(参数输入表!$I$214-参数输入表!$I$221-参数输入表!$I$625-参数输入表!$I$630-参数输入表!$I$636)*(1-参数输入表!$I$623)*参数输入表!$I$36*时间序列!AB22/(参数输入表!$I$622*12)</f>
        <v>0</v>
      </c>
      <c r="AF252" s="368">
        <f>(参数输入表!$I$214-参数输入表!$I$221-参数输入表!$I$625-参数输入表!$I$630-参数输入表!$I$636)*(1-参数输入表!$I$623)*参数输入表!$I$36*时间序列!AC22/(参数输入表!$I$622*12)</f>
        <v>0</v>
      </c>
      <c r="AG252" s="368">
        <f>(参数输入表!$I$214-参数输入表!$I$221-参数输入表!$I$625-参数输入表!$I$630-参数输入表!$I$636)*(1-参数输入表!$I$623)*参数输入表!$I$36*时间序列!AD22/(参数输入表!$I$622*12)</f>
        <v>0</v>
      </c>
      <c r="AH252" s="368">
        <f>(参数输入表!$I$214-参数输入表!$I$221-参数输入表!$I$625-参数输入表!$I$630-参数输入表!$I$636)*(1-参数输入表!$I$623)*参数输入表!$I$36*时间序列!AE22/(参数输入表!$I$622*12)</f>
        <v>0</v>
      </c>
      <c r="AI252" s="368">
        <f>(参数输入表!$I$214-参数输入表!$I$221-参数输入表!$I$625-参数输入表!$I$630-参数输入表!$I$636)*(1-参数输入表!$I$623)*参数输入表!$I$36*时间序列!AF22/(参数输入表!$I$622*12)</f>
        <v>0</v>
      </c>
      <c r="AJ252" s="368">
        <f>(参数输入表!$I$214-参数输入表!$I$221-参数输入表!$I$625-参数输入表!$I$630-参数输入表!$I$636)*(1-参数输入表!$I$623)*参数输入表!$I$36*时间序列!AG22/(参数输入表!$I$622*12)</f>
        <v>0</v>
      </c>
      <c r="AK252" s="368">
        <f>(参数输入表!$I$214-参数输入表!$I$221-参数输入表!$I$625-参数输入表!$I$630-参数输入表!$I$636)*(1-参数输入表!$I$623)*参数输入表!$I$36*时间序列!AH22/(参数输入表!$I$622*12)</f>
        <v>0</v>
      </c>
      <c r="AL252" s="368">
        <f>(参数输入表!$I$214-参数输入表!$I$221-参数输入表!$I$625-参数输入表!$I$630-参数输入表!$I$636)*(1-参数输入表!$I$623)*参数输入表!$I$36*时间序列!AI22/(参数输入表!$I$622*12)</f>
        <v>0</v>
      </c>
      <c r="AM252" s="368">
        <f>(参数输入表!$I$214-参数输入表!$I$221-参数输入表!$I$625-参数输入表!$I$630-参数输入表!$I$636)*(1-参数输入表!$I$623)*参数输入表!$I$36*时间序列!AJ22/(参数输入表!$I$622*12)</f>
        <v>0</v>
      </c>
      <c r="AN252" s="368">
        <f>(参数输入表!$I$214-参数输入表!$I$221-参数输入表!$I$625-参数输入表!$I$630-参数输入表!$I$636)*(1-参数输入表!$I$623)*参数输入表!$I$36*时间序列!AK22/(参数输入表!$I$622*12)</f>
        <v>0</v>
      </c>
      <c r="AO252" s="368">
        <f>(参数输入表!$I$214-参数输入表!$I$221-参数输入表!$I$625-参数输入表!$I$630-参数输入表!$I$636)*(1-参数输入表!$I$623)*参数输入表!$I$36*时间序列!AL22/(参数输入表!$I$622*12)</f>
        <v>0</v>
      </c>
      <c r="AP252" s="368">
        <f>(参数输入表!$I$214-参数输入表!$I$221-参数输入表!$I$625-参数输入表!$I$630-参数输入表!$I$636)*(1-参数输入表!$I$623)*参数输入表!$I$36*时间序列!AM22/(参数输入表!$I$622*12)</f>
        <v>0</v>
      </c>
      <c r="AQ252" s="368">
        <f>(参数输入表!$I$214-参数输入表!$I$221-参数输入表!$I$625-参数输入表!$I$630-参数输入表!$I$636)*(1-参数输入表!$I$623)*参数输入表!$I$36*时间序列!AN22/(参数输入表!$I$622*12)</f>
        <v>0</v>
      </c>
      <c r="AR252" s="368">
        <f>(参数输入表!$I$214-参数输入表!$I$221-参数输入表!$I$625-参数输入表!$I$630-参数输入表!$I$636)*(1-参数输入表!$I$623)*参数输入表!$I$36*时间序列!AO22/(参数输入表!$I$622*12)</f>
        <v>0</v>
      </c>
      <c r="AS252" s="368">
        <f>(参数输入表!$I$214-参数输入表!$I$221-参数输入表!$I$625-参数输入表!$I$630-参数输入表!$I$636)*(1-参数输入表!$I$623)*参数输入表!$I$36*时间序列!AP22/(参数输入表!$I$622*12)</f>
        <v>0</v>
      </c>
      <c r="AT252" s="368">
        <f>(参数输入表!$I$214-参数输入表!$I$221-参数输入表!$I$625-参数输入表!$I$630-参数输入表!$I$636)*(1-参数输入表!$I$623)*参数输入表!$I$36*时间序列!AQ22/(参数输入表!$I$622*12)</f>
        <v>0</v>
      </c>
      <c r="AU252" s="368">
        <f>(参数输入表!$I$214-参数输入表!$I$221-参数输入表!$I$625-参数输入表!$I$630-参数输入表!$I$636)*(1-参数输入表!$I$623)*参数输入表!$I$36*时间序列!AR22/(参数输入表!$I$622*12)</f>
        <v>0</v>
      </c>
      <c r="AV252" s="368">
        <f>(参数输入表!$I$214-参数输入表!$I$221-参数输入表!$I$625-参数输入表!$I$630-参数输入表!$I$636)*(1-参数输入表!$I$623)*参数输入表!$I$36*时间序列!AS22/(参数输入表!$I$622*12)</f>
        <v>0</v>
      </c>
      <c r="AW252" s="368">
        <f>(参数输入表!$I$214-参数输入表!$I$221-参数输入表!$I$625-参数输入表!$I$630-参数输入表!$I$636)*(1-参数输入表!$I$623)*参数输入表!$I$36*时间序列!AT22/(参数输入表!$I$622*12)</f>
        <v>0</v>
      </c>
      <c r="AX252" s="368">
        <f>(参数输入表!$I$214-参数输入表!$I$221-参数输入表!$I$625-参数输入表!$I$630-参数输入表!$I$636)*(1-参数输入表!$I$623)*参数输入表!$I$36*时间序列!AU22/(参数输入表!$I$622*12)</f>
        <v>0</v>
      </c>
      <c r="AY252" s="368">
        <f>(参数输入表!$I$214-参数输入表!$I$221-参数输入表!$I$625-参数输入表!$I$630-参数输入表!$I$636)*(1-参数输入表!$I$623)*参数输入表!$I$36*时间序列!AV22/(参数输入表!$I$622*12)</f>
        <v>0</v>
      </c>
      <c r="AZ252" s="368">
        <f>(参数输入表!$I$214-参数输入表!$I$221-参数输入表!$I$625-参数输入表!$I$630-参数输入表!$I$636)*(1-参数输入表!$I$623)*参数输入表!$I$36*时间序列!AW22/(参数输入表!$I$622*12)</f>
        <v>0</v>
      </c>
      <c r="BA252" s="369">
        <f>(参数输入表!$I$214-参数输入表!$I$221-参数输入表!$I$625-参数输入表!$I$630-参数输入表!$I$636)*(1-参数输入表!$I$623)*参数输入表!$I$36*时间序列!AX22/(参数输入表!$I$622*12)</f>
        <v>0</v>
      </c>
    </row>
    <row r="253" s="105" customFormat="1" spans="2:53">
      <c r="B253" s="360"/>
      <c r="C253" s="374" t="s">
        <v>472</v>
      </c>
      <c r="D253" s="375">
        <f>SUM(F253:BA253)</f>
        <v>0</v>
      </c>
      <c r="E253" s="266" t="s">
        <v>130</v>
      </c>
      <c r="F253" s="368">
        <f>(参数输入表!$I$214-参数输入表!$I$221-参数输入表!$I$625-参数输入表!$I$630-参数输入表!$I$636)*(1-参数输入表!$I$623)*参数输入表!$I$37*时间序列!C50/(参数输入表!$I$622*12)</f>
        <v>0</v>
      </c>
      <c r="G253" s="368">
        <f>(参数输入表!$I$214-参数输入表!$I$221-参数输入表!$I$625-参数输入表!$I$630-参数输入表!$I$636)*(1-参数输入表!$I$623)*参数输入表!$I$37*时间序列!D50/(参数输入表!$I$622*12)</f>
        <v>0</v>
      </c>
      <c r="H253" s="368">
        <f>(参数输入表!$I$214-参数输入表!$I$221-参数输入表!$I$625-参数输入表!$I$630-参数输入表!$I$636)*(1-参数输入表!$I$623)*参数输入表!$I$37*时间序列!E50/(参数输入表!$I$622*12)</f>
        <v>0</v>
      </c>
      <c r="I253" s="368">
        <f>(参数输入表!$I$214-参数输入表!$I$221-参数输入表!$I$625-参数输入表!$I$630-参数输入表!$I$636)*(1-参数输入表!$I$623)*参数输入表!$I$37*时间序列!F50/(参数输入表!$I$622*12)</f>
        <v>0</v>
      </c>
      <c r="J253" s="368">
        <f>(参数输入表!$I$214-参数输入表!$I$221-参数输入表!$I$625-参数输入表!$I$630-参数输入表!$I$636)*(1-参数输入表!$I$623)*参数输入表!$I$37*时间序列!G50/(参数输入表!$I$622*12)</f>
        <v>0</v>
      </c>
      <c r="K253" s="368">
        <f>(参数输入表!$I$214-参数输入表!$I$221-参数输入表!$I$625-参数输入表!$I$630-参数输入表!$I$636)*(1-参数输入表!$I$623)*参数输入表!$I$37*时间序列!H50/(参数输入表!$I$622*12)</f>
        <v>0</v>
      </c>
      <c r="L253" s="368">
        <f>(参数输入表!$I$214-参数输入表!$I$221-参数输入表!$I$625-参数输入表!$I$630-参数输入表!$I$636)*(1-参数输入表!$I$623)*参数输入表!$I$37*时间序列!I50/(参数输入表!$I$622*12)</f>
        <v>0</v>
      </c>
      <c r="M253" s="368">
        <f>(参数输入表!$I$214-参数输入表!$I$221-参数输入表!$I$625-参数输入表!$I$630-参数输入表!$I$636)*(1-参数输入表!$I$623)*参数输入表!$I$37*时间序列!J50/(参数输入表!$I$622*12)</f>
        <v>0</v>
      </c>
      <c r="N253" s="368">
        <f>(参数输入表!$I$214-参数输入表!$I$221-参数输入表!$I$625-参数输入表!$I$630-参数输入表!$I$636)*(1-参数输入表!$I$623)*参数输入表!$I$37*时间序列!K50/(参数输入表!$I$622*12)</f>
        <v>0</v>
      </c>
      <c r="O253" s="368">
        <f>(参数输入表!$I$214-参数输入表!$I$221-参数输入表!$I$625-参数输入表!$I$630-参数输入表!$I$636)*(1-参数输入表!$I$623)*参数输入表!$I$37*时间序列!L50/(参数输入表!$I$622*12)</f>
        <v>0</v>
      </c>
      <c r="P253" s="368">
        <f>(参数输入表!$I$214-参数输入表!$I$221-参数输入表!$I$625-参数输入表!$I$630-参数输入表!$I$636)*(1-参数输入表!$I$623)*参数输入表!$I$37*时间序列!M50/(参数输入表!$I$622*12)</f>
        <v>0</v>
      </c>
      <c r="Q253" s="368">
        <f>(参数输入表!$I$214-参数输入表!$I$221-参数输入表!$I$625-参数输入表!$I$630-参数输入表!$I$636)*(1-参数输入表!$I$623)*参数输入表!$I$37*时间序列!N50/(参数输入表!$I$622*12)</f>
        <v>0</v>
      </c>
      <c r="R253" s="368">
        <f>(参数输入表!$I$214-参数输入表!$I$221-参数输入表!$I$625-参数输入表!$I$630-参数输入表!$I$636)*(1-参数输入表!$I$623)*参数输入表!$I$37*时间序列!O50/(参数输入表!$I$622*12)</f>
        <v>0</v>
      </c>
      <c r="S253" s="368">
        <f>(参数输入表!$I$214-参数输入表!$I$221-参数输入表!$I$625-参数输入表!$I$630-参数输入表!$I$636)*(1-参数输入表!$I$623)*参数输入表!$I$37*时间序列!P50/(参数输入表!$I$622*12)</f>
        <v>0</v>
      </c>
      <c r="T253" s="368">
        <f>(参数输入表!$I$214-参数输入表!$I$221-参数输入表!$I$625-参数输入表!$I$630-参数输入表!$I$636)*(1-参数输入表!$I$623)*参数输入表!$I$37*时间序列!Q50/(参数输入表!$I$622*12)</f>
        <v>0</v>
      </c>
      <c r="U253" s="368">
        <f>(参数输入表!$I$214-参数输入表!$I$221-参数输入表!$I$625-参数输入表!$I$630-参数输入表!$I$636)*(1-参数输入表!$I$623)*参数输入表!$I$37*时间序列!R50/(参数输入表!$I$622*12)</f>
        <v>0</v>
      </c>
      <c r="V253" s="368">
        <f>(参数输入表!$I$214-参数输入表!$I$221-参数输入表!$I$625-参数输入表!$I$630-参数输入表!$I$636)*(1-参数输入表!$I$623)*参数输入表!$I$37*时间序列!S50/(参数输入表!$I$622*12)</f>
        <v>0</v>
      </c>
      <c r="W253" s="368">
        <f>(参数输入表!$I$214-参数输入表!$I$221-参数输入表!$I$625-参数输入表!$I$630-参数输入表!$I$636)*(1-参数输入表!$I$623)*参数输入表!$I$37*时间序列!T50/(参数输入表!$I$622*12)</f>
        <v>0</v>
      </c>
      <c r="X253" s="368">
        <f>(参数输入表!$I$214-参数输入表!$I$221-参数输入表!$I$625-参数输入表!$I$630-参数输入表!$I$636)*(1-参数输入表!$I$623)*参数输入表!$I$37*时间序列!U50/(参数输入表!$I$622*12)</f>
        <v>0</v>
      </c>
      <c r="Y253" s="368">
        <f>(参数输入表!$I$214-参数输入表!$I$221-参数输入表!$I$625-参数输入表!$I$630-参数输入表!$I$636)*(1-参数输入表!$I$623)*参数输入表!$I$37*时间序列!V50/(参数输入表!$I$622*12)</f>
        <v>0</v>
      </c>
      <c r="Z253" s="368">
        <f>(参数输入表!$I$214-参数输入表!$I$221-参数输入表!$I$625-参数输入表!$I$630-参数输入表!$I$636)*(1-参数输入表!$I$623)*参数输入表!$I$37*时间序列!W50/(参数输入表!$I$622*12)</f>
        <v>0</v>
      </c>
      <c r="AA253" s="368">
        <f>(参数输入表!$I$214-参数输入表!$I$221-参数输入表!$I$625-参数输入表!$I$630-参数输入表!$I$636)*(1-参数输入表!$I$623)*参数输入表!$I$37*时间序列!X50/(参数输入表!$I$622*12)</f>
        <v>0</v>
      </c>
      <c r="AB253" s="368">
        <f>(参数输入表!$I$214-参数输入表!$I$221-参数输入表!$I$625-参数输入表!$I$630-参数输入表!$I$636)*(1-参数输入表!$I$623)*参数输入表!$I$37*时间序列!Y50/(参数输入表!$I$622*12)</f>
        <v>0</v>
      </c>
      <c r="AC253" s="368">
        <f>(参数输入表!$I$214-参数输入表!$I$221-参数输入表!$I$625-参数输入表!$I$630-参数输入表!$I$636)*(1-参数输入表!$I$623)*参数输入表!$I$37*时间序列!Z50/(参数输入表!$I$622*12)</f>
        <v>0</v>
      </c>
      <c r="AD253" s="368">
        <f>(参数输入表!$I$214-参数输入表!$I$221-参数输入表!$I$625-参数输入表!$I$630-参数输入表!$I$636)*(1-参数输入表!$I$623)*参数输入表!$I$37*时间序列!AA50/(参数输入表!$I$622*12)</f>
        <v>0</v>
      </c>
      <c r="AE253" s="368">
        <f>(参数输入表!$I$214-参数输入表!$I$221-参数输入表!$I$625-参数输入表!$I$630-参数输入表!$I$636)*(1-参数输入表!$I$623)*参数输入表!$I$37*时间序列!AB50/(参数输入表!$I$622*12)</f>
        <v>0</v>
      </c>
      <c r="AF253" s="368">
        <f>(参数输入表!$I$214-参数输入表!$I$221-参数输入表!$I$625-参数输入表!$I$630-参数输入表!$I$636)*(1-参数输入表!$I$623)*参数输入表!$I$37*时间序列!AC50/(参数输入表!$I$622*12)</f>
        <v>0</v>
      </c>
      <c r="AG253" s="368">
        <f>(参数输入表!$I$214-参数输入表!$I$221-参数输入表!$I$625-参数输入表!$I$630-参数输入表!$I$636)*(1-参数输入表!$I$623)*参数输入表!$I$37*时间序列!AD50/(参数输入表!$I$622*12)</f>
        <v>0</v>
      </c>
      <c r="AH253" s="368">
        <f>(参数输入表!$I$214-参数输入表!$I$221-参数输入表!$I$625-参数输入表!$I$630-参数输入表!$I$636)*(1-参数输入表!$I$623)*参数输入表!$I$37*时间序列!AE50/(参数输入表!$I$622*12)</f>
        <v>0</v>
      </c>
      <c r="AI253" s="368">
        <f>(参数输入表!$I$214-参数输入表!$I$221-参数输入表!$I$625-参数输入表!$I$630-参数输入表!$I$636)*(1-参数输入表!$I$623)*参数输入表!$I$37*时间序列!AF50/(参数输入表!$I$622*12)</f>
        <v>0</v>
      </c>
      <c r="AJ253" s="368">
        <f>(参数输入表!$I$214-参数输入表!$I$221-参数输入表!$I$625-参数输入表!$I$630-参数输入表!$I$636)*(1-参数输入表!$I$623)*参数输入表!$I$37*时间序列!AG50/(参数输入表!$I$622*12)</f>
        <v>0</v>
      </c>
      <c r="AK253" s="368">
        <f>(参数输入表!$I$214-参数输入表!$I$221-参数输入表!$I$625-参数输入表!$I$630-参数输入表!$I$636)*(1-参数输入表!$I$623)*参数输入表!$I$37*时间序列!AH50/(参数输入表!$I$622*12)</f>
        <v>0</v>
      </c>
      <c r="AL253" s="368">
        <f>(参数输入表!$I$214-参数输入表!$I$221-参数输入表!$I$625-参数输入表!$I$630-参数输入表!$I$636)*(1-参数输入表!$I$623)*参数输入表!$I$37*时间序列!AI50/(参数输入表!$I$622*12)</f>
        <v>0</v>
      </c>
      <c r="AM253" s="368">
        <f>(参数输入表!$I$214-参数输入表!$I$221-参数输入表!$I$625-参数输入表!$I$630-参数输入表!$I$636)*(1-参数输入表!$I$623)*参数输入表!$I$37*时间序列!AJ50/(参数输入表!$I$622*12)</f>
        <v>0</v>
      </c>
      <c r="AN253" s="368">
        <f>(参数输入表!$I$214-参数输入表!$I$221-参数输入表!$I$625-参数输入表!$I$630-参数输入表!$I$636)*(1-参数输入表!$I$623)*参数输入表!$I$37*时间序列!AK50/(参数输入表!$I$622*12)</f>
        <v>0</v>
      </c>
      <c r="AO253" s="368">
        <f>(参数输入表!$I$214-参数输入表!$I$221-参数输入表!$I$625-参数输入表!$I$630-参数输入表!$I$636)*(1-参数输入表!$I$623)*参数输入表!$I$37*时间序列!AL50/(参数输入表!$I$622*12)</f>
        <v>0</v>
      </c>
      <c r="AP253" s="368">
        <f>(参数输入表!$I$214-参数输入表!$I$221-参数输入表!$I$625-参数输入表!$I$630-参数输入表!$I$636)*(1-参数输入表!$I$623)*参数输入表!$I$37*时间序列!AM50/(参数输入表!$I$622*12)</f>
        <v>0</v>
      </c>
      <c r="AQ253" s="368">
        <f>(参数输入表!$I$214-参数输入表!$I$221-参数输入表!$I$625-参数输入表!$I$630-参数输入表!$I$636)*(1-参数输入表!$I$623)*参数输入表!$I$37*时间序列!AN50/(参数输入表!$I$622*12)</f>
        <v>0</v>
      </c>
      <c r="AR253" s="368">
        <f>(参数输入表!$I$214-参数输入表!$I$221-参数输入表!$I$625-参数输入表!$I$630-参数输入表!$I$636)*(1-参数输入表!$I$623)*参数输入表!$I$37*时间序列!AO50/(参数输入表!$I$622*12)</f>
        <v>0</v>
      </c>
      <c r="AS253" s="368">
        <f>(参数输入表!$I$214-参数输入表!$I$221-参数输入表!$I$625-参数输入表!$I$630-参数输入表!$I$636)*(1-参数输入表!$I$623)*参数输入表!$I$37*时间序列!AP50/(参数输入表!$I$622*12)</f>
        <v>0</v>
      </c>
      <c r="AT253" s="368">
        <f>(参数输入表!$I$214-参数输入表!$I$221-参数输入表!$I$625-参数输入表!$I$630-参数输入表!$I$636)*(1-参数输入表!$I$623)*参数输入表!$I$37*时间序列!AQ50/(参数输入表!$I$622*12)</f>
        <v>0</v>
      </c>
      <c r="AU253" s="368">
        <f>(参数输入表!$I$214-参数输入表!$I$221-参数输入表!$I$625-参数输入表!$I$630-参数输入表!$I$636)*(1-参数输入表!$I$623)*参数输入表!$I$37*时间序列!AR50/(参数输入表!$I$622*12)</f>
        <v>0</v>
      </c>
      <c r="AV253" s="368">
        <f>(参数输入表!$I$214-参数输入表!$I$221-参数输入表!$I$625-参数输入表!$I$630-参数输入表!$I$636)*(1-参数输入表!$I$623)*参数输入表!$I$37*时间序列!AS50/(参数输入表!$I$622*12)</f>
        <v>0</v>
      </c>
      <c r="AW253" s="368">
        <f>(参数输入表!$I$214-参数输入表!$I$221-参数输入表!$I$625-参数输入表!$I$630-参数输入表!$I$636)*(1-参数输入表!$I$623)*参数输入表!$I$37*时间序列!AT50/(参数输入表!$I$622*12)</f>
        <v>0</v>
      </c>
      <c r="AX253" s="368">
        <f>(参数输入表!$I$214-参数输入表!$I$221-参数输入表!$I$625-参数输入表!$I$630-参数输入表!$I$636)*(1-参数输入表!$I$623)*参数输入表!$I$37*时间序列!AU50/(参数输入表!$I$622*12)</f>
        <v>0</v>
      </c>
      <c r="AY253" s="368">
        <f>(参数输入表!$I$214-参数输入表!$I$221-参数输入表!$I$625-参数输入表!$I$630-参数输入表!$I$636)*(1-参数输入表!$I$623)*参数输入表!$I$37*时间序列!AV50/(参数输入表!$I$622*12)</f>
        <v>0</v>
      </c>
      <c r="AZ253" s="368">
        <f>(参数输入表!$I$214-参数输入表!$I$221-参数输入表!$I$625-参数输入表!$I$630-参数输入表!$I$636)*(1-参数输入表!$I$623)*参数输入表!$I$37*时间序列!AW50/(参数输入表!$I$622*12)</f>
        <v>0</v>
      </c>
      <c r="BA253" s="369">
        <f>(参数输入表!$I$214-参数输入表!$I$221-参数输入表!$I$625-参数输入表!$I$630-参数输入表!$I$636)*(1-参数输入表!$I$623)*参数输入表!$I$37*时间序列!AX50/(参数输入表!$I$622*12)</f>
        <v>0</v>
      </c>
    </row>
    <row r="254" s="105" customFormat="1" spans="2:53">
      <c r="B254" s="360"/>
      <c r="C254" s="374" t="s">
        <v>473</v>
      </c>
      <c r="D254" s="375">
        <f t="shared" ref="D254:D259" si="185">SUM(F254:BA254)</f>
        <v>0</v>
      </c>
      <c r="E254" s="266" t="s">
        <v>130</v>
      </c>
      <c r="F254" s="368">
        <f>(参数输入表!$I$214-参数输入表!$I$221-参数输入表!$I$625-参数输入表!$I$630-参数输入表!$I$636)*(1-参数输入表!$I$623)*参数输入表!$I$38*时间序列!C78/(参数输入表!$I$622*12)</f>
        <v>0</v>
      </c>
      <c r="G254" s="368">
        <f>(参数输入表!$I$214-参数输入表!$I$221-参数输入表!$I$625-参数输入表!$I$630-参数输入表!$I$636)*(1-参数输入表!$I$623)*参数输入表!$I$38*时间序列!D78/(参数输入表!$I$622*12)</f>
        <v>0</v>
      </c>
      <c r="H254" s="368">
        <f>(参数输入表!$I$214-参数输入表!$I$221-参数输入表!$I$625-参数输入表!$I$630-参数输入表!$I$636)*(1-参数输入表!$I$623)*参数输入表!$I$38*时间序列!E78/(参数输入表!$I$622*12)</f>
        <v>0</v>
      </c>
      <c r="I254" s="368">
        <f>(参数输入表!$I$214-参数输入表!$I$221-参数输入表!$I$625-参数输入表!$I$630-参数输入表!$I$636)*(1-参数输入表!$I$623)*参数输入表!$I$38*时间序列!F78/(参数输入表!$I$622*12)</f>
        <v>0</v>
      </c>
      <c r="J254" s="368">
        <f>(参数输入表!$I$214-参数输入表!$I$221-参数输入表!$I$625-参数输入表!$I$630-参数输入表!$I$636)*(1-参数输入表!$I$623)*参数输入表!$I$38*时间序列!G78/(参数输入表!$I$622*12)</f>
        <v>0</v>
      </c>
      <c r="K254" s="368">
        <f>(参数输入表!$I$214-参数输入表!$I$221-参数输入表!$I$625-参数输入表!$I$630-参数输入表!$I$636)*(1-参数输入表!$I$623)*参数输入表!$I$38*时间序列!H78/(参数输入表!$I$622*12)</f>
        <v>0</v>
      </c>
      <c r="L254" s="368">
        <f>(参数输入表!$I$214-参数输入表!$I$221-参数输入表!$I$625-参数输入表!$I$630-参数输入表!$I$636)*(1-参数输入表!$I$623)*参数输入表!$I$38*时间序列!I78/(参数输入表!$I$622*12)</f>
        <v>0</v>
      </c>
      <c r="M254" s="368">
        <f>(参数输入表!$I$214-参数输入表!$I$221-参数输入表!$I$625-参数输入表!$I$630-参数输入表!$I$636)*(1-参数输入表!$I$623)*参数输入表!$I$38*时间序列!J78/(参数输入表!$I$622*12)</f>
        <v>0</v>
      </c>
      <c r="N254" s="368">
        <f>(参数输入表!$I$214-参数输入表!$I$221-参数输入表!$I$625-参数输入表!$I$630-参数输入表!$I$636)*(1-参数输入表!$I$623)*参数输入表!$I$38*时间序列!K78/(参数输入表!$I$622*12)</f>
        <v>0</v>
      </c>
      <c r="O254" s="368">
        <f>(参数输入表!$I$214-参数输入表!$I$221-参数输入表!$I$625-参数输入表!$I$630-参数输入表!$I$636)*(1-参数输入表!$I$623)*参数输入表!$I$38*时间序列!L78/(参数输入表!$I$622*12)</f>
        <v>0</v>
      </c>
      <c r="P254" s="368">
        <f>(参数输入表!$I$214-参数输入表!$I$221-参数输入表!$I$625-参数输入表!$I$630-参数输入表!$I$636)*(1-参数输入表!$I$623)*参数输入表!$I$38*时间序列!M78/(参数输入表!$I$622*12)</f>
        <v>0</v>
      </c>
      <c r="Q254" s="368">
        <f>(参数输入表!$I$214-参数输入表!$I$221-参数输入表!$I$625-参数输入表!$I$630-参数输入表!$I$636)*(1-参数输入表!$I$623)*参数输入表!$I$38*时间序列!N78/(参数输入表!$I$622*12)</f>
        <v>0</v>
      </c>
      <c r="R254" s="368">
        <f>(参数输入表!$I$214-参数输入表!$I$221-参数输入表!$I$625-参数输入表!$I$630-参数输入表!$I$636)*(1-参数输入表!$I$623)*参数输入表!$I$38*时间序列!O78/(参数输入表!$I$622*12)</f>
        <v>0</v>
      </c>
      <c r="S254" s="368">
        <f>(参数输入表!$I$214-参数输入表!$I$221-参数输入表!$I$625-参数输入表!$I$630-参数输入表!$I$636)*(1-参数输入表!$I$623)*参数输入表!$I$38*时间序列!P78/(参数输入表!$I$622*12)</f>
        <v>0</v>
      </c>
      <c r="T254" s="368">
        <f>(参数输入表!$I$214-参数输入表!$I$221-参数输入表!$I$625-参数输入表!$I$630-参数输入表!$I$636)*(1-参数输入表!$I$623)*参数输入表!$I$38*时间序列!Q78/(参数输入表!$I$622*12)</f>
        <v>0</v>
      </c>
      <c r="U254" s="368">
        <f>(参数输入表!$I$214-参数输入表!$I$221-参数输入表!$I$625-参数输入表!$I$630-参数输入表!$I$636)*(1-参数输入表!$I$623)*参数输入表!$I$38*时间序列!R78/(参数输入表!$I$622*12)</f>
        <v>0</v>
      </c>
      <c r="V254" s="368">
        <f>(参数输入表!$I$214-参数输入表!$I$221-参数输入表!$I$625-参数输入表!$I$630-参数输入表!$I$636)*(1-参数输入表!$I$623)*参数输入表!$I$38*时间序列!S78/(参数输入表!$I$622*12)</f>
        <v>0</v>
      </c>
      <c r="W254" s="368">
        <f>(参数输入表!$I$214-参数输入表!$I$221-参数输入表!$I$625-参数输入表!$I$630-参数输入表!$I$636)*(1-参数输入表!$I$623)*参数输入表!$I$38*时间序列!T78/(参数输入表!$I$622*12)</f>
        <v>0</v>
      </c>
      <c r="X254" s="368">
        <f>(参数输入表!$I$214-参数输入表!$I$221-参数输入表!$I$625-参数输入表!$I$630-参数输入表!$I$636)*(1-参数输入表!$I$623)*参数输入表!$I$38*时间序列!U78/(参数输入表!$I$622*12)</f>
        <v>0</v>
      </c>
      <c r="Y254" s="368">
        <f>(参数输入表!$I$214-参数输入表!$I$221-参数输入表!$I$625-参数输入表!$I$630-参数输入表!$I$636)*(1-参数输入表!$I$623)*参数输入表!$I$38*时间序列!V78/(参数输入表!$I$622*12)</f>
        <v>0</v>
      </c>
      <c r="Z254" s="368">
        <f>(参数输入表!$I$214-参数输入表!$I$221-参数输入表!$I$625-参数输入表!$I$630-参数输入表!$I$636)*(1-参数输入表!$I$623)*参数输入表!$I$38*时间序列!W78/(参数输入表!$I$622*12)</f>
        <v>0</v>
      </c>
      <c r="AA254" s="368">
        <f>(参数输入表!$I$214-参数输入表!$I$221-参数输入表!$I$625-参数输入表!$I$630-参数输入表!$I$636)*(1-参数输入表!$I$623)*参数输入表!$I$38*时间序列!X78/(参数输入表!$I$622*12)</f>
        <v>0</v>
      </c>
      <c r="AB254" s="368">
        <f>(参数输入表!$I$214-参数输入表!$I$221-参数输入表!$I$625-参数输入表!$I$630-参数输入表!$I$636)*(1-参数输入表!$I$623)*参数输入表!$I$38*时间序列!Y78/(参数输入表!$I$622*12)</f>
        <v>0</v>
      </c>
      <c r="AC254" s="368">
        <f>(参数输入表!$I$214-参数输入表!$I$221-参数输入表!$I$625-参数输入表!$I$630-参数输入表!$I$636)*(1-参数输入表!$I$623)*参数输入表!$I$38*时间序列!Z78/(参数输入表!$I$622*12)</f>
        <v>0</v>
      </c>
      <c r="AD254" s="368">
        <f>(参数输入表!$I$214-参数输入表!$I$221-参数输入表!$I$625-参数输入表!$I$630-参数输入表!$I$636)*(1-参数输入表!$I$623)*参数输入表!$I$38*时间序列!AA78/(参数输入表!$I$622*12)</f>
        <v>0</v>
      </c>
      <c r="AE254" s="368">
        <f>(参数输入表!$I$214-参数输入表!$I$221-参数输入表!$I$625-参数输入表!$I$630-参数输入表!$I$636)*(1-参数输入表!$I$623)*参数输入表!$I$38*时间序列!AB78/(参数输入表!$I$622*12)</f>
        <v>0</v>
      </c>
      <c r="AF254" s="368">
        <f>(参数输入表!$I$214-参数输入表!$I$221-参数输入表!$I$625-参数输入表!$I$630-参数输入表!$I$636)*(1-参数输入表!$I$623)*参数输入表!$I$38*时间序列!AC78/(参数输入表!$I$622*12)</f>
        <v>0</v>
      </c>
      <c r="AG254" s="368">
        <f>(参数输入表!$I$214-参数输入表!$I$221-参数输入表!$I$625-参数输入表!$I$630-参数输入表!$I$636)*(1-参数输入表!$I$623)*参数输入表!$I$38*时间序列!AD78/(参数输入表!$I$622*12)</f>
        <v>0</v>
      </c>
      <c r="AH254" s="368">
        <f>(参数输入表!$I$214-参数输入表!$I$221-参数输入表!$I$625-参数输入表!$I$630-参数输入表!$I$636)*(1-参数输入表!$I$623)*参数输入表!$I$38*时间序列!AE78/(参数输入表!$I$622*12)</f>
        <v>0</v>
      </c>
      <c r="AI254" s="368">
        <f>(参数输入表!$I$214-参数输入表!$I$221-参数输入表!$I$625-参数输入表!$I$630-参数输入表!$I$636)*(1-参数输入表!$I$623)*参数输入表!$I$38*时间序列!AF78/(参数输入表!$I$622*12)</f>
        <v>0</v>
      </c>
      <c r="AJ254" s="368">
        <f>(参数输入表!$I$214-参数输入表!$I$221-参数输入表!$I$625-参数输入表!$I$630-参数输入表!$I$636)*(1-参数输入表!$I$623)*参数输入表!$I$38*时间序列!AG78/(参数输入表!$I$622*12)</f>
        <v>0</v>
      </c>
      <c r="AK254" s="368">
        <f>(参数输入表!$I$214-参数输入表!$I$221-参数输入表!$I$625-参数输入表!$I$630-参数输入表!$I$636)*(1-参数输入表!$I$623)*参数输入表!$I$38*时间序列!AH78/(参数输入表!$I$622*12)</f>
        <v>0</v>
      </c>
      <c r="AL254" s="368">
        <f>(参数输入表!$I$214-参数输入表!$I$221-参数输入表!$I$625-参数输入表!$I$630-参数输入表!$I$636)*(1-参数输入表!$I$623)*参数输入表!$I$38*时间序列!AI78/(参数输入表!$I$622*12)</f>
        <v>0</v>
      </c>
      <c r="AM254" s="368">
        <f>(参数输入表!$I$214-参数输入表!$I$221-参数输入表!$I$625-参数输入表!$I$630-参数输入表!$I$636)*(1-参数输入表!$I$623)*参数输入表!$I$38*时间序列!AJ78/(参数输入表!$I$622*12)</f>
        <v>0</v>
      </c>
      <c r="AN254" s="368">
        <f>(参数输入表!$I$214-参数输入表!$I$221-参数输入表!$I$625-参数输入表!$I$630-参数输入表!$I$636)*(1-参数输入表!$I$623)*参数输入表!$I$38*时间序列!AK78/(参数输入表!$I$622*12)</f>
        <v>0</v>
      </c>
      <c r="AO254" s="368">
        <f>(参数输入表!$I$214-参数输入表!$I$221-参数输入表!$I$625-参数输入表!$I$630-参数输入表!$I$636)*(1-参数输入表!$I$623)*参数输入表!$I$38*时间序列!AL78/(参数输入表!$I$622*12)</f>
        <v>0</v>
      </c>
      <c r="AP254" s="368">
        <f>(参数输入表!$I$214-参数输入表!$I$221-参数输入表!$I$625-参数输入表!$I$630-参数输入表!$I$636)*(1-参数输入表!$I$623)*参数输入表!$I$38*时间序列!AM78/(参数输入表!$I$622*12)</f>
        <v>0</v>
      </c>
      <c r="AQ254" s="368">
        <f>(参数输入表!$I$214-参数输入表!$I$221-参数输入表!$I$625-参数输入表!$I$630-参数输入表!$I$636)*(1-参数输入表!$I$623)*参数输入表!$I$38*时间序列!AN78/(参数输入表!$I$622*12)</f>
        <v>0</v>
      </c>
      <c r="AR254" s="368">
        <f>(参数输入表!$I$214-参数输入表!$I$221-参数输入表!$I$625-参数输入表!$I$630-参数输入表!$I$636)*(1-参数输入表!$I$623)*参数输入表!$I$38*时间序列!AO78/(参数输入表!$I$622*12)</f>
        <v>0</v>
      </c>
      <c r="AS254" s="368">
        <f>(参数输入表!$I$214-参数输入表!$I$221-参数输入表!$I$625-参数输入表!$I$630-参数输入表!$I$636)*(1-参数输入表!$I$623)*参数输入表!$I$38*时间序列!AP78/(参数输入表!$I$622*12)</f>
        <v>0</v>
      </c>
      <c r="AT254" s="368">
        <f>(参数输入表!$I$214-参数输入表!$I$221-参数输入表!$I$625-参数输入表!$I$630-参数输入表!$I$636)*(1-参数输入表!$I$623)*参数输入表!$I$38*时间序列!AQ78/(参数输入表!$I$622*12)</f>
        <v>0</v>
      </c>
      <c r="AU254" s="368">
        <f>(参数输入表!$I$214-参数输入表!$I$221-参数输入表!$I$625-参数输入表!$I$630-参数输入表!$I$636)*(1-参数输入表!$I$623)*参数输入表!$I$38*时间序列!AR78/(参数输入表!$I$622*12)</f>
        <v>0</v>
      </c>
      <c r="AV254" s="368">
        <f>(参数输入表!$I$214-参数输入表!$I$221-参数输入表!$I$625-参数输入表!$I$630-参数输入表!$I$636)*(1-参数输入表!$I$623)*参数输入表!$I$38*时间序列!AS78/(参数输入表!$I$622*12)</f>
        <v>0</v>
      </c>
      <c r="AW254" s="368">
        <f>(参数输入表!$I$214-参数输入表!$I$221-参数输入表!$I$625-参数输入表!$I$630-参数输入表!$I$636)*(1-参数输入表!$I$623)*参数输入表!$I$38*时间序列!AT78/(参数输入表!$I$622*12)</f>
        <v>0</v>
      </c>
      <c r="AX254" s="368">
        <f>(参数输入表!$I$214-参数输入表!$I$221-参数输入表!$I$625-参数输入表!$I$630-参数输入表!$I$636)*(1-参数输入表!$I$623)*参数输入表!$I$38*时间序列!AU78/(参数输入表!$I$622*12)</f>
        <v>0</v>
      </c>
      <c r="AY254" s="368">
        <f>(参数输入表!$I$214-参数输入表!$I$221-参数输入表!$I$625-参数输入表!$I$630-参数输入表!$I$636)*(1-参数输入表!$I$623)*参数输入表!$I$38*时间序列!AV78/(参数输入表!$I$622*12)</f>
        <v>0</v>
      </c>
      <c r="AZ254" s="368">
        <f>(参数输入表!$I$214-参数输入表!$I$221-参数输入表!$I$625-参数输入表!$I$630-参数输入表!$I$636)*(1-参数输入表!$I$623)*参数输入表!$I$38*时间序列!AW78/(参数输入表!$I$622*12)</f>
        <v>0</v>
      </c>
      <c r="BA254" s="369">
        <f>(参数输入表!$I$214-参数输入表!$I$221-参数输入表!$I$625-参数输入表!$I$630-参数输入表!$I$636)*(1-参数输入表!$I$623)*参数输入表!$I$38*时间序列!AX78/(参数输入表!$I$622*12)</f>
        <v>0</v>
      </c>
    </row>
    <row r="255" s="105" customFormat="1" spans="2:53">
      <c r="B255" s="360"/>
      <c r="C255" s="374" t="s">
        <v>474</v>
      </c>
      <c r="D255" s="375">
        <f t="shared" si="185"/>
        <v>658368.472772724</v>
      </c>
      <c r="E255" s="266" t="s">
        <v>130</v>
      </c>
      <c r="F255" s="368">
        <f>(参数输入表!$I$214-参数输入表!$I$221-参数输入表!$I$625-参数输入表!$I$630-参数输入表!$I$636)*(1-参数输入表!$I$623)*参数输入表!$I$39*时间序列!C106/(参数输入表!$I$622*12)</f>
        <v>0</v>
      </c>
      <c r="G255" s="368">
        <f>(参数输入表!$I$214-参数输入表!$I$221-参数输入表!$I$625-参数输入表!$I$630-参数输入表!$I$636)*(1-参数输入表!$I$623)*参数输入表!$I$39*时间序列!D106/(参数输入表!$I$622*12)</f>
        <v>0</v>
      </c>
      <c r="H255" s="368">
        <f>(参数输入表!$I$214-参数输入表!$I$221-参数输入表!$I$625-参数输入表!$I$630-参数输入表!$I$636)*(1-参数输入表!$I$623)*参数输入表!$I$39*时间序列!E106/(参数输入表!$I$622*12)</f>
        <v>0</v>
      </c>
      <c r="I255" s="368">
        <f>(参数输入表!$I$214-参数输入表!$I$221-参数输入表!$I$625-参数输入表!$I$630-参数输入表!$I$636)*(1-参数输入表!$I$623)*参数输入表!$I$39*时间序列!F106/(参数输入表!$I$622*12)</f>
        <v>0</v>
      </c>
      <c r="J255" s="368">
        <f>(参数输入表!$I$214-参数输入表!$I$221-参数输入表!$I$625-参数输入表!$I$630-参数输入表!$I$636)*(1-参数输入表!$I$623)*参数输入表!$I$39*时间序列!G106/(参数输入表!$I$622*12)</f>
        <v>0</v>
      </c>
      <c r="K255" s="368">
        <f>(参数输入表!$I$214-参数输入表!$I$221-参数输入表!$I$625-参数输入表!$I$630-参数输入表!$I$636)*(1-参数输入表!$I$623)*参数输入表!$I$39*时间序列!H106/(参数输入表!$I$622*12)</f>
        <v>0</v>
      </c>
      <c r="L255" s="368">
        <f>(参数输入表!$I$214-参数输入表!$I$221-参数输入表!$I$625-参数输入表!$I$630-参数输入表!$I$636)*(1-参数输入表!$I$623)*参数输入表!$I$39*时间序列!I106/(参数输入表!$I$622*12)</f>
        <v>0</v>
      </c>
      <c r="M255" s="368">
        <f>(参数输入表!$I$214-参数输入表!$I$221-参数输入表!$I$625-参数输入表!$I$630-参数输入表!$I$636)*(1-参数输入表!$I$623)*参数输入表!$I$39*时间序列!J106/(参数输入表!$I$622*12)</f>
        <v>9459.31713753914</v>
      </c>
      <c r="N255" s="368">
        <f>(参数输入表!$I$214-参数输入表!$I$221-参数输入表!$I$625-参数输入表!$I$630-参数输入表!$I$636)*(1-参数输入表!$I$623)*参数输入表!$I$39*时间序列!K106/(参数输入表!$I$622*12)</f>
        <v>22702.3611300939</v>
      </c>
      <c r="O255" s="368">
        <f>(参数输入表!$I$214-参数输入表!$I$221-参数输入表!$I$625-参数输入表!$I$630-参数输入表!$I$636)*(1-参数输入表!$I$623)*参数输入表!$I$39*时间序列!L106/(参数输入表!$I$622*12)</f>
        <v>22702.3611300939</v>
      </c>
      <c r="P255" s="368">
        <f>(参数输入表!$I$214-参数输入表!$I$221-参数输入表!$I$625-参数输入表!$I$630-参数输入表!$I$636)*(1-参数输入表!$I$623)*参数输入表!$I$39*时间序列!M106/(参数输入表!$I$622*12)</f>
        <v>22702.3611300939</v>
      </c>
      <c r="Q255" s="368">
        <f>(参数输入表!$I$214-参数输入表!$I$221-参数输入表!$I$625-参数输入表!$I$630-参数输入表!$I$636)*(1-参数输入表!$I$623)*参数输入表!$I$39*时间序列!N106/(参数输入表!$I$622*12)</f>
        <v>22702.3611300939</v>
      </c>
      <c r="R255" s="368">
        <f>(参数输入表!$I$214-参数输入表!$I$221-参数输入表!$I$625-参数输入表!$I$630-参数输入表!$I$636)*(1-参数输入表!$I$623)*参数输入表!$I$39*时间序列!O106/(参数输入表!$I$622*12)</f>
        <v>22702.3611300939</v>
      </c>
      <c r="S255" s="368">
        <f>(参数输入表!$I$214-参数输入表!$I$221-参数输入表!$I$625-参数输入表!$I$630-参数输入表!$I$636)*(1-参数输入表!$I$623)*参数输入表!$I$39*时间序列!P106/(参数输入表!$I$622*12)</f>
        <v>22702.3611300939</v>
      </c>
      <c r="T255" s="368">
        <f>(参数输入表!$I$214-参数输入表!$I$221-参数输入表!$I$625-参数输入表!$I$630-参数输入表!$I$636)*(1-参数输入表!$I$623)*参数输入表!$I$39*时间序列!Q106/(参数输入表!$I$622*12)</f>
        <v>22702.3611300939</v>
      </c>
      <c r="U255" s="368">
        <f>(参数输入表!$I$214-参数输入表!$I$221-参数输入表!$I$625-参数输入表!$I$630-参数输入表!$I$636)*(1-参数输入表!$I$623)*参数输入表!$I$39*时间序列!R106/(参数输入表!$I$622*12)</f>
        <v>22702.3611300939</v>
      </c>
      <c r="V255" s="368">
        <f>(参数输入表!$I$214-参数输入表!$I$221-参数输入表!$I$625-参数输入表!$I$630-参数输入表!$I$636)*(1-参数输入表!$I$623)*参数输入表!$I$39*时间序列!S106/(参数输入表!$I$622*12)</f>
        <v>22702.3611300939</v>
      </c>
      <c r="W255" s="368">
        <f>(参数输入表!$I$214-参数输入表!$I$221-参数输入表!$I$625-参数输入表!$I$630-参数输入表!$I$636)*(1-参数输入表!$I$623)*参数输入表!$I$39*时间序列!T106/(参数输入表!$I$622*12)</f>
        <v>22702.3611300939</v>
      </c>
      <c r="X255" s="368">
        <f>(参数输入表!$I$214-参数输入表!$I$221-参数输入表!$I$625-参数输入表!$I$630-参数输入表!$I$636)*(1-参数输入表!$I$623)*参数输入表!$I$39*时间序列!U106/(参数输入表!$I$622*12)</f>
        <v>22702.3611300939</v>
      </c>
      <c r="Y255" s="368">
        <f>(参数输入表!$I$214-参数输入表!$I$221-参数输入表!$I$625-参数输入表!$I$630-参数输入表!$I$636)*(1-参数输入表!$I$623)*参数输入表!$I$39*时间序列!V106/(参数输入表!$I$622*12)</f>
        <v>22702.3611300939</v>
      </c>
      <c r="Z255" s="368">
        <f>(参数输入表!$I$214-参数输入表!$I$221-参数输入表!$I$625-参数输入表!$I$630-参数输入表!$I$636)*(1-参数输入表!$I$623)*参数输入表!$I$39*时间序列!W106/(参数输入表!$I$622*12)</f>
        <v>22702.3611300939</v>
      </c>
      <c r="AA255" s="368">
        <f>(参数输入表!$I$214-参数输入表!$I$221-参数输入表!$I$625-参数输入表!$I$630-参数输入表!$I$636)*(1-参数输入表!$I$623)*参数输入表!$I$39*时间序列!X106/(参数输入表!$I$622*12)</f>
        <v>22702.3611300939</v>
      </c>
      <c r="AB255" s="368">
        <f>(参数输入表!$I$214-参数输入表!$I$221-参数输入表!$I$625-参数输入表!$I$630-参数输入表!$I$636)*(1-参数输入表!$I$623)*参数输入表!$I$39*时间序列!Y106/(参数输入表!$I$622*12)</f>
        <v>22702.3611300939</v>
      </c>
      <c r="AC255" s="368">
        <f>(参数输入表!$I$214-参数输入表!$I$221-参数输入表!$I$625-参数输入表!$I$630-参数输入表!$I$636)*(1-参数输入表!$I$623)*参数输入表!$I$39*时间序列!Z106/(参数输入表!$I$622*12)</f>
        <v>22702.3611300939</v>
      </c>
      <c r="AD255" s="368">
        <f>(参数输入表!$I$214-参数输入表!$I$221-参数输入表!$I$625-参数输入表!$I$630-参数输入表!$I$636)*(1-参数输入表!$I$623)*参数输入表!$I$39*时间序列!AA106/(参数输入表!$I$622*12)</f>
        <v>22702.3611300939</v>
      </c>
      <c r="AE255" s="368">
        <f>(参数输入表!$I$214-参数输入表!$I$221-参数输入表!$I$625-参数输入表!$I$630-参数输入表!$I$636)*(1-参数输入表!$I$623)*参数输入表!$I$39*时间序列!AB106/(参数输入表!$I$622*12)</f>
        <v>22702.3611300939</v>
      </c>
      <c r="AF255" s="368">
        <f>(参数输入表!$I$214-参数输入表!$I$221-参数输入表!$I$625-参数输入表!$I$630-参数输入表!$I$636)*(1-参数输入表!$I$623)*参数输入表!$I$39*时间序列!AC106/(参数输入表!$I$622*12)</f>
        <v>22702.3611300939</v>
      </c>
      <c r="AG255" s="368">
        <f>(参数输入表!$I$214-参数输入表!$I$221-参数输入表!$I$625-参数输入表!$I$630-参数输入表!$I$636)*(1-参数输入表!$I$623)*参数输入表!$I$39*时间序列!AD106/(参数输入表!$I$622*12)</f>
        <v>22702.3611300939</v>
      </c>
      <c r="AH255" s="368">
        <f>(参数输入表!$I$214-参数输入表!$I$221-参数输入表!$I$625-参数输入表!$I$630-参数输入表!$I$636)*(1-参数输入表!$I$623)*参数输入表!$I$39*时间序列!AE106/(参数输入表!$I$622*12)</f>
        <v>22702.3611300939</v>
      </c>
      <c r="AI255" s="368">
        <f>(参数输入表!$I$214-参数输入表!$I$221-参数输入表!$I$625-参数输入表!$I$630-参数输入表!$I$636)*(1-参数输入表!$I$623)*参数输入表!$I$39*时间序列!AF106/(参数输入表!$I$622*12)</f>
        <v>22702.3611300939</v>
      </c>
      <c r="AJ255" s="368">
        <f>(参数输入表!$I$214-参数输入表!$I$221-参数输入表!$I$625-参数输入表!$I$630-参数输入表!$I$636)*(1-参数输入表!$I$623)*参数输入表!$I$39*时间序列!AG106/(参数输入表!$I$622*12)</f>
        <v>22702.3611300939</v>
      </c>
      <c r="AK255" s="368">
        <f>(参数输入表!$I$214-参数输入表!$I$221-参数输入表!$I$625-参数输入表!$I$630-参数输入表!$I$636)*(1-参数输入表!$I$623)*参数输入表!$I$39*时间序列!AH106/(参数输入表!$I$622*12)</f>
        <v>22702.3611300939</v>
      </c>
      <c r="AL255" s="368">
        <f>(参数输入表!$I$214-参数输入表!$I$221-参数输入表!$I$625-参数输入表!$I$630-参数输入表!$I$636)*(1-参数输入表!$I$623)*参数输入表!$I$39*时间序列!AI106/(参数输入表!$I$622*12)</f>
        <v>22702.3611300939</v>
      </c>
      <c r="AM255" s="368">
        <f>(参数输入表!$I$214-参数输入表!$I$221-参数输入表!$I$625-参数输入表!$I$630-参数输入表!$I$636)*(1-参数输入表!$I$623)*参数输入表!$I$39*时间序列!AJ106/(参数输入表!$I$622*12)</f>
        <v>22702.3611300939</v>
      </c>
      <c r="AN255" s="368">
        <f>(参数输入表!$I$214-参数输入表!$I$221-参数输入表!$I$625-参数输入表!$I$630-参数输入表!$I$636)*(1-参数输入表!$I$623)*参数输入表!$I$39*时间序列!AK106/(参数输入表!$I$622*12)</f>
        <v>22702.3611300939</v>
      </c>
      <c r="AO255" s="368">
        <f>(参数输入表!$I$214-参数输入表!$I$221-参数输入表!$I$625-参数输入表!$I$630-参数输入表!$I$636)*(1-参数输入表!$I$623)*参数输入表!$I$39*时间序列!AL106/(参数输入表!$I$622*12)</f>
        <v>22702.3611300939</v>
      </c>
      <c r="AP255" s="368">
        <f>(参数输入表!$I$214-参数输入表!$I$221-参数输入表!$I$625-参数输入表!$I$630-参数输入表!$I$636)*(1-参数输入表!$I$623)*参数输入表!$I$39*时间序列!AM106/(参数输入表!$I$622*12)</f>
        <v>13243.0439925548</v>
      </c>
      <c r="AQ255" s="368">
        <f>(参数输入表!$I$214-参数输入表!$I$221-参数输入表!$I$625-参数输入表!$I$630-参数输入表!$I$636)*(1-参数输入表!$I$623)*参数输入表!$I$39*时间序列!AN106/(参数输入表!$I$622*12)</f>
        <v>0</v>
      </c>
      <c r="AR255" s="368">
        <f>(参数输入表!$I$214-参数输入表!$I$221-参数输入表!$I$625-参数输入表!$I$630-参数输入表!$I$636)*(1-参数输入表!$I$623)*参数输入表!$I$39*时间序列!AO106/(参数输入表!$I$622*12)</f>
        <v>0</v>
      </c>
      <c r="AS255" s="368">
        <f>(参数输入表!$I$214-参数输入表!$I$221-参数输入表!$I$625-参数输入表!$I$630-参数输入表!$I$636)*(1-参数输入表!$I$623)*参数输入表!$I$39*时间序列!AP106/(参数输入表!$I$622*12)</f>
        <v>0</v>
      </c>
      <c r="AT255" s="368">
        <f>(参数输入表!$I$214-参数输入表!$I$221-参数输入表!$I$625-参数输入表!$I$630-参数输入表!$I$636)*(1-参数输入表!$I$623)*参数输入表!$I$39*时间序列!AQ106/(参数输入表!$I$622*12)</f>
        <v>0</v>
      </c>
      <c r="AU255" s="368">
        <f>(参数输入表!$I$214-参数输入表!$I$221-参数输入表!$I$625-参数输入表!$I$630-参数输入表!$I$636)*(1-参数输入表!$I$623)*参数输入表!$I$39*时间序列!AR106/(参数输入表!$I$622*12)</f>
        <v>0</v>
      </c>
      <c r="AV255" s="368">
        <f>(参数输入表!$I$214-参数输入表!$I$221-参数输入表!$I$625-参数输入表!$I$630-参数输入表!$I$636)*(1-参数输入表!$I$623)*参数输入表!$I$39*时间序列!AS106/(参数输入表!$I$622*12)</f>
        <v>0</v>
      </c>
      <c r="AW255" s="368">
        <f>(参数输入表!$I$214-参数输入表!$I$221-参数输入表!$I$625-参数输入表!$I$630-参数输入表!$I$636)*(1-参数输入表!$I$623)*参数输入表!$I$39*时间序列!AT106/(参数输入表!$I$622*12)</f>
        <v>0</v>
      </c>
      <c r="AX255" s="368">
        <f>(参数输入表!$I$214-参数输入表!$I$221-参数输入表!$I$625-参数输入表!$I$630-参数输入表!$I$636)*(1-参数输入表!$I$623)*参数输入表!$I$39*时间序列!AU106/(参数输入表!$I$622*12)</f>
        <v>0</v>
      </c>
      <c r="AY255" s="368">
        <f>(参数输入表!$I$214-参数输入表!$I$221-参数输入表!$I$625-参数输入表!$I$630-参数输入表!$I$636)*(1-参数输入表!$I$623)*参数输入表!$I$39*时间序列!AV106/(参数输入表!$I$622*12)</f>
        <v>0</v>
      </c>
      <c r="AZ255" s="368">
        <f>(参数输入表!$I$214-参数输入表!$I$221-参数输入表!$I$625-参数输入表!$I$630-参数输入表!$I$636)*(1-参数输入表!$I$623)*参数输入表!$I$39*时间序列!AW106/(参数输入表!$I$622*12)</f>
        <v>0</v>
      </c>
      <c r="BA255" s="369">
        <f>(参数输入表!$I$214-参数输入表!$I$221-参数输入表!$I$625-参数输入表!$I$630-参数输入表!$I$636)*(1-参数输入表!$I$623)*参数输入表!$I$39*时间序列!AX106/(参数输入表!$I$622*12)</f>
        <v>0</v>
      </c>
    </row>
    <row r="256" s="105" customFormat="1" spans="2:53">
      <c r="B256" s="360"/>
      <c r="C256" s="133" t="s">
        <v>707</v>
      </c>
      <c r="D256" s="368"/>
      <c r="E256" s="391" t="s">
        <v>130</v>
      </c>
      <c r="F256" s="368">
        <f>F251</f>
        <v>0</v>
      </c>
      <c r="G256" s="368">
        <f t="shared" ref="G256:BA256" si="186">F256+G251</f>
        <v>0</v>
      </c>
      <c r="H256" s="368">
        <f t="shared" si="186"/>
        <v>0</v>
      </c>
      <c r="I256" s="368">
        <f t="shared" si="186"/>
        <v>0</v>
      </c>
      <c r="J256" s="368">
        <f t="shared" si="186"/>
        <v>0</v>
      </c>
      <c r="K256" s="368">
        <f t="shared" si="186"/>
        <v>0</v>
      </c>
      <c r="L256" s="368">
        <f t="shared" si="186"/>
        <v>0</v>
      </c>
      <c r="M256" s="368">
        <f t="shared" si="186"/>
        <v>9459.31713753914</v>
      </c>
      <c r="N256" s="368">
        <f t="shared" si="186"/>
        <v>32161.6782676331</v>
      </c>
      <c r="O256" s="368">
        <f t="shared" si="186"/>
        <v>54864.039397727</v>
      </c>
      <c r="P256" s="368">
        <f t="shared" si="186"/>
        <v>77566.4005278209</v>
      </c>
      <c r="Q256" s="368">
        <f t="shared" si="186"/>
        <v>100268.761657915</v>
      </c>
      <c r="R256" s="368">
        <f t="shared" si="186"/>
        <v>122971.122788009</v>
      </c>
      <c r="S256" s="368">
        <f t="shared" si="186"/>
        <v>145673.483918103</v>
      </c>
      <c r="T256" s="368">
        <f t="shared" si="186"/>
        <v>168375.845048197</v>
      </c>
      <c r="U256" s="368">
        <f t="shared" si="186"/>
        <v>191078.206178291</v>
      </c>
      <c r="V256" s="368">
        <f t="shared" si="186"/>
        <v>213780.567308384</v>
      </c>
      <c r="W256" s="368">
        <f t="shared" si="186"/>
        <v>236482.928438478</v>
      </c>
      <c r="X256" s="368">
        <f t="shared" si="186"/>
        <v>259185.289568572</v>
      </c>
      <c r="Y256" s="368">
        <f t="shared" si="186"/>
        <v>281887.650698666</v>
      </c>
      <c r="Z256" s="368">
        <f t="shared" si="186"/>
        <v>304590.01182876</v>
      </c>
      <c r="AA256" s="368">
        <f t="shared" si="186"/>
        <v>327292.372958854</v>
      </c>
      <c r="AB256" s="368">
        <f t="shared" si="186"/>
        <v>349994.734088948</v>
      </c>
      <c r="AC256" s="368">
        <f t="shared" si="186"/>
        <v>372697.095219042</v>
      </c>
      <c r="AD256" s="368">
        <f t="shared" si="186"/>
        <v>395399.456349136</v>
      </c>
      <c r="AE256" s="368">
        <f t="shared" si="186"/>
        <v>418101.81747923</v>
      </c>
      <c r="AF256" s="368">
        <f t="shared" si="186"/>
        <v>440804.178609324</v>
      </c>
      <c r="AG256" s="368">
        <f t="shared" si="186"/>
        <v>463506.539739418</v>
      </c>
      <c r="AH256" s="368">
        <f t="shared" si="186"/>
        <v>486208.900869512</v>
      </c>
      <c r="AI256" s="368">
        <f t="shared" si="186"/>
        <v>508911.261999605</v>
      </c>
      <c r="AJ256" s="368">
        <f t="shared" si="186"/>
        <v>531613.623129699</v>
      </c>
      <c r="AK256" s="368">
        <f t="shared" si="186"/>
        <v>554315.984259793</v>
      </c>
      <c r="AL256" s="368">
        <f t="shared" si="186"/>
        <v>577018.345389887</v>
      </c>
      <c r="AM256" s="368">
        <f t="shared" si="186"/>
        <v>599720.706519981</v>
      </c>
      <c r="AN256" s="368">
        <f t="shared" si="186"/>
        <v>622423.067650075</v>
      </c>
      <c r="AO256" s="368">
        <f t="shared" si="186"/>
        <v>645125.428780169</v>
      </c>
      <c r="AP256" s="368">
        <f t="shared" si="186"/>
        <v>658368.472772724</v>
      </c>
      <c r="AQ256" s="368">
        <f t="shared" si="186"/>
        <v>658368.472772724</v>
      </c>
      <c r="AR256" s="368">
        <f t="shared" si="186"/>
        <v>658368.472772724</v>
      </c>
      <c r="AS256" s="368">
        <f t="shared" si="186"/>
        <v>658368.472772724</v>
      </c>
      <c r="AT256" s="368">
        <f t="shared" si="186"/>
        <v>658368.472772724</v>
      </c>
      <c r="AU256" s="368">
        <f t="shared" si="186"/>
        <v>658368.472772724</v>
      </c>
      <c r="AV256" s="368">
        <f t="shared" si="186"/>
        <v>658368.472772724</v>
      </c>
      <c r="AW256" s="368">
        <f t="shared" si="186"/>
        <v>658368.472772724</v>
      </c>
      <c r="AX256" s="368">
        <f t="shared" si="186"/>
        <v>658368.472772724</v>
      </c>
      <c r="AY256" s="368">
        <f t="shared" si="186"/>
        <v>658368.472772724</v>
      </c>
      <c r="AZ256" s="368">
        <f t="shared" si="186"/>
        <v>658368.472772724</v>
      </c>
      <c r="BA256" s="369">
        <f t="shared" si="186"/>
        <v>658368.472772724</v>
      </c>
    </row>
    <row r="257" s="105" customFormat="1" ht="17.25" spans="2:53">
      <c r="B257" s="379"/>
      <c r="C257" s="380" t="s">
        <v>753</v>
      </c>
      <c r="D257" s="381"/>
      <c r="E257" s="382" t="s">
        <v>130</v>
      </c>
      <c r="F257" s="383">
        <f t="shared" ref="F257:BA257" si="187">F247-F256</f>
        <v>0</v>
      </c>
      <c r="G257" s="383">
        <f t="shared" si="187"/>
        <v>0</v>
      </c>
      <c r="H257" s="383">
        <f t="shared" si="187"/>
        <v>0</v>
      </c>
      <c r="I257" s="383">
        <f t="shared" si="187"/>
        <v>0</v>
      </c>
      <c r="J257" s="383">
        <f t="shared" si="187"/>
        <v>0</v>
      </c>
      <c r="K257" s="383">
        <f t="shared" si="187"/>
        <v>0</v>
      </c>
      <c r="L257" s="383">
        <f t="shared" si="187"/>
        <v>0</v>
      </c>
      <c r="M257" s="383">
        <f t="shared" si="187"/>
        <v>683560.127886381</v>
      </c>
      <c r="N257" s="383">
        <f t="shared" si="187"/>
        <v>660857.766756287</v>
      </c>
      <c r="O257" s="383">
        <f t="shared" si="187"/>
        <v>638155.405626193</v>
      </c>
      <c r="P257" s="383">
        <f t="shared" si="187"/>
        <v>615453.044496099</v>
      </c>
      <c r="Q257" s="383">
        <f t="shared" si="187"/>
        <v>592750.683366005</v>
      </c>
      <c r="R257" s="383">
        <f t="shared" si="187"/>
        <v>570048.322235911</v>
      </c>
      <c r="S257" s="383">
        <f t="shared" si="187"/>
        <v>547345.961105817</v>
      </c>
      <c r="T257" s="383">
        <f t="shared" si="187"/>
        <v>524643.599975723</v>
      </c>
      <c r="U257" s="383">
        <f t="shared" si="187"/>
        <v>501941.23884563</v>
      </c>
      <c r="V257" s="383">
        <f t="shared" si="187"/>
        <v>479238.877715536</v>
      </c>
      <c r="W257" s="383">
        <f t="shared" si="187"/>
        <v>456536.516585442</v>
      </c>
      <c r="X257" s="383">
        <f t="shared" si="187"/>
        <v>433834.155455348</v>
      </c>
      <c r="Y257" s="383">
        <f t="shared" si="187"/>
        <v>411131.794325254</v>
      </c>
      <c r="Z257" s="383">
        <f t="shared" si="187"/>
        <v>388429.43319516</v>
      </c>
      <c r="AA257" s="383">
        <f t="shared" si="187"/>
        <v>365727.072065066</v>
      </c>
      <c r="AB257" s="383">
        <f t="shared" si="187"/>
        <v>343024.710934972</v>
      </c>
      <c r="AC257" s="383">
        <f t="shared" si="187"/>
        <v>320322.349804878</v>
      </c>
      <c r="AD257" s="383">
        <f t="shared" si="187"/>
        <v>297619.988674784</v>
      </c>
      <c r="AE257" s="383">
        <f t="shared" si="187"/>
        <v>274917.62754469</v>
      </c>
      <c r="AF257" s="383">
        <f t="shared" si="187"/>
        <v>252215.266414596</v>
      </c>
      <c r="AG257" s="383">
        <f t="shared" si="187"/>
        <v>229512.905284502</v>
      </c>
      <c r="AH257" s="383">
        <f t="shared" si="187"/>
        <v>206810.544154409</v>
      </c>
      <c r="AI257" s="383">
        <f t="shared" si="187"/>
        <v>184108.183024315</v>
      </c>
      <c r="AJ257" s="383">
        <f t="shared" si="187"/>
        <v>161405.821894221</v>
      </c>
      <c r="AK257" s="383">
        <f t="shared" si="187"/>
        <v>138703.460764127</v>
      </c>
      <c r="AL257" s="383">
        <f t="shared" si="187"/>
        <v>116001.099634033</v>
      </c>
      <c r="AM257" s="383">
        <f t="shared" si="187"/>
        <v>93298.7385039389</v>
      </c>
      <c r="AN257" s="383">
        <f t="shared" si="187"/>
        <v>70596.377373845</v>
      </c>
      <c r="AO257" s="383">
        <f t="shared" si="187"/>
        <v>47894.016243751</v>
      </c>
      <c r="AP257" s="383">
        <f t="shared" si="187"/>
        <v>34650.9722511963</v>
      </c>
      <c r="AQ257" s="383">
        <f t="shared" si="187"/>
        <v>34650.9722511963</v>
      </c>
      <c r="AR257" s="383">
        <f t="shared" si="187"/>
        <v>34650.9722511963</v>
      </c>
      <c r="AS257" s="383">
        <f t="shared" si="187"/>
        <v>34650.9722511963</v>
      </c>
      <c r="AT257" s="383">
        <f t="shared" si="187"/>
        <v>34650.9722511963</v>
      </c>
      <c r="AU257" s="383">
        <f t="shared" si="187"/>
        <v>34650.9722511963</v>
      </c>
      <c r="AV257" s="383">
        <f t="shared" si="187"/>
        <v>34650.9722511963</v>
      </c>
      <c r="AW257" s="383">
        <f t="shared" si="187"/>
        <v>34650.9722511963</v>
      </c>
      <c r="AX257" s="383">
        <f t="shared" si="187"/>
        <v>34650.9722511963</v>
      </c>
      <c r="AY257" s="383">
        <f t="shared" si="187"/>
        <v>34650.9722511963</v>
      </c>
      <c r="AZ257" s="383">
        <f t="shared" si="187"/>
        <v>34650.9722511963</v>
      </c>
      <c r="BA257" s="384">
        <f t="shared" si="187"/>
        <v>34650.9722511963</v>
      </c>
    </row>
    <row r="258" s="105" customFormat="1" spans="2:53">
      <c r="B258" s="355">
        <v>1.2</v>
      </c>
      <c r="C258" s="356" t="s">
        <v>709</v>
      </c>
      <c r="D258" s="424"/>
      <c r="E258" s="425" t="s">
        <v>130</v>
      </c>
      <c r="F258" s="357">
        <f>参数输入表!$I$625*F246</f>
        <v>0</v>
      </c>
      <c r="G258" s="357">
        <f>参数输入表!$I$625*G246</f>
        <v>0</v>
      </c>
      <c r="H258" s="357">
        <f>参数输入表!$I$625*H246</f>
        <v>0</v>
      </c>
      <c r="I258" s="357">
        <f>参数输入表!$I$625*I246</f>
        <v>0</v>
      </c>
      <c r="J258" s="357">
        <f>参数输入表!$I$625*J246</f>
        <v>0</v>
      </c>
      <c r="K258" s="357">
        <f>参数输入表!$I$625*K246</f>
        <v>0</v>
      </c>
      <c r="L258" s="357">
        <f>参数输入表!$I$625*L246</f>
        <v>0</v>
      </c>
      <c r="M258" s="357">
        <f>参数输入表!$I$625*M246</f>
        <v>7200</v>
      </c>
      <c r="N258" s="357">
        <f>参数输入表!$I$625*N246</f>
        <v>7200</v>
      </c>
      <c r="O258" s="357">
        <f>参数输入表!$I$625*O246</f>
        <v>7200</v>
      </c>
      <c r="P258" s="357">
        <f>参数输入表!$I$625*P246</f>
        <v>7200</v>
      </c>
      <c r="Q258" s="357">
        <f>参数输入表!$I$625*Q246</f>
        <v>7200</v>
      </c>
      <c r="R258" s="357">
        <f>参数输入表!$I$625*R246</f>
        <v>7200</v>
      </c>
      <c r="S258" s="357">
        <f>参数输入表!$I$625*S246</f>
        <v>7200</v>
      </c>
      <c r="T258" s="357">
        <f>参数输入表!$I$625*T246</f>
        <v>7200</v>
      </c>
      <c r="U258" s="357">
        <f>参数输入表!$I$625*U246</f>
        <v>7200</v>
      </c>
      <c r="V258" s="357">
        <f>参数输入表!$I$625*V246</f>
        <v>7200</v>
      </c>
      <c r="W258" s="357">
        <f>参数输入表!$I$625*W246</f>
        <v>7200</v>
      </c>
      <c r="X258" s="357">
        <f>参数输入表!$I$625*X246</f>
        <v>7200</v>
      </c>
      <c r="Y258" s="357">
        <f>参数输入表!$I$625*Y246</f>
        <v>7200</v>
      </c>
      <c r="Z258" s="357">
        <f>参数输入表!$I$625*Z246</f>
        <v>7200</v>
      </c>
      <c r="AA258" s="357">
        <f>参数输入表!$I$625*AA246</f>
        <v>7200</v>
      </c>
      <c r="AB258" s="357">
        <f>参数输入表!$I$625*AB246</f>
        <v>7200</v>
      </c>
      <c r="AC258" s="357">
        <f>参数输入表!$I$625*AC246</f>
        <v>7200</v>
      </c>
      <c r="AD258" s="357">
        <f>参数输入表!$I$625*AD246</f>
        <v>7200</v>
      </c>
      <c r="AE258" s="357">
        <f>参数输入表!$I$625*AE246</f>
        <v>7200</v>
      </c>
      <c r="AF258" s="357">
        <f>参数输入表!$I$625*AF246</f>
        <v>7200</v>
      </c>
      <c r="AG258" s="357">
        <f>参数输入表!$I$625*AG246</f>
        <v>7200</v>
      </c>
      <c r="AH258" s="357">
        <f>参数输入表!$I$625*AH246</f>
        <v>7200</v>
      </c>
      <c r="AI258" s="357">
        <f>参数输入表!$I$625*AI246</f>
        <v>7200</v>
      </c>
      <c r="AJ258" s="357">
        <f>参数输入表!$I$625*AJ246</f>
        <v>7200</v>
      </c>
      <c r="AK258" s="357">
        <f>参数输入表!$I$625*AK246</f>
        <v>7200</v>
      </c>
      <c r="AL258" s="357">
        <f>参数输入表!$I$625*AL246</f>
        <v>7200</v>
      </c>
      <c r="AM258" s="357">
        <f>参数输入表!$I$625*AM246</f>
        <v>7200</v>
      </c>
      <c r="AN258" s="357">
        <f>参数输入表!$I$625*AN246</f>
        <v>7200</v>
      </c>
      <c r="AO258" s="357">
        <f>参数输入表!$I$625*AO246</f>
        <v>7200</v>
      </c>
      <c r="AP258" s="357">
        <f>参数输入表!$I$625*AP246</f>
        <v>7200</v>
      </c>
      <c r="AQ258" s="357">
        <f>参数输入表!$I$625*AQ246</f>
        <v>7200</v>
      </c>
      <c r="AR258" s="357">
        <f>参数输入表!$I$625*AR246</f>
        <v>7200</v>
      </c>
      <c r="AS258" s="357">
        <f>参数输入表!$I$625*AS246</f>
        <v>7200</v>
      </c>
      <c r="AT258" s="357">
        <f>参数输入表!$I$625*AT246</f>
        <v>7200</v>
      </c>
      <c r="AU258" s="357">
        <f>参数输入表!$I$625*AU246</f>
        <v>7200</v>
      </c>
      <c r="AV258" s="357">
        <f>参数输入表!$I$625*AV246</f>
        <v>7200</v>
      </c>
      <c r="AW258" s="357">
        <f>参数输入表!$I$625*AW246</f>
        <v>7200</v>
      </c>
      <c r="AX258" s="357">
        <f>参数输入表!$I$625*AX246</f>
        <v>7200</v>
      </c>
      <c r="AY258" s="357">
        <f>参数输入表!$I$625*AY246</f>
        <v>7200</v>
      </c>
      <c r="AZ258" s="357">
        <f>参数输入表!$I$625*AZ246</f>
        <v>7200</v>
      </c>
      <c r="BA258" s="359">
        <f>参数输入表!$I$625*BA246</f>
        <v>7200</v>
      </c>
    </row>
    <row r="259" s="105" customFormat="1" spans="2:53">
      <c r="B259" s="360"/>
      <c r="C259" s="365" t="s">
        <v>703</v>
      </c>
      <c r="D259" s="366">
        <f t="shared" si="185"/>
        <v>7200</v>
      </c>
      <c r="E259" s="266" t="s">
        <v>130</v>
      </c>
      <c r="F259" s="366">
        <f>参数输入表!$I$625*(参数输入表!$I$14+参数输入表!$I$15)</f>
        <v>786.636878035256</v>
      </c>
      <c r="G259" s="366">
        <f>参数输入表!$I$625*参数输入表!$I$16</f>
        <v>764.811203829724</v>
      </c>
      <c r="H259" s="366">
        <f>参数输入表!$I$625*参数输入表!$I$17</f>
        <v>868.064861022563</v>
      </c>
      <c r="I259" s="366">
        <f>参数输入表!$I$625*参数输入表!$I$18</f>
        <v>949.293389761843</v>
      </c>
      <c r="J259" s="366">
        <f>参数输入表!$I$625*参数输入表!$I$19</f>
        <v>1268.97121000002</v>
      </c>
      <c r="K259" s="366">
        <f>参数输入表!$I$625*参数输入表!$I$20</f>
        <v>1163.4964104385</v>
      </c>
      <c r="L259" s="366">
        <f>参数输入表!$I$625*(参数输入表!$I$21+参数输入表!$I$22)</f>
        <v>979.64933317831</v>
      </c>
      <c r="M259" s="366">
        <f>参数输入表!$I$625*参数输入表!$I$23</f>
        <v>419.076713733785</v>
      </c>
      <c r="N259" s="366"/>
      <c r="O259" s="366"/>
      <c r="P259" s="366"/>
      <c r="Q259" s="366"/>
      <c r="R259" s="366"/>
      <c r="S259" s="366"/>
      <c r="T259" s="366"/>
      <c r="U259" s="366"/>
      <c r="V259" s="366"/>
      <c r="W259" s="366"/>
      <c r="X259" s="366"/>
      <c r="Y259" s="366"/>
      <c r="Z259" s="366"/>
      <c r="AA259" s="366"/>
      <c r="AB259" s="366"/>
      <c r="AC259" s="366"/>
      <c r="AD259" s="366"/>
      <c r="AE259" s="366"/>
      <c r="AF259" s="366"/>
      <c r="AG259" s="366"/>
      <c r="AH259" s="366"/>
      <c r="AI259" s="366"/>
      <c r="AJ259" s="366"/>
      <c r="AK259" s="366"/>
      <c r="AL259" s="366"/>
      <c r="AM259" s="366"/>
      <c r="AN259" s="366"/>
      <c r="AO259" s="366"/>
      <c r="AP259" s="366"/>
      <c r="AQ259" s="366"/>
      <c r="AR259" s="366"/>
      <c r="AS259" s="366"/>
      <c r="AT259" s="366"/>
      <c r="AU259" s="366"/>
      <c r="AV259" s="366"/>
      <c r="AW259" s="366"/>
      <c r="AX259" s="366"/>
      <c r="AY259" s="366"/>
      <c r="AZ259" s="366"/>
      <c r="BA259" s="385"/>
    </row>
    <row r="260" s="105" customFormat="1" spans="2:53">
      <c r="B260" s="360"/>
      <c r="C260" s="365" t="s">
        <v>704</v>
      </c>
      <c r="D260" s="426"/>
      <c r="E260" s="266" t="s">
        <v>130</v>
      </c>
      <c r="F260" s="366">
        <f>F259</f>
        <v>786.636878035256</v>
      </c>
      <c r="G260" s="366">
        <f>F260+G259</f>
        <v>1551.44808186498</v>
      </c>
      <c r="H260" s="366">
        <f t="shared" ref="H260:BA260" si="188">G260+H259</f>
        <v>2419.51294288754</v>
      </c>
      <c r="I260" s="366">
        <f t="shared" si="188"/>
        <v>3368.80633264939</v>
      </c>
      <c r="J260" s="366">
        <f t="shared" si="188"/>
        <v>4637.77754264941</v>
      </c>
      <c r="K260" s="366">
        <f t="shared" si="188"/>
        <v>5801.27395308791</v>
      </c>
      <c r="L260" s="366">
        <f t="shared" si="188"/>
        <v>6780.92328626621</v>
      </c>
      <c r="M260" s="366">
        <f t="shared" si="188"/>
        <v>7200</v>
      </c>
      <c r="N260" s="366">
        <f t="shared" si="188"/>
        <v>7200</v>
      </c>
      <c r="O260" s="366">
        <f t="shared" si="188"/>
        <v>7200</v>
      </c>
      <c r="P260" s="366">
        <f t="shared" si="188"/>
        <v>7200</v>
      </c>
      <c r="Q260" s="366">
        <f t="shared" si="188"/>
        <v>7200</v>
      </c>
      <c r="R260" s="366">
        <f t="shared" si="188"/>
        <v>7200</v>
      </c>
      <c r="S260" s="366">
        <f t="shared" si="188"/>
        <v>7200</v>
      </c>
      <c r="T260" s="366">
        <f t="shared" si="188"/>
        <v>7200</v>
      </c>
      <c r="U260" s="366">
        <f t="shared" si="188"/>
        <v>7200</v>
      </c>
      <c r="V260" s="366">
        <f t="shared" si="188"/>
        <v>7200</v>
      </c>
      <c r="W260" s="366">
        <f t="shared" si="188"/>
        <v>7200</v>
      </c>
      <c r="X260" s="366">
        <f t="shared" si="188"/>
        <v>7200</v>
      </c>
      <c r="Y260" s="366">
        <f t="shared" si="188"/>
        <v>7200</v>
      </c>
      <c r="Z260" s="366">
        <f t="shared" si="188"/>
        <v>7200</v>
      </c>
      <c r="AA260" s="366">
        <f t="shared" si="188"/>
        <v>7200</v>
      </c>
      <c r="AB260" s="366">
        <f t="shared" si="188"/>
        <v>7200</v>
      </c>
      <c r="AC260" s="366">
        <f t="shared" si="188"/>
        <v>7200</v>
      </c>
      <c r="AD260" s="366">
        <f t="shared" si="188"/>
        <v>7200</v>
      </c>
      <c r="AE260" s="366">
        <f t="shared" si="188"/>
        <v>7200</v>
      </c>
      <c r="AF260" s="366">
        <f t="shared" si="188"/>
        <v>7200</v>
      </c>
      <c r="AG260" s="366">
        <f t="shared" si="188"/>
        <v>7200</v>
      </c>
      <c r="AH260" s="366">
        <f t="shared" si="188"/>
        <v>7200</v>
      </c>
      <c r="AI260" s="366">
        <f t="shared" si="188"/>
        <v>7200</v>
      </c>
      <c r="AJ260" s="366">
        <f t="shared" si="188"/>
        <v>7200</v>
      </c>
      <c r="AK260" s="366">
        <f t="shared" si="188"/>
        <v>7200</v>
      </c>
      <c r="AL260" s="366">
        <f t="shared" si="188"/>
        <v>7200</v>
      </c>
      <c r="AM260" s="366">
        <f t="shared" si="188"/>
        <v>7200</v>
      </c>
      <c r="AN260" s="366">
        <f t="shared" si="188"/>
        <v>7200</v>
      </c>
      <c r="AO260" s="366">
        <f t="shared" si="188"/>
        <v>7200</v>
      </c>
      <c r="AP260" s="366">
        <f t="shared" si="188"/>
        <v>7200</v>
      </c>
      <c r="AQ260" s="366">
        <f t="shared" si="188"/>
        <v>7200</v>
      </c>
      <c r="AR260" s="366">
        <f t="shared" si="188"/>
        <v>7200</v>
      </c>
      <c r="AS260" s="366">
        <f t="shared" si="188"/>
        <v>7200</v>
      </c>
      <c r="AT260" s="366">
        <f t="shared" si="188"/>
        <v>7200</v>
      </c>
      <c r="AU260" s="366">
        <f t="shared" si="188"/>
        <v>7200</v>
      </c>
      <c r="AV260" s="366">
        <f t="shared" si="188"/>
        <v>7200</v>
      </c>
      <c r="AW260" s="366">
        <f t="shared" si="188"/>
        <v>7200</v>
      </c>
      <c r="AX260" s="366">
        <f t="shared" si="188"/>
        <v>7200</v>
      </c>
      <c r="AY260" s="366">
        <f t="shared" si="188"/>
        <v>7200</v>
      </c>
      <c r="AZ260" s="366">
        <f t="shared" si="188"/>
        <v>7200</v>
      </c>
      <c r="BA260" s="385">
        <f t="shared" si="188"/>
        <v>7200</v>
      </c>
    </row>
    <row r="261" s="105" customFormat="1" spans="2:53">
      <c r="B261" s="360"/>
      <c r="C261" s="133" t="s">
        <v>710</v>
      </c>
      <c r="D261" s="426"/>
      <c r="E261" s="266" t="s">
        <v>130</v>
      </c>
      <c r="F261" s="366">
        <f>F260-F258</f>
        <v>786.636878035256</v>
      </c>
      <c r="G261" s="366">
        <f t="shared" ref="G261:BA261" si="189">G260-G258</f>
        <v>1551.44808186498</v>
      </c>
      <c r="H261" s="366">
        <f t="shared" si="189"/>
        <v>2419.51294288754</v>
      </c>
      <c r="I261" s="366">
        <f t="shared" si="189"/>
        <v>3368.80633264939</v>
      </c>
      <c r="J261" s="366">
        <f t="shared" si="189"/>
        <v>4637.77754264941</v>
      </c>
      <c r="K261" s="366">
        <f t="shared" si="189"/>
        <v>5801.27395308791</v>
      </c>
      <c r="L261" s="366">
        <f t="shared" si="189"/>
        <v>6780.92328626621</v>
      </c>
      <c r="M261" s="366">
        <f t="shared" si="189"/>
        <v>0</v>
      </c>
      <c r="N261" s="366">
        <f t="shared" si="189"/>
        <v>0</v>
      </c>
      <c r="O261" s="366">
        <f t="shared" si="189"/>
        <v>0</v>
      </c>
      <c r="P261" s="366">
        <f t="shared" si="189"/>
        <v>0</v>
      </c>
      <c r="Q261" s="366">
        <f t="shared" si="189"/>
        <v>0</v>
      </c>
      <c r="R261" s="366">
        <f t="shared" si="189"/>
        <v>0</v>
      </c>
      <c r="S261" s="366">
        <f t="shared" si="189"/>
        <v>0</v>
      </c>
      <c r="T261" s="366">
        <f t="shared" si="189"/>
        <v>0</v>
      </c>
      <c r="U261" s="366">
        <f t="shared" si="189"/>
        <v>0</v>
      </c>
      <c r="V261" s="366">
        <f t="shared" si="189"/>
        <v>0</v>
      </c>
      <c r="W261" s="366">
        <f t="shared" si="189"/>
        <v>0</v>
      </c>
      <c r="X261" s="366">
        <f t="shared" si="189"/>
        <v>0</v>
      </c>
      <c r="Y261" s="366">
        <f t="shared" si="189"/>
        <v>0</v>
      </c>
      <c r="Z261" s="366">
        <f t="shared" si="189"/>
        <v>0</v>
      </c>
      <c r="AA261" s="366">
        <f t="shared" si="189"/>
        <v>0</v>
      </c>
      <c r="AB261" s="366">
        <f t="shared" si="189"/>
        <v>0</v>
      </c>
      <c r="AC261" s="366">
        <f t="shared" si="189"/>
        <v>0</v>
      </c>
      <c r="AD261" s="366">
        <f t="shared" si="189"/>
        <v>0</v>
      </c>
      <c r="AE261" s="366">
        <f t="shared" si="189"/>
        <v>0</v>
      </c>
      <c r="AF261" s="366">
        <f t="shared" si="189"/>
        <v>0</v>
      </c>
      <c r="AG261" s="366">
        <f t="shared" si="189"/>
        <v>0</v>
      </c>
      <c r="AH261" s="366">
        <f t="shared" si="189"/>
        <v>0</v>
      </c>
      <c r="AI261" s="366">
        <f t="shared" si="189"/>
        <v>0</v>
      </c>
      <c r="AJ261" s="366">
        <f t="shared" si="189"/>
        <v>0</v>
      </c>
      <c r="AK261" s="366">
        <f t="shared" si="189"/>
        <v>0</v>
      </c>
      <c r="AL261" s="366">
        <f t="shared" si="189"/>
        <v>0</v>
      </c>
      <c r="AM261" s="366">
        <f t="shared" si="189"/>
        <v>0</v>
      </c>
      <c r="AN261" s="366">
        <f t="shared" si="189"/>
        <v>0</v>
      </c>
      <c r="AO261" s="366">
        <f t="shared" si="189"/>
        <v>0</v>
      </c>
      <c r="AP261" s="366">
        <f t="shared" si="189"/>
        <v>0</v>
      </c>
      <c r="AQ261" s="366">
        <f t="shared" si="189"/>
        <v>0</v>
      </c>
      <c r="AR261" s="366">
        <f t="shared" si="189"/>
        <v>0</v>
      </c>
      <c r="AS261" s="366">
        <f t="shared" si="189"/>
        <v>0</v>
      </c>
      <c r="AT261" s="366">
        <f t="shared" si="189"/>
        <v>0</v>
      </c>
      <c r="AU261" s="366">
        <f t="shared" si="189"/>
        <v>0</v>
      </c>
      <c r="AV261" s="366">
        <f t="shared" si="189"/>
        <v>0</v>
      </c>
      <c r="AW261" s="366">
        <f t="shared" si="189"/>
        <v>0</v>
      </c>
      <c r="AX261" s="366">
        <f t="shared" si="189"/>
        <v>0</v>
      </c>
      <c r="AY261" s="366">
        <f t="shared" si="189"/>
        <v>0</v>
      </c>
      <c r="AZ261" s="366">
        <f t="shared" si="189"/>
        <v>0</v>
      </c>
      <c r="BA261" s="385">
        <f t="shared" si="189"/>
        <v>0</v>
      </c>
    </row>
    <row r="262" s="105" customFormat="1" spans="2:53">
      <c r="B262" s="360"/>
      <c r="C262" s="370" t="s">
        <v>711</v>
      </c>
      <c r="D262" s="371">
        <f t="shared" ref="D262:D266" si="190">SUM(F262:BA262)</f>
        <v>6480</v>
      </c>
      <c r="E262" s="266" t="s">
        <v>130</v>
      </c>
      <c r="F262" s="371">
        <f>SUM(F263:F266)</f>
        <v>0</v>
      </c>
      <c r="G262" s="371">
        <f>SUM(G263:G266)</f>
        <v>0</v>
      </c>
      <c r="H262" s="371">
        <f t="shared" ref="H262:BA262" si="191">SUM(H263:H266)</f>
        <v>0</v>
      </c>
      <c r="I262" s="371">
        <f t="shared" si="191"/>
        <v>0</v>
      </c>
      <c r="J262" s="371">
        <f t="shared" si="191"/>
        <v>0</v>
      </c>
      <c r="K262" s="371">
        <f t="shared" si="191"/>
        <v>0</v>
      </c>
      <c r="L262" s="371">
        <f t="shared" si="191"/>
        <v>0</v>
      </c>
      <c r="M262" s="371">
        <f t="shared" si="191"/>
        <v>0</v>
      </c>
      <c r="N262" s="371">
        <f t="shared" si="191"/>
        <v>765</v>
      </c>
      <c r="O262" s="371">
        <f t="shared" si="191"/>
        <v>540</v>
      </c>
      <c r="P262" s="371">
        <f t="shared" si="191"/>
        <v>540</v>
      </c>
      <c r="Q262" s="371">
        <f t="shared" si="191"/>
        <v>540</v>
      </c>
      <c r="R262" s="371">
        <f t="shared" si="191"/>
        <v>540</v>
      </c>
      <c r="S262" s="371">
        <f t="shared" si="191"/>
        <v>540</v>
      </c>
      <c r="T262" s="371">
        <f t="shared" si="191"/>
        <v>540</v>
      </c>
      <c r="U262" s="371">
        <f t="shared" si="191"/>
        <v>540</v>
      </c>
      <c r="V262" s="371">
        <f t="shared" si="191"/>
        <v>540</v>
      </c>
      <c r="W262" s="371">
        <f t="shared" si="191"/>
        <v>540</v>
      </c>
      <c r="X262" s="371">
        <f t="shared" si="191"/>
        <v>540</v>
      </c>
      <c r="Y262" s="371">
        <f t="shared" si="191"/>
        <v>315</v>
      </c>
      <c r="Z262" s="371">
        <f t="shared" si="191"/>
        <v>0</v>
      </c>
      <c r="AA262" s="371">
        <f t="shared" si="191"/>
        <v>0</v>
      </c>
      <c r="AB262" s="371">
        <f t="shared" si="191"/>
        <v>0</v>
      </c>
      <c r="AC262" s="371">
        <f t="shared" si="191"/>
        <v>0</v>
      </c>
      <c r="AD262" s="371">
        <f t="shared" si="191"/>
        <v>0</v>
      </c>
      <c r="AE262" s="371">
        <f t="shared" si="191"/>
        <v>0</v>
      </c>
      <c r="AF262" s="371">
        <f t="shared" si="191"/>
        <v>0</v>
      </c>
      <c r="AG262" s="371">
        <f t="shared" si="191"/>
        <v>0</v>
      </c>
      <c r="AH262" s="371">
        <f t="shared" si="191"/>
        <v>0</v>
      </c>
      <c r="AI262" s="371">
        <f t="shared" si="191"/>
        <v>0</v>
      </c>
      <c r="AJ262" s="371">
        <f t="shared" si="191"/>
        <v>0</v>
      </c>
      <c r="AK262" s="371">
        <f t="shared" si="191"/>
        <v>0</v>
      </c>
      <c r="AL262" s="371">
        <f t="shared" si="191"/>
        <v>0</v>
      </c>
      <c r="AM262" s="371">
        <f t="shared" si="191"/>
        <v>0</v>
      </c>
      <c r="AN262" s="371">
        <f t="shared" si="191"/>
        <v>0</v>
      </c>
      <c r="AO262" s="371">
        <f t="shared" si="191"/>
        <v>0</v>
      </c>
      <c r="AP262" s="371">
        <f t="shared" si="191"/>
        <v>0</v>
      </c>
      <c r="AQ262" s="371">
        <f t="shared" si="191"/>
        <v>0</v>
      </c>
      <c r="AR262" s="371">
        <f t="shared" si="191"/>
        <v>0</v>
      </c>
      <c r="AS262" s="371">
        <f t="shared" si="191"/>
        <v>0</v>
      </c>
      <c r="AT262" s="371">
        <f t="shared" si="191"/>
        <v>0</v>
      </c>
      <c r="AU262" s="371">
        <f t="shared" si="191"/>
        <v>0</v>
      </c>
      <c r="AV262" s="371">
        <f t="shared" si="191"/>
        <v>0</v>
      </c>
      <c r="AW262" s="371">
        <f t="shared" si="191"/>
        <v>0</v>
      </c>
      <c r="AX262" s="371">
        <f t="shared" si="191"/>
        <v>0</v>
      </c>
      <c r="AY262" s="371">
        <f t="shared" si="191"/>
        <v>0</v>
      </c>
      <c r="AZ262" s="371">
        <f t="shared" si="191"/>
        <v>0</v>
      </c>
      <c r="BA262" s="386">
        <f t="shared" si="191"/>
        <v>0</v>
      </c>
    </row>
    <row r="263" s="105" customFormat="1" spans="2:53">
      <c r="B263" s="360"/>
      <c r="C263" s="402" t="s">
        <v>471</v>
      </c>
      <c r="D263" s="375">
        <f t="shared" si="190"/>
        <v>0</v>
      </c>
      <c r="E263" s="266" t="s">
        <v>130</v>
      </c>
      <c r="F263" s="366">
        <f>参数输入表!$I$625*(1-参数输入表!$I$628)*参数输入表!$I$36*时间序列!C34/(参数输入表!$I$627*12)</f>
        <v>0</v>
      </c>
      <c r="G263" s="366">
        <f>参数输入表!$I$625*(1-参数输入表!$I$628)*参数输入表!$I$36*时间序列!D34/(参数输入表!$I$627*12)</f>
        <v>0</v>
      </c>
      <c r="H263" s="366">
        <f>参数输入表!$I$625*(1-参数输入表!$I$628)*参数输入表!$I$36*时间序列!E34/(参数输入表!$I$627*12)</f>
        <v>0</v>
      </c>
      <c r="I263" s="366">
        <f>参数输入表!$I$625*(1-参数输入表!$I$628)*参数输入表!$I$36*时间序列!F34/(参数输入表!$I$627*12)</f>
        <v>0</v>
      </c>
      <c r="J263" s="366">
        <f>参数输入表!$I$625*(1-参数输入表!$I$628)*参数输入表!$I$36*时间序列!G34/(参数输入表!$I$627*12)</f>
        <v>0</v>
      </c>
      <c r="K263" s="366">
        <f>参数输入表!$I$625*(1-参数输入表!$I$628)*参数输入表!$I$36*时间序列!H34/(参数输入表!$I$627*12)</f>
        <v>0</v>
      </c>
      <c r="L263" s="366">
        <f>参数输入表!$I$625*(1-参数输入表!$I$628)*参数输入表!$I$36*时间序列!I34/(参数输入表!$I$627*12)</f>
        <v>0</v>
      </c>
      <c r="M263" s="366">
        <f>参数输入表!$I$625*(1-参数输入表!$I$628)*参数输入表!$I$36*时间序列!J34/(参数输入表!$I$627*12)</f>
        <v>0</v>
      </c>
      <c r="N263" s="366">
        <f>参数输入表!$I$625*(1-参数输入表!$I$628)*参数输入表!$I$36*时间序列!K34/(参数输入表!$I$627*12)</f>
        <v>0</v>
      </c>
      <c r="O263" s="366">
        <f>参数输入表!$I$625*(1-参数输入表!$I$628)*参数输入表!$I$36*时间序列!L34/(参数输入表!$I$627*12)</f>
        <v>0</v>
      </c>
      <c r="P263" s="366">
        <f>参数输入表!$I$625*(1-参数输入表!$I$628)*参数输入表!$I$36*时间序列!M34/(参数输入表!$I$627*12)</f>
        <v>0</v>
      </c>
      <c r="Q263" s="366">
        <f>参数输入表!$I$625*(1-参数输入表!$I$628)*参数输入表!$I$36*时间序列!N34/(参数输入表!$I$627*12)</f>
        <v>0</v>
      </c>
      <c r="R263" s="366">
        <f>参数输入表!$I$625*(1-参数输入表!$I$628)*参数输入表!$I$36*时间序列!O34/(参数输入表!$I$627*12)</f>
        <v>0</v>
      </c>
      <c r="S263" s="366">
        <f>参数输入表!$I$625*(1-参数输入表!$I$628)*参数输入表!$I$36*时间序列!P34/(参数输入表!$I$627*12)</f>
        <v>0</v>
      </c>
      <c r="T263" s="366">
        <f>参数输入表!$I$625*(1-参数输入表!$I$628)*参数输入表!$I$36*时间序列!Q34/(参数输入表!$I$627*12)</f>
        <v>0</v>
      </c>
      <c r="U263" s="366">
        <f>参数输入表!$I$625*(1-参数输入表!$I$628)*参数输入表!$I$36*时间序列!R34/(参数输入表!$I$627*12)</f>
        <v>0</v>
      </c>
      <c r="V263" s="366">
        <f>参数输入表!$I$625*(1-参数输入表!$I$628)*参数输入表!$I$36*时间序列!S34/(参数输入表!$I$627*12)</f>
        <v>0</v>
      </c>
      <c r="W263" s="366">
        <f>参数输入表!$I$625*(1-参数输入表!$I$628)*参数输入表!$I$36*时间序列!T34/(参数输入表!$I$627*12)</f>
        <v>0</v>
      </c>
      <c r="X263" s="366">
        <f>参数输入表!$I$625*(1-参数输入表!$I$628)*参数输入表!$I$36*时间序列!U34/(参数输入表!$I$627*12)</f>
        <v>0</v>
      </c>
      <c r="Y263" s="366">
        <f>参数输入表!$I$625*(1-参数输入表!$I$628)*参数输入表!$I$36*时间序列!V34/(参数输入表!$I$627*12)</f>
        <v>0</v>
      </c>
      <c r="Z263" s="366">
        <f>参数输入表!$I$625*(1-参数输入表!$I$628)*参数输入表!$I$36*时间序列!W34/(参数输入表!$I$627*12)</f>
        <v>0</v>
      </c>
      <c r="AA263" s="366">
        <f>参数输入表!$I$625*(1-参数输入表!$I$628)*参数输入表!$I$36*时间序列!X34/(参数输入表!$I$627*12)</f>
        <v>0</v>
      </c>
      <c r="AB263" s="366">
        <f>参数输入表!$I$625*(1-参数输入表!$I$628)*参数输入表!$I$36*时间序列!Y34/(参数输入表!$I$627*12)</f>
        <v>0</v>
      </c>
      <c r="AC263" s="366">
        <f>参数输入表!$I$625*(1-参数输入表!$I$628)*参数输入表!$I$36*时间序列!Z34/(参数输入表!$I$627*12)</f>
        <v>0</v>
      </c>
      <c r="AD263" s="366">
        <f>参数输入表!$I$625*(1-参数输入表!$I$628)*参数输入表!$I$36*时间序列!AA34/(参数输入表!$I$627*12)</f>
        <v>0</v>
      </c>
      <c r="AE263" s="366">
        <f>参数输入表!$I$625*(1-参数输入表!$I$628)*参数输入表!$I$36*时间序列!AB34/(参数输入表!$I$627*12)</f>
        <v>0</v>
      </c>
      <c r="AF263" s="366">
        <f>参数输入表!$I$625*(1-参数输入表!$I$628)*参数输入表!$I$36*时间序列!AC34/(参数输入表!$I$627*12)</f>
        <v>0</v>
      </c>
      <c r="AG263" s="366">
        <f>参数输入表!$I$625*(1-参数输入表!$I$628)*参数输入表!$I$36*时间序列!AD34/(参数输入表!$I$627*12)</f>
        <v>0</v>
      </c>
      <c r="AH263" s="366">
        <f>参数输入表!$I$625*(1-参数输入表!$I$628)*参数输入表!$I$36*时间序列!AE34/(参数输入表!$I$627*12)</f>
        <v>0</v>
      </c>
      <c r="AI263" s="366">
        <f>参数输入表!$I$625*(1-参数输入表!$I$628)*参数输入表!$I$36*时间序列!AF34/(参数输入表!$I$627*12)</f>
        <v>0</v>
      </c>
      <c r="AJ263" s="366">
        <f>参数输入表!$I$625*(1-参数输入表!$I$628)*参数输入表!$I$36*时间序列!AG34/(参数输入表!$I$627*12)</f>
        <v>0</v>
      </c>
      <c r="AK263" s="366">
        <f>参数输入表!$I$625*(1-参数输入表!$I$628)*参数输入表!$I$36*时间序列!AH34/(参数输入表!$I$627*12)</f>
        <v>0</v>
      </c>
      <c r="AL263" s="366">
        <f>参数输入表!$I$625*(1-参数输入表!$I$628)*参数输入表!$I$36*时间序列!AI34/(参数输入表!$I$627*12)</f>
        <v>0</v>
      </c>
      <c r="AM263" s="366">
        <f>参数输入表!$I$625*(1-参数输入表!$I$628)*参数输入表!$I$36*时间序列!AJ34/(参数输入表!$I$627*12)</f>
        <v>0</v>
      </c>
      <c r="AN263" s="366">
        <f>参数输入表!$I$625*(1-参数输入表!$I$628)*参数输入表!$I$36*时间序列!AK34/(参数输入表!$I$627*12)</f>
        <v>0</v>
      </c>
      <c r="AO263" s="366">
        <f>参数输入表!$I$625*(1-参数输入表!$I$628)*参数输入表!$I$36*时间序列!AL34/(参数输入表!$I$627*12)</f>
        <v>0</v>
      </c>
      <c r="AP263" s="366">
        <f>参数输入表!$I$625*(1-参数输入表!$I$628)*参数输入表!$I$36*时间序列!AM34/(参数输入表!$I$627*12)</f>
        <v>0</v>
      </c>
      <c r="AQ263" s="366">
        <f>参数输入表!$I$625*(1-参数输入表!$I$628)*参数输入表!$I$36*时间序列!AN34/(参数输入表!$I$627*12)</f>
        <v>0</v>
      </c>
      <c r="AR263" s="366">
        <f>参数输入表!$I$625*(1-参数输入表!$I$628)*参数输入表!$I$36*时间序列!AO34/(参数输入表!$I$627*12)</f>
        <v>0</v>
      </c>
      <c r="AS263" s="366">
        <f>参数输入表!$I$625*(1-参数输入表!$I$628)*参数输入表!$I$36*时间序列!AP34/(参数输入表!$I$627*12)</f>
        <v>0</v>
      </c>
      <c r="AT263" s="366">
        <f>参数输入表!$I$625*(1-参数输入表!$I$628)*参数输入表!$I$36*时间序列!AQ34/(参数输入表!$I$627*12)</f>
        <v>0</v>
      </c>
      <c r="AU263" s="366">
        <f>参数输入表!$I$625*(1-参数输入表!$I$628)*参数输入表!$I$36*时间序列!AR34/(参数输入表!$I$627*12)</f>
        <v>0</v>
      </c>
      <c r="AV263" s="366">
        <f>参数输入表!$I$625*(1-参数输入表!$I$628)*参数输入表!$I$36*时间序列!AS34/(参数输入表!$I$627*12)</f>
        <v>0</v>
      </c>
      <c r="AW263" s="366">
        <f>参数输入表!$I$625*(1-参数输入表!$I$628)*参数输入表!$I$36*时间序列!AT34/(参数输入表!$I$627*12)</f>
        <v>0</v>
      </c>
      <c r="AX263" s="366">
        <f>参数输入表!$I$625*(1-参数输入表!$I$628)*参数输入表!$I$36*时间序列!AU34/(参数输入表!$I$627*12)</f>
        <v>0</v>
      </c>
      <c r="AY263" s="366">
        <f>参数输入表!$I$625*(1-参数输入表!$I$628)*参数输入表!$I$36*时间序列!AV34/(参数输入表!$I$627*12)</f>
        <v>0</v>
      </c>
      <c r="AZ263" s="366">
        <f>参数输入表!$I$625*(1-参数输入表!$I$628)*参数输入表!$I$36*时间序列!AW34/(参数输入表!$I$627*12)</f>
        <v>0</v>
      </c>
      <c r="BA263" s="385">
        <f>参数输入表!$I$625*(1-参数输入表!$I$628)*参数输入表!$I$36*时间序列!AX34/(参数输入表!$I$627*12)</f>
        <v>0</v>
      </c>
    </row>
    <row r="264" s="105" customFormat="1" spans="2:53">
      <c r="B264" s="360"/>
      <c r="C264" s="402" t="s">
        <v>472</v>
      </c>
      <c r="D264" s="375">
        <f t="shared" si="190"/>
        <v>0</v>
      </c>
      <c r="E264" s="266" t="s">
        <v>130</v>
      </c>
      <c r="F264" s="366">
        <f>参数输入表!$I$625*(1-参数输入表!$I$628)*参数输入表!$I$37*时间序列!C62/(参数输入表!$I$627*12)</f>
        <v>0</v>
      </c>
      <c r="G264" s="366">
        <f>参数输入表!$I$625*(1-参数输入表!$I$628)*参数输入表!$I$37*时间序列!D62/(参数输入表!$I$627*12)</f>
        <v>0</v>
      </c>
      <c r="H264" s="366">
        <f>参数输入表!$I$625*(1-参数输入表!$I$628)*参数输入表!$I$37*时间序列!E62/(参数输入表!$I$627*12)</f>
        <v>0</v>
      </c>
      <c r="I264" s="366">
        <f>参数输入表!$I$625*(1-参数输入表!$I$628)*参数输入表!$I$37*时间序列!F62/(参数输入表!$I$627*12)</f>
        <v>0</v>
      </c>
      <c r="J264" s="366">
        <f>参数输入表!$I$625*(1-参数输入表!$I$628)*参数输入表!$I$37*时间序列!G62/(参数输入表!$I$627*12)</f>
        <v>0</v>
      </c>
      <c r="K264" s="366">
        <f>参数输入表!$I$625*(1-参数输入表!$I$628)*参数输入表!$I$37*时间序列!H62/(参数输入表!$I$627*12)</f>
        <v>0</v>
      </c>
      <c r="L264" s="366">
        <f>参数输入表!$I$625*(1-参数输入表!$I$628)*参数输入表!$I$37*时间序列!I62/(参数输入表!$I$627*12)</f>
        <v>0</v>
      </c>
      <c r="M264" s="366">
        <f>参数输入表!$I$625*(1-参数输入表!$I$628)*参数输入表!$I$37*时间序列!J62/(参数输入表!$I$627*12)</f>
        <v>0</v>
      </c>
      <c r="N264" s="366">
        <f>参数输入表!$I$625*(1-参数输入表!$I$628)*参数输入表!$I$37*时间序列!K62/(参数输入表!$I$627*12)</f>
        <v>0</v>
      </c>
      <c r="O264" s="366">
        <f>参数输入表!$I$625*(1-参数输入表!$I$628)*参数输入表!$I$37*时间序列!L62/(参数输入表!$I$627*12)</f>
        <v>0</v>
      </c>
      <c r="P264" s="366">
        <f>参数输入表!$I$625*(1-参数输入表!$I$628)*参数输入表!$I$37*时间序列!M62/(参数输入表!$I$627*12)</f>
        <v>0</v>
      </c>
      <c r="Q264" s="366">
        <f>参数输入表!$I$625*(1-参数输入表!$I$628)*参数输入表!$I$37*时间序列!N62/(参数输入表!$I$627*12)</f>
        <v>0</v>
      </c>
      <c r="R264" s="366">
        <f>参数输入表!$I$625*(1-参数输入表!$I$628)*参数输入表!$I$37*时间序列!O62/(参数输入表!$I$627*12)</f>
        <v>0</v>
      </c>
      <c r="S264" s="366">
        <f>参数输入表!$I$625*(1-参数输入表!$I$628)*参数输入表!$I$37*时间序列!P62/(参数输入表!$I$627*12)</f>
        <v>0</v>
      </c>
      <c r="T264" s="366">
        <f>参数输入表!$I$625*(1-参数输入表!$I$628)*参数输入表!$I$37*时间序列!Q62/(参数输入表!$I$627*12)</f>
        <v>0</v>
      </c>
      <c r="U264" s="366">
        <f>参数输入表!$I$625*(1-参数输入表!$I$628)*参数输入表!$I$37*时间序列!R62/(参数输入表!$I$627*12)</f>
        <v>0</v>
      </c>
      <c r="V264" s="366">
        <f>参数输入表!$I$625*(1-参数输入表!$I$628)*参数输入表!$I$37*时间序列!S62/(参数输入表!$I$627*12)</f>
        <v>0</v>
      </c>
      <c r="W264" s="366">
        <f>参数输入表!$I$625*(1-参数输入表!$I$628)*参数输入表!$I$37*时间序列!T62/(参数输入表!$I$627*12)</f>
        <v>0</v>
      </c>
      <c r="X264" s="366">
        <f>参数输入表!$I$625*(1-参数输入表!$I$628)*参数输入表!$I$37*时间序列!U62/(参数输入表!$I$627*12)</f>
        <v>0</v>
      </c>
      <c r="Y264" s="366">
        <f>参数输入表!$I$625*(1-参数输入表!$I$628)*参数输入表!$I$37*时间序列!V62/(参数输入表!$I$627*12)</f>
        <v>0</v>
      </c>
      <c r="Z264" s="366">
        <f>参数输入表!$I$625*(1-参数输入表!$I$628)*参数输入表!$I$37*时间序列!W62/(参数输入表!$I$627*12)</f>
        <v>0</v>
      </c>
      <c r="AA264" s="366">
        <f>参数输入表!$I$625*(1-参数输入表!$I$628)*参数输入表!$I$37*时间序列!X62/(参数输入表!$I$627*12)</f>
        <v>0</v>
      </c>
      <c r="AB264" s="366">
        <f>参数输入表!$I$625*(1-参数输入表!$I$628)*参数输入表!$I$37*时间序列!Y62/(参数输入表!$I$627*12)</f>
        <v>0</v>
      </c>
      <c r="AC264" s="366">
        <f>参数输入表!$I$625*(1-参数输入表!$I$628)*参数输入表!$I$37*时间序列!Z62/(参数输入表!$I$627*12)</f>
        <v>0</v>
      </c>
      <c r="AD264" s="366">
        <f>参数输入表!$I$625*(1-参数输入表!$I$628)*参数输入表!$I$37*时间序列!AA62/(参数输入表!$I$627*12)</f>
        <v>0</v>
      </c>
      <c r="AE264" s="366">
        <f>参数输入表!$I$625*(1-参数输入表!$I$628)*参数输入表!$I$37*时间序列!AB62/(参数输入表!$I$627*12)</f>
        <v>0</v>
      </c>
      <c r="AF264" s="366">
        <f>参数输入表!$I$625*(1-参数输入表!$I$628)*参数输入表!$I$37*时间序列!AC62/(参数输入表!$I$627*12)</f>
        <v>0</v>
      </c>
      <c r="AG264" s="366">
        <f>参数输入表!$I$625*(1-参数输入表!$I$628)*参数输入表!$I$37*时间序列!AD62/(参数输入表!$I$627*12)</f>
        <v>0</v>
      </c>
      <c r="AH264" s="366">
        <f>参数输入表!$I$625*(1-参数输入表!$I$628)*参数输入表!$I$37*时间序列!AE62/(参数输入表!$I$627*12)</f>
        <v>0</v>
      </c>
      <c r="AI264" s="366">
        <f>参数输入表!$I$625*(1-参数输入表!$I$628)*参数输入表!$I$37*时间序列!AF62/(参数输入表!$I$627*12)</f>
        <v>0</v>
      </c>
      <c r="AJ264" s="366">
        <f>参数输入表!$I$625*(1-参数输入表!$I$628)*参数输入表!$I$37*时间序列!AG62/(参数输入表!$I$627*12)</f>
        <v>0</v>
      </c>
      <c r="AK264" s="366">
        <f>参数输入表!$I$625*(1-参数输入表!$I$628)*参数输入表!$I$37*时间序列!AH62/(参数输入表!$I$627*12)</f>
        <v>0</v>
      </c>
      <c r="AL264" s="366">
        <f>参数输入表!$I$625*(1-参数输入表!$I$628)*参数输入表!$I$37*时间序列!AI62/(参数输入表!$I$627*12)</f>
        <v>0</v>
      </c>
      <c r="AM264" s="366">
        <f>参数输入表!$I$625*(1-参数输入表!$I$628)*参数输入表!$I$37*时间序列!AJ62/(参数输入表!$I$627*12)</f>
        <v>0</v>
      </c>
      <c r="AN264" s="366">
        <f>参数输入表!$I$625*(1-参数输入表!$I$628)*参数输入表!$I$37*时间序列!AK62/(参数输入表!$I$627*12)</f>
        <v>0</v>
      </c>
      <c r="AO264" s="366">
        <f>参数输入表!$I$625*(1-参数输入表!$I$628)*参数输入表!$I$37*时间序列!AL62/(参数输入表!$I$627*12)</f>
        <v>0</v>
      </c>
      <c r="AP264" s="366">
        <f>参数输入表!$I$625*(1-参数输入表!$I$628)*参数输入表!$I$37*时间序列!AM62/(参数输入表!$I$627*12)</f>
        <v>0</v>
      </c>
      <c r="AQ264" s="366">
        <f>参数输入表!$I$625*(1-参数输入表!$I$628)*参数输入表!$I$37*时间序列!AN62/(参数输入表!$I$627*12)</f>
        <v>0</v>
      </c>
      <c r="AR264" s="366">
        <f>参数输入表!$I$625*(1-参数输入表!$I$628)*参数输入表!$I$37*时间序列!AO62/(参数输入表!$I$627*12)</f>
        <v>0</v>
      </c>
      <c r="AS264" s="366">
        <f>参数输入表!$I$625*(1-参数输入表!$I$628)*参数输入表!$I$37*时间序列!AP62/(参数输入表!$I$627*12)</f>
        <v>0</v>
      </c>
      <c r="AT264" s="366">
        <f>参数输入表!$I$625*(1-参数输入表!$I$628)*参数输入表!$I$37*时间序列!AQ62/(参数输入表!$I$627*12)</f>
        <v>0</v>
      </c>
      <c r="AU264" s="366">
        <f>参数输入表!$I$625*(1-参数输入表!$I$628)*参数输入表!$I$37*时间序列!AR62/(参数输入表!$I$627*12)</f>
        <v>0</v>
      </c>
      <c r="AV264" s="366">
        <f>参数输入表!$I$625*(1-参数输入表!$I$628)*参数输入表!$I$37*时间序列!AS62/(参数输入表!$I$627*12)</f>
        <v>0</v>
      </c>
      <c r="AW264" s="366">
        <f>参数输入表!$I$625*(1-参数输入表!$I$628)*参数输入表!$I$37*时间序列!AT62/(参数输入表!$I$627*12)</f>
        <v>0</v>
      </c>
      <c r="AX264" s="366">
        <f>参数输入表!$I$625*(1-参数输入表!$I$628)*参数输入表!$I$37*时间序列!AU62/(参数输入表!$I$627*12)</f>
        <v>0</v>
      </c>
      <c r="AY264" s="366">
        <f>参数输入表!$I$625*(1-参数输入表!$I$628)*参数输入表!$I$37*时间序列!AV62/(参数输入表!$I$627*12)</f>
        <v>0</v>
      </c>
      <c r="AZ264" s="366">
        <f>参数输入表!$I$625*(1-参数输入表!$I$628)*参数输入表!$I$37*时间序列!AW62/(参数输入表!$I$627*12)</f>
        <v>0</v>
      </c>
      <c r="BA264" s="385">
        <f>参数输入表!$I$625*(1-参数输入表!$I$628)*参数输入表!$I$37*时间序列!AX62/(参数输入表!$I$627*12)</f>
        <v>0</v>
      </c>
    </row>
    <row r="265" s="105" customFormat="1" spans="2:53">
      <c r="B265" s="360"/>
      <c r="C265" s="402" t="s">
        <v>473</v>
      </c>
      <c r="D265" s="375">
        <f t="shared" si="190"/>
        <v>0</v>
      </c>
      <c r="E265" s="266" t="s">
        <v>130</v>
      </c>
      <c r="F265" s="366">
        <f>参数输入表!$I$625*(1-参数输入表!$I$628)*参数输入表!$I$38*时间序列!C90/(参数输入表!$I$627*12)</f>
        <v>0</v>
      </c>
      <c r="G265" s="366">
        <f>参数输入表!$I$625*(1-参数输入表!$I$628)*参数输入表!$I$38*时间序列!D90/(参数输入表!$I$627*12)</f>
        <v>0</v>
      </c>
      <c r="H265" s="366">
        <f>参数输入表!$I$625*(1-参数输入表!$I$628)*参数输入表!$I$38*时间序列!E90/(参数输入表!$I$627*12)</f>
        <v>0</v>
      </c>
      <c r="I265" s="366">
        <f>参数输入表!$I$625*(1-参数输入表!$I$628)*参数输入表!$I$38*时间序列!F90/(参数输入表!$I$627*12)</f>
        <v>0</v>
      </c>
      <c r="J265" s="366">
        <f>参数输入表!$I$625*(1-参数输入表!$I$628)*参数输入表!$I$38*时间序列!G90/(参数输入表!$I$627*12)</f>
        <v>0</v>
      </c>
      <c r="K265" s="366">
        <f>参数输入表!$I$625*(1-参数输入表!$I$628)*参数输入表!$I$38*时间序列!H90/(参数输入表!$I$627*12)</f>
        <v>0</v>
      </c>
      <c r="L265" s="366">
        <f>参数输入表!$I$625*(1-参数输入表!$I$628)*参数输入表!$I$38*时间序列!I90/(参数输入表!$I$627*12)</f>
        <v>0</v>
      </c>
      <c r="M265" s="366">
        <f>参数输入表!$I$625*(1-参数输入表!$I$628)*参数输入表!$I$38*时间序列!J90/(参数输入表!$I$627*12)</f>
        <v>0</v>
      </c>
      <c r="N265" s="366">
        <f>参数输入表!$I$625*(1-参数输入表!$I$628)*参数输入表!$I$38*时间序列!K90/(参数输入表!$I$627*12)</f>
        <v>0</v>
      </c>
      <c r="O265" s="366">
        <f>参数输入表!$I$625*(1-参数输入表!$I$628)*参数输入表!$I$38*时间序列!L90/(参数输入表!$I$627*12)</f>
        <v>0</v>
      </c>
      <c r="P265" s="366">
        <f>参数输入表!$I$625*(1-参数输入表!$I$628)*参数输入表!$I$38*时间序列!M90/(参数输入表!$I$627*12)</f>
        <v>0</v>
      </c>
      <c r="Q265" s="366">
        <f>参数输入表!$I$625*(1-参数输入表!$I$628)*参数输入表!$I$38*时间序列!N90/(参数输入表!$I$627*12)</f>
        <v>0</v>
      </c>
      <c r="R265" s="366">
        <f>参数输入表!$I$625*(1-参数输入表!$I$628)*参数输入表!$I$38*时间序列!O90/(参数输入表!$I$627*12)</f>
        <v>0</v>
      </c>
      <c r="S265" s="366">
        <f>参数输入表!$I$625*(1-参数输入表!$I$628)*参数输入表!$I$38*时间序列!P90/(参数输入表!$I$627*12)</f>
        <v>0</v>
      </c>
      <c r="T265" s="366">
        <f>参数输入表!$I$625*(1-参数输入表!$I$628)*参数输入表!$I$38*时间序列!Q90/(参数输入表!$I$627*12)</f>
        <v>0</v>
      </c>
      <c r="U265" s="366">
        <f>参数输入表!$I$625*(1-参数输入表!$I$628)*参数输入表!$I$38*时间序列!R90/(参数输入表!$I$627*12)</f>
        <v>0</v>
      </c>
      <c r="V265" s="366">
        <f>参数输入表!$I$625*(1-参数输入表!$I$628)*参数输入表!$I$38*时间序列!S90/(参数输入表!$I$627*12)</f>
        <v>0</v>
      </c>
      <c r="W265" s="366">
        <f>参数输入表!$I$625*(1-参数输入表!$I$628)*参数输入表!$I$38*时间序列!T90/(参数输入表!$I$627*12)</f>
        <v>0</v>
      </c>
      <c r="X265" s="366">
        <f>参数输入表!$I$625*(1-参数输入表!$I$628)*参数输入表!$I$38*时间序列!U90/(参数输入表!$I$627*12)</f>
        <v>0</v>
      </c>
      <c r="Y265" s="366">
        <f>参数输入表!$I$625*(1-参数输入表!$I$628)*参数输入表!$I$38*时间序列!V90/(参数输入表!$I$627*12)</f>
        <v>0</v>
      </c>
      <c r="Z265" s="366">
        <f>参数输入表!$I$625*(1-参数输入表!$I$628)*参数输入表!$I$38*时间序列!W90/(参数输入表!$I$627*12)</f>
        <v>0</v>
      </c>
      <c r="AA265" s="366">
        <f>参数输入表!$I$625*(1-参数输入表!$I$628)*参数输入表!$I$38*时间序列!X90/(参数输入表!$I$627*12)</f>
        <v>0</v>
      </c>
      <c r="AB265" s="366">
        <f>参数输入表!$I$625*(1-参数输入表!$I$628)*参数输入表!$I$38*时间序列!Y90/(参数输入表!$I$627*12)</f>
        <v>0</v>
      </c>
      <c r="AC265" s="366">
        <f>参数输入表!$I$625*(1-参数输入表!$I$628)*参数输入表!$I$38*时间序列!Z90/(参数输入表!$I$627*12)</f>
        <v>0</v>
      </c>
      <c r="AD265" s="366">
        <f>参数输入表!$I$625*(1-参数输入表!$I$628)*参数输入表!$I$38*时间序列!AA90/(参数输入表!$I$627*12)</f>
        <v>0</v>
      </c>
      <c r="AE265" s="366">
        <f>参数输入表!$I$625*(1-参数输入表!$I$628)*参数输入表!$I$38*时间序列!AB90/(参数输入表!$I$627*12)</f>
        <v>0</v>
      </c>
      <c r="AF265" s="366">
        <f>参数输入表!$I$625*(1-参数输入表!$I$628)*参数输入表!$I$38*时间序列!AC90/(参数输入表!$I$627*12)</f>
        <v>0</v>
      </c>
      <c r="AG265" s="366">
        <f>参数输入表!$I$625*(1-参数输入表!$I$628)*参数输入表!$I$38*时间序列!AD90/(参数输入表!$I$627*12)</f>
        <v>0</v>
      </c>
      <c r="AH265" s="366">
        <f>参数输入表!$I$625*(1-参数输入表!$I$628)*参数输入表!$I$38*时间序列!AE90/(参数输入表!$I$627*12)</f>
        <v>0</v>
      </c>
      <c r="AI265" s="366">
        <f>参数输入表!$I$625*(1-参数输入表!$I$628)*参数输入表!$I$38*时间序列!AF90/(参数输入表!$I$627*12)</f>
        <v>0</v>
      </c>
      <c r="AJ265" s="366">
        <f>参数输入表!$I$625*(1-参数输入表!$I$628)*参数输入表!$I$38*时间序列!AG90/(参数输入表!$I$627*12)</f>
        <v>0</v>
      </c>
      <c r="AK265" s="366">
        <f>参数输入表!$I$625*(1-参数输入表!$I$628)*参数输入表!$I$38*时间序列!AH90/(参数输入表!$I$627*12)</f>
        <v>0</v>
      </c>
      <c r="AL265" s="366">
        <f>参数输入表!$I$625*(1-参数输入表!$I$628)*参数输入表!$I$38*时间序列!AI90/(参数输入表!$I$627*12)</f>
        <v>0</v>
      </c>
      <c r="AM265" s="366">
        <f>参数输入表!$I$625*(1-参数输入表!$I$628)*参数输入表!$I$38*时间序列!AJ90/(参数输入表!$I$627*12)</f>
        <v>0</v>
      </c>
      <c r="AN265" s="366">
        <f>参数输入表!$I$625*(1-参数输入表!$I$628)*参数输入表!$I$38*时间序列!AK90/(参数输入表!$I$627*12)</f>
        <v>0</v>
      </c>
      <c r="AO265" s="366">
        <f>参数输入表!$I$625*(1-参数输入表!$I$628)*参数输入表!$I$38*时间序列!AL90/(参数输入表!$I$627*12)</f>
        <v>0</v>
      </c>
      <c r="AP265" s="366">
        <f>参数输入表!$I$625*(1-参数输入表!$I$628)*参数输入表!$I$38*时间序列!AM90/(参数输入表!$I$627*12)</f>
        <v>0</v>
      </c>
      <c r="AQ265" s="366">
        <f>参数输入表!$I$625*(1-参数输入表!$I$628)*参数输入表!$I$38*时间序列!AN90/(参数输入表!$I$627*12)</f>
        <v>0</v>
      </c>
      <c r="AR265" s="366">
        <f>参数输入表!$I$625*(1-参数输入表!$I$628)*参数输入表!$I$38*时间序列!AO90/(参数输入表!$I$627*12)</f>
        <v>0</v>
      </c>
      <c r="AS265" s="366">
        <f>参数输入表!$I$625*(1-参数输入表!$I$628)*参数输入表!$I$38*时间序列!AP90/(参数输入表!$I$627*12)</f>
        <v>0</v>
      </c>
      <c r="AT265" s="366">
        <f>参数输入表!$I$625*(1-参数输入表!$I$628)*参数输入表!$I$38*时间序列!AQ90/(参数输入表!$I$627*12)</f>
        <v>0</v>
      </c>
      <c r="AU265" s="366">
        <f>参数输入表!$I$625*(1-参数输入表!$I$628)*参数输入表!$I$38*时间序列!AR90/(参数输入表!$I$627*12)</f>
        <v>0</v>
      </c>
      <c r="AV265" s="366">
        <f>参数输入表!$I$625*(1-参数输入表!$I$628)*参数输入表!$I$38*时间序列!AS90/(参数输入表!$I$627*12)</f>
        <v>0</v>
      </c>
      <c r="AW265" s="366">
        <f>参数输入表!$I$625*(1-参数输入表!$I$628)*参数输入表!$I$38*时间序列!AT90/(参数输入表!$I$627*12)</f>
        <v>0</v>
      </c>
      <c r="AX265" s="366">
        <f>参数输入表!$I$625*(1-参数输入表!$I$628)*参数输入表!$I$38*时间序列!AU90/(参数输入表!$I$627*12)</f>
        <v>0</v>
      </c>
      <c r="AY265" s="366">
        <f>参数输入表!$I$625*(1-参数输入表!$I$628)*参数输入表!$I$38*时间序列!AV90/(参数输入表!$I$627*12)</f>
        <v>0</v>
      </c>
      <c r="AZ265" s="366">
        <f>参数输入表!$I$625*(1-参数输入表!$I$628)*参数输入表!$I$38*时间序列!AW90/(参数输入表!$I$627*12)</f>
        <v>0</v>
      </c>
      <c r="BA265" s="385">
        <f>参数输入表!$I$625*(1-参数输入表!$I$628)*参数输入表!$I$38*时间序列!AX90/(参数输入表!$I$627*12)</f>
        <v>0</v>
      </c>
    </row>
    <row r="266" s="105" customFormat="1" spans="2:53">
      <c r="B266" s="360"/>
      <c r="C266" s="402" t="s">
        <v>474</v>
      </c>
      <c r="D266" s="375">
        <f t="shared" si="190"/>
        <v>6480</v>
      </c>
      <c r="E266" s="266" t="s">
        <v>130</v>
      </c>
      <c r="F266" s="366">
        <f>参数输入表!$I$625*(1-参数输入表!$I$628)*参数输入表!$I$39*时间序列!C118/(参数输入表!$I$627*12)</f>
        <v>0</v>
      </c>
      <c r="G266" s="366">
        <f>参数输入表!$I$625*(1-参数输入表!$I$628)*参数输入表!$I$39*时间序列!D118/(参数输入表!$I$627*12)</f>
        <v>0</v>
      </c>
      <c r="H266" s="366">
        <f>参数输入表!$I$625*(1-参数输入表!$I$628)*参数输入表!$I$39*时间序列!E118/(参数输入表!$I$627*12)</f>
        <v>0</v>
      </c>
      <c r="I266" s="366">
        <f>参数输入表!$I$625*(1-参数输入表!$I$628)*参数输入表!$I$39*时间序列!F118/(参数输入表!$I$627*12)</f>
        <v>0</v>
      </c>
      <c r="J266" s="366">
        <f>参数输入表!$I$625*(1-参数输入表!$I$628)*参数输入表!$I$39*时间序列!G118/(参数输入表!$I$627*12)</f>
        <v>0</v>
      </c>
      <c r="K266" s="366">
        <f>参数输入表!$I$625*(1-参数输入表!$I$628)*参数输入表!$I$39*时间序列!H118/(参数输入表!$I$627*12)</f>
        <v>0</v>
      </c>
      <c r="L266" s="366">
        <f>参数输入表!$I$625*(1-参数输入表!$I$628)*参数输入表!$I$39*时间序列!I118/(参数输入表!$I$627*12)</f>
        <v>0</v>
      </c>
      <c r="M266" s="366">
        <f>参数输入表!$I$625*(1-参数输入表!$I$628)*参数输入表!$I$39*时间序列!J118/(参数输入表!$I$627*12)</f>
        <v>0</v>
      </c>
      <c r="N266" s="366">
        <f>参数输入表!$I$625*(1-参数输入表!$I$628)*参数输入表!$I$39*时间序列!K118/(参数输入表!$I$627*12)</f>
        <v>765</v>
      </c>
      <c r="O266" s="366">
        <f>参数输入表!$I$625*(1-参数输入表!$I$628)*参数输入表!$I$39*时间序列!L118/(参数输入表!$I$627*12)</f>
        <v>540</v>
      </c>
      <c r="P266" s="366">
        <f>参数输入表!$I$625*(1-参数输入表!$I$628)*参数输入表!$I$39*时间序列!M118/(参数输入表!$I$627*12)</f>
        <v>540</v>
      </c>
      <c r="Q266" s="366">
        <f>参数输入表!$I$625*(1-参数输入表!$I$628)*参数输入表!$I$39*时间序列!N118/(参数输入表!$I$627*12)</f>
        <v>540</v>
      </c>
      <c r="R266" s="366">
        <f>参数输入表!$I$625*(1-参数输入表!$I$628)*参数输入表!$I$39*时间序列!O118/(参数输入表!$I$627*12)</f>
        <v>540</v>
      </c>
      <c r="S266" s="366">
        <f>参数输入表!$I$625*(1-参数输入表!$I$628)*参数输入表!$I$39*时间序列!P118/(参数输入表!$I$627*12)</f>
        <v>540</v>
      </c>
      <c r="T266" s="366">
        <f>参数输入表!$I$625*(1-参数输入表!$I$628)*参数输入表!$I$39*时间序列!Q118/(参数输入表!$I$627*12)</f>
        <v>540</v>
      </c>
      <c r="U266" s="366">
        <f>参数输入表!$I$625*(1-参数输入表!$I$628)*参数输入表!$I$39*时间序列!R118/(参数输入表!$I$627*12)</f>
        <v>540</v>
      </c>
      <c r="V266" s="366">
        <f>参数输入表!$I$625*(1-参数输入表!$I$628)*参数输入表!$I$39*时间序列!S118/(参数输入表!$I$627*12)</f>
        <v>540</v>
      </c>
      <c r="W266" s="366">
        <f>参数输入表!$I$625*(1-参数输入表!$I$628)*参数输入表!$I$39*时间序列!T118/(参数输入表!$I$627*12)</f>
        <v>540</v>
      </c>
      <c r="X266" s="366">
        <f>参数输入表!$I$625*(1-参数输入表!$I$628)*参数输入表!$I$39*时间序列!U118/(参数输入表!$I$627*12)</f>
        <v>540</v>
      </c>
      <c r="Y266" s="366">
        <f>参数输入表!$I$625*(1-参数输入表!$I$628)*参数输入表!$I$39*时间序列!V118/(参数输入表!$I$627*12)</f>
        <v>315</v>
      </c>
      <c r="Z266" s="366">
        <f>参数输入表!$I$625*(1-参数输入表!$I$628)*参数输入表!$I$39*时间序列!W118/(参数输入表!$I$627*12)</f>
        <v>0</v>
      </c>
      <c r="AA266" s="366">
        <f>参数输入表!$I$625*(1-参数输入表!$I$628)*参数输入表!$I$39*时间序列!X118/(参数输入表!$I$627*12)</f>
        <v>0</v>
      </c>
      <c r="AB266" s="366">
        <f>参数输入表!$I$625*(1-参数输入表!$I$628)*参数输入表!$I$39*时间序列!Y118/(参数输入表!$I$627*12)</f>
        <v>0</v>
      </c>
      <c r="AC266" s="366">
        <f>参数输入表!$I$625*(1-参数输入表!$I$628)*参数输入表!$I$39*时间序列!Z118/(参数输入表!$I$627*12)</f>
        <v>0</v>
      </c>
      <c r="AD266" s="366">
        <f>参数输入表!$I$625*(1-参数输入表!$I$628)*参数输入表!$I$39*时间序列!AA118/(参数输入表!$I$627*12)</f>
        <v>0</v>
      </c>
      <c r="AE266" s="366">
        <f>参数输入表!$I$625*(1-参数输入表!$I$628)*参数输入表!$I$39*时间序列!AB118/(参数输入表!$I$627*12)</f>
        <v>0</v>
      </c>
      <c r="AF266" s="366">
        <f>参数输入表!$I$625*(1-参数输入表!$I$628)*参数输入表!$I$39*时间序列!AC118/(参数输入表!$I$627*12)</f>
        <v>0</v>
      </c>
      <c r="AG266" s="366">
        <f>参数输入表!$I$625*(1-参数输入表!$I$628)*参数输入表!$I$39*时间序列!AD118/(参数输入表!$I$627*12)</f>
        <v>0</v>
      </c>
      <c r="AH266" s="366">
        <f>参数输入表!$I$625*(1-参数输入表!$I$628)*参数输入表!$I$39*时间序列!AE118/(参数输入表!$I$627*12)</f>
        <v>0</v>
      </c>
      <c r="AI266" s="366">
        <f>参数输入表!$I$625*(1-参数输入表!$I$628)*参数输入表!$I$39*时间序列!AF118/(参数输入表!$I$627*12)</f>
        <v>0</v>
      </c>
      <c r="AJ266" s="366">
        <f>参数输入表!$I$625*(1-参数输入表!$I$628)*参数输入表!$I$39*时间序列!AG118/(参数输入表!$I$627*12)</f>
        <v>0</v>
      </c>
      <c r="AK266" s="366">
        <f>参数输入表!$I$625*(1-参数输入表!$I$628)*参数输入表!$I$39*时间序列!AH118/(参数输入表!$I$627*12)</f>
        <v>0</v>
      </c>
      <c r="AL266" s="366">
        <f>参数输入表!$I$625*(1-参数输入表!$I$628)*参数输入表!$I$39*时间序列!AI118/(参数输入表!$I$627*12)</f>
        <v>0</v>
      </c>
      <c r="AM266" s="366">
        <f>参数输入表!$I$625*(1-参数输入表!$I$628)*参数输入表!$I$39*时间序列!AJ118/(参数输入表!$I$627*12)</f>
        <v>0</v>
      </c>
      <c r="AN266" s="366">
        <f>参数输入表!$I$625*(1-参数输入表!$I$628)*参数输入表!$I$39*时间序列!AK118/(参数输入表!$I$627*12)</f>
        <v>0</v>
      </c>
      <c r="AO266" s="366">
        <f>参数输入表!$I$625*(1-参数输入表!$I$628)*参数输入表!$I$39*时间序列!AL118/(参数输入表!$I$627*12)</f>
        <v>0</v>
      </c>
      <c r="AP266" s="366">
        <f>参数输入表!$I$625*(1-参数输入表!$I$628)*参数输入表!$I$39*时间序列!AM118/(参数输入表!$I$627*12)</f>
        <v>0</v>
      </c>
      <c r="AQ266" s="366">
        <f>参数输入表!$I$625*(1-参数输入表!$I$628)*参数输入表!$I$39*时间序列!AN118/(参数输入表!$I$627*12)</f>
        <v>0</v>
      </c>
      <c r="AR266" s="366">
        <f>参数输入表!$I$625*(1-参数输入表!$I$628)*参数输入表!$I$39*时间序列!AO118/(参数输入表!$I$627*12)</f>
        <v>0</v>
      </c>
      <c r="AS266" s="366">
        <f>参数输入表!$I$625*(1-参数输入表!$I$628)*参数输入表!$I$39*时间序列!AP118/(参数输入表!$I$627*12)</f>
        <v>0</v>
      </c>
      <c r="AT266" s="366">
        <f>参数输入表!$I$625*(1-参数输入表!$I$628)*参数输入表!$I$39*时间序列!AQ118/(参数输入表!$I$627*12)</f>
        <v>0</v>
      </c>
      <c r="AU266" s="366">
        <f>参数输入表!$I$625*(1-参数输入表!$I$628)*参数输入表!$I$39*时间序列!AR118/(参数输入表!$I$627*12)</f>
        <v>0</v>
      </c>
      <c r="AV266" s="366">
        <f>参数输入表!$I$625*(1-参数输入表!$I$628)*参数输入表!$I$39*时间序列!AS118/(参数输入表!$I$627*12)</f>
        <v>0</v>
      </c>
      <c r="AW266" s="366">
        <f>参数输入表!$I$625*(1-参数输入表!$I$628)*参数输入表!$I$39*时间序列!AT118/(参数输入表!$I$627*12)</f>
        <v>0</v>
      </c>
      <c r="AX266" s="366">
        <f>参数输入表!$I$625*(1-参数输入表!$I$628)*参数输入表!$I$39*时间序列!AU118/(参数输入表!$I$627*12)</f>
        <v>0</v>
      </c>
      <c r="AY266" s="366">
        <f>参数输入表!$I$625*(1-参数输入表!$I$628)*参数输入表!$I$39*时间序列!AV118/(参数输入表!$I$627*12)</f>
        <v>0</v>
      </c>
      <c r="AZ266" s="366">
        <f>参数输入表!$I$625*(1-参数输入表!$I$628)*参数输入表!$I$39*时间序列!AW118/(参数输入表!$I$627*12)</f>
        <v>0</v>
      </c>
      <c r="BA266" s="385">
        <f>参数输入表!$I$625*(1-参数输入表!$I$628)*参数输入表!$I$39*时间序列!AX118/(参数输入表!$I$627*12)</f>
        <v>0</v>
      </c>
    </row>
    <row r="267" s="105" customFormat="1" spans="2:53">
      <c r="B267" s="360"/>
      <c r="C267" s="427" t="s">
        <v>712</v>
      </c>
      <c r="D267" s="426"/>
      <c r="E267" s="266" t="s">
        <v>130</v>
      </c>
      <c r="F267" s="366">
        <f>F262</f>
        <v>0</v>
      </c>
      <c r="G267" s="366">
        <f>F267+G262</f>
        <v>0</v>
      </c>
      <c r="H267" s="366">
        <f t="shared" ref="H267:BA267" si="192">G267+H262</f>
        <v>0</v>
      </c>
      <c r="I267" s="366">
        <f t="shared" si="192"/>
        <v>0</v>
      </c>
      <c r="J267" s="366">
        <f t="shared" si="192"/>
        <v>0</v>
      </c>
      <c r="K267" s="366">
        <f t="shared" si="192"/>
        <v>0</v>
      </c>
      <c r="L267" s="366">
        <f t="shared" si="192"/>
        <v>0</v>
      </c>
      <c r="M267" s="366">
        <f t="shared" si="192"/>
        <v>0</v>
      </c>
      <c r="N267" s="366">
        <f t="shared" si="192"/>
        <v>765</v>
      </c>
      <c r="O267" s="366">
        <f t="shared" si="192"/>
        <v>1305</v>
      </c>
      <c r="P267" s="366">
        <f t="shared" si="192"/>
        <v>1845</v>
      </c>
      <c r="Q267" s="366">
        <f t="shared" si="192"/>
        <v>2385</v>
      </c>
      <c r="R267" s="366">
        <f t="shared" si="192"/>
        <v>2925</v>
      </c>
      <c r="S267" s="366">
        <f t="shared" si="192"/>
        <v>3465</v>
      </c>
      <c r="T267" s="366">
        <f t="shared" si="192"/>
        <v>4005</v>
      </c>
      <c r="U267" s="366">
        <f t="shared" si="192"/>
        <v>4545</v>
      </c>
      <c r="V267" s="366">
        <f t="shared" si="192"/>
        <v>5085</v>
      </c>
      <c r="W267" s="366">
        <f t="shared" si="192"/>
        <v>5625</v>
      </c>
      <c r="X267" s="366">
        <f t="shared" si="192"/>
        <v>6165</v>
      </c>
      <c r="Y267" s="366">
        <f t="shared" si="192"/>
        <v>6480</v>
      </c>
      <c r="Z267" s="366">
        <f t="shared" si="192"/>
        <v>6480</v>
      </c>
      <c r="AA267" s="366">
        <f t="shared" si="192"/>
        <v>6480</v>
      </c>
      <c r="AB267" s="366">
        <f t="shared" si="192"/>
        <v>6480</v>
      </c>
      <c r="AC267" s="366">
        <f t="shared" si="192"/>
        <v>6480</v>
      </c>
      <c r="AD267" s="366">
        <f t="shared" si="192"/>
        <v>6480</v>
      </c>
      <c r="AE267" s="366">
        <f t="shared" si="192"/>
        <v>6480</v>
      </c>
      <c r="AF267" s="366">
        <f t="shared" si="192"/>
        <v>6480</v>
      </c>
      <c r="AG267" s="366">
        <f t="shared" si="192"/>
        <v>6480</v>
      </c>
      <c r="AH267" s="366">
        <f t="shared" si="192"/>
        <v>6480</v>
      </c>
      <c r="AI267" s="366">
        <f t="shared" si="192"/>
        <v>6480</v>
      </c>
      <c r="AJ267" s="366">
        <f t="shared" si="192"/>
        <v>6480</v>
      </c>
      <c r="AK267" s="366">
        <f t="shared" si="192"/>
        <v>6480</v>
      </c>
      <c r="AL267" s="366">
        <f t="shared" si="192"/>
        <v>6480</v>
      </c>
      <c r="AM267" s="366">
        <f t="shared" si="192"/>
        <v>6480</v>
      </c>
      <c r="AN267" s="366">
        <f t="shared" si="192"/>
        <v>6480</v>
      </c>
      <c r="AO267" s="366">
        <f t="shared" si="192"/>
        <v>6480</v>
      </c>
      <c r="AP267" s="366">
        <f t="shared" si="192"/>
        <v>6480</v>
      </c>
      <c r="AQ267" s="366">
        <f t="shared" si="192"/>
        <v>6480</v>
      </c>
      <c r="AR267" s="366">
        <f t="shared" si="192"/>
        <v>6480</v>
      </c>
      <c r="AS267" s="366">
        <f t="shared" si="192"/>
        <v>6480</v>
      </c>
      <c r="AT267" s="366">
        <f t="shared" si="192"/>
        <v>6480</v>
      </c>
      <c r="AU267" s="366">
        <f t="shared" si="192"/>
        <v>6480</v>
      </c>
      <c r="AV267" s="366">
        <f t="shared" si="192"/>
        <v>6480</v>
      </c>
      <c r="AW267" s="366">
        <f t="shared" si="192"/>
        <v>6480</v>
      </c>
      <c r="AX267" s="366">
        <f t="shared" si="192"/>
        <v>6480</v>
      </c>
      <c r="AY267" s="366">
        <f t="shared" si="192"/>
        <v>6480</v>
      </c>
      <c r="AZ267" s="366">
        <f t="shared" si="192"/>
        <v>6480</v>
      </c>
      <c r="BA267" s="385">
        <f t="shared" si="192"/>
        <v>6480</v>
      </c>
    </row>
    <row r="268" s="105" customFormat="1" ht="17.25" spans="2:53">
      <c r="B268" s="379"/>
      <c r="C268" s="380" t="s">
        <v>713</v>
      </c>
      <c r="D268" s="381"/>
      <c r="E268" s="428" t="s">
        <v>130</v>
      </c>
      <c r="F268" s="383">
        <f>F258-F267</f>
        <v>0</v>
      </c>
      <c r="G268" s="383">
        <f t="shared" ref="G268:BA268" si="193">G258-G267</f>
        <v>0</v>
      </c>
      <c r="H268" s="383">
        <f t="shared" si="193"/>
        <v>0</v>
      </c>
      <c r="I268" s="383">
        <f t="shared" si="193"/>
        <v>0</v>
      </c>
      <c r="J268" s="383">
        <f t="shared" si="193"/>
        <v>0</v>
      </c>
      <c r="K268" s="383">
        <f t="shared" si="193"/>
        <v>0</v>
      </c>
      <c r="L268" s="383">
        <f t="shared" si="193"/>
        <v>0</v>
      </c>
      <c r="M268" s="383">
        <f t="shared" si="193"/>
        <v>7200</v>
      </c>
      <c r="N268" s="383">
        <f t="shared" si="193"/>
        <v>6435</v>
      </c>
      <c r="O268" s="383">
        <f t="shared" si="193"/>
        <v>5895</v>
      </c>
      <c r="P268" s="383">
        <f t="shared" si="193"/>
        <v>5355</v>
      </c>
      <c r="Q268" s="383">
        <f t="shared" si="193"/>
        <v>4815</v>
      </c>
      <c r="R268" s="383">
        <f t="shared" si="193"/>
        <v>4275</v>
      </c>
      <c r="S268" s="383">
        <f t="shared" si="193"/>
        <v>3735</v>
      </c>
      <c r="T268" s="383">
        <f t="shared" si="193"/>
        <v>3195</v>
      </c>
      <c r="U268" s="383">
        <f t="shared" si="193"/>
        <v>2655</v>
      </c>
      <c r="V268" s="383">
        <f t="shared" si="193"/>
        <v>2115</v>
      </c>
      <c r="W268" s="383">
        <f t="shared" si="193"/>
        <v>1575</v>
      </c>
      <c r="X268" s="383">
        <f t="shared" si="193"/>
        <v>1035</v>
      </c>
      <c r="Y268" s="383">
        <f t="shared" si="193"/>
        <v>720</v>
      </c>
      <c r="Z268" s="383">
        <f t="shared" si="193"/>
        <v>720</v>
      </c>
      <c r="AA268" s="383">
        <f t="shared" si="193"/>
        <v>720</v>
      </c>
      <c r="AB268" s="383">
        <f t="shared" si="193"/>
        <v>720</v>
      </c>
      <c r="AC268" s="383">
        <f t="shared" si="193"/>
        <v>720</v>
      </c>
      <c r="AD268" s="383">
        <f t="shared" si="193"/>
        <v>720</v>
      </c>
      <c r="AE268" s="383">
        <f t="shared" si="193"/>
        <v>720</v>
      </c>
      <c r="AF268" s="383">
        <f t="shared" si="193"/>
        <v>720</v>
      </c>
      <c r="AG268" s="383">
        <f t="shared" si="193"/>
        <v>720</v>
      </c>
      <c r="AH268" s="383">
        <f t="shared" si="193"/>
        <v>720</v>
      </c>
      <c r="AI268" s="383">
        <f t="shared" si="193"/>
        <v>720</v>
      </c>
      <c r="AJ268" s="383">
        <f t="shared" si="193"/>
        <v>720</v>
      </c>
      <c r="AK268" s="383">
        <f t="shared" si="193"/>
        <v>720</v>
      </c>
      <c r="AL268" s="383">
        <f t="shared" si="193"/>
        <v>720</v>
      </c>
      <c r="AM268" s="383">
        <f t="shared" si="193"/>
        <v>720</v>
      </c>
      <c r="AN268" s="383">
        <f t="shared" si="193"/>
        <v>720</v>
      </c>
      <c r="AO268" s="383">
        <f t="shared" si="193"/>
        <v>720</v>
      </c>
      <c r="AP268" s="383">
        <f t="shared" si="193"/>
        <v>720</v>
      </c>
      <c r="AQ268" s="383">
        <f t="shared" si="193"/>
        <v>720</v>
      </c>
      <c r="AR268" s="383">
        <f t="shared" si="193"/>
        <v>720</v>
      </c>
      <c r="AS268" s="383">
        <f t="shared" si="193"/>
        <v>720</v>
      </c>
      <c r="AT268" s="383">
        <f t="shared" si="193"/>
        <v>720</v>
      </c>
      <c r="AU268" s="383">
        <f t="shared" si="193"/>
        <v>720</v>
      </c>
      <c r="AV268" s="383">
        <f t="shared" si="193"/>
        <v>720</v>
      </c>
      <c r="AW268" s="383">
        <f t="shared" si="193"/>
        <v>720</v>
      </c>
      <c r="AX268" s="383">
        <f t="shared" si="193"/>
        <v>720</v>
      </c>
      <c r="AY268" s="383">
        <f t="shared" si="193"/>
        <v>720</v>
      </c>
      <c r="AZ268" s="383">
        <f t="shared" si="193"/>
        <v>720</v>
      </c>
      <c r="BA268" s="384">
        <f t="shared" si="193"/>
        <v>720</v>
      </c>
    </row>
    <row r="269" s="105" customFormat="1" spans="2:53">
      <c r="B269" s="355">
        <v>1.3</v>
      </c>
      <c r="C269" s="356" t="s">
        <v>714</v>
      </c>
      <c r="D269" s="424"/>
      <c r="E269" s="425" t="s">
        <v>130</v>
      </c>
      <c r="F269" s="357">
        <f>参数输入表!$I$630*F246</f>
        <v>0</v>
      </c>
      <c r="G269" s="357">
        <f>参数输入表!$I$630*G246</f>
        <v>0</v>
      </c>
      <c r="H269" s="357">
        <f>参数输入表!$I$630*H246</f>
        <v>0</v>
      </c>
      <c r="I269" s="357">
        <f>参数输入表!$I$630*I246</f>
        <v>0</v>
      </c>
      <c r="J269" s="357">
        <f>参数输入表!$I$630*J246</f>
        <v>0</v>
      </c>
      <c r="K269" s="357">
        <f>参数输入表!$I$630*K246</f>
        <v>0</v>
      </c>
      <c r="L269" s="357">
        <f>参数输入表!$I$630*L246</f>
        <v>0</v>
      </c>
      <c r="M269" s="357">
        <f>参数输入表!$I$630*M246</f>
        <v>12000</v>
      </c>
      <c r="N269" s="357">
        <f>参数输入表!$I$630*N246</f>
        <v>12000</v>
      </c>
      <c r="O269" s="357">
        <f>参数输入表!$I$630*O246</f>
        <v>12000</v>
      </c>
      <c r="P269" s="357">
        <f>参数输入表!$I$630*P246</f>
        <v>12000</v>
      </c>
      <c r="Q269" s="357">
        <f>参数输入表!$I$630*Q246</f>
        <v>12000</v>
      </c>
      <c r="R269" s="357">
        <f>参数输入表!$I$630*R246</f>
        <v>12000</v>
      </c>
      <c r="S269" s="357">
        <f>参数输入表!$I$630*S246</f>
        <v>12000</v>
      </c>
      <c r="T269" s="357">
        <f>参数输入表!$I$630*T246</f>
        <v>12000</v>
      </c>
      <c r="U269" s="357">
        <f>参数输入表!$I$630*U246</f>
        <v>12000</v>
      </c>
      <c r="V269" s="357">
        <f>参数输入表!$I$630*V246</f>
        <v>12000</v>
      </c>
      <c r="W269" s="357">
        <f>参数输入表!$I$630*W246</f>
        <v>12000</v>
      </c>
      <c r="X269" s="357">
        <f>参数输入表!$I$630*X246</f>
        <v>12000</v>
      </c>
      <c r="Y269" s="357">
        <f>参数输入表!$I$630*Y246</f>
        <v>12000</v>
      </c>
      <c r="Z269" s="357">
        <f>参数输入表!$I$630*Z246</f>
        <v>12000</v>
      </c>
      <c r="AA269" s="357">
        <f>参数输入表!$I$630*AA246</f>
        <v>12000</v>
      </c>
      <c r="AB269" s="357">
        <f>参数输入表!$I$630*AB246</f>
        <v>12000</v>
      </c>
      <c r="AC269" s="357">
        <f>参数输入表!$I$630*AC246</f>
        <v>12000</v>
      </c>
      <c r="AD269" s="357">
        <f>参数输入表!$I$630*AD246</f>
        <v>12000</v>
      </c>
      <c r="AE269" s="357">
        <f>参数输入表!$I$630*AE246</f>
        <v>12000</v>
      </c>
      <c r="AF269" s="357">
        <f>参数输入表!$I$630*AF246</f>
        <v>12000</v>
      </c>
      <c r="AG269" s="357">
        <f>参数输入表!$I$630*AG246</f>
        <v>12000</v>
      </c>
      <c r="AH269" s="357">
        <f>参数输入表!$I$630*AH246</f>
        <v>12000</v>
      </c>
      <c r="AI269" s="357">
        <f>参数输入表!$I$630*AI246</f>
        <v>12000</v>
      </c>
      <c r="AJ269" s="357">
        <f>参数输入表!$I$630*AJ246</f>
        <v>12000</v>
      </c>
      <c r="AK269" s="357">
        <f>参数输入表!$I$630*AK246</f>
        <v>12000</v>
      </c>
      <c r="AL269" s="357">
        <f>参数输入表!$I$630*AL246</f>
        <v>12000</v>
      </c>
      <c r="AM269" s="357">
        <f>参数输入表!$I$630*AM246</f>
        <v>12000</v>
      </c>
      <c r="AN269" s="357">
        <f>参数输入表!$I$630*AN246</f>
        <v>12000</v>
      </c>
      <c r="AO269" s="357">
        <f>参数输入表!$I$630*AO246</f>
        <v>12000</v>
      </c>
      <c r="AP269" s="357">
        <f>参数输入表!$I$630*AP246</f>
        <v>12000</v>
      </c>
      <c r="AQ269" s="357">
        <f>参数输入表!$I$630*AQ246</f>
        <v>12000</v>
      </c>
      <c r="AR269" s="357">
        <f>参数输入表!$I$630*AR246</f>
        <v>12000</v>
      </c>
      <c r="AS269" s="357">
        <f>参数输入表!$I$630*AS246</f>
        <v>12000</v>
      </c>
      <c r="AT269" s="357">
        <f>参数输入表!$I$630*AT246</f>
        <v>12000</v>
      </c>
      <c r="AU269" s="357">
        <f>参数输入表!$I$630*AU246</f>
        <v>12000</v>
      </c>
      <c r="AV269" s="357">
        <f>参数输入表!$I$630*AV246</f>
        <v>12000</v>
      </c>
      <c r="AW269" s="357">
        <f>参数输入表!$I$630*AW246</f>
        <v>12000</v>
      </c>
      <c r="AX269" s="357">
        <f>参数输入表!$I$630*AX246</f>
        <v>12000</v>
      </c>
      <c r="AY269" s="357">
        <f>参数输入表!$I$630*AY246</f>
        <v>12000</v>
      </c>
      <c r="AZ269" s="357">
        <f>参数输入表!$I$630*AZ246</f>
        <v>12000</v>
      </c>
      <c r="BA269" s="359">
        <f>参数输入表!$I$630*BA246</f>
        <v>12000</v>
      </c>
    </row>
    <row r="270" s="105" customFormat="1" spans="2:53">
      <c r="B270" s="360"/>
      <c r="C270" s="365" t="s">
        <v>703</v>
      </c>
      <c r="D270" s="366">
        <f>SUM(F270:BA270)</f>
        <v>12000</v>
      </c>
      <c r="E270" s="266" t="s">
        <v>130</v>
      </c>
      <c r="F270" s="366">
        <f>参数输入表!$I$630*(参数输入表!$I$14+参数输入表!$I$15)</f>
        <v>1311.06146339209</v>
      </c>
      <c r="G270" s="366">
        <f>参数输入表!$I$630*参数输入表!$I$16</f>
        <v>1274.68533971621</v>
      </c>
      <c r="H270" s="366">
        <f>参数输入表!$I$630*参数输入表!$I$17</f>
        <v>1446.77476837094</v>
      </c>
      <c r="I270" s="366">
        <f>参数输入表!$I$630*参数输入表!$I$18</f>
        <v>1582.15564960307</v>
      </c>
      <c r="J270" s="366">
        <f>参数输入表!$I$630*参数输入表!$I$19</f>
        <v>2114.95201666671</v>
      </c>
      <c r="K270" s="366">
        <f>参数输入表!$I$630*参数输入表!$I$20</f>
        <v>1939.16068406416</v>
      </c>
      <c r="L270" s="366">
        <f>参数输入表!$I$630*(参数输入表!$I$21+参数输入表!$I$22)</f>
        <v>1632.74888863052</v>
      </c>
      <c r="M270" s="366">
        <f>参数输入表!$I$630*参数输入表!$I$23</f>
        <v>698.461189556308</v>
      </c>
      <c r="N270" s="366"/>
      <c r="O270" s="366"/>
      <c r="P270" s="366"/>
      <c r="Q270" s="366"/>
      <c r="R270" s="366"/>
      <c r="S270" s="366"/>
      <c r="T270" s="366"/>
      <c r="U270" s="366"/>
      <c r="V270" s="366"/>
      <c r="W270" s="366"/>
      <c r="X270" s="366"/>
      <c r="Y270" s="366"/>
      <c r="Z270" s="366"/>
      <c r="AA270" s="366"/>
      <c r="AB270" s="366"/>
      <c r="AC270" s="366"/>
      <c r="AD270" s="366"/>
      <c r="AE270" s="366"/>
      <c r="AF270" s="366"/>
      <c r="AG270" s="366"/>
      <c r="AH270" s="366"/>
      <c r="AI270" s="366"/>
      <c r="AJ270" s="366"/>
      <c r="AK270" s="366"/>
      <c r="AL270" s="366"/>
      <c r="AM270" s="366"/>
      <c r="AN270" s="366"/>
      <c r="AO270" s="366"/>
      <c r="AP270" s="366"/>
      <c r="AQ270" s="366"/>
      <c r="AR270" s="366"/>
      <c r="AS270" s="366"/>
      <c r="AT270" s="366"/>
      <c r="AU270" s="366"/>
      <c r="AV270" s="366"/>
      <c r="AW270" s="366"/>
      <c r="AX270" s="366"/>
      <c r="AY270" s="366"/>
      <c r="AZ270" s="366"/>
      <c r="BA270" s="385"/>
    </row>
    <row r="271" s="105" customFormat="1" spans="2:53">
      <c r="B271" s="360"/>
      <c r="C271" s="365" t="s">
        <v>704</v>
      </c>
      <c r="D271" s="426"/>
      <c r="E271" s="266" t="s">
        <v>130</v>
      </c>
      <c r="F271" s="366">
        <f>F270</f>
        <v>1311.06146339209</v>
      </c>
      <c r="G271" s="366">
        <f>F271+G270</f>
        <v>2585.7468031083</v>
      </c>
      <c r="H271" s="366">
        <f t="shared" ref="H271:BA271" si="194">G271+H270</f>
        <v>4032.52157147924</v>
      </c>
      <c r="I271" s="366">
        <f t="shared" si="194"/>
        <v>5614.67722108231</v>
      </c>
      <c r="J271" s="366">
        <f t="shared" si="194"/>
        <v>7729.62923774902</v>
      </c>
      <c r="K271" s="366">
        <f t="shared" si="194"/>
        <v>9668.78992181318</v>
      </c>
      <c r="L271" s="366">
        <f t="shared" si="194"/>
        <v>11301.5388104437</v>
      </c>
      <c r="M271" s="366">
        <f t="shared" si="194"/>
        <v>12000</v>
      </c>
      <c r="N271" s="366">
        <f t="shared" si="194"/>
        <v>12000</v>
      </c>
      <c r="O271" s="366">
        <f t="shared" si="194"/>
        <v>12000</v>
      </c>
      <c r="P271" s="366">
        <f t="shared" si="194"/>
        <v>12000</v>
      </c>
      <c r="Q271" s="366">
        <f t="shared" si="194"/>
        <v>12000</v>
      </c>
      <c r="R271" s="366">
        <f t="shared" si="194"/>
        <v>12000</v>
      </c>
      <c r="S271" s="366">
        <f t="shared" si="194"/>
        <v>12000</v>
      </c>
      <c r="T271" s="366">
        <f t="shared" si="194"/>
        <v>12000</v>
      </c>
      <c r="U271" s="366">
        <f t="shared" si="194"/>
        <v>12000</v>
      </c>
      <c r="V271" s="366">
        <f t="shared" si="194"/>
        <v>12000</v>
      </c>
      <c r="W271" s="366">
        <f t="shared" si="194"/>
        <v>12000</v>
      </c>
      <c r="X271" s="366">
        <f t="shared" si="194"/>
        <v>12000</v>
      </c>
      <c r="Y271" s="366">
        <f t="shared" si="194"/>
        <v>12000</v>
      </c>
      <c r="Z271" s="366">
        <f t="shared" si="194"/>
        <v>12000</v>
      </c>
      <c r="AA271" s="366">
        <f t="shared" si="194"/>
        <v>12000</v>
      </c>
      <c r="AB271" s="366">
        <f t="shared" si="194"/>
        <v>12000</v>
      </c>
      <c r="AC271" s="366">
        <f t="shared" si="194"/>
        <v>12000</v>
      </c>
      <c r="AD271" s="366">
        <f t="shared" si="194"/>
        <v>12000</v>
      </c>
      <c r="AE271" s="366">
        <f t="shared" si="194"/>
        <v>12000</v>
      </c>
      <c r="AF271" s="366">
        <f t="shared" si="194"/>
        <v>12000</v>
      </c>
      <c r="AG271" s="366">
        <f t="shared" si="194"/>
        <v>12000</v>
      </c>
      <c r="AH271" s="366">
        <f t="shared" si="194"/>
        <v>12000</v>
      </c>
      <c r="AI271" s="366">
        <f t="shared" si="194"/>
        <v>12000</v>
      </c>
      <c r="AJ271" s="366">
        <f t="shared" si="194"/>
        <v>12000</v>
      </c>
      <c r="AK271" s="366">
        <f t="shared" si="194"/>
        <v>12000</v>
      </c>
      <c r="AL271" s="366">
        <f t="shared" si="194"/>
        <v>12000</v>
      </c>
      <c r="AM271" s="366">
        <f t="shared" si="194"/>
        <v>12000</v>
      </c>
      <c r="AN271" s="366">
        <f t="shared" si="194"/>
        <v>12000</v>
      </c>
      <c r="AO271" s="366">
        <f t="shared" si="194"/>
        <v>12000</v>
      </c>
      <c r="AP271" s="366">
        <f t="shared" si="194"/>
        <v>12000</v>
      </c>
      <c r="AQ271" s="366">
        <f t="shared" si="194"/>
        <v>12000</v>
      </c>
      <c r="AR271" s="366">
        <f t="shared" si="194"/>
        <v>12000</v>
      </c>
      <c r="AS271" s="366">
        <f t="shared" si="194"/>
        <v>12000</v>
      </c>
      <c r="AT271" s="366">
        <f t="shared" si="194"/>
        <v>12000</v>
      </c>
      <c r="AU271" s="366">
        <f t="shared" si="194"/>
        <v>12000</v>
      </c>
      <c r="AV271" s="366">
        <f t="shared" si="194"/>
        <v>12000</v>
      </c>
      <c r="AW271" s="366">
        <f t="shared" si="194"/>
        <v>12000</v>
      </c>
      <c r="AX271" s="366">
        <f t="shared" si="194"/>
        <v>12000</v>
      </c>
      <c r="AY271" s="366">
        <f t="shared" si="194"/>
        <v>12000</v>
      </c>
      <c r="AZ271" s="366">
        <f t="shared" si="194"/>
        <v>12000</v>
      </c>
      <c r="BA271" s="385">
        <f t="shared" si="194"/>
        <v>12000</v>
      </c>
    </row>
    <row r="272" s="105" customFormat="1" spans="2:53">
      <c r="B272" s="360"/>
      <c r="C272" s="133" t="s">
        <v>715</v>
      </c>
      <c r="D272" s="426"/>
      <c r="E272" s="266" t="s">
        <v>130</v>
      </c>
      <c r="F272" s="366">
        <f>F271-F269</f>
        <v>1311.06146339209</v>
      </c>
      <c r="G272" s="366">
        <f>G271-G269</f>
        <v>2585.7468031083</v>
      </c>
      <c r="H272" s="366">
        <f t="shared" ref="H272:BA272" si="195">H271-H269</f>
        <v>4032.52157147924</v>
      </c>
      <c r="I272" s="366">
        <f t="shared" si="195"/>
        <v>5614.67722108231</v>
      </c>
      <c r="J272" s="366">
        <f t="shared" si="195"/>
        <v>7729.62923774902</v>
      </c>
      <c r="K272" s="366">
        <f t="shared" si="195"/>
        <v>9668.78992181318</v>
      </c>
      <c r="L272" s="366">
        <f t="shared" si="195"/>
        <v>11301.5388104437</v>
      </c>
      <c r="M272" s="366">
        <f t="shared" si="195"/>
        <v>0</v>
      </c>
      <c r="N272" s="366">
        <f t="shared" si="195"/>
        <v>0</v>
      </c>
      <c r="O272" s="366">
        <f t="shared" si="195"/>
        <v>0</v>
      </c>
      <c r="P272" s="366">
        <f t="shared" si="195"/>
        <v>0</v>
      </c>
      <c r="Q272" s="366">
        <f t="shared" si="195"/>
        <v>0</v>
      </c>
      <c r="R272" s="366">
        <f t="shared" si="195"/>
        <v>0</v>
      </c>
      <c r="S272" s="366">
        <f t="shared" si="195"/>
        <v>0</v>
      </c>
      <c r="T272" s="366">
        <f t="shared" si="195"/>
        <v>0</v>
      </c>
      <c r="U272" s="366">
        <f t="shared" si="195"/>
        <v>0</v>
      </c>
      <c r="V272" s="366">
        <f t="shared" si="195"/>
        <v>0</v>
      </c>
      <c r="W272" s="366">
        <f t="shared" si="195"/>
        <v>0</v>
      </c>
      <c r="X272" s="366">
        <f t="shared" si="195"/>
        <v>0</v>
      </c>
      <c r="Y272" s="366">
        <f t="shared" si="195"/>
        <v>0</v>
      </c>
      <c r="Z272" s="366">
        <f t="shared" si="195"/>
        <v>0</v>
      </c>
      <c r="AA272" s="366">
        <f t="shared" si="195"/>
        <v>0</v>
      </c>
      <c r="AB272" s="366">
        <f t="shared" si="195"/>
        <v>0</v>
      </c>
      <c r="AC272" s="366">
        <f t="shared" si="195"/>
        <v>0</v>
      </c>
      <c r="AD272" s="366">
        <f t="shared" si="195"/>
        <v>0</v>
      </c>
      <c r="AE272" s="366">
        <f t="shared" si="195"/>
        <v>0</v>
      </c>
      <c r="AF272" s="366">
        <f t="shared" si="195"/>
        <v>0</v>
      </c>
      <c r="AG272" s="366">
        <f t="shared" si="195"/>
        <v>0</v>
      </c>
      <c r="AH272" s="366">
        <f t="shared" si="195"/>
        <v>0</v>
      </c>
      <c r="AI272" s="366">
        <f t="shared" si="195"/>
        <v>0</v>
      </c>
      <c r="AJ272" s="366">
        <f t="shared" si="195"/>
        <v>0</v>
      </c>
      <c r="AK272" s="366">
        <f t="shared" si="195"/>
        <v>0</v>
      </c>
      <c r="AL272" s="366">
        <f t="shared" si="195"/>
        <v>0</v>
      </c>
      <c r="AM272" s="366">
        <f t="shared" si="195"/>
        <v>0</v>
      </c>
      <c r="AN272" s="366">
        <f t="shared" si="195"/>
        <v>0</v>
      </c>
      <c r="AO272" s="366">
        <f t="shared" si="195"/>
        <v>0</v>
      </c>
      <c r="AP272" s="366">
        <f t="shared" si="195"/>
        <v>0</v>
      </c>
      <c r="AQ272" s="366">
        <f t="shared" si="195"/>
        <v>0</v>
      </c>
      <c r="AR272" s="366">
        <f t="shared" si="195"/>
        <v>0</v>
      </c>
      <c r="AS272" s="366">
        <f t="shared" si="195"/>
        <v>0</v>
      </c>
      <c r="AT272" s="366">
        <f t="shared" si="195"/>
        <v>0</v>
      </c>
      <c r="AU272" s="366">
        <f t="shared" si="195"/>
        <v>0</v>
      </c>
      <c r="AV272" s="366">
        <f t="shared" si="195"/>
        <v>0</v>
      </c>
      <c r="AW272" s="366">
        <f t="shared" si="195"/>
        <v>0</v>
      </c>
      <c r="AX272" s="366">
        <f t="shared" si="195"/>
        <v>0</v>
      </c>
      <c r="AY272" s="366">
        <f t="shared" si="195"/>
        <v>0</v>
      </c>
      <c r="AZ272" s="366">
        <f t="shared" si="195"/>
        <v>0</v>
      </c>
      <c r="BA272" s="385">
        <f t="shared" si="195"/>
        <v>0</v>
      </c>
    </row>
    <row r="273" s="105" customFormat="1" spans="2:53">
      <c r="B273" s="360"/>
      <c r="C273" s="370" t="s">
        <v>716</v>
      </c>
      <c r="D273" s="371">
        <f t="shared" ref="D273:D277" si="196">SUM(F273:BA273)</f>
        <v>11400</v>
      </c>
      <c r="E273" s="266" t="s">
        <v>130</v>
      </c>
      <c r="F273" s="371">
        <f>SUM(F274:F277)</f>
        <v>0</v>
      </c>
      <c r="G273" s="371">
        <f t="shared" ref="G273:BA273" si="197">SUM(G274:G277)</f>
        <v>0</v>
      </c>
      <c r="H273" s="371">
        <f t="shared" si="197"/>
        <v>0</v>
      </c>
      <c r="I273" s="371">
        <f t="shared" si="197"/>
        <v>0</v>
      </c>
      <c r="J273" s="371">
        <f t="shared" si="197"/>
        <v>0</v>
      </c>
      <c r="K273" s="371">
        <f t="shared" si="197"/>
        <v>0</v>
      </c>
      <c r="L273" s="371">
        <f t="shared" si="197"/>
        <v>0</v>
      </c>
      <c r="M273" s="371">
        <f t="shared" si="197"/>
        <v>0</v>
      </c>
      <c r="N273" s="371">
        <f t="shared" si="197"/>
        <v>807.5</v>
      </c>
      <c r="O273" s="371">
        <f t="shared" si="197"/>
        <v>570</v>
      </c>
      <c r="P273" s="371">
        <f t="shared" si="197"/>
        <v>570</v>
      </c>
      <c r="Q273" s="371">
        <f t="shared" si="197"/>
        <v>570</v>
      </c>
      <c r="R273" s="371">
        <f t="shared" si="197"/>
        <v>570</v>
      </c>
      <c r="S273" s="371">
        <f t="shared" si="197"/>
        <v>570</v>
      </c>
      <c r="T273" s="371">
        <f t="shared" si="197"/>
        <v>570</v>
      </c>
      <c r="U273" s="371">
        <f t="shared" si="197"/>
        <v>570</v>
      </c>
      <c r="V273" s="371">
        <f t="shared" si="197"/>
        <v>570</v>
      </c>
      <c r="W273" s="371">
        <f t="shared" si="197"/>
        <v>570</v>
      </c>
      <c r="X273" s="371">
        <f t="shared" si="197"/>
        <v>570</v>
      </c>
      <c r="Y273" s="371">
        <f t="shared" si="197"/>
        <v>570</v>
      </c>
      <c r="Z273" s="371">
        <f t="shared" si="197"/>
        <v>570</v>
      </c>
      <c r="AA273" s="371">
        <f t="shared" si="197"/>
        <v>570</v>
      </c>
      <c r="AB273" s="371">
        <f t="shared" si="197"/>
        <v>570</v>
      </c>
      <c r="AC273" s="371">
        <f t="shared" si="197"/>
        <v>570</v>
      </c>
      <c r="AD273" s="371">
        <f t="shared" si="197"/>
        <v>570</v>
      </c>
      <c r="AE273" s="371">
        <f t="shared" si="197"/>
        <v>570</v>
      </c>
      <c r="AF273" s="371">
        <f t="shared" si="197"/>
        <v>570</v>
      </c>
      <c r="AG273" s="371">
        <f t="shared" si="197"/>
        <v>332.5</v>
      </c>
      <c r="AH273" s="371">
        <f t="shared" si="197"/>
        <v>0</v>
      </c>
      <c r="AI273" s="371">
        <f t="shared" si="197"/>
        <v>0</v>
      </c>
      <c r="AJ273" s="371">
        <f t="shared" si="197"/>
        <v>0</v>
      </c>
      <c r="AK273" s="371">
        <f t="shared" si="197"/>
        <v>0</v>
      </c>
      <c r="AL273" s="371">
        <f t="shared" si="197"/>
        <v>0</v>
      </c>
      <c r="AM273" s="371">
        <f t="shared" si="197"/>
        <v>0</v>
      </c>
      <c r="AN273" s="371">
        <f t="shared" si="197"/>
        <v>0</v>
      </c>
      <c r="AO273" s="371">
        <f t="shared" si="197"/>
        <v>0</v>
      </c>
      <c r="AP273" s="371">
        <f t="shared" si="197"/>
        <v>0</v>
      </c>
      <c r="AQ273" s="371">
        <f t="shared" si="197"/>
        <v>0</v>
      </c>
      <c r="AR273" s="371">
        <f t="shared" si="197"/>
        <v>0</v>
      </c>
      <c r="AS273" s="371">
        <f t="shared" si="197"/>
        <v>0</v>
      </c>
      <c r="AT273" s="371">
        <f t="shared" si="197"/>
        <v>0</v>
      </c>
      <c r="AU273" s="371">
        <f t="shared" si="197"/>
        <v>0</v>
      </c>
      <c r="AV273" s="371">
        <f t="shared" si="197"/>
        <v>0</v>
      </c>
      <c r="AW273" s="371">
        <f t="shared" si="197"/>
        <v>0</v>
      </c>
      <c r="AX273" s="371">
        <f t="shared" si="197"/>
        <v>0</v>
      </c>
      <c r="AY273" s="371">
        <f t="shared" si="197"/>
        <v>0</v>
      </c>
      <c r="AZ273" s="371">
        <f t="shared" si="197"/>
        <v>0</v>
      </c>
      <c r="BA273" s="386">
        <f t="shared" si="197"/>
        <v>0</v>
      </c>
    </row>
    <row r="274" s="105" customFormat="1" spans="2:53">
      <c r="B274" s="360"/>
      <c r="C274" s="402" t="s">
        <v>471</v>
      </c>
      <c r="D274" s="375">
        <f t="shared" si="196"/>
        <v>0</v>
      </c>
      <c r="E274" s="266" t="s">
        <v>130</v>
      </c>
      <c r="F274" s="366">
        <f>参数输入表!$I$630*(1-参数输入表!$I$633)*参数输入表!$I$36*时间序列!C40/(参数输入表!$I$632*12)</f>
        <v>0</v>
      </c>
      <c r="G274" s="366">
        <f>参数输入表!$I$630*(1-参数输入表!$I$633)*参数输入表!$I$36*时间序列!D40/(参数输入表!$I$632*12)</f>
        <v>0</v>
      </c>
      <c r="H274" s="366">
        <f>参数输入表!$I$630*(1-参数输入表!$I$633)*参数输入表!$I$36*时间序列!E40/(参数输入表!$I$632*12)</f>
        <v>0</v>
      </c>
      <c r="I274" s="366">
        <f>参数输入表!$I$630*(1-参数输入表!$I$633)*参数输入表!$I$36*时间序列!F40/(参数输入表!$I$632*12)</f>
        <v>0</v>
      </c>
      <c r="J274" s="366">
        <f>参数输入表!$I$630*(1-参数输入表!$I$633)*参数输入表!$I$36*时间序列!G40/(参数输入表!$I$632*12)</f>
        <v>0</v>
      </c>
      <c r="K274" s="366">
        <f>参数输入表!$I$630*(1-参数输入表!$I$633)*参数输入表!$I$36*时间序列!H40/(参数输入表!$I$632*12)</f>
        <v>0</v>
      </c>
      <c r="L274" s="366">
        <f>参数输入表!$I$630*(1-参数输入表!$I$633)*参数输入表!$I$36*时间序列!I40/(参数输入表!$I$632*12)</f>
        <v>0</v>
      </c>
      <c r="M274" s="366">
        <f>参数输入表!$I$630*(1-参数输入表!$I$633)*参数输入表!$I$36*时间序列!J40/(参数输入表!$I$632*12)</f>
        <v>0</v>
      </c>
      <c r="N274" s="366">
        <f>参数输入表!$I$630*(1-参数输入表!$I$633)*参数输入表!$I$36*时间序列!K40/(参数输入表!$I$632*12)</f>
        <v>0</v>
      </c>
      <c r="O274" s="366">
        <f>参数输入表!$I$630*(1-参数输入表!$I$633)*参数输入表!$I$36*时间序列!L40/(参数输入表!$I$632*12)</f>
        <v>0</v>
      </c>
      <c r="P274" s="366">
        <f>参数输入表!$I$630*(1-参数输入表!$I$633)*参数输入表!$I$36*时间序列!M40/(参数输入表!$I$632*12)</f>
        <v>0</v>
      </c>
      <c r="Q274" s="366">
        <f>参数输入表!$I$630*(1-参数输入表!$I$633)*参数输入表!$I$36*时间序列!N40/(参数输入表!$I$632*12)</f>
        <v>0</v>
      </c>
      <c r="R274" s="366">
        <f>参数输入表!$I$630*(1-参数输入表!$I$633)*参数输入表!$I$36*时间序列!O40/(参数输入表!$I$632*12)</f>
        <v>0</v>
      </c>
      <c r="S274" s="366">
        <f>参数输入表!$I$630*(1-参数输入表!$I$633)*参数输入表!$I$36*时间序列!P40/(参数输入表!$I$632*12)</f>
        <v>0</v>
      </c>
      <c r="T274" s="366">
        <f>参数输入表!$I$630*(1-参数输入表!$I$633)*参数输入表!$I$36*时间序列!Q40/(参数输入表!$I$632*12)</f>
        <v>0</v>
      </c>
      <c r="U274" s="366">
        <f>参数输入表!$I$630*(1-参数输入表!$I$633)*参数输入表!$I$36*时间序列!R40/(参数输入表!$I$632*12)</f>
        <v>0</v>
      </c>
      <c r="V274" s="366">
        <f>参数输入表!$I$630*(1-参数输入表!$I$633)*参数输入表!$I$36*时间序列!S40/(参数输入表!$I$632*12)</f>
        <v>0</v>
      </c>
      <c r="W274" s="366">
        <f>参数输入表!$I$630*(1-参数输入表!$I$633)*参数输入表!$I$36*时间序列!T40/(参数输入表!$I$632*12)</f>
        <v>0</v>
      </c>
      <c r="X274" s="366">
        <f>参数输入表!$I$630*(1-参数输入表!$I$633)*参数输入表!$I$36*时间序列!U40/(参数输入表!$I$632*12)</f>
        <v>0</v>
      </c>
      <c r="Y274" s="366">
        <f>参数输入表!$I$630*(1-参数输入表!$I$633)*参数输入表!$I$36*时间序列!V40/(参数输入表!$I$632*12)</f>
        <v>0</v>
      </c>
      <c r="Z274" s="366">
        <f>参数输入表!$I$630*(1-参数输入表!$I$633)*参数输入表!$I$36*时间序列!W40/(参数输入表!$I$632*12)</f>
        <v>0</v>
      </c>
      <c r="AA274" s="366">
        <f>参数输入表!$I$630*(1-参数输入表!$I$633)*参数输入表!$I$36*时间序列!X40/(参数输入表!$I$632*12)</f>
        <v>0</v>
      </c>
      <c r="AB274" s="366">
        <f>参数输入表!$I$630*(1-参数输入表!$I$633)*参数输入表!$I$36*时间序列!Y40/(参数输入表!$I$632*12)</f>
        <v>0</v>
      </c>
      <c r="AC274" s="366">
        <f>参数输入表!$I$630*(1-参数输入表!$I$633)*参数输入表!$I$36*时间序列!Z40/(参数输入表!$I$632*12)</f>
        <v>0</v>
      </c>
      <c r="AD274" s="366">
        <f>参数输入表!$I$630*(1-参数输入表!$I$633)*参数输入表!$I$36*时间序列!AA40/(参数输入表!$I$632*12)</f>
        <v>0</v>
      </c>
      <c r="AE274" s="366">
        <f>参数输入表!$I$630*(1-参数输入表!$I$633)*参数输入表!$I$36*时间序列!AB40/(参数输入表!$I$632*12)</f>
        <v>0</v>
      </c>
      <c r="AF274" s="366">
        <f>参数输入表!$I$630*(1-参数输入表!$I$633)*参数输入表!$I$36*时间序列!AC40/(参数输入表!$I$632*12)</f>
        <v>0</v>
      </c>
      <c r="AG274" s="366">
        <f>参数输入表!$I$630*(1-参数输入表!$I$633)*参数输入表!$I$36*时间序列!AD40/(参数输入表!$I$632*12)</f>
        <v>0</v>
      </c>
      <c r="AH274" s="366">
        <f>参数输入表!$I$630*(1-参数输入表!$I$633)*参数输入表!$I$36*时间序列!AE40/(参数输入表!$I$632*12)</f>
        <v>0</v>
      </c>
      <c r="AI274" s="366">
        <f>参数输入表!$I$630*(1-参数输入表!$I$633)*参数输入表!$I$36*时间序列!AF40/(参数输入表!$I$632*12)</f>
        <v>0</v>
      </c>
      <c r="AJ274" s="366">
        <f>参数输入表!$I$630*(1-参数输入表!$I$633)*参数输入表!$I$36*时间序列!AG40/(参数输入表!$I$632*12)</f>
        <v>0</v>
      </c>
      <c r="AK274" s="366">
        <f>参数输入表!$I$630*(1-参数输入表!$I$633)*参数输入表!$I$36*时间序列!AH40/(参数输入表!$I$632*12)</f>
        <v>0</v>
      </c>
      <c r="AL274" s="366">
        <f>参数输入表!$I$630*(1-参数输入表!$I$633)*参数输入表!$I$36*时间序列!AI40/(参数输入表!$I$632*12)</f>
        <v>0</v>
      </c>
      <c r="AM274" s="366">
        <f>参数输入表!$I$630*(1-参数输入表!$I$633)*参数输入表!$I$36*时间序列!AJ40/(参数输入表!$I$632*12)</f>
        <v>0</v>
      </c>
      <c r="AN274" s="366">
        <f>参数输入表!$I$630*(1-参数输入表!$I$633)*参数输入表!$I$36*时间序列!AK40/(参数输入表!$I$632*12)</f>
        <v>0</v>
      </c>
      <c r="AO274" s="366">
        <f>参数输入表!$I$630*(1-参数输入表!$I$633)*参数输入表!$I$36*时间序列!AL40/(参数输入表!$I$632*12)</f>
        <v>0</v>
      </c>
      <c r="AP274" s="366">
        <f>参数输入表!$I$630*(1-参数输入表!$I$633)*参数输入表!$I$36*时间序列!AM40/(参数输入表!$I$632*12)</f>
        <v>0</v>
      </c>
      <c r="AQ274" s="366">
        <f>参数输入表!$I$630*(1-参数输入表!$I$633)*参数输入表!$I$36*时间序列!AN40/(参数输入表!$I$632*12)</f>
        <v>0</v>
      </c>
      <c r="AR274" s="366">
        <f>参数输入表!$I$630*(1-参数输入表!$I$633)*参数输入表!$I$36*时间序列!AO40/(参数输入表!$I$632*12)</f>
        <v>0</v>
      </c>
      <c r="AS274" s="366">
        <f>参数输入表!$I$630*(1-参数输入表!$I$633)*参数输入表!$I$36*时间序列!AP40/(参数输入表!$I$632*12)</f>
        <v>0</v>
      </c>
      <c r="AT274" s="366">
        <f>参数输入表!$I$630*(1-参数输入表!$I$633)*参数输入表!$I$36*时间序列!AQ40/(参数输入表!$I$632*12)</f>
        <v>0</v>
      </c>
      <c r="AU274" s="366">
        <f>参数输入表!$I$630*(1-参数输入表!$I$633)*参数输入表!$I$36*时间序列!AR40/(参数输入表!$I$632*12)</f>
        <v>0</v>
      </c>
      <c r="AV274" s="366">
        <f>参数输入表!$I$630*(1-参数输入表!$I$633)*参数输入表!$I$36*时间序列!AS40/(参数输入表!$I$632*12)</f>
        <v>0</v>
      </c>
      <c r="AW274" s="366">
        <f>参数输入表!$I$630*(1-参数输入表!$I$633)*参数输入表!$I$36*时间序列!AT40/(参数输入表!$I$632*12)</f>
        <v>0</v>
      </c>
      <c r="AX274" s="366">
        <f>参数输入表!$I$630*(1-参数输入表!$I$633)*参数输入表!$I$36*时间序列!AU40/(参数输入表!$I$632*12)</f>
        <v>0</v>
      </c>
      <c r="AY274" s="366">
        <f>参数输入表!$I$630*(1-参数输入表!$I$633)*参数输入表!$I$36*时间序列!AV40/(参数输入表!$I$632*12)</f>
        <v>0</v>
      </c>
      <c r="AZ274" s="366">
        <f>参数输入表!$I$630*(1-参数输入表!$I$633)*参数输入表!$I$36*时间序列!AW40/(参数输入表!$I$632*12)</f>
        <v>0</v>
      </c>
      <c r="BA274" s="385">
        <f>参数输入表!$I$630*(1-参数输入表!$I$633)*参数输入表!$I$36*时间序列!AX40/(参数输入表!$I$632*12)</f>
        <v>0</v>
      </c>
    </row>
    <row r="275" s="105" customFormat="1" spans="2:53">
      <c r="B275" s="360"/>
      <c r="C275" s="402" t="s">
        <v>472</v>
      </c>
      <c r="D275" s="375">
        <f t="shared" si="196"/>
        <v>0</v>
      </c>
      <c r="E275" s="266" t="s">
        <v>130</v>
      </c>
      <c r="F275" s="366">
        <f>参数输入表!$I$630*(1-参数输入表!$I$633)*参数输入表!$I$37*时间序列!C68/(参数输入表!$I$632*12)</f>
        <v>0</v>
      </c>
      <c r="G275" s="366">
        <f>参数输入表!$I$630*(1-参数输入表!$I$633)*参数输入表!$I$37*时间序列!D68/(参数输入表!$I$632*12)</f>
        <v>0</v>
      </c>
      <c r="H275" s="366">
        <f>参数输入表!$I$630*(1-参数输入表!$I$633)*参数输入表!$I$37*时间序列!E68/(参数输入表!$I$632*12)</f>
        <v>0</v>
      </c>
      <c r="I275" s="366">
        <f>参数输入表!$I$630*(1-参数输入表!$I$633)*参数输入表!$I$37*时间序列!F68/(参数输入表!$I$632*12)</f>
        <v>0</v>
      </c>
      <c r="J275" s="366">
        <f>参数输入表!$I$630*(1-参数输入表!$I$633)*参数输入表!$I$37*时间序列!G68/(参数输入表!$I$632*12)</f>
        <v>0</v>
      </c>
      <c r="K275" s="366">
        <f>参数输入表!$I$630*(1-参数输入表!$I$633)*参数输入表!$I$37*时间序列!H68/(参数输入表!$I$632*12)</f>
        <v>0</v>
      </c>
      <c r="L275" s="366">
        <f>参数输入表!$I$630*(1-参数输入表!$I$633)*参数输入表!$I$37*时间序列!I68/(参数输入表!$I$632*12)</f>
        <v>0</v>
      </c>
      <c r="M275" s="366">
        <f>参数输入表!$I$630*(1-参数输入表!$I$633)*参数输入表!$I$37*时间序列!J68/(参数输入表!$I$632*12)</f>
        <v>0</v>
      </c>
      <c r="N275" s="366">
        <f>参数输入表!$I$630*(1-参数输入表!$I$633)*参数输入表!$I$37*时间序列!K68/(参数输入表!$I$632*12)</f>
        <v>0</v>
      </c>
      <c r="O275" s="366">
        <f>参数输入表!$I$630*(1-参数输入表!$I$633)*参数输入表!$I$37*时间序列!L68/(参数输入表!$I$632*12)</f>
        <v>0</v>
      </c>
      <c r="P275" s="366">
        <f>参数输入表!$I$630*(1-参数输入表!$I$633)*参数输入表!$I$37*时间序列!M68/(参数输入表!$I$632*12)</f>
        <v>0</v>
      </c>
      <c r="Q275" s="366">
        <f>参数输入表!$I$630*(1-参数输入表!$I$633)*参数输入表!$I$37*时间序列!N68/(参数输入表!$I$632*12)</f>
        <v>0</v>
      </c>
      <c r="R275" s="366">
        <f>参数输入表!$I$630*(1-参数输入表!$I$633)*参数输入表!$I$37*时间序列!O68/(参数输入表!$I$632*12)</f>
        <v>0</v>
      </c>
      <c r="S275" s="366">
        <f>参数输入表!$I$630*(1-参数输入表!$I$633)*参数输入表!$I$37*时间序列!P68/(参数输入表!$I$632*12)</f>
        <v>0</v>
      </c>
      <c r="T275" s="366">
        <f>参数输入表!$I$630*(1-参数输入表!$I$633)*参数输入表!$I$37*时间序列!Q68/(参数输入表!$I$632*12)</f>
        <v>0</v>
      </c>
      <c r="U275" s="366">
        <f>参数输入表!$I$630*(1-参数输入表!$I$633)*参数输入表!$I$37*时间序列!R68/(参数输入表!$I$632*12)</f>
        <v>0</v>
      </c>
      <c r="V275" s="366">
        <f>参数输入表!$I$630*(1-参数输入表!$I$633)*参数输入表!$I$37*时间序列!S68/(参数输入表!$I$632*12)</f>
        <v>0</v>
      </c>
      <c r="W275" s="366">
        <f>参数输入表!$I$630*(1-参数输入表!$I$633)*参数输入表!$I$37*时间序列!T68/(参数输入表!$I$632*12)</f>
        <v>0</v>
      </c>
      <c r="X275" s="366">
        <f>参数输入表!$I$630*(1-参数输入表!$I$633)*参数输入表!$I$37*时间序列!U68/(参数输入表!$I$632*12)</f>
        <v>0</v>
      </c>
      <c r="Y275" s="366">
        <f>参数输入表!$I$630*(1-参数输入表!$I$633)*参数输入表!$I$37*时间序列!V68/(参数输入表!$I$632*12)</f>
        <v>0</v>
      </c>
      <c r="Z275" s="366">
        <f>参数输入表!$I$630*(1-参数输入表!$I$633)*参数输入表!$I$37*时间序列!W68/(参数输入表!$I$632*12)</f>
        <v>0</v>
      </c>
      <c r="AA275" s="366">
        <f>参数输入表!$I$630*(1-参数输入表!$I$633)*参数输入表!$I$37*时间序列!X68/(参数输入表!$I$632*12)</f>
        <v>0</v>
      </c>
      <c r="AB275" s="366">
        <f>参数输入表!$I$630*(1-参数输入表!$I$633)*参数输入表!$I$37*时间序列!Y68/(参数输入表!$I$632*12)</f>
        <v>0</v>
      </c>
      <c r="AC275" s="366">
        <f>参数输入表!$I$630*(1-参数输入表!$I$633)*参数输入表!$I$37*时间序列!Z68/(参数输入表!$I$632*12)</f>
        <v>0</v>
      </c>
      <c r="AD275" s="366">
        <f>参数输入表!$I$630*(1-参数输入表!$I$633)*参数输入表!$I$37*时间序列!AA68/(参数输入表!$I$632*12)</f>
        <v>0</v>
      </c>
      <c r="AE275" s="366">
        <f>参数输入表!$I$630*(1-参数输入表!$I$633)*参数输入表!$I$37*时间序列!AB68/(参数输入表!$I$632*12)</f>
        <v>0</v>
      </c>
      <c r="AF275" s="366">
        <f>参数输入表!$I$630*(1-参数输入表!$I$633)*参数输入表!$I$37*时间序列!AC68/(参数输入表!$I$632*12)</f>
        <v>0</v>
      </c>
      <c r="AG275" s="366">
        <f>参数输入表!$I$630*(1-参数输入表!$I$633)*参数输入表!$I$37*时间序列!AD68/(参数输入表!$I$632*12)</f>
        <v>0</v>
      </c>
      <c r="AH275" s="366">
        <f>参数输入表!$I$630*(1-参数输入表!$I$633)*参数输入表!$I$37*时间序列!AE68/(参数输入表!$I$632*12)</f>
        <v>0</v>
      </c>
      <c r="AI275" s="366">
        <f>参数输入表!$I$630*(1-参数输入表!$I$633)*参数输入表!$I$37*时间序列!AF68/(参数输入表!$I$632*12)</f>
        <v>0</v>
      </c>
      <c r="AJ275" s="366">
        <f>参数输入表!$I$630*(1-参数输入表!$I$633)*参数输入表!$I$37*时间序列!AG68/(参数输入表!$I$632*12)</f>
        <v>0</v>
      </c>
      <c r="AK275" s="366">
        <f>参数输入表!$I$630*(1-参数输入表!$I$633)*参数输入表!$I$37*时间序列!AH68/(参数输入表!$I$632*12)</f>
        <v>0</v>
      </c>
      <c r="AL275" s="366">
        <f>参数输入表!$I$630*(1-参数输入表!$I$633)*参数输入表!$I$37*时间序列!AI68/(参数输入表!$I$632*12)</f>
        <v>0</v>
      </c>
      <c r="AM275" s="366">
        <f>参数输入表!$I$630*(1-参数输入表!$I$633)*参数输入表!$I$37*时间序列!AJ68/(参数输入表!$I$632*12)</f>
        <v>0</v>
      </c>
      <c r="AN275" s="366">
        <f>参数输入表!$I$630*(1-参数输入表!$I$633)*参数输入表!$I$37*时间序列!AK68/(参数输入表!$I$632*12)</f>
        <v>0</v>
      </c>
      <c r="AO275" s="366">
        <f>参数输入表!$I$630*(1-参数输入表!$I$633)*参数输入表!$I$37*时间序列!AL68/(参数输入表!$I$632*12)</f>
        <v>0</v>
      </c>
      <c r="AP275" s="366">
        <f>参数输入表!$I$630*(1-参数输入表!$I$633)*参数输入表!$I$37*时间序列!AM68/(参数输入表!$I$632*12)</f>
        <v>0</v>
      </c>
      <c r="AQ275" s="366">
        <f>参数输入表!$I$630*(1-参数输入表!$I$633)*参数输入表!$I$37*时间序列!AN68/(参数输入表!$I$632*12)</f>
        <v>0</v>
      </c>
      <c r="AR275" s="366">
        <f>参数输入表!$I$630*(1-参数输入表!$I$633)*参数输入表!$I$37*时间序列!AO68/(参数输入表!$I$632*12)</f>
        <v>0</v>
      </c>
      <c r="AS275" s="366">
        <f>参数输入表!$I$630*(1-参数输入表!$I$633)*参数输入表!$I$37*时间序列!AP68/(参数输入表!$I$632*12)</f>
        <v>0</v>
      </c>
      <c r="AT275" s="366">
        <f>参数输入表!$I$630*(1-参数输入表!$I$633)*参数输入表!$I$37*时间序列!AQ68/(参数输入表!$I$632*12)</f>
        <v>0</v>
      </c>
      <c r="AU275" s="366">
        <f>参数输入表!$I$630*(1-参数输入表!$I$633)*参数输入表!$I$37*时间序列!AR68/(参数输入表!$I$632*12)</f>
        <v>0</v>
      </c>
      <c r="AV275" s="366">
        <f>参数输入表!$I$630*(1-参数输入表!$I$633)*参数输入表!$I$37*时间序列!AS68/(参数输入表!$I$632*12)</f>
        <v>0</v>
      </c>
      <c r="AW275" s="366">
        <f>参数输入表!$I$630*(1-参数输入表!$I$633)*参数输入表!$I$37*时间序列!AT68/(参数输入表!$I$632*12)</f>
        <v>0</v>
      </c>
      <c r="AX275" s="366">
        <f>参数输入表!$I$630*(1-参数输入表!$I$633)*参数输入表!$I$37*时间序列!AU68/(参数输入表!$I$632*12)</f>
        <v>0</v>
      </c>
      <c r="AY275" s="366">
        <f>参数输入表!$I$630*(1-参数输入表!$I$633)*参数输入表!$I$37*时间序列!AV68/(参数输入表!$I$632*12)</f>
        <v>0</v>
      </c>
      <c r="AZ275" s="366">
        <f>参数输入表!$I$630*(1-参数输入表!$I$633)*参数输入表!$I$37*时间序列!AW68/(参数输入表!$I$632*12)</f>
        <v>0</v>
      </c>
      <c r="BA275" s="385">
        <f>参数输入表!$I$630*(1-参数输入表!$I$633)*参数输入表!$I$37*时间序列!AX68/(参数输入表!$I$632*12)</f>
        <v>0</v>
      </c>
    </row>
    <row r="276" s="105" customFormat="1" spans="2:53">
      <c r="B276" s="360"/>
      <c r="C276" s="402" t="s">
        <v>473</v>
      </c>
      <c r="D276" s="375">
        <f t="shared" si="196"/>
        <v>0</v>
      </c>
      <c r="E276" s="266" t="s">
        <v>130</v>
      </c>
      <c r="F276" s="366">
        <f>参数输入表!$I$630*(1-参数输入表!$I$633)*参数输入表!$I$38*时间序列!C96/(参数输入表!$I$632*12)</f>
        <v>0</v>
      </c>
      <c r="G276" s="366">
        <f>参数输入表!$I$630*(1-参数输入表!$I$633)*参数输入表!$I$38*时间序列!D96/(参数输入表!$I$632*12)</f>
        <v>0</v>
      </c>
      <c r="H276" s="366">
        <f>参数输入表!$I$630*(1-参数输入表!$I$633)*参数输入表!$I$38*时间序列!E96/(参数输入表!$I$632*12)</f>
        <v>0</v>
      </c>
      <c r="I276" s="366">
        <f>参数输入表!$I$630*(1-参数输入表!$I$633)*参数输入表!$I$38*时间序列!F96/(参数输入表!$I$632*12)</f>
        <v>0</v>
      </c>
      <c r="J276" s="366">
        <f>参数输入表!$I$630*(1-参数输入表!$I$633)*参数输入表!$I$38*时间序列!G96/(参数输入表!$I$632*12)</f>
        <v>0</v>
      </c>
      <c r="K276" s="366">
        <f>参数输入表!$I$630*(1-参数输入表!$I$633)*参数输入表!$I$38*时间序列!H96/(参数输入表!$I$632*12)</f>
        <v>0</v>
      </c>
      <c r="L276" s="366">
        <f>参数输入表!$I$630*(1-参数输入表!$I$633)*参数输入表!$I$38*时间序列!I96/(参数输入表!$I$632*12)</f>
        <v>0</v>
      </c>
      <c r="M276" s="366">
        <f>参数输入表!$I$630*(1-参数输入表!$I$633)*参数输入表!$I$38*时间序列!J96/(参数输入表!$I$632*12)</f>
        <v>0</v>
      </c>
      <c r="N276" s="366">
        <f>参数输入表!$I$630*(1-参数输入表!$I$633)*参数输入表!$I$38*时间序列!K96/(参数输入表!$I$632*12)</f>
        <v>0</v>
      </c>
      <c r="O276" s="366">
        <f>参数输入表!$I$630*(1-参数输入表!$I$633)*参数输入表!$I$38*时间序列!L96/(参数输入表!$I$632*12)</f>
        <v>0</v>
      </c>
      <c r="P276" s="366">
        <f>参数输入表!$I$630*(1-参数输入表!$I$633)*参数输入表!$I$38*时间序列!M96/(参数输入表!$I$632*12)</f>
        <v>0</v>
      </c>
      <c r="Q276" s="366">
        <f>参数输入表!$I$630*(1-参数输入表!$I$633)*参数输入表!$I$38*时间序列!N96/(参数输入表!$I$632*12)</f>
        <v>0</v>
      </c>
      <c r="R276" s="366">
        <f>参数输入表!$I$630*(1-参数输入表!$I$633)*参数输入表!$I$38*时间序列!O96/(参数输入表!$I$632*12)</f>
        <v>0</v>
      </c>
      <c r="S276" s="366">
        <f>参数输入表!$I$630*(1-参数输入表!$I$633)*参数输入表!$I$38*时间序列!P96/(参数输入表!$I$632*12)</f>
        <v>0</v>
      </c>
      <c r="T276" s="366">
        <f>参数输入表!$I$630*(1-参数输入表!$I$633)*参数输入表!$I$38*时间序列!Q96/(参数输入表!$I$632*12)</f>
        <v>0</v>
      </c>
      <c r="U276" s="366">
        <f>参数输入表!$I$630*(1-参数输入表!$I$633)*参数输入表!$I$38*时间序列!R96/(参数输入表!$I$632*12)</f>
        <v>0</v>
      </c>
      <c r="V276" s="366">
        <f>参数输入表!$I$630*(1-参数输入表!$I$633)*参数输入表!$I$38*时间序列!S96/(参数输入表!$I$632*12)</f>
        <v>0</v>
      </c>
      <c r="W276" s="366">
        <f>参数输入表!$I$630*(1-参数输入表!$I$633)*参数输入表!$I$38*时间序列!T96/(参数输入表!$I$632*12)</f>
        <v>0</v>
      </c>
      <c r="X276" s="366">
        <f>参数输入表!$I$630*(1-参数输入表!$I$633)*参数输入表!$I$38*时间序列!U96/(参数输入表!$I$632*12)</f>
        <v>0</v>
      </c>
      <c r="Y276" s="366">
        <f>参数输入表!$I$630*(1-参数输入表!$I$633)*参数输入表!$I$38*时间序列!V96/(参数输入表!$I$632*12)</f>
        <v>0</v>
      </c>
      <c r="Z276" s="366">
        <f>参数输入表!$I$630*(1-参数输入表!$I$633)*参数输入表!$I$38*时间序列!W96/(参数输入表!$I$632*12)</f>
        <v>0</v>
      </c>
      <c r="AA276" s="366">
        <f>参数输入表!$I$630*(1-参数输入表!$I$633)*参数输入表!$I$38*时间序列!X96/(参数输入表!$I$632*12)</f>
        <v>0</v>
      </c>
      <c r="AB276" s="366">
        <f>参数输入表!$I$630*(1-参数输入表!$I$633)*参数输入表!$I$38*时间序列!Y96/(参数输入表!$I$632*12)</f>
        <v>0</v>
      </c>
      <c r="AC276" s="366">
        <f>参数输入表!$I$630*(1-参数输入表!$I$633)*参数输入表!$I$38*时间序列!Z96/(参数输入表!$I$632*12)</f>
        <v>0</v>
      </c>
      <c r="AD276" s="366">
        <f>参数输入表!$I$630*(1-参数输入表!$I$633)*参数输入表!$I$38*时间序列!AA96/(参数输入表!$I$632*12)</f>
        <v>0</v>
      </c>
      <c r="AE276" s="366">
        <f>参数输入表!$I$630*(1-参数输入表!$I$633)*参数输入表!$I$38*时间序列!AB96/(参数输入表!$I$632*12)</f>
        <v>0</v>
      </c>
      <c r="AF276" s="366">
        <f>参数输入表!$I$630*(1-参数输入表!$I$633)*参数输入表!$I$38*时间序列!AC96/(参数输入表!$I$632*12)</f>
        <v>0</v>
      </c>
      <c r="AG276" s="366">
        <f>参数输入表!$I$630*(1-参数输入表!$I$633)*参数输入表!$I$38*时间序列!AD96/(参数输入表!$I$632*12)</f>
        <v>0</v>
      </c>
      <c r="AH276" s="366">
        <f>参数输入表!$I$630*(1-参数输入表!$I$633)*参数输入表!$I$38*时间序列!AE96/(参数输入表!$I$632*12)</f>
        <v>0</v>
      </c>
      <c r="AI276" s="366">
        <f>参数输入表!$I$630*(1-参数输入表!$I$633)*参数输入表!$I$38*时间序列!AF96/(参数输入表!$I$632*12)</f>
        <v>0</v>
      </c>
      <c r="AJ276" s="366">
        <f>参数输入表!$I$630*(1-参数输入表!$I$633)*参数输入表!$I$38*时间序列!AG96/(参数输入表!$I$632*12)</f>
        <v>0</v>
      </c>
      <c r="AK276" s="366">
        <f>参数输入表!$I$630*(1-参数输入表!$I$633)*参数输入表!$I$38*时间序列!AH96/(参数输入表!$I$632*12)</f>
        <v>0</v>
      </c>
      <c r="AL276" s="366">
        <f>参数输入表!$I$630*(1-参数输入表!$I$633)*参数输入表!$I$38*时间序列!AI96/(参数输入表!$I$632*12)</f>
        <v>0</v>
      </c>
      <c r="AM276" s="366">
        <f>参数输入表!$I$630*(1-参数输入表!$I$633)*参数输入表!$I$38*时间序列!AJ96/(参数输入表!$I$632*12)</f>
        <v>0</v>
      </c>
      <c r="AN276" s="366">
        <f>参数输入表!$I$630*(1-参数输入表!$I$633)*参数输入表!$I$38*时间序列!AK96/(参数输入表!$I$632*12)</f>
        <v>0</v>
      </c>
      <c r="AO276" s="366">
        <f>参数输入表!$I$630*(1-参数输入表!$I$633)*参数输入表!$I$38*时间序列!AL96/(参数输入表!$I$632*12)</f>
        <v>0</v>
      </c>
      <c r="AP276" s="366">
        <f>参数输入表!$I$630*(1-参数输入表!$I$633)*参数输入表!$I$38*时间序列!AM96/(参数输入表!$I$632*12)</f>
        <v>0</v>
      </c>
      <c r="AQ276" s="366">
        <f>参数输入表!$I$630*(1-参数输入表!$I$633)*参数输入表!$I$38*时间序列!AN96/(参数输入表!$I$632*12)</f>
        <v>0</v>
      </c>
      <c r="AR276" s="366">
        <f>参数输入表!$I$630*(1-参数输入表!$I$633)*参数输入表!$I$38*时间序列!AO96/(参数输入表!$I$632*12)</f>
        <v>0</v>
      </c>
      <c r="AS276" s="366">
        <f>参数输入表!$I$630*(1-参数输入表!$I$633)*参数输入表!$I$38*时间序列!AP96/(参数输入表!$I$632*12)</f>
        <v>0</v>
      </c>
      <c r="AT276" s="366">
        <f>参数输入表!$I$630*(1-参数输入表!$I$633)*参数输入表!$I$38*时间序列!AQ96/(参数输入表!$I$632*12)</f>
        <v>0</v>
      </c>
      <c r="AU276" s="366">
        <f>参数输入表!$I$630*(1-参数输入表!$I$633)*参数输入表!$I$38*时间序列!AR96/(参数输入表!$I$632*12)</f>
        <v>0</v>
      </c>
      <c r="AV276" s="366">
        <f>参数输入表!$I$630*(1-参数输入表!$I$633)*参数输入表!$I$38*时间序列!AS96/(参数输入表!$I$632*12)</f>
        <v>0</v>
      </c>
      <c r="AW276" s="366">
        <f>参数输入表!$I$630*(1-参数输入表!$I$633)*参数输入表!$I$38*时间序列!AT96/(参数输入表!$I$632*12)</f>
        <v>0</v>
      </c>
      <c r="AX276" s="366">
        <f>参数输入表!$I$630*(1-参数输入表!$I$633)*参数输入表!$I$38*时间序列!AU96/(参数输入表!$I$632*12)</f>
        <v>0</v>
      </c>
      <c r="AY276" s="366">
        <f>参数输入表!$I$630*(1-参数输入表!$I$633)*参数输入表!$I$38*时间序列!AV96/(参数输入表!$I$632*12)</f>
        <v>0</v>
      </c>
      <c r="AZ276" s="366">
        <f>参数输入表!$I$630*(1-参数输入表!$I$633)*参数输入表!$I$38*时间序列!AW96/(参数输入表!$I$632*12)</f>
        <v>0</v>
      </c>
      <c r="BA276" s="385">
        <f>参数输入表!$I$630*(1-参数输入表!$I$633)*参数输入表!$I$38*时间序列!AX96/(参数输入表!$I$632*12)</f>
        <v>0</v>
      </c>
    </row>
    <row r="277" s="105" customFormat="1" spans="2:53">
      <c r="B277" s="360"/>
      <c r="C277" s="402" t="s">
        <v>474</v>
      </c>
      <c r="D277" s="375">
        <f t="shared" si="196"/>
        <v>11400</v>
      </c>
      <c r="E277" s="266" t="s">
        <v>130</v>
      </c>
      <c r="F277" s="366">
        <f>参数输入表!$I$630*(1-参数输入表!$I$633)*参数输入表!$I$39*时间序列!C124/(参数输入表!$I$632*12)</f>
        <v>0</v>
      </c>
      <c r="G277" s="366">
        <f>参数输入表!$I$630*(1-参数输入表!$I$633)*参数输入表!$I$39*时间序列!D124/(参数输入表!$I$632*12)</f>
        <v>0</v>
      </c>
      <c r="H277" s="366">
        <f>参数输入表!$I$630*(1-参数输入表!$I$633)*参数输入表!$I$39*时间序列!E124/(参数输入表!$I$632*12)</f>
        <v>0</v>
      </c>
      <c r="I277" s="366">
        <f>参数输入表!$I$630*(1-参数输入表!$I$633)*参数输入表!$I$39*时间序列!F124/(参数输入表!$I$632*12)</f>
        <v>0</v>
      </c>
      <c r="J277" s="366">
        <f>参数输入表!$I$630*(1-参数输入表!$I$633)*参数输入表!$I$39*时间序列!G124/(参数输入表!$I$632*12)</f>
        <v>0</v>
      </c>
      <c r="K277" s="366">
        <f>参数输入表!$I$630*(1-参数输入表!$I$633)*参数输入表!$I$39*时间序列!H124/(参数输入表!$I$632*12)</f>
        <v>0</v>
      </c>
      <c r="L277" s="366">
        <f>参数输入表!$I$630*(1-参数输入表!$I$633)*参数输入表!$I$39*时间序列!I124/(参数输入表!$I$632*12)</f>
        <v>0</v>
      </c>
      <c r="M277" s="366">
        <f>参数输入表!$I$630*(1-参数输入表!$I$633)*参数输入表!$I$39*时间序列!J124/(参数输入表!$I$632*12)</f>
        <v>0</v>
      </c>
      <c r="N277" s="366">
        <f>参数输入表!$I$630*(1-参数输入表!$I$633)*参数输入表!$I$39*时间序列!K124/(参数输入表!$I$632*12)</f>
        <v>807.5</v>
      </c>
      <c r="O277" s="366">
        <f>参数输入表!$I$630*(1-参数输入表!$I$633)*参数输入表!$I$39*时间序列!L124/(参数输入表!$I$632*12)</f>
        <v>570</v>
      </c>
      <c r="P277" s="366">
        <f>参数输入表!$I$630*(1-参数输入表!$I$633)*参数输入表!$I$39*时间序列!M124/(参数输入表!$I$632*12)</f>
        <v>570</v>
      </c>
      <c r="Q277" s="366">
        <f>参数输入表!$I$630*(1-参数输入表!$I$633)*参数输入表!$I$39*时间序列!N124/(参数输入表!$I$632*12)</f>
        <v>570</v>
      </c>
      <c r="R277" s="366">
        <f>参数输入表!$I$630*(1-参数输入表!$I$633)*参数输入表!$I$39*时间序列!O124/(参数输入表!$I$632*12)</f>
        <v>570</v>
      </c>
      <c r="S277" s="366">
        <f>参数输入表!$I$630*(1-参数输入表!$I$633)*参数输入表!$I$39*时间序列!P124/(参数输入表!$I$632*12)</f>
        <v>570</v>
      </c>
      <c r="T277" s="366">
        <f>参数输入表!$I$630*(1-参数输入表!$I$633)*参数输入表!$I$39*时间序列!Q124/(参数输入表!$I$632*12)</f>
        <v>570</v>
      </c>
      <c r="U277" s="366">
        <f>参数输入表!$I$630*(1-参数输入表!$I$633)*参数输入表!$I$39*时间序列!R124/(参数输入表!$I$632*12)</f>
        <v>570</v>
      </c>
      <c r="V277" s="366">
        <f>参数输入表!$I$630*(1-参数输入表!$I$633)*参数输入表!$I$39*时间序列!S124/(参数输入表!$I$632*12)</f>
        <v>570</v>
      </c>
      <c r="W277" s="366">
        <f>参数输入表!$I$630*(1-参数输入表!$I$633)*参数输入表!$I$39*时间序列!T124/(参数输入表!$I$632*12)</f>
        <v>570</v>
      </c>
      <c r="X277" s="366">
        <f>参数输入表!$I$630*(1-参数输入表!$I$633)*参数输入表!$I$39*时间序列!U124/(参数输入表!$I$632*12)</f>
        <v>570</v>
      </c>
      <c r="Y277" s="366">
        <f>参数输入表!$I$630*(1-参数输入表!$I$633)*参数输入表!$I$39*时间序列!V124/(参数输入表!$I$632*12)</f>
        <v>570</v>
      </c>
      <c r="Z277" s="366">
        <f>参数输入表!$I$630*(1-参数输入表!$I$633)*参数输入表!$I$39*时间序列!W124/(参数输入表!$I$632*12)</f>
        <v>570</v>
      </c>
      <c r="AA277" s="366">
        <f>参数输入表!$I$630*(1-参数输入表!$I$633)*参数输入表!$I$39*时间序列!X124/(参数输入表!$I$632*12)</f>
        <v>570</v>
      </c>
      <c r="AB277" s="366">
        <f>参数输入表!$I$630*(1-参数输入表!$I$633)*参数输入表!$I$39*时间序列!Y124/(参数输入表!$I$632*12)</f>
        <v>570</v>
      </c>
      <c r="AC277" s="366">
        <f>参数输入表!$I$630*(1-参数输入表!$I$633)*参数输入表!$I$39*时间序列!Z124/(参数输入表!$I$632*12)</f>
        <v>570</v>
      </c>
      <c r="AD277" s="366">
        <f>参数输入表!$I$630*(1-参数输入表!$I$633)*参数输入表!$I$39*时间序列!AA124/(参数输入表!$I$632*12)</f>
        <v>570</v>
      </c>
      <c r="AE277" s="366">
        <f>参数输入表!$I$630*(1-参数输入表!$I$633)*参数输入表!$I$39*时间序列!AB124/(参数输入表!$I$632*12)</f>
        <v>570</v>
      </c>
      <c r="AF277" s="366">
        <f>参数输入表!$I$630*(1-参数输入表!$I$633)*参数输入表!$I$39*时间序列!AC124/(参数输入表!$I$632*12)</f>
        <v>570</v>
      </c>
      <c r="AG277" s="366">
        <f>参数输入表!$I$630*(1-参数输入表!$I$633)*参数输入表!$I$39*时间序列!AD124/(参数输入表!$I$632*12)</f>
        <v>332.5</v>
      </c>
      <c r="AH277" s="366">
        <f>参数输入表!$I$630*(1-参数输入表!$I$633)*参数输入表!$I$39*时间序列!AE124/(参数输入表!$I$632*12)</f>
        <v>0</v>
      </c>
      <c r="AI277" s="366">
        <f>参数输入表!$I$630*(1-参数输入表!$I$633)*参数输入表!$I$39*时间序列!AF124/(参数输入表!$I$632*12)</f>
        <v>0</v>
      </c>
      <c r="AJ277" s="366">
        <f>参数输入表!$I$630*(1-参数输入表!$I$633)*参数输入表!$I$39*时间序列!AG124/(参数输入表!$I$632*12)</f>
        <v>0</v>
      </c>
      <c r="AK277" s="366">
        <f>参数输入表!$I$630*(1-参数输入表!$I$633)*参数输入表!$I$39*时间序列!AH124/(参数输入表!$I$632*12)</f>
        <v>0</v>
      </c>
      <c r="AL277" s="366">
        <f>参数输入表!$I$630*(1-参数输入表!$I$633)*参数输入表!$I$39*时间序列!AI124/(参数输入表!$I$632*12)</f>
        <v>0</v>
      </c>
      <c r="AM277" s="366">
        <f>参数输入表!$I$630*(1-参数输入表!$I$633)*参数输入表!$I$39*时间序列!AJ124/(参数输入表!$I$632*12)</f>
        <v>0</v>
      </c>
      <c r="AN277" s="366">
        <f>参数输入表!$I$630*(1-参数输入表!$I$633)*参数输入表!$I$39*时间序列!AK124/(参数输入表!$I$632*12)</f>
        <v>0</v>
      </c>
      <c r="AO277" s="366">
        <f>参数输入表!$I$630*(1-参数输入表!$I$633)*参数输入表!$I$39*时间序列!AL124/(参数输入表!$I$632*12)</f>
        <v>0</v>
      </c>
      <c r="AP277" s="366">
        <f>参数输入表!$I$630*(1-参数输入表!$I$633)*参数输入表!$I$39*时间序列!AM124/(参数输入表!$I$632*12)</f>
        <v>0</v>
      </c>
      <c r="AQ277" s="366">
        <f>参数输入表!$I$630*(1-参数输入表!$I$633)*参数输入表!$I$39*时间序列!AN124/(参数输入表!$I$632*12)</f>
        <v>0</v>
      </c>
      <c r="AR277" s="366">
        <f>参数输入表!$I$630*(1-参数输入表!$I$633)*参数输入表!$I$39*时间序列!AO124/(参数输入表!$I$632*12)</f>
        <v>0</v>
      </c>
      <c r="AS277" s="366">
        <f>参数输入表!$I$630*(1-参数输入表!$I$633)*参数输入表!$I$39*时间序列!AP124/(参数输入表!$I$632*12)</f>
        <v>0</v>
      </c>
      <c r="AT277" s="366">
        <f>参数输入表!$I$630*(1-参数输入表!$I$633)*参数输入表!$I$39*时间序列!AQ124/(参数输入表!$I$632*12)</f>
        <v>0</v>
      </c>
      <c r="AU277" s="366">
        <f>参数输入表!$I$630*(1-参数输入表!$I$633)*参数输入表!$I$39*时间序列!AR124/(参数输入表!$I$632*12)</f>
        <v>0</v>
      </c>
      <c r="AV277" s="366">
        <f>参数输入表!$I$630*(1-参数输入表!$I$633)*参数输入表!$I$39*时间序列!AS124/(参数输入表!$I$632*12)</f>
        <v>0</v>
      </c>
      <c r="AW277" s="366">
        <f>参数输入表!$I$630*(1-参数输入表!$I$633)*参数输入表!$I$39*时间序列!AT124/(参数输入表!$I$632*12)</f>
        <v>0</v>
      </c>
      <c r="AX277" s="366">
        <f>参数输入表!$I$630*(1-参数输入表!$I$633)*参数输入表!$I$39*时间序列!AU124/(参数输入表!$I$632*12)</f>
        <v>0</v>
      </c>
      <c r="AY277" s="366">
        <f>参数输入表!$I$630*(1-参数输入表!$I$633)*参数输入表!$I$39*时间序列!AV124/(参数输入表!$I$632*12)</f>
        <v>0</v>
      </c>
      <c r="AZ277" s="366">
        <f>参数输入表!$I$630*(1-参数输入表!$I$633)*参数输入表!$I$39*时间序列!AW124/(参数输入表!$I$632*12)</f>
        <v>0</v>
      </c>
      <c r="BA277" s="385">
        <f>参数输入表!$I$630*(1-参数输入表!$I$633)*参数输入表!$I$39*时间序列!AX124/(参数输入表!$I$632*12)</f>
        <v>0</v>
      </c>
    </row>
    <row r="278" s="105" customFormat="1" spans="2:53">
      <c r="B278" s="360"/>
      <c r="C278" s="427" t="s">
        <v>717</v>
      </c>
      <c r="D278" s="426"/>
      <c r="E278" s="266" t="s">
        <v>130</v>
      </c>
      <c r="F278" s="366">
        <f>F273</f>
        <v>0</v>
      </c>
      <c r="G278" s="366">
        <f>F278+G273</f>
        <v>0</v>
      </c>
      <c r="H278" s="366">
        <f t="shared" ref="H278:BA278" si="198">G278+H273</f>
        <v>0</v>
      </c>
      <c r="I278" s="366">
        <f t="shared" si="198"/>
        <v>0</v>
      </c>
      <c r="J278" s="366">
        <f t="shared" si="198"/>
        <v>0</v>
      </c>
      <c r="K278" s="366">
        <f t="shared" si="198"/>
        <v>0</v>
      </c>
      <c r="L278" s="366">
        <f t="shared" si="198"/>
        <v>0</v>
      </c>
      <c r="M278" s="366">
        <f t="shared" si="198"/>
        <v>0</v>
      </c>
      <c r="N278" s="366">
        <f t="shared" si="198"/>
        <v>807.5</v>
      </c>
      <c r="O278" s="366">
        <f t="shared" si="198"/>
        <v>1377.5</v>
      </c>
      <c r="P278" s="366">
        <f t="shared" si="198"/>
        <v>1947.5</v>
      </c>
      <c r="Q278" s="366">
        <f t="shared" si="198"/>
        <v>2517.5</v>
      </c>
      <c r="R278" s="366">
        <f t="shared" si="198"/>
        <v>3087.5</v>
      </c>
      <c r="S278" s="366">
        <f t="shared" si="198"/>
        <v>3657.5</v>
      </c>
      <c r="T278" s="366">
        <f t="shared" si="198"/>
        <v>4227.5</v>
      </c>
      <c r="U278" s="366">
        <f t="shared" si="198"/>
        <v>4797.5</v>
      </c>
      <c r="V278" s="366">
        <f t="shared" si="198"/>
        <v>5367.5</v>
      </c>
      <c r="W278" s="366">
        <f t="shared" si="198"/>
        <v>5937.5</v>
      </c>
      <c r="X278" s="366">
        <f t="shared" si="198"/>
        <v>6507.5</v>
      </c>
      <c r="Y278" s="366">
        <f t="shared" si="198"/>
        <v>7077.5</v>
      </c>
      <c r="Z278" s="366">
        <f t="shared" si="198"/>
        <v>7647.5</v>
      </c>
      <c r="AA278" s="366">
        <f t="shared" si="198"/>
        <v>8217.5</v>
      </c>
      <c r="AB278" s="366">
        <f t="shared" si="198"/>
        <v>8787.5</v>
      </c>
      <c r="AC278" s="366">
        <f t="shared" si="198"/>
        <v>9357.5</v>
      </c>
      <c r="AD278" s="366">
        <f t="shared" si="198"/>
        <v>9927.5</v>
      </c>
      <c r="AE278" s="366">
        <f t="shared" si="198"/>
        <v>10497.5</v>
      </c>
      <c r="AF278" s="366">
        <f t="shared" si="198"/>
        <v>11067.5</v>
      </c>
      <c r="AG278" s="366">
        <f t="shared" si="198"/>
        <v>11400</v>
      </c>
      <c r="AH278" s="366">
        <f t="shared" si="198"/>
        <v>11400</v>
      </c>
      <c r="AI278" s="366">
        <f t="shared" si="198"/>
        <v>11400</v>
      </c>
      <c r="AJ278" s="366">
        <f t="shared" si="198"/>
        <v>11400</v>
      </c>
      <c r="AK278" s="366">
        <f t="shared" si="198"/>
        <v>11400</v>
      </c>
      <c r="AL278" s="366">
        <f t="shared" si="198"/>
        <v>11400</v>
      </c>
      <c r="AM278" s="366">
        <f t="shared" si="198"/>
        <v>11400</v>
      </c>
      <c r="AN278" s="366">
        <f t="shared" si="198"/>
        <v>11400</v>
      </c>
      <c r="AO278" s="366">
        <f t="shared" si="198"/>
        <v>11400</v>
      </c>
      <c r="AP278" s="366">
        <f t="shared" si="198"/>
        <v>11400</v>
      </c>
      <c r="AQ278" s="366">
        <f t="shared" si="198"/>
        <v>11400</v>
      </c>
      <c r="AR278" s="366">
        <f t="shared" si="198"/>
        <v>11400</v>
      </c>
      <c r="AS278" s="366">
        <f t="shared" si="198"/>
        <v>11400</v>
      </c>
      <c r="AT278" s="366">
        <f t="shared" si="198"/>
        <v>11400</v>
      </c>
      <c r="AU278" s="366">
        <f t="shared" si="198"/>
        <v>11400</v>
      </c>
      <c r="AV278" s="366">
        <f t="shared" si="198"/>
        <v>11400</v>
      </c>
      <c r="AW278" s="366">
        <f t="shared" si="198"/>
        <v>11400</v>
      </c>
      <c r="AX278" s="366">
        <f t="shared" si="198"/>
        <v>11400</v>
      </c>
      <c r="AY278" s="366">
        <f t="shared" si="198"/>
        <v>11400</v>
      </c>
      <c r="AZ278" s="366">
        <f t="shared" si="198"/>
        <v>11400</v>
      </c>
      <c r="BA278" s="385">
        <f t="shared" si="198"/>
        <v>11400</v>
      </c>
    </row>
    <row r="279" s="105" customFormat="1" ht="17.25" spans="2:53">
      <c r="B279" s="379"/>
      <c r="C279" s="380" t="s">
        <v>718</v>
      </c>
      <c r="D279" s="381"/>
      <c r="E279" s="428" t="s">
        <v>130</v>
      </c>
      <c r="F279" s="383">
        <f>F269-F278</f>
        <v>0</v>
      </c>
      <c r="G279" s="383">
        <f>G269-G278</f>
        <v>0</v>
      </c>
      <c r="H279" s="383">
        <f t="shared" ref="H279:BA279" si="199">H269-H278</f>
        <v>0</v>
      </c>
      <c r="I279" s="383">
        <f t="shared" si="199"/>
        <v>0</v>
      </c>
      <c r="J279" s="383">
        <f t="shared" si="199"/>
        <v>0</v>
      </c>
      <c r="K279" s="383">
        <f t="shared" si="199"/>
        <v>0</v>
      </c>
      <c r="L279" s="383">
        <f t="shared" si="199"/>
        <v>0</v>
      </c>
      <c r="M279" s="383">
        <f t="shared" si="199"/>
        <v>12000</v>
      </c>
      <c r="N279" s="383">
        <f t="shared" si="199"/>
        <v>11192.5</v>
      </c>
      <c r="O279" s="383">
        <f t="shared" si="199"/>
        <v>10622.5</v>
      </c>
      <c r="P279" s="383">
        <f t="shared" si="199"/>
        <v>10052.5</v>
      </c>
      <c r="Q279" s="383">
        <f t="shared" si="199"/>
        <v>9482.5</v>
      </c>
      <c r="R279" s="383">
        <f t="shared" si="199"/>
        <v>8912.5</v>
      </c>
      <c r="S279" s="383">
        <f t="shared" si="199"/>
        <v>8342.5</v>
      </c>
      <c r="T279" s="383">
        <f t="shared" si="199"/>
        <v>7772.5</v>
      </c>
      <c r="U279" s="383">
        <f t="shared" si="199"/>
        <v>7202.5</v>
      </c>
      <c r="V279" s="383">
        <f t="shared" si="199"/>
        <v>6632.5</v>
      </c>
      <c r="W279" s="383">
        <f t="shared" si="199"/>
        <v>6062.5</v>
      </c>
      <c r="X279" s="383">
        <f t="shared" si="199"/>
        <v>5492.5</v>
      </c>
      <c r="Y279" s="383">
        <f t="shared" si="199"/>
        <v>4922.5</v>
      </c>
      <c r="Z279" s="383">
        <f t="shared" si="199"/>
        <v>4352.5</v>
      </c>
      <c r="AA279" s="383">
        <f t="shared" si="199"/>
        <v>3782.5</v>
      </c>
      <c r="AB279" s="383">
        <f t="shared" si="199"/>
        <v>3212.5</v>
      </c>
      <c r="AC279" s="383">
        <f t="shared" si="199"/>
        <v>2642.5</v>
      </c>
      <c r="AD279" s="383">
        <f t="shared" si="199"/>
        <v>2072.5</v>
      </c>
      <c r="AE279" s="383">
        <f t="shared" si="199"/>
        <v>1502.5</v>
      </c>
      <c r="AF279" s="383">
        <f t="shared" si="199"/>
        <v>932.5</v>
      </c>
      <c r="AG279" s="383">
        <f t="shared" si="199"/>
        <v>600</v>
      </c>
      <c r="AH279" s="383">
        <f t="shared" si="199"/>
        <v>600</v>
      </c>
      <c r="AI279" s="383">
        <f t="shared" si="199"/>
        <v>600</v>
      </c>
      <c r="AJ279" s="383">
        <f t="shared" si="199"/>
        <v>600</v>
      </c>
      <c r="AK279" s="383">
        <f t="shared" si="199"/>
        <v>600</v>
      </c>
      <c r="AL279" s="383">
        <f t="shared" si="199"/>
        <v>600</v>
      </c>
      <c r="AM279" s="383">
        <f t="shared" si="199"/>
        <v>600</v>
      </c>
      <c r="AN279" s="383">
        <f t="shared" si="199"/>
        <v>600</v>
      </c>
      <c r="AO279" s="383">
        <f t="shared" si="199"/>
        <v>600</v>
      </c>
      <c r="AP279" s="383">
        <f t="shared" si="199"/>
        <v>600</v>
      </c>
      <c r="AQ279" s="383">
        <f t="shared" si="199"/>
        <v>600</v>
      </c>
      <c r="AR279" s="383">
        <f t="shared" si="199"/>
        <v>600</v>
      </c>
      <c r="AS279" s="383">
        <f t="shared" si="199"/>
        <v>600</v>
      </c>
      <c r="AT279" s="383">
        <f t="shared" si="199"/>
        <v>600</v>
      </c>
      <c r="AU279" s="383">
        <f t="shared" si="199"/>
        <v>600</v>
      </c>
      <c r="AV279" s="383">
        <f t="shared" si="199"/>
        <v>600</v>
      </c>
      <c r="AW279" s="383">
        <f t="shared" si="199"/>
        <v>600</v>
      </c>
      <c r="AX279" s="383">
        <f t="shared" si="199"/>
        <v>600</v>
      </c>
      <c r="AY279" s="383">
        <f t="shared" si="199"/>
        <v>600</v>
      </c>
      <c r="AZ279" s="383">
        <f t="shared" si="199"/>
        <v>600</v>
      </c>
      <c r="BA279" s="384">
        <f t="shared" si="199"/>
        <v>600</v>
      </c>
    </row>
    <row r="280" s="105" customFormat="1" spans="2:53">
      <c r="B280" s="360">
        <v>2</v>
      </c>
      <c r="C280" s="429" t="s">
        <v>719</v>
      </c>
      <c r="D280" s="397"/>
      <c r="E280" s="398" t="s">
        <v>130</v>
      </c>
      <c r="F280" s="397">
        <f t="shared" ref="F280:BA280" si="200">F61</f>
        <v>0</v>
      </c>
      <c r="G280" s="397">
        <f t="shared" si="200"/>
        <v>0</v>
      </c>
      <c r="H280" s="397">
        <f t="shared" si="200"/>
        <v>0</v>
      </c>
      <c r="I280" s="397">
        <f t="shared" si="200"/>
        <v>0</v>
      </c>
      <c r="J280" s="397">
        <f t="shared" si="200"/>
        <v>0</v>
      </c>
      <c r="K280" s="397">
        <f t="shared" si="200"/>
        <v>0</v>
      </c>
      <c r="L280" s="397">
        <f t="shared" si="200"/>
        <v>0</v>
      </c>
      <c r="M280" s="397">
        <f t="shared" si="200"/>
        <v>0</v>
      </c>
      <c r="N280" s="397">
        <f t="shared" si="200"/>
        <v>0</v>
      </c>
      <c r="O280" s="397">
        <f t="shared" si="200"/>
        <v>366.97247706422</v>
      </c>
      <c r="P280" s="397">
        <f t="shared" si="200"/>
        <v>275.229357798165</v>
      </c>
      <c r="Q280" s="397">
        <f t="shared" si="200"/>
        <v>183.48623853211</v>
      </c>
      <c r="R280" s="397">
        <f t="shared" si="200"/>
        <v>91.7431192660551</v>
      </c>
      <c r="S280" s="397">
        <f t="shared" si="200"/>
        <v>0</v>
      </c>
      <c r="T280" s="397">
        <f t="shared" si="200"/>
        <v>366.97247706422</v>
      </c>
      <c r="U280" s="397">
        <f t="shared" si="200"/>
        <v>275.229357798165</v>
      </c>
      <c r="V280" s="397">
        <f t="shared" si="200"/>
        <v>183.48623853211</v>
      </c>
      <c r="W280" s="397">
        <f t="shared" si="200"/>
        <v>91.7431192660551</v>
      </c>
      <c r="X280" s="397">
        <f t="shared" si="200"/>
        <v>0</v>
      </c>
      <c r="Y280" s="397">
        <f t="shared" si="200"/>
        <v>366.97247706422</v>
      </c>
      <c r="Z280" s="397">
        <f t="shared" si="200"/>
        <v>275.229357798165</v>
      </c>
      <c r="AA280" s="397">
        <f t="shared" si="200"/>
        <v>183.48623853211</v>
      </c>
      <c r="AB280" s="397">
        <f t="shared" si="200"/>
        <v>91.7431192660551</v>
      </c>
      <c r="AC280" s="397">
        <f t="shared" si="200"/>
        <v>0</v>
      </c>
      <c r="AD280" s="397">
        <f t="shared" si="200"/>
        <v>366.97247706422</v>
      </c>
      <c r="AE280" s="397">
        <f t="shared" si="200"/>
        <v>275.229357798165</v>
      </c>
      <c r="AF280" s="397">
        <f t="shared" si="200"/>
        <v>183.48623853211</v>
      </c>
      <c r="AG280" s="397">
        <f t="shared" si="200"/>
        <v>91.7431192660551</v>
      </c>
      <c r="AH280" s="397">
        <f t="shared" si="200"/>
        <v>0</v>
      </c>
      <c r="AI280" s="397">
        <f t="shared" si="200"/>
        <v>366.97247706422</v>
      </c>
      <c r="AJ280" s="397">
        <f t="shared" si="200"/>
        <v>275.229357798165</v>
      </c>
      <c r="AK280" s="397">
        <f t="shared" si="200"/>
        <v>183.48623853211</v>
      </c>
      <c r="AL280" s="397">
        <f t="shared" si="200"/>
        <v>91.7431192660551</v>
      </c>
      <c r="AM280" s="397">
        <f t="shared" si="200"/>
        <v>0</v>
      </c>
      <c r="AN280" s="397">
        <f t="shared" si="200"/>
        <v>366.97247706422</v>
      </c>
      <c r="AO280" s="397">
        <f t="shared" si="200"/>
        <v>275.229357798165</v>
      </c>
      <c r="AP280" s="397">
        <f t="shared" si="200"/>
        <v>183.48623853211</v>
      </c>
      <c r="AQ280" s="397">
        <f t="shared" si="200"/>
        <v>91.7431192660551</v>
      </c>
      <c r="AR280" s="397">
        <f t="shared" si="200"/>
        <v>0</v>
      </c>
      <c r="AS280" s="397">
        <f t="shared" si="200"/>
        <v>366.97247706422</v>
      </c>
      <c r="AT280" s="397">
        <f t="shared" si="200"/>
        <v>275.229357798165</v>
      </c>
      <c r="AU280" s="397">
        <f t="shared" si="200"/>
        <v>183.48623853211</v>
      </c>
      <c r="AV280" s="397">
        <f t="shared" si="200"/>
        <v>91.7431192660551</v>
      </c>
      <c r="AW280" s="397">
        <f t="shared" si="200"/>
        <v>0</v>
      </c>
      <c r="AX280" s="397">
        <f t="shared" si="200"/>
        <v>366.97247706422</v>
      </c>
      <c r="AY280" s="397">
        <f t="shared" si="200"/>
        <v>275.229357798165</v>
      </c>
      <c r="AZ280" s="397">
        <f t="shared" si="200"/>
        <v>489.296636085627</v>
      </c>
      <c r="BA280" s="430">
        <f t="shared" si="200"/>
        <v>244.648318042813</v>
      </c>
    </row>
    <row r="281" s="105" customFormat="1" spans="2:53">
      <c r="B281" s="360"/>
      <c r="C281" s="133" t="s">
        <v>720</v>
      </c>
      <c r="D281" s="366">
        <f>SUM(F281:BA281)</f>
        <v>4128.44036697248</v>
      </c>
      <c r="E281" s="367" t="s">
        <v>130</v>
      </c>
      <c r="F281" s="366">
        <f t="shared" ref="F281:BA281" si="201">F62</f>
        <v>0</v>
      </c>
      <c r="G281" s="366">
        <f t="shared" si="201"/>
        <v>0</v>
      </c>
      <c r="H281" s="366">
        <f t="shared" si="201"/>
        <v>0</v>
      </c>
      <c r="I281" s="366">
        <f t="shared" si="201"/>
        <v>0</v>
      </c>
      <c r="J281" s="366">
        <f t="shared" si="201"/>
        <v>0</v>
      </c>
      <c r="K281" s="366">
        <f t="shared" si="201"/>
        <v>0</v>
      </c>
      <c r="L281" s="366">
        <f t="shared" si="201"/>
        <v>0</v>
      </c>
      <c r="M281" s="366">
        <f t="shared" si="201"/>
        <v>0</v>
      </c>
      <c r="N281" s="366">
        <f t="shared" si="201"/>
        <v>458.715596330275</v>
      </c>
      <c r="O281" s="366">
        <f t="shared" si="201"/>
        <v>0</v>
      </c>
      <c r="P281" s="366">
        <f t="shared" si="201"/>
        <v>0</v>
      </c>
      <c r="Q281" s="366">
        <f t="shared" si="201"/>
        <v>0</v>
      </c>
      <c r="R281" s="366">
        <f t="shared" si="201"/>
        <v>0</v>
      </c>
      <c r="S281" s="366">
        <f t="shared" si="201"/>
        <v>458.715596330275</v>
      </c>
      <c r="T281" s="366">
        <f t="shared" si="201"/>
        <v>0</v>
      </c>
      <c r="U281" s="366">
        <f t="shared" si="201"/>
        <v>0</v>
      </c>
      <c r="V281" s="366">
        <f t="shared" si="201"/>
        <v>0</v>
      </c>
      <c r="W281" s="366">
        <f t="shared" si="201"/>
        <v>0</v>
      </c>
      <c r="X281" s="366">
        <f t="shared" si="201"/>
        <v>458.715596330275</v>
      </c>
      <c r="Y281" s="366">
        <f t="shared" si="201"/>
        <v>0</v>
      </c>
      <c r="Z281" s="366">
        <f t="shared" si="201"/>
        <v>0</v>
      </c>
      <c r="AA281" s="366">
        <f t="shared" si="201"/>
        <v>0</v>
      </c>
      <c r="AB281" s="366">
        <f t="shared" si="201"/>
        <v>0</v>
      </c>
      <c r="AC281" s="366">
        <f t="shared" si="201"/>
        <v>458.715596330275</v>
      </c>
      <c r="AD281" s="366">
        <f t="shared" si="201"/>
        <v>0</v>
      </c>
      <c r="AE281" s="366">
        <f t="shared" si="201"/>
        <v>0</v>
      </c>
      <c r="AF281" s="366">
        <f t="shared" si="201"/>
        <v>0</v>
      </c>
      <c r="AG281" s="366">
        <f t="shared" si="201"/>
        <v>0</v>
      </c>
      <c r="AH281" s="366">
        <f t="shared" si="201"/>
        <v>458.715596330275</v>
      </c>
      <c r="AI281" s="366">
        <f t="shared" si="201"/>
        <v>0</v>
      </c>
      <c r="AJ281" s="366">
        <f t="shared" si="201"/>
        <v>0</v>
      </c>
      <c r="AK281" s="366">
        <f t="shared" si="201"/>
        <v>0</v>
      </c>
      <c r="AL281" s="366">
        <f t="shared" si="201"/>
        <v>0</v>
      </c>
      <c r="AM281" s="366">
        <f t="shared" si="201"/>
        <v>458.715596330275</v>
      </c>
      <c r="AN281" s="366">
        <f t="shared" si="201"/>
        <v>0</v>
      </c>
      <c r="AO281" s="366">
        <f t="shared" si="201"/>
        <v>0</v>
      </c>
      <c r="AP281" s="366">
        <f t="shared" si="201"/>
        <v>0</v>
      </c>
      <c r="AQ281" s="366">
        <f t="shared" si="201"/>
        <v>0</v>
      </c>
      <c r="AR281" s="366">
        <f t="shared" si="201"/>
        <v>458.715596330275</v>
      </c>
      <c r="AS281" s="366">
        <f t="shared" si="201"/>
        <v>0</v>
      </c>
      <c r="AT281" s="366">
        <f t="shared" si="201"/>
        <v>0</v>
      </c>
      <c r="AU281" s="366">
        <f t="shared" si="201"/>
        <v>0</v>
      </c>
      <c r="AV281" s="366">
        <f t="shared" si="201"/>
        <v>0</v>
      </c>
      <c r="AW281" s="366">
        <f t="shared" si="201"/>
        <v>458.715596330275</v>
      </c>
      <c r="AX281" s="366">
        <f t="shared" si="201"/>
        <v>0</v>
      </c>
      <c r="AY281" s="366">
        <f t="shared" si="201"/>
        <v>458.715596330275</v>
      </c>
      <c r="AZ281" s="366">
        <f t="shared" si="201"/>
        <v>0</v>
      </c>
      <c r="BA281" s="385">
        <f t="shared" si="201"/>
        <v>0</v>
      </c>
    </row>
    <row r="282" s="309" customFormat="1" spans="2:53">
      <c r="B282" s="360"/>
      <c r="C282" s="370" t="s">
        <v>721</v>
      </c>
      <c r="D282" s="371">
        <f>SUM(F282:BA282)</f>
        <v>4128.44036697248</v>
      </c>
      <c r="E282" s="367" t="s">
        <v>130</v>
      </c>
      <c r="F282" s="371">
        <f t="shared" ref="F282:BA282" si="202">F63</f>
        <v>0</v>
      </c>
      <c r="G282" s="371">
        <f t="shared" si="202"/>
        <v>0</v>
      </c>
      <c r="H282" s="371">
        <f t="shared" si="202"/>
        <v>0</v>
      </c>
      <c r="I282" s="371">
        <f t="shared" si="202"/>
        <v>0</v>
      </c>
      <c r="J282" s="371">
        <f t="shared" si="202"/>
        <v>0</v>
      </c>
      <c r="K282" s="371">
        <f t="shared" si="202"/>
        <v>0</v>
      </c>
      <c r="L282" s="371">
        <f t="shared" si="202"/>
        <v>0</v>
      </c>
      <c r="M282" s="371">
        <f t="shared" si="202"/>
        <v>0</v>
      </c>
      <c r="N282" s="371">
        <f t="shared" si="202"/>
        <v>91.743119266055</v>
      </c>
      <c r="O282" s="371">
        <f t="shared" si="202"/>
        <v>91.743119266055</v>
      </c>
      <c r="P282" s="371">
        <f t="shared" si="202"/>
        <v>91.743119266055</v>
      </c>
      <c r="Q282" s="371">
        <f t="shared" si="202"/>
        <v>91.743119266055</v>
      </c>
      <c r="R282" s="371">
        <f t="shared" si="202"/>
        <v>91.743119266055</v>
      </c>
      <c r="S282" s="371">
        <f t="shared" si="202"/>
        <v>91.743119266055</v>
      </c>
      <c r="T282" s="371">
        <f t="shared" si="202"/>
        <v>91.743119266055</v>
      </c>
      <c r="U282" s="371">
        <f t="shared" si="202"/>
        <v>91.743119266055</v>
      </c>
      <c r="V282" s="371">
        <f t="shared" si="202"/>
        <v>91.743119266055</v>
      </c>
      <c r="W282" s="371">
        <f t="shared" si="202"/>
        <v>91.743119266055</v>
      </c>
      <c r="X282" s="371">
        <f t="shared" si="202"/>
        <v>91.743119266055</v>
      </c>
      <c r="Y282" s="371">
        <f t="shared" si="202"/>
        <v>91.743119266055</v>
      </c>
      <c r="Z282" s="371">
        <f t="shared" si="202"/>
        <v>91.743119266055</v>
      </c>
      <c r="AA282" s="371">
        <f t="shared" si="202"/>
        <v>91.743119266055</v>
      </c>
      <c r="AB282" s="371">
        <f t="shared" si="202"/>
        <v>91.743119266055</v>
      </c>
      <c r="AC282" s="371">
        <f t="shared" si="202"/>
        <v>91.743119266055</v>
      </c>
      <c r="AD282" s="371">
        <f t="shared" si="202"/>
        <v>91.743119266055</v>
      </c>
      <c r="AE282" s="371">
        <f t="shared" si="202"/>
        <v>91.743119266055</v>
      </c>
      <c r="AF282" s="371">
        <f t="shared" si="202"/>
        <v>91.743119266055</v>
      </c>
      <c r="AG282" s="371">
        <f t="shared" si="202"/>
        <v>91.743119266055</v>
      </c>
      <c r="AH282" s="371">
        <f t="shared" si="202"/>
        <v>91.743119266055</v>
      </c>
      <c r="AI282" s="371">
        <f t="shared" si="202"/>
        <v>91.743119266055</v>
      </c>
      <c r="AJ282" s="371">
        <f t="shared" si="202"/>
        <v>91.743119266055</v>
      </c>
      <c r="AK282" s="371">
        <f t="shared" si="202"/>
        <v>91.743119266055</v>
      </c>
      <c r="AL282" s="371">
        <f t="shared" si="202"/>
        <v>91.743119266055</v>
      </c>
      <c r="AM282" s="371">
        <f t="shared" si="202"/>
        <v>91.743119266055</v>
      </c>
      <c r="AN282" s="371">
        <f t="shared" si="202"/>
        <v>91.743119266055</v>
      </c>
      <c r="AO282" s="371">
        <f t="shared" si="202"/>
        <v>91.743119266055</v>
      </c>
      <c r="AP282" s="371">
        <f t="shared" si="202"/>
        <v>91.743119266055</v>
      </c>
      <c r="AQ282" s="371">
        <f t="shared" si="202"/>
        <v>91.743119266055</v>
      </c>
      <c r="AR282" s="371">
        <f t="shared" si="202"/>
        <v>91.743119266055</v>
      </c>
      <c r="AS282" s="371">
        <f t="shared" si="202"/>
        <v>91.743119266055</v>
      </c>
      <c r="AT282" s="371">
        <f t="shared" si="202"/>
        <v>91.743119266055</v>
      </c>
      <c r="AU282" s="371">
        <f t="shared" si="202"/>
        <v>91.743119266055</v>
      </c>
      <c r="AV282" s="371">
        <f t="shared" si="202"/>
        <v>91.743119266055</v>
      </c>
      <c r="AW282" s="371">
        <f t="shared" si="202"/>
        <v>91.743119266055</v>
      </c>
      <c r="AX282" s="371">
        <f t="shared" si="202"/>
        <v>91.743119266055</v>
      </c>
      <c r="AY282" s="371">
        <f t="shared" si="202"/>
        <v>244.648318042813</v>
      </c>
      <c r="AZ282" s="371">
        <f t="shared" si="202"/>
        <v>244.648318042813</v>
      </c>
      <c r="BA282" s="386">
        <f t="shared" si="202"/>
        <v>244.648318042813</v>
      </c>
    </row>
    <row r="283" s="105" customFormat="1" ht="17.25" spans="2:53">
      <c r="B283" s="379"/>
      <c r="C283" s="380" t="s">
        <v>722</v>
      </c>
      <c r="D283" s="383"/>
      <c r="E283" s="382" t="s">
        <v>130</v>
      </c>
      <c r="F283" s="383">
        <f t="shared" ref="F283:BA283" si="203">F112</f>
        <v>0</v>
      </c>
      <c r="G283" s="383">
        <f t="shared" si="203"/>
        <v>0</v>
      </c>
      <c r="H283" s="383">
        <f t="shared" si="203"/>
        <v>0</v>
      </c>
      <c r="I283" s="383">
        <f t="shared" si="203"/>
        <v>0</v>
      </c>
      <c r="J283" s="383">
        <f t="shared" si="203"/>
        <v>0</v>
      </c>
      <c r="K283" s="383">
        <f t="shared" si="203"/>
        <v>0</v>
      </c>
      <c r="L283" s="383">
        <f t="shared" si="203"/>
        <v>0</v>
      </c>
      <c r="M283" s="383">
        <f t="shared" si="203"/>
        <v>0</v>
      </c>
      <c r="N283" s="383">
        <f t="shared" si="203"/>
        <v>366.97247706422</v>
      </c>
      <c r="O283" s="383">
        <f t="shared" si="203"/>
        <v>275.229357798165</v>
      </c>
      <c r="P283" s="383">
        <f t="shared" si="203"/>
        <v>183.48623853211</v>
      </c>
      <c r="Q283" s="383">
        <f t="shared" si="203"/>
        <v>91.7431192660551</v>
      </c>
      <c r="R283" s="383">
        <f t="shared" si="203"/>
        <v>0</v>
      </c>
      <c r="S283" s="383">
        <f t="shared" si="203"/>
        <v>366.97247706422</v>
      </c>
      <c r="T283" s="383">
        <f t="shared" si="203"/>
        <v>275.229357798165</v>
      </c>
      <c r="U283" s="383">
        <f t="shared" si="203"/>
        <v>183.48623853211</v>
      </c>
      <c r="V283" s="383">
        <f t="shared" si="203"/>
        <v>91.7431192660551</v>
      </c>
      <c r="W283" s="383">
        <f t="shared" si="203"/>
        <v>0</v>
      </c>
      <c r="X283" s="383">
        <f t="shared" si="203"/>
        <v>366.97247706422</v>
      </c>
      <c r="Y283" s="383">
        <f t="shared" si="203"/>
        <v>275.229357798165</v>
      </c>
      <c r="Z283" s="383">
        <f t="shared" si="203"/>
        <v>183.48623853211</v>
      </c>
      <c r="AA283" s="383">
        <f t="shared" si="203"/>
        <v>91.7431192660551</v>
      </c>
      <c r="AB283" s="383">
        <f t="shared" si="203"/>
        <v>0</v>
      </c>
      <c r="AC283" s="383">
        <f t="shared" si="203"/>
        <v>366.97247706422</v>
      </c>
      <c r="AD283" s="383">
        <f t="shared" si="203"/>
        <v>275.229357798165</v>
      </c>
      <c r="AE283" s="383">
        <f t="shared" si="203"/>
        <v>183.48623853211</v>
      </c>
      <c r="AF283" s="383">
        <f t="shared" si="203"/>
        <v>91.7431192660551</v>
      </c>
      <c r="AG283" s="383">
        <f t="shared" si="203"/>
        <v>0</v>
      </c>
      <c r="AH283" s="383">
        <f t="shared" si="203"/>
        <v>366.97247706422</v>
      </c>
      <c r="AI283" s="383">
        <f t="shared" si="203"/>
        <v>275.229357798165</v>
      </c>
      <c r="AJ283" s="383">
        <f t="shared" si="203"/>
        <v>183.48623853211</v>
      </c>
      <c r="AK283" s="383">
        <f t="shared" si="203"/>
        <v>91.7431192660551</v>
      </c>
      <c r="AL283" s="383">
        <f t="shared" si="203"/>
        <v>0</v>
      </c>
      <c r="AM283" s="383">
        <f t="shared" si="203"/>
        <v>366.97247706422</v>
      </c>
      <c r="AN283" s="383">
        <f t="shared" si="203"/>
        <v>275.229357798165</v>
      </c>
      <c r="AO283" s="383">
        <f t="shared" si="203"/>
        <v>183.48623853211</v>
      </c>
      <c r="AP283" s="383">
        <f t="shared" si="203"/>
        <v>91.7431192660551</v>
      </c>
      <c r="AQ283" s="383">
        <f t="shared" si="203"/>
        <v>0</v>
      </c>
      <c r="AR283" s="383">
        <f t="shared" si="203"/>
        <v>366.97247706422</v>
      </c>
      <c r="AS283" s="383">
        <f t="shared" si="203"/>
        <v>275.229357798165</v>
      </c>
      <c r="AT283" s="383">
        <f t="shared" si="203"/>
        <v>183.48623853211</v>
      </c>
      <c r="AU283" s="383">
        <f t="shared" si="203"/>
        <v>91.7431192660551</v>
      </c>
      <c r="AV283" s="383">
        <f t="shared" si="203"/>
        <v>0</v>
      </c>
      <c r="AW283" s="383">
        <f t="shared" si="203"/>
        <v>366.97247706422</v>
      </c>
      <c r="AX283" s="383">
        <f t="shared" si="203"/>
        <v>275.229357798165</v>
      </c>
      <c r="AY283" s="383">
        <f t="shared" si="203"/>
        <v>489.296636085627</v>
      </c>
      <c r="AZ283" s="383">
        <f t="shared" si="203"/>
        <v>244.648318042813</v>
      </c>
      <c r="BA283" s="384">
        <f t="shared" si="203"/>
        <v>0</v>
      </c>
    </row>
    <row r="284" s="105" customFormat="1" spans="2:53">
      <c r="B284" s="355">
        <v>3</v>
      </c>
      <c r="C284" s="356" t="s">
        <v>723</v>
      </c>
      <c r="D284" s="357"/>
      <c r="E284" s="358" t="s">
        <v>130</v>
      </c>
      <c r="F284" s="357">
        <f>参数输入表!$I$636*F246</f>
        <v>0</v>
      </c>
      <c r="G284" s="357">
        <f>参数输入表!$I$636*G246</f>
        <v>0</v>
      </c>
      <c r="H284" s="357">
        <f>参数输入表!$I$636*H246</f>
        <v>0</v>
      </c>
      <c r="I284" s="357">
        <f>参数输入表!$I$636*I246</f>
        <v>0</v>
      </c>
      <c r="J284" s="357">
        <f>参数输入表!$I$636*J246</f>
        <v>0</v>
      </c>
      <c r="K284" s="357">
        <f>参数输入表!$I$636*K246</f>
        <v>0</v>
      </c>
      <c r="L284" s="357">
        <f>参数输入表!$I$636*L246</f>
        <v>0</v>
      </c>
      <c r="M284" s="357">
        <f>参数输入表!$I$636*M246</f>
        <v>80000</v>
      </c>
      <c r="N284" s="357">
        <f>参数输入表!$I$636*N246</f>
        <v>80000</v>
      </c>
      <c r="O284" s="357">
        <f>参数输入表!$I$636*O246</f>
        <v>80000</v>
      </c>
      <c r="P284" s="357">
        <f>参数输入表!$I$636*P246</f>
        <v>80000</v>
      </c>
      <c r="Q284" s="357">
        <f>参数输入表!$I$636*Q246</f>
        <v>80000</v>
      </c>
      <c r="R284" s="357">
        <f>参数输入表!$I$636*R246</f>
        <v>80000</v>
      </c>
      <c r="S284" s="357">
        <f>参数输入表!$I$636*S246</f>
        <v>80000</v>
      </c>
      <c r="T284" s="357">
        <f>参数输入表!$I$636*T246</f>
        <v>80000</v>
      </c>
      <c r="U284" s="357">
        <f>参数输入表!$I$636*U246</f>
        <v>80000</v>
      </c>
      <c r="V284" s="357">
        <f>参数输入表!$I$636*V246</f>
        <v>80000</v>
      </c>
      <c r="W284" s="357">
        <f>参数输入表!$I$636*W246</f>
        <v>80000</v>
      </c>
      <c r="X284" s="357">
        <f>参数输入表!$I$636*X246</f>
        <v>80000</v>
      </c>
      <c r="Y284" s="357">
        <f>参数输入表!$I$636*Y246</f>
        <v>80000</v>
      </c>
      <c r="Z284" s="357">
        <f>参数输入表!$I$636*Z246</f>
        <v>80000</v>
      </c>
      <c r="AA284" s="357">
        <f>参数输入表!$I$636*AA246</f>
        <v>80000</v>
      </c>
      <c r="AB284" s="357">
        <f>参数输入表!$I$636*AB246</f>
        <v>80000</v>
      </c>
      <c r="AC284" s="357">
        <f>参数输入表!$I$636*AC246</f>
        <v>80000</v>
      </c>
      <c r="AD284" s="357">
        <f>参数输入表!$I$636*AD246</f>
        <v>80000</v>
      </c>
      <c r="AE284" s="357">
        <f>参数输入表!$I$636*AE246</f>
        <v>80000</v>
      </c>
      <c r="AF284" s="357">
        <f>参数输入表!$I$636*AF246</f>
        <v>80000</v>
      </c>
      <c r="AG284" s="357">
        <f>参数输入表!$I$636*AG246</f>
        <v>80000</v>
      </c>
      <c r="AH284" s="357">
        <f>参数输入表!$I$636*AH246</f>
        <v>80000</v>
      </c>
      <c r="AI284" s="357">
        <f>参数输入表!$I$636*AI246</f>
        <v>80000</v>
      </c>
      <c r="AJ284" s="357">
        <f>参数输入表!$I$636*AJ246</f>
        <v>80000</v>
      </c>
      <c r="AK284" s="357">
        <f>参数输入表!$I$636*AK246</f>
        <v>80000</v>
      </c>
      <c r="AL284" s="357">
        <f>参数输入表!$I$636*AL246</f>
        <v>80000</v>
      </c>
      <c r="AM284" s="357">
        <f>参数输入表!$I$636*AM246</f>
        <v>80000</v>
      </c>
      <c r="AN284" s="357">
        <f>参数输入表!$I$636*AN246</f>
        <v>80000</v>
      </c>
      <c r="AO284" s="357">
        <f>参数输入表!$I$636*AO246</f>
        <v>80000</v>
      </c>
      <c r="AP284" s="357">
        <f>参数输入表!$I$636*AP246</f>
        <v>80000</v>
      </c>
      <c r="AQ284" s="357">
        <f>参数输入表!$I$636*AQ246</f>
        <v>80000</v>
      </c>
      <c r="AR284" s="357">
        <f>参数输入表!$I$636*AR246</f>
        <v>80000</v>
      </c>
      <c r="AS284" s="357">
        <f>参数输入表!$I$636*AS246</f>
        <v>80000</v>
      </c>
      <c r="AT284" s="357">
        <f>参数输入表!$I$636*AT246</f>
        <v>80000</v>
      </c>
      <c r="AU284" s="357">
        <f>参数输入表!$I$636*AU246</f>
        <v>80000</v>
      </c>
      <c r="AV284" s="357">
        <f>参数输入表!$I$636*AV246</f>
        <v>80000</v>
      </c>
      <c r="AW284" s="357">
        <f>参数输入表!$I$636*AW246</f>
        <v>80000</v>
      </c>
      <c r="AX284" s="357">
        <f>参数输入表!$I$636*AX246</f>
        <v>80000</v>
      </c>
      <c r="AY284" s="357">
        <f>参数输入表!$I$636*AY246</f>
        <v>80000</v>
      </c>
      <c r="AZ284" s="357">
        <f>参数输入表!$I$636*AZ246</f>
        <v>80000</v>
      </c>
      <c r="BA284" s="359">
        <f>参数输入表!$I$636*BA246</f>
        <v>80000</v>
      </c>
    </row>
    <row r="285" s="105" customFormat="1" spans="2:53">
      <c r="B285" s="360"/>
      <c r="C285" s="365" t="s">
        <v>724</v>
      </c>
      <c r="D285" s="366">
        <f>SUM(F285:BA285)</f>
        <v>80000</v>
      </c>
      <c r="E285" s="367" t="s">
        <v>130</v>
      </c>
      <c r="F285" s="366">
        <f>参数输入表!$I$636*(参数输入表!$I$14+参数输入表!$I$15)</f>
        <v>8740.40975594729</v>
      </c>
      <c r="G285" s="366">
        <f>参数输入表!$I$636*参数输入表!$I$16</f>
        <v>8497.90226477471</v>
      </c>
      <c r="H285" s="366">
        <f>参数输入表!$I$636*参数输入表!$I$17</f>
        <v>9645.16512247292</v>
      </c>
      <c r="I285" s="366">
        <f>参数输入表!$I$636*参数输入表!$I$18</f>
        <v>10547.7043306871</v>
      </c>
      <c r="J285" s="366">
        <f>参数输入表!$I$636*参数输入表!$I$19</f>
        <v>14099.6801111114</v>
      </c>
      <c r="K285" s="366">
        <f>参数输入表!$I$636*参数输入表!$I$20</f>
        <v>12927.7378937611</v>
      </c>
      <c r="L285" s="366">
        <f>参数输入表!$I$636*(参数输入表!$I$21+参数输入表!$I$22)</f>
        <v>10884.9925908701</v>
      </c>
      <c r="M285" s="366">
        <f>参数输入表!$I$636*参数输入表!$I$23</f>
        <v>4656.40793037539</v>
      </c>
      <c r="N285" s="366"/>
      <c r="O285" s="366"/>
      <c r="P285" s="366"/>
      <c r="Q285" s="366"/>
      <c r="R285" s="366"/>
      <c r="S285" s="366"/>
      <c r="T285" s="366"/>
      <c r="U285" s="366"/>
      <c r="V285" s="366"/>
      <c r="W285" s="366"/>
      <c r="X285" s="366"/>
      <c r="Y285" s="366"/>
      <c r="Z285" s="366"/>
      <c r="AA285" s="366"/>
      <c r="AB285" s="366"/>
      <c r="AC285" s="366"/>
      <c r="AD285" s="366"/>
      <c r="AE285" s="366"/>
      <c r="AF285" s="366"/>
      <c r="AG285" s="366"/>
      <c r="AH285" s="366"/>
      <c r="AI285" s="366"/>
      <c r="AJ285" s="366"/>
      <c r="AK285" s="366"/>
      <c r="AL285" s="366"/>
      <c r="AM285" s="366"/>
      <c r="AN285" s="366"/>
      <c r="AO285" s="366"/>
      <c r="AP285" s="366"/>
      <c r="AQ285" s="366"/>
      <c r="AR285" s="366"/>
      <c r="AS285" s="366"/>
      <c r="AT285" s="366"/>
      <c r="AU285" s="366"/>
      <c r="AV285" s="366"/>
      <c r="AW285" s="366"/>
      <c r="AX285" s="366"/>
      <c r="AY285" s="366"/>
      <c r="AZ285" s="366"/>
      <c r="BA285" s="385"/>
    </row>
    <row r="286" s="105" customFormat="1" spans="2:53">
      <c r="B286" s="360"/>
      <c r="C286" s="365" t="s">
        <v>725</v>
      </c>
      <c r="D286" s="397"/>
      <c r="E286" s="398" t="s">
        <v>130</v>
      </c>
      <c r="F286" s="366">
        <f>F285</f>
        <v>8740.40975594729</v>
      </c>
      <c r="G286" s="366">
        <f>F286+G285</f>
        <v>17238.312020722</v>
      </c>
      <c r="H286" s="366">
        <f t="shared" ref="H286:BA286" si="204">G286+H285</f>
        <v>26883.4771431949</v>
      </c>
      <c r="I286" s="366">
        <f t="shared" si="204"/>
        <v>37431.1814738821</v>
      </c>
      <c r="J286" s="366">
        <f t="shared" si="204"/>
        <v>51530.8615849934</v>
      </c>
      <c r="K286" s="366">
        <f t="shared" si="204"/>
        <v>64458.5994787545</v>
      </c>
      <c r="L286" s="366">
        <f t="shared" si="204"/>
        <v>75343.5920696246</v>
      </c>
      <c r="M286" s="366">
        <f t="shared" si="204"/>
        <v>80000</v>
      </c>
      <c r="N286" s="366">
        <f t="shared" si="204"/>
        <v>80000</v>
      </c>
      <c r="O286" s="366">
        <f t="shared" si="204"/>
        <v>80000</v>
      </c>
      <c r="P286" s="366">
        <f t="shared" si="204"/>
        <v>80000</v>
      </c>
      <c r="Q286" s="366">
        <f t="shared" si="204"/>
        <v>80000</v>
      </c>
      <c r="R286" s="366">
        <f t="shared" si="204"/>
        <v>80000</v>
      </c>
      <c r="S286" s="366">
        <f t="shared" si="204"/>
        <v>80000</v>
      </c>
      <c r="T286" s="366">
        <f t="shared" si="204"/>
        <v>80000</v>
      </c>
      <c r="U286" s="366">
        <f t="shared" si="204"/>
        <v>80000</v>
      </c>
      <c r="V286" s="366">
        <f t="shared" si="204"/>
        <v>80000</v>
      </c>
      <c r="W286" s="366">
        <f t="shared" si="204"/>
        <v>80000</v>
      </c>
      <c r="X286" s="366">
        <f t="shared" si="204"/>
        <v>80000</v>
      </c>
      <c r="Y286" s="366">
        <f t="shared" si="204"/>
        <v>80000</v>
      </c>
      <c r="Z286" s="366">
        <f t="shared" si="204"/>
        <v>80000</v>
      </c>
      <c r="AA286" s="366">
        <f t="shared" si="204"/>
        <v>80000</v>
      </c>
      <c r="AB286" s="366">
        <f t="shared" si="204"/>
        <v>80000</v>
      </c>
      <c r="AC286" s="366">
        <f t="shared" si="204"/>
        <v>80000</v>
      </c>
      <c r="AD286" s="366">
        <f t="shared" si="204"/>
        <v>80000</v>
      </c>
      <c r="AE286" s="366">
        <f t="shared" si="204"/>
        <v>80000</v>
      </c>
      <c r="AF286" s="366">
        <f t="shared" si="204"/>
        <v>80000</v>
      </c>
      <c r="AG286" s="366">
        <f t="shared" si="204"/>
        <v>80000</v>
      </c>
      <c r="AH286" s="366">
        <f t="shared" si="204"/>
        <v>80000</v>
      </c>
      <c r="AI286" s="366">
        <f t="shared" si="204"/>
        <v>80000</v>
      </c>
      <c r="AJ286" s="366">
        <f t="shared" si="204"/>
        <v>80000</v>
      </c>
      <c r="AK286" s="366">
        <f t="shared" si="204"/>
        <v>80000</v>
      </c>
      <c r="AL286" s="366">
        <f t="shared" si="204"/>
        <v>80000</v>
      </c>
      <c r="AM286" s="366">
        <f t="shared" si="204"/>
        <v>80000</v>
      </c>
      <c r="AN286" s="366">
        <f t="shared" si="204"/>
        <v>80000</v>
      </c>
      <c r="AO286" s="366">
        <f t="shared" si="204"/>
        <v>80000</v>
      </c>
      <c r="AP286" s="366">
        <f t="shared" si="204"/>
        <v>80000</v>
      </c>
      <c r="AQ286" s="366">
        <f t="shared" si="204"/>
        <v>80000</v>
      </c>
      <c r="AR286" s="366">
        <f t="shared" si="204"/>
        <v>80000</v>
      </c>
      <c r="AS286" s="366">
        <f t="shared" si="204"/>
        <v>80000</v>
      </c>
      <c r="AT286" s="366">
        <f t="shared" si="204"/>
        <v>80000</v>
      </c>
      <c r="AU286" s="366">
        <f t="shared" si="204"/>
        <v>80000</v>
      </c>
      <c r="AV286" s="366">
        <f t="shared" si="204"/>
        <v>80000</v>
      </c>
      <c r="AW286" s="366">
        <f t="shared" si="204"/>
        <v>80000</v>
      </c>
      <c r="AX286" s="366">
        <f t="shared" si="204"/>
        <v>80000</v>
      </c>
      <c r="AY286" s="366">
        <f t="shared" si="204"/>
        <v>80000</v>
      </c>
      <c r="AZ286" s="366">
        <f t="shared" si="204"/>
        <v>80000</v>
      </c>
      <c r="BA286" s="385">
        <f t="shared" si="204"/>
        <v>80000</v>
      </c>
    </row>
    <row r="287" s="105" customFormat="1" spans="2:53">
      <c r="B287" s="360"/>
      <c r="C287" s="133" t="s">
        <v>726</v>
      </c>
      <c r="D287" s="397"/>
      <c r="E287" s="398" t="s">
        <v>130</v>
      </c>
      <c r="F287" s="366">
        <f>F286-F284</f>
        <v>8740.40975594729</v>
      </c>
      <c r="G287" s="366">
        <f t="shared" ref="G287:BA287" si="205">G286-G284</f>
        <v>17238.312020722</v>
      </c>
      <c r="H287" s="366">
        <f t="shared" si="205"/>
        <v>26883.4771431949</v>
      </c>
      <c r="I287" s="366">
        <f t="shared" si="205"/>
        <v>37431.1814738821</v>
      </c>
      <c r="J287" s="366">
        <f t="shared" si="205"/>
        <v>51530.8615849934</v>
      </c>
      <c r="K287" s="366">
        <f t="shared" si="205"/>
        <v>64458.5994787545</v>
      </c>
      <c r="L287" s="366">
        <f t="shared" si="205"/>
        <v>75343.5920696246</v>
      </c>
      <c r="M287" s="366">
        <f t="shared" si="205"/>
        <v>0</v>
      </c>
      <c r="N287" s="366">
        <f t="shared" si="205"/>
        <v>0</v>
      </c>
      <c r="O287" s="366">
        <f t="shared" si="205"/>
        <v>0</v>
      </c>
      <c r="P287" s="366">
        <f t="shared" si="205"/>
        <v>0</v>
      </c>
      <c r="Q287" s="366">
        <f t="shared" si="205"/>
        <v>0</v>
      </c>
      <c r="R287" s="366">
        <f t="shared" si="205"/>
        <v>0</v>
      </c>
      <c r="S287" s="366">
        <f t="shared" si="205"/>
        <v>0</v>
      </c>
      <c r="T287" s="366">
        <f t="shared" si="205"/>
        <v>0</v>
      </c>
      <c r="U287" s="366">
        <f t="shared" si="205"/>
        <v>0</v>
      </c>
      <c r="V287" s="366">
        <f t="shared" si="205"/>
        <v>0</v>
      </c>
      <c r="W287" s="366">
        <f t="shared" si="205"/>
        <v>0</v>
      </c>
      <c r="X287" s="366">
        <f t="shared" si="205"/>
        <v>0</v>
      </c>
      <c r="Y287" s="366">
        <f t="shared" si="205"/>
        <v>0</v>
      </c>
      <c r="Z287" s="366">
        <f t="shared" si="205"/>
        <v>0</v>
      </c>
      <c r="AA287" s="366">
        <f t="shared" si="205"/>
        <v>0</v>
      </c>
      <c r="AB287" s="366">
        <f t="shared" si="205"/>
        <v>0</v>
      </c>
      <c r="AC287" s="366">
        <f t="shared" si="205"/>
        <v>0</v>
      </c>
      <c r="AD287" s="366">
        <f t="shared" si="205"/>
        <v>0</v>
      </c>
      <c r="AE287" s="366">
        <f t="shared" si="205"/>
        <v>0</v>
      </c>
      <c r="AF287" s="366">
        <f t="shared" si="205"/>
        <v>0</v>
      </c>
      <c r="AG287" s="366">
        <f t="shared" si="205"/>
        <v>0</v>
      </c>
      <c r="AH287" s="366">
        <f t="shared" si="205"/>
        <v>0</v>
      </c>
      <c r="AI287" s="366">
        <f t="shared" si="205"/>
        <v>0</v>
      </c>
      <c r="AJ287" s="366">
        <f t="shared" si="205"/>
        <v>0</v>
      </c>
      <c r="AK287" s="366">
        <f t="shared" si="205"/>
        <v>0</v>
      </c>
      <c r="AL287" s="366">
        <f t="shared" si="205"/>
        <v>0</v>
      </c>
      <c r="AM287" s="366">
        <f t="shared" si="205"/>
        <v>0</v>
      </c>
      <c r="AN287" s="366">
        <f t="shared" si="205"/>
        <v>0</v>
      </c>
      <c r="AO287" s="366">
        <f t="shared" si="205"/>
        <v>0</v>
      </c>
      <c r="AP287" s="366">
        <f t="shared" si="205"/>
        <v>0</v>
      </c>
      <c r="AQ287" s="366">
        <f t="shared" si="205"/>
        <v>0</v>
      </c>
      <c r="AR287" s="366">
        <f t="shared" si="205"/>
        <v>0</v>
      </c>
      <c r="AS287" s="366">
        <f t="shared" si="205"/>
        <v>0</v>
      </c>
      <c r="AT287" s="366">
        <f t="shared" si="205"/>
        <v>0</v>
      </c>
      <c r="AU287" s="366">
        <f t="shared" si="205"/>
        <v>0</v>
      </c>
      <c r="AV287" s="366">
        <f t="shared" si="205"/>
        <v>0</v>
      </c>
      <c r="AW287" s="366">
        <f t="shared" si="205"/>
        <v>0</v>
      </c>
      <c r="AX287" s="366">
        <f t="shared" si="205"/>
        <v>0</v>
      </c>
      <c r="AY287" s="366">
        <f t="shared" si="205"/>
        <v>0</v>
      </c>
      <c r="AZ287" s="366">
        <f t="shared" si="205"/>
        <v>0</v>
      </c>
      <c r="BA287" s="385">
        <f t="shared" si="205"/>
        <v>0</v>
      </c>
    </row>
    <row r="288" s="309" customFormat="1" spans="2:53">
      <c r="B288" s="360"/>
      <c r="C288" s="370" t="s">
        <v>727</v>
      </c>
      <c r="D288" s="371">
        <f ca="1">SUM(F288:BA288)</f>
        <v>76000</v>
      </c>
      <c r="E288" s="431"/>
      <c r="F288" s="371">
        <f ca="1">SUM(F289:F292)</f>
        <v>0</v>
      </c>
      <c r="G288" s="371">
        <f ca="1" t="shared" ref="G288:BA288" si="206">SUM(G289:G292)</f>
        <v>0</v>
      </c>
      <c r="H288" s="371">
        <f ca="1" t="shared" si="206"/>
        <v>0</v>
      </c>
      <c r="I288" s="371">
        <f ca="1" t="shared" si="206"/>
        <v>0</v>
      </c>
      <c r="J288" s="371">
        <f ca="1" t="shared" si="206"/>
        <v>0</v>
      </c>
      <c r="K288" s="371">
        <f ca="1" t="shared" si="206"/>
        <v>0</v>
      </c>
      <c r="L288" s="371">
        <f ca="1" t="shared" si="206"/>
        <v>0</v>
      </c>
      <c r="M288" s="371">
        <f ca="1" t="shared" si="206"/>
        <v>1759.25925925926</v>
      </c>
      <c r="N288" s="371">
        <f ca="1" t="shared" si="206"/>
        <v>4222.22222222222</v>
      </c>
      <c r="O288" s="371">
        <f ca="1" t="shared" si="206"/>
        <v>4222.22222222222</v>
      </c>
      <c r="P288" s="371">
        <f ca="1" t="shared" si="206"/>
        <v>4222.22222222222</v>
      </c>
      <c r="Q288" s="371">
        <f ca="1" t="shared" si="206"/>
        <v>4222.22222222222</v>
      </c>
      <c r="R288" s="371">
        <f ca="1" t="shared" si="206"/>
        <v>4222.22222222222</v>
      </c>
      <c r="S288" s="371">
        <f ca="1" t="shared" si="206"/>
        <v>4222.22222222222</v>
      </c>
      <c r="T288" s="371">
        <f ca="1" t="shared" si="206"/>
        <v>4222.22222222222</v>
      </c>
      <c r="U288" s="371">
        <f ca="1" t="shared" si="206"/>
        <v>4222.22222222222</v>
      </c>
      <c r="V288" s="371">
        <f ca="1" t="shared" si="206"/>
        <v>4222.22222222222</v>
      </c>
      <c r="W288" s="371">
        <f ca="1" t="shared" si="206"/>
        <v>4222.22222222222</v>
      </c>
      <c r="X288" s="371">
        <f ca="1" t="shared" si="206"/>
        <v>4222.22222222222</v>
      </c>
      <c r="Y288" s="371">
        <f ca="1" t="shared" si="206"/>
        <v>4222.22222222222</v>
      </c>
      <c r="Z288" s="371">
        <f ca="1" t="shared" si="206"/>
        <v>4222.22222222222</v>
      </c>
      <c r="AA288" s="371">
        <f ca="1" t="shared" si="206"/>
        <v>4222.22222222222</v>
      </c>
      <c r="AB288" s="371">
        <f ca="1" t="shared" si="206"/>
        <v>4222.22222222222</v>
      </c>
      <c r="AC288" s="371">
        <f ca="1" t="shared" si="206"/>
        <v>4222.22222222222</v>
      </c>
      <c r="AD288" s="371">
        <f ca="1" t="shared" si="206"/>
        <v>4222.22222222222</v>
      </c>
      <c r="AE288" s="371">
        <f ca="1" t="shared" si="206"/>
        <v>2462.96296296296</v>
      </c>
      <c r="AF288" s="371">
        <f ca="1" t="shared" si="206"/>
        <v>0</v>
      </c>
      <c r="AG288" s="371">
        <f ca="1" t="shared" si="206"/>
        <v>0</v>
      </c>
      <c r="AH288" s="371">
        <f ca="1" t="shared" si="206"/>
        <v>0</v>
      </c>
      <c r="AI288" s="371">
        <f ca="1" t="shared" si="206"/>
        <v>0</v>
      </c>
      <c r="AJ288" s="371">
        <f ca="1" t="shared" si="206"/>
        <v>0</v>
      </c>
      <c r="AK288" s="371">
        <f ca="1" t="shared" si="206"/>
        <v>0</v>
      </c>
      <c r="AL288" s="371">
        <f ca="1" t="shared" si="206"/>
        <v>0</v>
      </c>
      <c r="AM288" s="371">
        <f ca="1" t="shared" si="206"/>
        <v>0</v>
      </c>
      <c r="AN288" s="371">
        <f ca="1" t="shared" si="206"/>
        <v>0</v>
      </c>
      <c r="AO288" s="371">
        <f ca="1" t="shared" si="206"/>
        <v>0</v>
      </c>
      <c r="AP288" s="371">
        <f ca="1" t="shared" si="206"/>
        <v>0</v>
      </c>
      <c r="AQ288" s="371">
        <f ca="1" t="shared" si="206"/>
        <v>0</v>
      </c>
      <c r="AR288" s="371">
        <f ca="1" t="shared" si="206"/>
        <v>0</v>
      </c>
      <c r="AS288" s="371">
        <f ca="1" t="shared" si="206"/>
        <v>0</v>
      </c>
      <c r="AT288" s="371">
        <f ca="1" t="shared" si="206"/>
        <v>0</v>
      </c>
      <c r="AU288" s="371">
        <f ca="1" t="shared" si="206"/>
        <v>0</v>
      </c>
      <c r="AV288" s="371">
        <f ca="1" t="shared" si="206"/>
        <v>0</v>
      </c>
      <c r="AW288" s="371">
        <f ca="1" t="shared" si="206"/>
        <v>0</v>
      </c>
      <c r="AX288" s="371">
        <f ca="1" t="shared" si="206"/>
        <v>0</v>
      </c>
      <c r="AY288" s="371">
        <f ca="1" t="shared" si="206"/>
        <v>0</v>
      </c>
      <c r="AZ288" s="371">
        <f ca="1" t="shared" si="206"/>
        <v>0</v>
      </c>
      <c r="BA288" s="386">
        <f ca="1" t="shared" si="206"/>
        <v>0</v>
      </c>
    </row>
    <row r="289" s="105" customFormat="1" spans="2:53">
      <c r="B289" s="360"/>
      <c r="C289" s="374" t="s">
        <v>471</v>
      </c>
      <c r="D289" s="375">
        <f>SUM(F289:BA289)</f>
        <v>0</v>
      </c>
      <c r="E289" s="266" t="s">
        <v>130</v>
      </c>
      <c r="F289" s="366">
        <f>参数输入表!$I$636*(1-参数输入表!$I$639)*参数输入表!$I$36*时间序列!C28/(参数输入表!$I$638*12)</f>
        <v>0</v>
      </c>
      <c r="G289" s="366">
        <f>参数输入表!$I$636*(1-参数输入表!$I$639)*参数输入表!$I$36*时间序列!D28/(参数输入表!$I$638*12)</f>
        <v>0</v>
      </c>
      <c r="H289" s="366">
        <f>参数输入表!$I$636*(1-参数输入表!$I$639)*参数输入表!$I$36*时间序列!E28/(参数输入表!$I$638*12)</f>
        <v>0</v>
      </c>
      <c r="I289" s="366">
        <f>参数输入表!$I$636*(1-参数输入表!$I$639)*参数输入表!$I$36*时间序列!F28/(参数输入表!$I$638*12)</f>
        <v>0</v>
      </c>
      <c r="J289" s="366">
        <f>参数输入表!$I$636*(1-参数输入表!$I$639)*参数输入表!$I$36*时间序列!G28/(参数输入表!$I$638*12)</f>
        <v>0</v>
      </c>
      <c r="K289" s="366">
        <f>参数输入表!$I$636*(1-参数输入表!$I$639)*参数输入表!$I$36*时间序列!H28/(参数输入表!$I$638*12)</f>
        <v>0</v>
      </c>
      <c r="L289" s="366">
        <f>参数输入表!$I$636*(1-参数输入表!$I$639)*参数输入表!$I$36*时间序列!I28/(参数输入表!$I$638*12)</f>
        <v>0</v>
      </c>
      <c r="M289" s="366">
        <f>参数输入表!$I$636*(1-参数输入表!$I$639)*参数输入表!$I$36*时间序列!J28/(参数输入表!$I$638*12)</f>
        <v>0</v>
      </c>
      <c r="N289" s="366">
        <f>参数输入表!$I$636*(1-参数输入表!$I$639)*参数输入表!$I$36*时间序列!K28/(参数输入表!$I$638*12)</f>
        <v>0</v>
      </c>
      <c r="O289" s="366">
        <f>参数输入表!$I$636*(1-参数输入表!$I$639)*参数输入表!$I$36*时间序列!L28/(参数输入表!$I$638*12)</f>
        <v>0</v>
      </c>
      <c r="P289" s="366">
        <f>参数输入表!$I$636*(1-参数输入表!$I$639)*参数输入表!$I$36*时间序列!M28/(参数输入表!$I$638*12)</f>
        <v>0</v>
      </c>
      <c r="Q289" s="366">
        <f>参数输入表!$I$636*(1-参数输入表!$I$639)*参数输入表!$I$36*时间序列!N28/(参数输入表!$I$638*12)</f>
        <v>0</v>
      </c>
      <c r="R289" s="366">
        <f>参数输入表!$I$636*(1-参数输入表!$I$639)*参数输入表!$I$36*时间序列!O28/(参数输入表!$I$638*12)</f>
        <v>0</v>
      </c>
      <c r="S289" s="366">
        <f>参数输入表!$I$636*(1-参数输入表!$I$639)*参数输入表!$I$36*时间序列!P28/(参数输入表!$I$638*12)</f>
        <v>0</v>
      </c>
      <c r="T289" s="366">
        <f>参数输入表!$I$636*(1-参数输入表!$I$639)*参数输入表!$I$36*时间序列!Q28/(参数输入表!$I$638*12)</f>
        <v>0</v>
      </c>
      <c r="U289" s="366">
        <f>参数输入表!$I$636*(1-参数输入表!$I$639)*参数输入表!$I$36*时间序列!R28/(参数输入表!$I$638*12)</f>
        <v>0</v>
      </c>
      <c r="V289" s="366">
        <f>参数输入表!$I$636*(1-参数输入表!$I$639)*参数输入表!$I$36*时间序列!S28/(参数输入表!$I$638*12)</f>
        <v>0</v>
      </c>
      <c r="W289" s="366">
        <f>参数输入表!$I$636*(1-参数输入表!$I$639)*参数输入表!$I$36*时间序列!T28/(参数输入表!$I$638*12)</f>
        <v>0</v>
      </c>
      <c r="X289" s="366">
        <f>参数输入表!$I$636*(1-参数输入表!$I$639)*参数输入表!$I$36*时间序列!U28/(参数输入表!$I$638*12)</f>
        <v>0</v>
      </c>
      <c r="Y289" s="366">
        <f>参数输入表!$I$636*(1-参数输入表!$I$639)*参数输入表!$I$36*时间序列!V28/(参数输入表!$I$638*12)</f>
        <v>0</v>
      </c>
      <c r="Z289" s="366">
        <f>参数输入表!$I$636*(1-参数输入表!$I$639)*参数输入表!$I$36*时间序列!W28/(参数输入表!$I$638*12)</f>
        <v>0</v>
      </c>
      <c r="AA289" s="366">
        <f>参数输入表!$I$636*(1-参数输入表!$I$639)*参数输入表!$I$36*时间序列!X28/(参数输入表!$I$638*12)</f>
        <v>0</v>
      </c>
      <c r="AB289" s="366">
        <f>参数输入表!$I$636*(1-参数输入表!$I$639)*参数输入表!$I$36*时间序列!Y28/(参数输入表!$I$638*12)</f>
        <v>0</v>
      </c>
      <c r="AC289" s="366">
        <f>参数输入表!$I$636*(1-参数输入表!$I$639)*参数输入表!$I$36*时间序列!Z28/(参数输入表!$I$638*12)</f>
        <v>0</v>
      </c>
      <c r="AD289" s="366">
        <f>参数输入表!$I$636*(1-参数输入表!$I$639)*参数输入表!$I$36*时间序列!AA28/(参数输入表!$I$638*12)</f>
        <v>0</v>
      </c>
      <c r="AE289" s="366">
        <f>参数输入表!$I$636*(1-参数输入表!$I$639)*参数输入表!$I$36*时间序列!AB28/(参数输入表!$I$638*12)</f>
        <v>0</v>
      </c>
      <c r="AF289" s="366">
        <f>参数输入表!$I$636*(1-参数输入表!$I$639)*参数输入表!$I$36*时间序列!AC28/(参数输入表!$I$638*12)</f>
        <v>0</v>
      </c>
      <c r="AG289" s="366">
        <f>参数输入表!$I$636*(1-参数输入表!$I$639)*参数输入表!$I$36*时间序列!AD28/(参数输入表!$I$638*12)</f>
        <v>0</v>
      </c>
      <c r="AH289" s="366">
        <f>参数输入表!$I$636*(1-参数输入表!$I$639)*参数输入表!$I$36*时间序列!AE28/(参数输入表!$I$638*12)</f>
        <v>0</v>
      </c>
      <c r="AI289" s="366">
        <f>参数输入表!$I$636*(1-参数输入表!$I$639)*参数输入表!$I$36*时间序列!AF28/(参数输入表!$I$638*12)</f>
        <v>0</v>
      </c>
      <c r="AJ289" s="366">
        <f>参数输入表!$I$636*(1-参数输入表!$I$639)*参数输入表!$I$36*时间序列!AG28/(参数输入表!$I$638*12)</f>
        <v>0</v>
      </c>
      <c r="AK289" s="366">
        <f>参数输入表!$I$636*(1-参数输入表!$I$639)*参数输入表!$I$36*时间序列!AH28/(参数输入表!$I$638*12)</f>
        <v>0</v>
      </c>
      <c r="AL289" s="366">
        <f>参数输入表!$I$636*(1-参数输入表!$I$639)*参数输入表!$I$36*时间序列!AI28/(参数输入表!$I$638*12)</f>
        <v>0</v>
      </c>
      <c r="AM289" s="366">
        <f>参数输入表!$I$636*(1-参数输入表!$I$639)*参数输入表!$I$36*时间序列!AJ28/(参数输入表!$I$638*12)</f>
        <v>0</v>
      </c>
      <c r="AN289" s="366">
        <f>参数输入表!$I$636*(1-参数输入表!$I$639)*参数输入表!$I$36*时间序列!AK28/(参数输入表!$I$638*12)</f>
        <v>0</v>
      </c>
      <c r="AO289" s="366">
        <f>参数输入表!$I$636*(1-参数输入表!$I$639)*参数输入表!$I$36*时间序列!AL28/(参数输入表!$I$638*12)</f>
        <v>0</v>
      </c>
      <c r="AP289" s="366">
        <f>参数输入表!$I$636*(1-参数输入表!$I$639)*参数输入表!$I$36*时间序列!AM28/(参数输入表!$I$638*12)</f>
        <v>0</v>
      </c>
      <c r="AQ289" s="366">
        <f>参数输入表!$I$636*(1-参数输入表!$I$639)*参数输入表!$I$36*时间序列!AN28/(参数输入表!$I$638*12)</f>
        <v>0</v>
      </c>
      <c r="AR289" s="366">
        <f>参数输入表!$I$636*(1-参数输入表!$I$639)*参数输入表!$I$36*时间序列!AO28/(参数输入表!$I$638*12)</f>
        <v>0</v>
      </c>
      <c r="AS289" s="366">
        <f>参数输入表!$I$636*(1-参数输入表!$I$639)*参数输入表!$I$36*时间序列!AP28/(参数输入表!$I$638*12)</f>
        <v>0</v>
      </c>
      <c r="AT289" s="366">
        <f>参数输入表!$I$636*(1-参数输入表!$I$639)*参数输入表!$I$36*时间序列!AQ28/(参数输入表!$I$638*12)</f>
        <v>0</v>
      </c>
      <c r="AU289" s="366">
        <f>参数输入表!$I$636*(1-参数输入表!$I$639)*参数输入表!$I$36*时间序列!AR28/(参数输入表!$I$638*12)</f>
        <v>0</v>
      </c>
      <c r="AV289" s="366">
        <f>参数输入表!$I$636*(1-参数输入表!$I$639)*参数输入表!$I$36*时间序列!AS28/(参数输入表!$I$638*12)</f>
        <v>0</v>
      </c>
      <c r="AW289" s="366">
        <f>参数输入表!$I$636*(1-参数输入表!$I$639)*参数输入表!$I$36*时间序列!AT28/(参数输入表!$I$638*12)</f>
        <v>0</v>
      </c>
      <c r="AX289" s="366">
        <f>参数输入表!$I$636*(1-参数输入表!$I$639)*参数输入表!$I$36*时间序列!AU28/(参数输入表!$I$638*12)</f>
        <v>0</v>
      </c>
      <c r="AY289" s="366">
        <f>参数输入表!$I$636*(1-参数输入表!$I$639)*参数输入表!$I$36*时间序列!AV28/(参数输入表!$I$638*12)</f>
        <v>0</v>
      </c>
      <c r="AZ289" s="366">
        <f>参数输入表!$I$636*(1-参数输入表!$I$639)*参数输入表!$I$36*时间序列!AW28/(参数输入表!$I$638*12)</f>
        <v>0</v>
      </c>
      <c r="BA289" s="385">
        <f>参数输入表!$I$636*(1-参数输入表!$I$639)*参数输入表!$I$36*时间序列!AX28/(参数输入表!$I$638*12)</f>
        <v>0</v>
      </c>
    </row>
    <row r="290" s="105" customFormat="1" spans="2:53">
      <c r="B290" s="360"/>
      <c r="C290" s="374" t="s">
        <v>472</v>
      </c>
      <c r="D290" s="375">
        <f>SUM(F290:BA290)</f>
        <v>0</v>
      </c>
      <c r="E290" s="266" t="s">
        <v>130</v>
      </c>
      <c r="F290" s="366">
        <f>参数输入表!$I$636*(1-参数输入表!$I$639)*参数输入表!$I$37*时间序列!C56/(参数输入表!$I$638*12)</f>
        <v>0</v>
      </c>
      <c r="G290" s="366">
        <f>参数输入表!$I$636*(1-参数输入表!$I$639)*参数输入表!$I$37*时间序列!D56/(参数输入表!$I$638*12)</f>
        <v>0</v>
      </c>
      <c r="H290" s="366">
        <f>参数输入表!$I$636*(1-参数输入表!$I$639)*参数输入表!$I$37*时间序列!E56/(参数输入表!$I$638*12)</f>
        <v>0</v>
      </c>
      <c r="I290" s="366">
        <f>参数输入表!$I$636*(1-参数输入表!$I$639)*参数输入表!$I$37*时间序列!F56/(参数输入表!$I$638*12)</f>
        <v>0</v>
      </c>
      <c r="J290" s="366">
        <f>参数输入表!$I$636*(1-参数输入表!$I$639)*参数输入表!$I$37*时间序列!G56/(参数输入表!$I$638*12)</f>
        <v>0</v>
      </c>
      <c r="K290" s="366">
        <f>参数输入表!$I$636*(1-参数输入表!$I$639)*参数输入表!$I$37*时间序列!H56/(参数输入表!$I$638*12)</f>
        <v>0</v>
      </c>
      <c r="L290" s="366">
        <f>参数输入表!$I$636*(1-参数输入表!$I$639)*参数输入表!$I$37*时间序列!I56/(参数输入表!$I$638*12)</f>
        <v>0</v>
      </c>
      <c r="M290" s="366">
        <f>参数输入表!$I$636*(1-参数输入表!$I$639)*参数输入表!$I$37*时间序列!J56/(参数输入表!$I$638*12)</f>
        <v>0</v>
      </c>
      <c r="N290" s="366">
        <f>参数输入表!$I$636*(1-参数输入表!$I$639)*参数输入表!$I$37*时间序列!K56/(参数输入表!$I$638*12)</f>
        <v>0</v>
      </c>
      <c r="O290" s="366">
        <f>参数输入表!$I$636*(1-参数输入表!$I$639)*参数输入表!$I$37*时间序列!L56/(参数输入表!$I$638*12)</f>
        <v>0</v>
      </c>
      <c r="P290" s="366">
        <f>参数输入表!$I$636*(1-参数输入表!$I$639)*参数输入表!$I$37*时间序列!M56/(参数输入表!$I$638*12)</f>
        <v>0</v>
      </c>
      <c r="Q290" s="366">
        <f>参数输入表!$I$636*(1-参数输入表!$I$639)*参数输入表!$I$37*时间序列!N56/(参数输入表!$I$638*12)</f>
        <v>0</v>
      </c>
      <c r="R290" s="366">
        <f>参数输入表!$I$636*(1-参数输入表!$I$639)*参数输入表!$I$37*时间序列!O56/(参数输入表!$I$638*12)</f>
        <v>0</v>
      </c>
      <c r="S290" s="366">
        <f>参数输入表!$I$636*(1-参数输入表!$I$639)*参数输入表!$I$37*时间序列!P56/(参数输入表!$I$638*12)</f>
        <v>0</v>
      </c>
      <c r="T290" s="366">
        <f>参数输入表!$I$636*(1-参数输入表!$I$639)*参数输入表!$I$37*时间序列!Q56/(参数输入表!$I$638*12)</f>
        <v>0</v>
      </c>
      <c r="U290" s="366">
        <f>参数输入表!$I$636*(1-参数输入表!$I$639)*参数输入表!$I$37*时间序列!R56/(参数输入表!$I$638*12)</f>
        <v>0</v>
      </c>
      <c r="V290" s="366">
        <f>参数输入表!$I$636*(1-参数输入表!$I$639)*参数输入表!$I$37*时间序列!S56/(参数输入表!$I$638*12)</f>
        <v>0</v>
      </c>
      <c r="W290" s="366">
        <f>参数输入表!$I$636*(1-参数输入表!$I$639)*参数输入表!$I$37*时间序列!T56/(参数输入表!$I$638*12)</f>
        <v>0</v>
      </c>
      <c r="X290" s="366">
        <f>参数输入表!$I$636*(1-参数输入表!$I$639)*参数输入表!$I$37*时间序列!U56/(参数输入表!$I$638*12)</f>
        <v>0</v>
      </c>
      <c r="Y290" s="366">
        <f>参数输入表!$I$636*(1-参数输入表!$I$639)*参数输入表!$I$37*时间序列!V56/(参数输入表!$I$638*12)</f>
        <v>0</v>
      </c>
      <c r="Z290" s="366">
        <f>参数输入表!$I$636*(1-参数输入表!$I$639)*参数输入表!$I$37*时间序列!W56/(参数输入表!$I$638*12)</f>
        <v>0</v>
      </c>
      <c r="AA290" s="366">
        <f>参数输入表!$I$636*(1-参数输入表!$I$639)*参数输入表!$I$37*时间序列!X56/(参数输入表!$I$638*12)</f>
        <v>0</v>
      </c>
      <c r="AB290" s="366">
        <f>参数输入表!$I$636*(1-参数输入表!$I$639)*参数输入表!$I$37*时间序列!Y56/(参数输入表!$I$638*12)</f>
        <v>0</v>
      </c>
      <c r="AC290" s="366">
        <f>参数输入表!$I$636*(1-参数输入表!$I$639)*参数输入表!$I$37*时间序列!Z56/(参数输入表!$I$638*12)</f>
        <v>0</v>
      </c>
      <c r="AD290" s="366">
        <f>参数输入表!$I$636*(1-参数输入表!$I$639)*参数输入表!$I$37*时间序列!AA56/(参数输入表!$I$638*12)</f>
        <v>0</v>
      </c>
      <c r="AE290" s="366">
        <f>参数输入表!$I$636*(1-参数输入表!$I$639)*参数输入表!$I$37*时间序列!AB56/(参数输入表!$I$638*12)</f>
        <v>0</v>
      </c>
      <c r="AF290" s="366">
        <f>参数输入表!$I$636*(1-参数输入表!$I$639)*参数输入表!$I$37*时间序列!AC56/(参数输入表!$I$638*12)</f>
        <v>0</v>
      </c>
      <c r="AG290" s="366">
        <f>参数输入表!$I$636*(1-参数输入表!$I$639)*参数输入表!$I$37*时间序列!AD56/(参数输入表!$I$638*12)</f>
        <v>0</v>
      </c>
      <c r="AH290" s="366">
        <f>参数输入表!$I$636*(1-参数输入表!$I$639)*参数输入表!$I$37*时间序列!AE56/(参数输入表!$I$638*12)</f>
        <v>0</v>
      </c>
      <c r="AI290" s="366">
        <f>参数输入表!$I$636*(1-参数输入表!$I$639)*参数输入表!$I$37*时间序列!AF56/(参数输入表!$I$638*12)</f>
        <v>0</v>
      </c>
      <c r="AJ290" s="366">
        <f>参数输入表!$I$636*(1-参数输入表!$I$639)*参数输入表!$I$37*时间序列!AG56/(参数输入表!$I$638*12)</f>
        <v>0</v>
      </c>
      <c r="AK290" s="366">
        <f>参数输入表!$I$636*(1-参数输入表!$I$639)*参数输入表!$I$37*时间序列!AH56/(参数输入表!$I$638*12)</f>
        <v>0</v>
      </c>
      <c r="AL290" s="366">
        <f>参数输入表!$I$636*(1-参数输入表!$I$639)*参数输入表!$I$37*时间序列!AI56/(参数输入表!$I$638*12)</f>
        <v>0</v>
      </c>
      <c r="AM290" s="366">
        <f>参数输入表!$I$636*(1-参数输入表!$I$639)*参数输入表!$I$37*时间序列!AJ56/(参数输入表!$I$638*12)</f>
        <v>0</v>
      </c>
      <c r="AN290" s="366">
        <f>参数输入表!$I$636*(1-参数输入表!$I$639)*参数输入表!$I$37*时间序列!AK56/(参数输入表!$I$638*12)</f>
        <v>0</v>
      </c>
      <c r="AO290" s="366">
        <f>参数输入表!$I$636*(1-参数输入表!$I$639)*参数输入表!$I$37*时间序列!AL56/(参数输入表!$I$638*12)</f>
        <v>0</v>
      </c>
      <c r="AP290" s="366">
        <f>参数输入表!$I$636*(1-参数输入表!$I$639)*参数输入表!$I$37*时间序列!AM56/(参数输入表!$I$638*12)</f>
        <v>0</v>
      </c>
      <c r="AQ290" s="366">
        <f>参数输入表!$I$636*(1-参数输入表!$I$639)*参数输入表!$I$37*时间序列!AN56/(参数输入表!$I$638*12)</f>
        <v>0</v>
      </c>
      <c r="AR290" s="366">
        <f>参数输入表!$I$636*(1-参数输入表!$I$639)*参数输入表!$I$37*时间序列!AO56/(参数输入表!$I$638*12)</f>
        <v>0</v>
      </c>
      <c r="AS290" s="366">
        <f>参数输入表!$I$636*(1-参数输入表!$I$639)*参数输入表!$I$37*时间序列!AP56/(参数输入表!$I$638*12)</f>
        <v>0</v>
      </c>
      <c r="AT290" s="366">
        <f>参数输入表!$I$636*(1-参数输入表!$I$639)*参数输入表!$I$37*时间序列!AQ56/(参数输入表!$I$638*12)</f>
        <v>0</v>
      </c>
      <c r="AU290" s="366">
        <f>参数输入表!$I$636*(1-参数输入表!$I$639)*参数输入表!$I$37*时间序列!AR56/(参数输入表!$I$638*12)</f>
        <v>0</v>
      </c>
      <c r="AV290" s="366">
        <f>参数输入表!$I$636*(1-参数输入表!$I$639)*参数输入表!$I$37*时间序列!AS56/(参数输入表!$I$638*12)</f>
        <v>0</v>
      </c>
      <c r="AW290" s="366">
        <f>参数输入表!$I$636*(1-参数输入表!$I$639)*参数输入表!$I$37*时间序列!AT56/(参数输入表!$I$638*12)</f>
        <v>0</v>
      </c>
      <c r="AX290" s="366">
        <f>参数输入表!$I$636*(1-参数输入表!$I$639)*参数输入表!$I$37*时间序列!AU56/(参数输入表!$I$638*12)</f>
        <v>0</v>
      </c>
      <c r="AY290" s="366">
        <f>参数输入表!$I$636*(1-参数输入表!$I$639)*参数输入表!$I$37*时间序列!AV56/(参数输入表!$I$638*12)</f>
        <v>0</v>
      </c>
      <c r="AZ290" s="366">
        <f>参数输入表!$I$636*(1-参数输入表!$I$639)*参数输入表!$I$37*时间序列!AW56/(参数输入表!$I$638*12)</f>
        <v>0</v>
      </c>
      <c r="BA290" s="385">
        <f>参数输入表!$I$636*(1-参数输入表!$I$639)*参数输入表!$I$37*时间序列!AX56/(参数输入表!$I$638*12)</f>
        <v>0</v>
      </c>
    </row>
    <row r="291" s="105" customFormat="1" spans="2:53">
      <c r="B291" s="360"/>
      <c r="C291" s="374" t="s">
        <v>473</v>
      </c>
      <c r="D291" s="375">
        <f>SUM(F291:BA291)</f>
        <v>0</v>
      </c>
      <c r="E291" s="266" t="s">
        <v>130</v>
      </c>
      <c r="F291" s="366">
        <f>参数输入表!$I$636*(1-参数输入表!$I$639)*参数输入表!$I$38*时间序列!C84/(参数输入表!$I$638*12)</f>
        <v>0</v>
      </c>
      <c r="G291" s="366">
        <f>参数输入表!$I$636*(1-参数输入表!$I$639)*参数输入表!$I$38*时间序列!D84/(参数输入表!$I$638*12)</f>
        <v>0</v>
      </c>
      <c r="H291" s="366">
        <f>参数输入表!$I$636*(1-参数输入表!$I$639)*参数输入表!$I$38*时间序列!E84/(参数输入表!$I$638*12)</f>
        <v>0</v>
      </c>
      <c r="I291" s="366">
        <f>参数输入表!$I$636*(1-参数输入表!$I$639)*参数输入表!$I$38*时间序列!F84/(参数输入表!$I$638*12)</f>
        <v>0</v>
      </c>
      <c r="J291" s="366">
        <f>参数输入表!$I$636*(1-参数输入表!$I$639)*参数输入表!$I$38*时间序列!G84/(参数输入表!$I$638*12)</f>
        <v>0</v>
      </c>
      <c r="K291" s="366">
        <f>参数输入表!$I$636*(1-参数输入表!$I$639)*参数输入表!$I$38*时间序列!H84/(参数输入表!$I$638*12)</f>
        <v>0</v>
      </c>
      <c r="L291" s="366">
        <f>参数输入表!$I$636*(1-参数输入表!$I$639)*参数输入表!$I$38*时间序列!I84/(参数输入表!$I$638*12)</f>
        <v>0</v>
      </c>
      <c r="M291" s="366">
        <f>参数输入表!$I$636*(1-参数输入表!$I$639)*参数输入表!$I$38*时间序列!J84/(参数输入表!$I$638*12)</f>
        <v>0</v>
      </c>
      <c r="N291" s="366">
        <f>参数输入表!$I$636*(1-参数输入表!$I$639)*参数输入表!$I$38*时间序列!K84/(参数输入表!$I$638*12)</f>
        <v>0</v>
      </c>
      <c r="O291" s="366">
        <f>参数输入表!$I$636*(1-参数输入表!$I$639)*参数输入表!$I$38*时间序列!L84/(参数输入表!$I$638*12)</f>
        <v>0</v>
      </c>
      <c r="P291" s="366">
        <f>参数输入表!$I$636*(1-参数输入表!$I$639)*参数输入表!$I$38*时间序列!M84/(参数输入表!$I$638*12)</f>
        <v>0</v>
      </c>
      <c r="Q291" s="366">
        <f>参数输入表!$I$636*(1-参数输入表!$I$639)*参数输入表!$I$38*时间序列!N84/(参数输入表!$I$638*12)</f>
        <v>0</v>
      </c>
      <c r="R291" s="366">
        <f>参数输入表!$I$636*(1-参数输入表!$I$639)*参数输入表!$I$38*时间序列!O84/(参数输入表!$I$638*12)</f>
        <v>0</v>
      </c>
      <c r="S291" s="366">
        <f>参数输入表!$I$636*(1-参数输入表!$I$639)*参数输入表!$I$38*时间序列!P84/(参数输入表!$I$638*12)</f>
        <v>0</v>
      </c>
      <c r="T291" s="366">
        <f>参数输入表!$I$636*(1-参数输入表!$I$639)*参数输入表!$I$38*时间序列!Q84/(参数输入表!$I$638*12)</f>
        <v>0</v>
      </c>
      <c r="U291" s="366">
        <f>参数输入表!$I$636*(1-参数输入表!$I$639)*参数输入表!$I$38*时间序列!R84/(参数输入表!$I$638*12)</f>
        <v>0</v>
      </c>
      <c r="V291" s="366">
        <f>参数输入表!$I$636*(1-参数输入表!$I$639)*参数输入表!$I$38*时间序列!S84/(参数输入表!$I$638*12)</f>
        <v>0</v>
      </c>
      <c r="W291" s="366">
        <f>参数输入表!$I$636*(1-参数输入表!$I$639)*参数输入表!$I$38*时间序列!T84/(参数输入表!$I$638*12)</f>
        <v>0</v>
      </c>
      <c r="X291" s="366">
        <f>参数输入表!$I$636*(1-参数输入表!$I$639)*参数输入表!$I$38*时间序列!U84/(参数输入表!$I$638*12)</f>
        <v>0</v>
      </c>
      <c r="Y291" s="366">
        <f>参数输入表!$I$636*(1-参数输入表!$I$639)*参数输入表!$I$38*时间序列!V84/(参数输入表!$I$638*12)</f>
        <v>0</v>
      </c>
      <c r="Z291" s="366">
        <f>参数输入表!$I$636*(1-参数输入表!$I$639)*参数输入表!$I$38*时间序列!W84/(参数输入表!$I$638*12)</f>
        <v>0</v>
      </c>
      <c r="AA291" s="366">
        <f>参数输入表!$I$636*(1-参数输入表!$I$639)*参数输入表!$I$38*时间序列!X84/(参数输入表!$I$638*12)</f>
        <v>0</v>
      </c>
      <c r="AB291" s="366">
        <f>参数输入表!$I$636*(1-参数输入表!$I$639)*参数输入表!$I$38*时间序列!Y84/(参数输入表!$I$638*12)</f>
        <v>0</v>
      </c>
      <c r="AC291" s="366">
        <f>参数输入表!$I$636*(1-参数输入表!$I$639)*参数输入表!$I$38*时间序列!Z84/(参数输入表!$I$638*12)</f>
        <v>0</v>
      </c>
      <c r="AD291" s="366">
        <f>参数输入表!$I$636*(1-参数输入表!$I$639)*参数输入表!$I$38*时间序列!AA84/(参数输入表!$I$638*12)</f>
        <v>0</v>
      </c>
      <c r="AE291" s="366">
        <f>参数输入表!$I$636*(1-参数输入表!$I$639)*参数输入表!$I$38*时间序列!AB84/(参数输入表!$I$638*12)</f>
        <v>0</v>
      </c>
      <c r="AF291" s="366">
        <f>参数输入表!$I$636*(1-参数输入表!$I$639)*参数输入表!$I$38*时间序列!AC84/(参数输入表!$I$638*12)</f>
        <v>0</v>
      </c>
      <c r="AG291" s="366">
        <f>参数输入表!$I$636*(1-参数输入表!$I$639)*参数输入表!$I$38*时间序列!AD84/(参数输入表!$I$638*12)</f>
        <v>0</v>
      </c>
      <c r="AH291" s="366">
        <f>参数输入表!$I$636*(1-参数输入表!$I$639)*参数输入表!$I$38*时间序列!AE84/(参数输入表!$I$638*12)</f>
        <v>0</v>
      </c>
      <c r="AI291" s="366">
        <f>参数输入表!$I$636*(1-参数输入表!$I$639)*参数输入表!$I$38*时间序列!AF84/(参数输入表!$I$638*12)</f>
        <v>0</v>
      </c>
      <c r="AJ291" s="366">
        <f>参数输入表!$I$636*(1-参数输入表!$I$639)*参数输入表!$I$38*时间序列!AG84/(参数输入表!$I$638*12)</f>
        <v>0</v>
      </c>
      <c r="AK291" s="366">
        <f>参数输入表!$I$636*(1-参数输入表!$I$639)*参数输入表!$I$38*时间序列!AH84/(参数输入表!$I$638*12)</f>
        <v>0</v>
      </c>
      <c r="AL291" s="366">
        <f>参数输入表!$I$636*(1-参数输入表!$I$639)*参数输入表!$I$38*时间序列!AI84/(参数输入表!$I$638*12)</f>
        <v>0</v>
      </c>
      <c r="AM291" s="366">
        <f>参数输入表!$I$636*(1-参数输入表!$I$639)*参数输入表!$I$38*时间序列!AJ84/(参数输入表!$I$638*12)</f>
        <v>0</v>
      </c>
      <c r="AN291" s="366">
        <f>参数输入表!$I$636*(1-参数输入表!$I$639)*参数输入表!$I$38*时间序列!AK84/(参数输入表!$I$638*12)</f>
        <v>0</v>
      </c>
      <c r="AO291" s="366">
        <f>参数输入表!$I$636*(1-参数输入表!$I$639)*参数输入表!$I$38*时间序列!AL84/(参数输入表!$I$638*12)</f>
        <v>0</v>
      </c>
      <c r="AP291" s="366">
        <f>参数输入表!$I$636*(1-参数输入表!$I$639)*参数输入表!$I$38*时间序列!AM84/(参数输入表!$I$638*12)</f>
        <v>0</v>
      </c>
      <c r="AQ291" s="366">
        <f>参数输入表!$I$636*(1-参数输入表!$I$639)*参数输入表!$I$38*时间序列!AN84/(参数输入表!$I$638*12)</f>
        <v>0</v>
      </c>
      <c r="AR291" s="366">
        <f>参数输入表!$I$636*(1-参数输入表!$I$639)*参数输入表!$I$38*时间序列!AO84/(参数输入表!$I$638*12)</f>
        <v>0</v>
      </c>
      <c r="AS291" s="366">
        <f>参数输入表!$I$636*(1-参数输入表!$I$639)*参数输入表!$I$38*时间序列!AP84/(参数输入表!$I$638*12)</f>
        <v>0</v>
      </c>
      <c r="AT291" s="366">
        <f>参数输入表!$I$636*(1-参数输入表!$I$639)*参数输入表!$I$38*时间序列!AQ84/(参数输入表!$I$638*12)</f>
        <v>0</v>
      </c>
      <c r="AU291" s="366">
        <f>参数输入表!$I$636*(1-参数输入表!$I$639)*参数输入表!$I$38*时间序列!AR84/(参数输入表!$I$638*12)</f>
        <v>0</v>
      </c>
      <c r="AV291" s="366">
        <f>参数输入表!$I$636*(1-参数输入表!$I$639)*参数输入表!$I$38*时间序列!AS84/(参数输入表!$I$638*12)</f>
        <v>0</v>
      </c>
      <c r="AW291" s="366">
        <f>参数输入表!$I$636*(1-参数输入表!$I$639)*参数输入表!$I$38*时间序列!AT84/(参数输入表!$I$638*12)</f>
        <v>0</v>
      </c>
      <c r="AX291" s="366">
        <f>参数输入表!$I$636*(1-参数输入表!$I$639)*参数输入表!$I$38*时间序列!AU84/(参数输入表!$I$638*12)</f>
        <v>0</v>
      </c>
      <c r="AY291" s="366">
        <f>参数输入表!$I$636*(1-参数输入表!$I$639)*参数输入表!$I$38*时间序列!AV84/(参数输入表!$I$638*12)</f>
        <v>0</v>
      </c>
      <c r="AZ291" s="366">
        <f>参数输入表!$I$636*(1-参数输入表!$I$639)*参数输入表!$I$38*时间序列!AW84/(参数输入表!$I$638*12)</f>
        <v>0</v>
      </c>
      <c r="BA291" s="385">
        <f>参数输入表!$I$636*(1-参数输入表!$I$639)*参数输入表!$I$38*时间序列!AX84/(参数输入表!$I$638*12)</f>
        <v>0</v>
      </c>
    </row>
    <row r="292" s="105" customFormat="1" spans="2:53">
      <c r="B292" s="360"/>
      <c r="C292" s="374" t="s">
        <v>474</v>
      </c>
      <c r="D292" s="375">
        <f ca="1">SUM(F292:BA292)</f>
        <v>76000</v>
      </c>
      <c r="E292" s="266" t="s">
        <v>130</v>
      </c>
      <c r="F292" s="366">
        <f ca="1">参数输入表!$I$636*(1-参数输入表!$I$639)*参数输入表!$I$39*时间序列!C112/(参数输入表!$I$638*12)</f>
        <v>0</v>
      </c>
      <c r="G292" s="366">
        <f ca="1">参数输入表!$I$636*(1-参数输入表!$I$639)*参数输入表!$I$39*时间序列!D112/(参数输入表!$I$638*12)</f>
        <v>0</v>
      </c>
      <c r="H292" s="366">
        <f ca="1">参数输入表!$I$636*(1-参数输入表!$I$639)*参数输入表!$I$39*时间序列!E112/(参数输入表!$I$638*12)</f>
        <v>0</v>
      </c>
      <c r="I292" s="366">
        <f ca="1">参数输入表!$I$636*(1-参数输入表!$I$639)*参数输入表!$I$39*时间序列!F112/(参数输入表!$I$638*12)</f>
        <v>0</v>
      </c>
      <c r="J292" s="366">
        <f ca="1">参数输入表!$I$636*(1-参数输入表!$I$639)*参数输入表!$I$39*时间序列!G112/(参数输入表!$I$638*12)</f>
        <v>0</v>
      </c>
      <c r="K292" s="366">
        <f ca="1">参数输入表!$I$636*(1-参数输入表!$I$639)*参数输入表!$I$39*时间序列!H112/(参数输入表!$I$638*12)</f>
        <v>0</v>
      </c>
      <c r="L292" s="366">
        <f ca="1">参数输入表!$I$636*(1-参数输入表!$I$639)*参数输入表!$I$39*时间序列!I112/(参数输入表!$I$638*12)</f>
        <v>0</v>
      </c>
      <c r="M292" s="366">
        <f ca="1">参数输入表!$I$636*(1-参数输入表!$I$639)*参数输入表!$I$39*时间序列!J112/(参数输入表!$I$638*12)</f>
        <v>1759.25925925926</v>
      </c>
      <c r="N292" s="366">
        <f ca="1">参数输入表!$I$636*(1-参数输入表!$I$639)*参数输入表!$I$39*时间序列!K112/(参数输入表!$I$638*12)</f>
        <v>4222.22222222222</v>
      </c>
      <c r="O292" s="366">
        <f ca="1">参数输入表!$I$636*(1-参数输入表!$I$639)*参数输入表!$I$39*时间序列!L112/(参数输入表!$I$638*12)</f>
        <v>4222.22222222222</v>
      </c>
      <c r="P292" s="366">
        <f ca="1">参数输入表!$I$636*(1-参数输入表!$I$639)*参数输入表!$I$39*时间序列!M112/(参数输入表!$I$638*12)</f>
        <v>4222.22222222222</v>
      </c>
      <c r="Q292" s="366">
        <f ca="1">参数输入表!$I$636*(1-参数输入表!$I$639)*参数输入表!$I$39*时间序列!N112/(参数输入表!$I$638*12)</f>
        <v>4222.22222222222</v>
      </c>
      <c r="R292" s="366">
        <f ca="1">参数输入表!$I$636*(1-参数输入表!$I$639)*参数输入表!$I$39*时间序列!O112/(参数输入表!$I$638*12)</f>
        <v>4222.22222222222</v>
      </c>
      <c r="S292" s="366">
        <f ca="1">参数输入表!$I$636*(1-参数输入表!$I$639)*参数输入表!$I$39*时间序列!P112/(参数输入表!$I$638*12)</f>
        <v>4222.22222222222</v>
      </c>
      <c r="T292" s="366">
        <f ca="1">参数输入表!$I$636*(1-参数输入表!$I$639)*参数输入表!$I$39*时间序列!Q112/(参数输入表!$I$638*12)</f>
        <v>4222.22222222222</v>
      </c>
      <c r="U292" s="366">
        <f ca="1">参数输入表!$I$636*(1-参数输入表!$I$639)*参数输入表!$I$39*时间序列!R112/(参数输入表!$I$638*12)</f>
        <v>4222.22222222222</v>
      </c>
      <c r="V292" s="366">
        <f ca="1">参数输入表!$I$636*(1-参数输入表!$I$639)*参数输入表!$I$39*时间序列!S112/(参数输入表!$I$638*12)</f>
        <v>4222.22222222222</v>
      </c>
      <c r="W292" s="366">
        <f ca="1">参数输入表!$I$636*(1-参数输入表!$I$639)*参数输入表!$I$39*时间序列!T112/(参数输入表!$I$638*12)</f>
        <v>4222.22222222222</v>
      </c>
      <c r="X292" s="366">
        <f ca="1">参数输入表!$I$636*(1-参数输入表!$I$639)*参数输入表!$I$39*时间序列!U112/(参数输入表!$I$638*12)</f>
        <v>4222.22222222222</v>
      </c>
      <c r="Y292" s="366">
        <f ca="1">参数输入表!$I$636*(1-参数输入表!$I$639)*参数输入表!$I$39*时间序列!V112/(参数输入表!$I$638*12)</f>
        <v>4222.22222222222</v>
      </c>
      <c r="Z292" s="366">
        <f ca="1">参数输入表!$I$636*(1-参数输入表!$I$639)*参数输入表!$I$39*时间序列!W112/(参数输入表!$I$638*12)</f>
        <v>4222.22222222222</v>
      </c>
      <c r="AA292" s="366">
        <f ca="1">参数输入表!$I$636*(1-参数输入表!$I$639)*参数输入表!$I$39*时间序列!X112/(参数输入表!$I$638*12)</f>
        <v>4222.22222222222</v>
      </c>
      <c r="AB292" s="366">
        <f ca="1">参数输入表!$I$636*(1-参数输入表!$I$639)*参数输入表!$I$39*时间序列!Y112/(参数输入表!$I$638*12)</f>
        <v>4222.22222222222</v>
      </c>
      <c r="AC292" s="366">
        <f ca="1">参数输入表!$I$636*(1-参数输入表!$I$639)*参数输入表!$I$39*时间序列!Z112/(参数输入表!$I$638*12)</f>
        <v>4222.22222222222</v>
      </c>
      <c r="AD292" s="366">
        <f ca="1">参数输入表!$I$636*(1-参数输入表!$I$639)*参数输入表!$I$39*时间序列!AA112/(参数输入表!$I$638*12)</f>
        <v>4222.22222222222</v>
      </c>
      <c r="AE292" s="366">
        <f ca="1">参数输入表!$I$636*(1-参数输入表!$I$639)*参数输入表!$I$39*时间序列!AB112/(参数输入表!$I$638*12)</f>
        <v>2462.96296296296</v>
      </c>
      <c r="AF292" s="366">
        <f ca="1">参数输入表!$I$636*(1-参数输入表!$I$639)*参数输入表!$I$39*时间序列!AC112/(参数输入表!$I$638*12)</f>
        <v>0</v>
      </c>
      <c r="AG292" s="366">
        <f ca="1">参数输入表!$I$636*(1-参数输入表!$I$639)*参数输入表!$I$39*时间序列!AD112/(参数输入表!$I$638*12)</f>
        <v>0</v>
      </c>
      <c r="AH292" s="366">
        <f ca="1">参数输入表!$I$636*(1-参数输入表!$I$639)*参数输入表!$I$39*时间序列!AE112/(参数输入表!$I$638*12)</f>
        <v>0</v>
      </c>
      <c r="AI292" s="366">
        <f ca="1">参数输入表!$I$636*(1-参数输入表!$I$639)*参数输入表!$I$39*时间序列!AF112/(参数输入表!$I$638*12)</f>
        <v>0</v>
      </c>
      <c r="AJ292" s="366">
        <f ca="1">参数输入表!$I$636*(1-参数输入表!$I$639)*参数输入表!$I$39*时间序列!AG112/(参数输入表!$I$638*12)</f>
        <v>0</v>
      </c>
      <c r="AK292" s="366">
        <f ca="1">参数输入表!$I$636*(1-参数输入表!$I$639)*参数输入表!$I$39*时间序列!AH112/(参数输入表!$I$638*12)</f>
        <v>0</v>
      </c>
      <c r="AL292" s="366">
        <f ca="1">参数输入表!$I$636*(1-参数输入表!$I$639)*参数输入表!$I$39*时间序列!AI112/(参数输入表!$I$638*12)</f>
        <v>0</v>
      </c>
      <c r="AM292" s="366">
        <f ca="1">参数输入表!$I$636*(1-参数输入表!$I$639)*参数输入表!$I$39*时间序列!AJ112/(参数输入表!$I$638*12)</f>
        <v>0</v>
      </c>
      <c r="AN292" s="366">
        <f ca="1">参数输入表!$I$636*(1-参数输入表!$I$639)*参数输入表!$I$39*时间序列!AK112/(参数输入表!$I$638*12)</f>
        <v>0</v>
      </c>
      <c r="AO292" s="366">
        <f ca="1">参数输入表!$I$636*(1-参数输入表!$I$639)*参数输入表!$I$39*时间序列!AL112/(参数输入表!$I$638*12)</f>
        <v>0</v>
      </c>
      <c r="AP292" s="366">
        <f ca="1">参数输入表!$I$636*(1-参数输入表!$I$639)*参数输入表!$I$39*时间序列!AM112/(参数输入表!$I$638*12)</f>
        <v>0</v>
      </c>
      <c r="AQ292" s="366">
        <f ca="1">参数输入表!$I$636*(1-参数输入表!$I$639)*参数输入表!$I$39*时间序列!AN112/(参数输入表!$I$638*12)</f>
        <v>0</v>
      </c>
      <c r="AR292" s="366">
        <f ca="1">参数输入表!$I$636*(1-参数输入表!$I$639)*参数输入表!$I$39*时间序列!AO112/(参数输入表!$I$638*12)</f>
        <v>0</v>
      </c>
      <c r="AS292" s="366">
        <f ca="1">参数输入表!$I$636*(1-参数输入表!$I$639)*参数输入表!$I$39*时间序列!AP112/(参数输入表!$I$638*12)</f>
        <v>0</v>
      </c>
      <c r="AT292" s="366">
        <f ca="1">参数输入表!$I$636*(1-参数输入表!$I$639)*参数输入表!$I$39*时间序列!AQ112/(参数输入表!$I$638*12)</f>
        <v>0</v>
      </c>
      <c r="AU292" s="366">
        <f ca="1">参数输入表!$I$636*(1-参数输入表!$I$639)*参数输入表!$I$39*时间序列!AR112/(参数输入表!$I$638*12)</f>
        <v>0</v>
      </c>
      <c r="AV292" s="366">
        <f ca="1">参数输入表!$I$636*(1-参数输入表!$I$639)*参数输入表!$I$39*时间序列!AS112/(参数输入表!$I$638*12)</f>
        <v>0</v>
      </c>
      <c r="AW292" s="366">
        <f ca="1">参数输入表!$I$636*(1-参数输入表!$I$639)*参数输入表!$I$39*时间序列!AT112/(参数输入表!$I$638*12)</f>
        <v>0</v>
      </c>
      <c r="AX292" s="366">
        <f ca="1">参数输入表!$I$636*(1-参数输入表!$I$639)*参数输入表!$I$39*时间序列!AU112/(参数输入表!$I$638*12)</f>
        <v>0</v>
      </c>
      <c r="AY292" s="366">
        <f ca="1">参数输入表!$I$636*(1-参数输入表!$I$639)*参数输入表!$I$39*时间序列!AV112/(参数输入表!$I$638*12)</f>
        <v>0</v>
      </c>
      <c r="AZ292" s="366">
        <f ca="1">参数输入表!$I$636*(1-参数输入表!$I$639)*参数输入表!$I$39*时间序列!AW112/(参数输入表!$I$638*12)</f>
        <v>0</v>
      </c>
      <c r="BA292" s="385">
        <f ca="1">参数输入表!$I$636*(1-参数输入表!$I$639)*参数输入表!$I$39*时间序列!AX112/(参数输入表!$I$638*12)</f>
        <v>0</v>
      </c>
    </row>
    <row r="293" s="105" customFormat="1" spans="2:53">
      <c r="B293" s="360"/>
      <c r="C293" s="133" t="s">
        <v>728</v>
      </c>
      <c r="D293" s="376"/>
      <c r="E293" s="367" t="s">
        <v>130</v>
      </c>
      <c r="F293" s="368">
        <f ca="1">F288</f>
        <v>0</v>
      </c>
      <c r="G293" s="368">
        <f ca="1" t="shared" ref="G293:BA293" si="207">F293+G288</f>
        <v>0</v>
      </c>
      <c r="H293" s="368">
        <f ca="1" t="shared" si="207"/>
        <v>0</v>
      </c>
      <c r="I293" s="368">
        <f ca="1" t="shared" si="207"/>
        <v>0</v>
      </c>
      <c r="J293" s="368">
        <f ca="1" t="shared" si="207"/>
        <v>0</v>
      </c>
      <c r="K293" s="368">
        <f ca="1" t="shared" si="207"/>
        <v>0</v>
      </c>
      <c r="L293" s="368">
        <f ca="1" t="shared" si="207"/>
        <v>0</v>
      </c>
      <c r="M293" s="368">
        <f ca="1" t="shared" si="207"/>
        <v>1759.25925925926</v>
      </c>
      <c r="N293" s="368">
        <f ca="1" t="shared" si="207"/>
        <v>5981.48148148148</v>
      </c>
      <c r="O293" s="368">
        <f ca="1" t="shared" si="207"/>
        <v>10203.7037037037</v>
      </c>
      <c r="P293" s="368">
        <f ca="1" t="shared" si="207"/>
        <v>14425.9259259259</v>
      </c>
      <c r="Q293" s="368">
        <f ca="1" t="shared" si="207"/>
        <v>18648.1481481481</v>
      </c>
      <c r="R293" s="368">
        <f ca="1" t="shared" si="207"/>
        <v>22870.3703703704</v>
      </c>
      <c r="S293" s="368">
        <f ca="1" t="shared" si="207"/>
        <v>27092.5925925926</v>
      </c>
      <c r="T293" s="368">
        <f ca="1" t="shared" si="207"/>
        <v>31314.8148148148</v>
      </c>
      <c r="U293" s="368">
        <f ca="1" t="shared" si="207"/>
        <v>35537.037037037</v>
      </c>
      <c r="V293" s="368">
        <f ca="1" t="shared" si="207"/>
        <v>39759.2592592593</v>
      </c>
      <c r="W293" s="368">
        <f ca="1" t="shared" si="207"/>
        <v>43981.4814814815</v>
      </c>
      <c r="X293" s="368">
        <f ca="1" t="shared" si="207"/>
        <v>48203.7037037037</v>
      </c>
      <c r="Y293" s="368">
        <f ca="1" t="shared" si="207"/>
        <v>52425.9259259259</v>
      </c>
      <c r="Z293" s="368">
        <f ca="1" t="shared" si="207"/>
        <v>56648.1481481481</v>
      </c>
      <c r="AA293" s="368">
        <f ca="1" t="shared" si="207"/>
        <v>60870.3703703704</v>
      </c>
      <c r="AB293" s="368">
        <f ca="1" t="shared" si="207"/>
        <v>65092.5925925926</v>
      </c>
      <c r="AC293" s="368">
        <f ca="1" t="shared" si="207"/>
        <v>69314.8148148148</v>
      </c>
      <c r="AD293" s="368">
        <f ca="1" t="shared" si="207"/>
        <v>73537.037037037</v>
      </c>
      <c r="AE293" s="368">
        <f ca="1" t="shared" si="207"/>
        <v>76000</v>
      </c>
      <c r="AF293" s="368">
        <f ca="1" t="shared" si="207"/>
        <v>76000</v>
      </c>
      <c r="AG293" s="368">
        <f ca="1" t="shared" si="207"/>
        <v>76000</v>
      </c>
      <c r="AH293" s="368">
        <f ca="1" t="shared" si="207"/>
        <v>76000</v>
      </c>
      <c r="AI293" s="368">
        <f ca="1" t="shared" si="207"/>
        <v>76000</v>
      </c>
      <c r="AJ293" s="368">
        <f ca="1" t="shared" si="207"/>
        <v>76000</v>
      </c>
      <c r="AK293" s="368">
        <f ca="1" t="shared" si="207"/>
        <v>76000</v>
      </c>
      <c r="AL293" s="368">
        <f ca="1" t="shared" si="207"/>
        <v>76000</v>
      </c>
      <c r="AM293" s="368">
        <f ca="1" t="shared" si="207"/>
        <v>76000</v>
      </c>
      <c r="AN293" s="368">
        <f ca="1" t="shared" si="207"/>
        <v>76000</v>
      </c>
      <c r="AO293" s="368">
        <f ca="1" t="shared" si="207"/>
        <v>76000</v>
      </c>
      <c r="AP293" s="368">
        <f ca="1" t="shared" si="207"/>
        <v>76000</v>
      </c>
      <c r="AQ293" s="368">
        <f ca="1" t="shared" si="207"/>
        <v>76000</v>
      </c>
      <c r="AR293" s="368">
        <f ca="1" t="shared" si="207"/>
        <v>76000</v>
      </c>
      <c r="AS293" s="368">
        <f ca="1" t="shared" si="207"/>
        <v>76000</v>
      </c>
      <c r="AT293" s="368">
        <f ca="1" t="shared" si="207"/>
        <v>76000</v>
      </c>
      <c r="AU293" s="368">
        <f ca="1" t="shared" si="207"/>
        <v>76000</v>
      </c>
      <c r="AV293" s="368">
        <f ca="1" t="shared" si="207"/>
        <v>76000</v>
      </c>
      <c r="AW293" s="368">
        <f ca="1" t="shared" si="207"/>
        <v>76000</v>
      </c>
      <c r="AX293" s="368">
        <f ca="1" t="shared" si="207"/>
        <v>76000</v>
      </c>
      <c r="AY293" s="368">
        <f ca="1" t="shared" si="207"/>
        <v>76000</v>
      </c>
      <c r="AZ293" s="368">
        <f ca="1" t="shared" si="207"/>
        <v>76000</v>
      </c>
      <c r="BA293" s="369">
        <f ca="1" t="shared" si="207"/>
        <v>76000</v>
      </c>
    </row>
    <row r="294" s="105" customFormat="1" ht="17.25" spans="2:53">
      <c r="B294" s="379"/>
      <c r="C294" s="380" t="s">
        <v>729</v>
      </c>
      <c r="D294" s="380"/>
      <c r="E294" s="382" t="s">
        <v>130</v>
      </c>
      <c r="F294" s="383">
        <f ca="1" t="shared" ref="F294:BA294" si="208">F284-F293</f>
        <v>0</v>
      </c>
      <c r="G294" s="383">
        <f ca="1" t="shared" si="208"/>
        <v>0</v>
      </c>
      <c r="H294" s="383">
        <f ca="1" t="shared" si="208"/>
        <v>0</v>
      </c>
      <c r="I294" s="383">
        <f ca="1" t="shared" si="208"/>
        <v>0</v>
      </c>
      <c r="J294" s="383">
        <f ca="1" t="shared" si="208"/>
        <v>0</v>
      </c>
      <c r="K294" s="383">
        <f ca="1" t="shared" si="208"/>
        <v>0</v>
      </c>
      <c r="L294" s="383">
        <f ca="1" t="shared" si="208"/>
        <v>0</v>
      </c>
      <c r="M294" s="383">
        <f ca="1" t="shared" si="208"/>
        <v>78240.7407407407</v>
      </c>
      <c r="N294" s="383">
        <f ca="1" t="shared" si="208"/>
        <v>74018.5185185185</v>
      </c>
      <c r="O294" s="383">
        <f ca="1" t="shared" si="208"/>
        <v>69796.2962962963</v>
      </c>
      <c r="P294" s="383">
        <f ca="1" t="shared" si="208"/>
        <v>65574.0740740741</v>
      </c>
      <c r="Q294" s="383">
        <f ca="1" t="shared" si="208"/>
        <v>61351.8518518519</v>
      </c>
      <c r="R294" s="383">
        <f ca="1" t="shared" si="208"/>
        <v>57129.6296296296</v>
      </c>
      <c r="S294" s="383">
        <f ca="1" t="shared" si="208"/>
        <v>52907.4074074074</v>
      </c>
      <c r="T294" s="383">
        <f ca="1" t="shared" si="208"/>
        <v>48685.1851851852</v>
      </c>
      <c r="U294" s="383">
        <f ca="1" t="shared" si="208"/>
        <v>44462.962962963</v>
      </c>
      <c r="V294" s="383">
        <f ca="1" t="shared" si="208"/>
        <v>40240.7407407407</v>
      </c>
      <c r="W294" s="383">
        <f ca="1" t="shared" si="208"/>
        <v>36018.5185185185</v>
      </c>
      <c r="X294" s="383">
        <f ca="1" t="shared" si="208"/>
        <v>31796.2962962963</v>
      </c>
      <c r="Y294" s="383">
        <f ca="1" t="shared" si="208"/>
        <v>27574.0740740741</v>
      </c>
      <c r="Z294" s="383">
        <f ca="1" t="shared" si="208"/>
        <v>23351.8518518519</v>
      </c>
      <c r="AA294" s="383">
        <f ca="1" t="shared" si="208"/>
        <v>19129.6296296296</v>
      </c>
      <c r="AB294" s="383">
        <f ca="1" t="shared" si="208"/>
        <v>14907.4074074074</v>
      </c>
      <c r="AC294" s="383">
        <f ca="1" t="shared" si="208"/>
        <v>10685.1851851852</v>
      </c>
      <c r="AD294" s="383">
        <f ca="1" t="shared" si="208"/>
        <v>6462.96296296299</v>
      </c>
      <c r="AE294" s="383">
        <f ca="1" t="shared" si="208"/>
        <v>4000.00000000003</v>
      </c>
      <c r="AF294" s="383">
        <f ca="1" t="shared" si="208"/>
        <v>4000.00000000003</v>
      </c>
      <c r="AG294" s="383">
        <f ca="1" t="shared" si="208"/>
        <v>4000.00000000003</v>
      </c>
      <c r="AH294" s="383">
        <f ca="1" t="shared" si="208"/>
        <v>4000.00000000003</v>
      </c>
      <c r="AI294" s="383">
        <f ca="1" t="shared" si="208"/>
        <v>4000.00000000003</v>
      </c>
      <c r="AJ294" s="383">
        <f ca="1" t="shared" si="208"/>
        <v>4000.00000000003</v>
      </c>
      <c r="AK294" s="383">
        <f ca="1" t="shared" si="208"/>
        <v>4000.00000000003</v>
      </c>
      <c r="AL294" s="383">
        <f ca="1" t="shared" si="208"/>
        <v>4000.00000000003</v>
      </c>
      <c r="AM294" s="383">
        <f ca="1" t="shared" si="208"/>
        <v>4000.00000000003</v>
      </c>
      <c r="AN294" s="383">
        <f ca="1" t="shared" si="208"/>
        <v>4000.00000000003</v>
      </c>
      <c r="AO294" s="383">
        <f ca="1" t="shared" si="208"/>
        <v>4000.00000000003</v>
      </c>
      <c r="AP294" s="383">
        <f ca="1" t="shared" si="208"/>
        <v>4000.00000000003</v>
      </c>
      <c r="AQ294" s="383">
        <f ca="1" t="shared" si="208"/>
        <v>4000.00000000003</v>
      </c>
      <c r="AR294" s="383">
        <f ca="1" t="shared" si="208"/>
        <v>4000.00000000003</v>
      </c>
      <c r="AS294" s="383">
        <f ca="1" t="shared" si="208"/>
        <v>4000.00000000003</v>
      </c>
      <c r="AT294" s="383">
        <f ca="1" t="shared" si="208"/>
        <v>4000.00000000003</v>
      </c>
      <c r="AU294" s="383">
        <f ca="1" t="shared" si="208"/>
        <v>4000.00000000003</v>
      </c>
      <c r="AV294" s="383">
        <f ca="1" t="shared" si="208"/>
        <v>4000.00000000003</v>
      </c>
      <c r="AW294" s="383">
        <f ca="1" t="shared" si="208"/>
        <v>4000.00000000003</v>
      </c>
      <c r="AX294" s="383">
        <f ca="1" t="shared" si="208"/>
        <v>4000.00000000003</v>
      </c>
      <c r="AY294" s="383">
        <f ca="1" t="shared" si="208"/>
        <v>4000.00000000003</v>
      </c>
      <c r="AZ294" s="383">
        <f ca="1" t="shared" si="208"/>
        <v>4000.00000000003</v>
      </c>
      <c r="BA294" s="384">
        <f ca="1" t="shared" si="208"/>
        <v>4000.00000000003</v>
      </c>
    </row>
    <row r="295" s="105" customFormat="1" spans="2:53">
      <c r="B295" s="403">
        <v>4</v>
      </c>
      <c r="C295" s="356" t="s">
        <v>730</v>
      </c>
      <c r="D295" s="357"/>
      <c r="E295" s="358" t="s">
        <v>130</v>
      </c>
      <c r="F295" s="357">
        <f t="shared" ref="F295:BA295" si="209">F124</f>
        <v>0</v>
      </c>
      <c r="G295" s="357">
        <f t="shared" si="209"/>
        <v>0</v>
      </c>
      <c r="H295" s="357">
        <f t="shared" si="209"/>
        <v>0</v>
      </c>
      <c r="I295" s="357">
        <f t="shared" si="209"/>
        <v>0</v>
      </c>
      <c r="J295" s="357">
        <f t="shared" si="209"/>
        <v>0</v>
      </c>
      <c r="K295" s="357">
        <f t="shared" si="209"/>
        <v>0</v>
      </c>
      <c r="L295" s="357">
        <f t="shared" si="209"/>
        <v>0</v>
      </c>
      <c r="M295" s="357">
        <f t="shared" si="209"/>
        <v>0</v>
      </c>
      <c r="N295" s="357">
        <f t="shared" si="209"/>
        <v>0</v>
      </c>
      <c r="O295" s="357">
        <f t="shared" si="209"/>
        <v>0</v>
      </c>
      <c r="P295" s="357">
        <f t="shared" si="209"/>
        <v>0</v>
      </c>
      <c r="Q295" s="357">
        <f t="shared" si="209"/>
        <v>0</v>
      </c>
      <c r="R295" s="357">
        <f t="shared" si="209"/>
        <v>0</v>
      </c>
      <c r="S295" s="357">
        <f t="shared" si="209"/>
        <v>0</v>
      </c>
      <c r="T295" s="357">
        <f t="shared" si="209"/>
        <v>0</v>
      </c>
      <c r="U295" s="357">
        <f t="shared" si="209"/>
        <v>0</v>
      </c>
      <c r="V295" s="357">
        <f t="shared" si="209"/>
        <v>0</v>
      </c>
      <c r="W295" s="357">
        <f t="shared" si="209"/>
        <v>0</v>
      </c>
      <c r="X295" s="357">
        <f t="shared" si="209"/>
        <v>0</v>
      </c>
      <c r="Y295" s="357">
        <f t="shared" si="209"/>
        <v>0</v>
      </c>
      <c r="Z295" s="357">
        <f t="shared" si="209"/>
        <v>16513.7614678899</v>
      </c>
      <c r="AA295" s="357">
        <f t="shared" si="209"/>
        <v>14678.8990825688</v>
      </c>
      <c r="AB295" s="357">
        <f t="shared" si="209"/>
        <v>12844.0366972477</v>
      </c>
      <c r="AC295" s="357">
        <f t="shared" si="209"/>
        <v>11009.1743119266</v>
      </c>
      <c r="AD295" s="357">
        <f t="shared" si="209"/>
        <v>9174.3119266055</v>
      </c>
      <c r="AE295" s="357">
        <f t="shared" si="209"/>
        <v>7339.4495412844</v>
      </c>
      <c r="AF295" s="357">
        <f t="shared" si="209"/>
        <v>5504.5871559633</v>
      </c>
      <c r="AG295" s="357">
        <f t="shared" si="209"/>
        <v>3669.7247706422</v>
      </c>
      <c r="AH295" s="357">
        <f t="shared" si="209"/>
        <v>1834.8623853211</v>
      </c>
      <c r="AI295" s="357">
        <f t="shared" si="209"/>
        <v>0</v>
      </c>
      <c r="AJ295" s="357">
        <f t="shared" si="209"/>
        <v>16513.7614678899</v>
      </c>
      <c r="AK295" s="357">
        <f t="shared" si="209"/>
        <v>14678.8990825688</v>
      </c>
      <c r="AL295" s="357">
        <f t="shared" si="209"/>
        <v>12844.0366972477</v>
      </c>
      <c r="AM295" s="357">
        <f t="shared" si="209"/>
        <v>11009.1743119266</v>
      </c>
      <c r="AN295" s="357">
        <f t="shared" si="209"/>
        <v>9174.3119266055</v>
      </c>
      <c r="AO295" s="357">
        <f t="shared" si="209"/>
        <v>7339.4495412844</v>
      </c>
      <c r="AP295" s="357">
        <f t="shared" si="209"/>
        <v>5504.5871559633</v>
      </c>
      <c r="AQ295" s="357">
        <f t="shared" si="209"/>
        <v>3669.7247706422</v>
      </c>
      <c r="AR295" s="357">
        <f t="shared" si="209"/>
        <v>1834.8623853211</v>
      </c>
      <c r="AS295" s="357">
        <f t="shared" si="209"/>
        <v>0</v>
      </c>
      <c r="AT295" s="357">
        <f t="shared" si="209"/>
        <v>16309.8878695209</v>
      </c>
      <c r="AU295" s="357">
        <f t="shared" si="209"/>
        <v>14271.1518858308</v>
      </c>
      <c r="AV295" s="357">
        <f t="shared" si="209"/>
        <v>12232.4159021407</v>
      </c>
      <c r="AW295" s="357">
        <f t="shared" si="209"/>
        <v>10193.6799184506</v>
      </c>
      <c r="AX295" s="357">
        <f t="shared" si="209"/>
        <v>8154.94393476045</v>
      </c>
      <c r="AY295" s="357">
        <f t="shared" si="209"/>
        <v>6116.20795107033</v>
      </c>
      <c r="AZ295" s="357">
        <f t="shared" si="209"/>
        <v>4077.47196738022</v>
      </c>
      <c r="BA295" s="359">
        <f t="shared" si="209"/>
        <v>2038.73598369011</v>
      </c>
    </row>
    <row r="296" s="105" customFormat="1" spans="2:53">
      <c r="B296" s="405"/>
      <c r="C296" s="133" t="s">
        <v>731</v>
      </c>
      <c r="D296" s="366">
        <f>SUM(F296:BA296)</f>
        <v>55045.871559633</v>
      </c>
      <c r="E296" s="367" t="s">
        <v>130</v>
      </c>
      <c r="F296" s="366">
        <f t="shared" ref="F296:BA296" si="210">F125</f>
        <v>0</v>
      </c>
      <c r="G296" s="366">
        <f t="shared" si="210"/>
        <v>0</v>
      </c>
      <c r="H296" s="366">
        <f t="shared" si="210"/>
        <v>0</v>
      </c>
      <c r="I296" s="366">
        <f t="shared" si="210"/>
        <v>0</v>
      </c>
      <c r="J296" s="366">
        <f t="shared" si="210"/>
        <v>0</v>
      </c>
      <c r="K296" s="366">
        <f t="shared" si="210"/>
        <v>0</v>
      </c>
      <c r="L296" s="366">
        <f t="shared" si="210"/>
        <v>0</v>
      </c>
      <c r="M296" s="366">
        <f t="shared" si="210"/>
        <v>0</v>
      </c>
      <c r="N296" s="366">
        <f t="shared" si="210"/>
        <v>0</v>
      </c>
      <c r="O296" s="366">
        <f t="shared" si="210"/>
        <v>0</v>
      </c>
      <c r="P296" s="366">
        <f t="shared" si="210"/>
        <v>0</v>
      </c>
      <c r="Q296" s="366">
        <f t="shared" si="210"/>
        <v>0</v>
      </c>
      <c r="R296" s="366">
        <f t="shared" si="210"/>
        <v>0</v>
      </c>
      <c r="S296" s="366">
        <f t="shared" si="210"/>
        <v>0</v>
      </c>
      <c r="T296" s="366">
        <f t="shared" si="210"/>
        <v>0</v>
      </c>
      <c r="U296" s="366">
        <f t="shared" si="210"/>
        <v>0</v>
      </c>
      <c r="V296" s="366">
        <f t="shared" si="210"/>
        <v>0</v>
      </c>
      <c r="W296" s="366">
        <f t="shared" si="210"/>
        <v>0</v>
      </c>
      <c r="X296" s="366">
        <f t="shared" si="210"/>
        <v>0</v>
      </c>
      <c r="Y296" s="366">
        <f t="shared" si="210"/>
        <v>18348.623853211</v>
      </c>
      <c r="Z296" s="366">
        <f t="shared" si="210"/>
        <v>0</v>
      </c>
      <c r="AA296" s="366">
        <f t="shared" si="210"/>
        <v>0</v>
      </c>
      <c r="AB296" s="366">
        <f t="shared" si="210"/>
        <v>0</v>
      </c>
      <c r="AC296" s="366">
        <f t="shared" si="210"/>
        <v>0</v>
      </c>
      <c r="AD296" s="366">
        <f t="shared" si="210"/>
        <v>0</v>
      </c>
      <c r="AE296" s="366">
        <f t="shared" si="210"/>
        <v>0</v>
      </c>
      <c r="AF296" s="366">
        <f t="shared" si="210"/>
        <v>0</v>
      </c>
      <c r="AG296" s="366">
        <f t="shared" si="210"/>
        <v>0</v>
      </c>
      <c r="AH296" s="366">
        <f t="shared" si="210"/>
        <v>0</v>
      </c>
      <c r="AI296" s="366">
        <f t="shared" si="210"/>
        <v>18348.623853211</v>
      </c>
      <c r="AJ296" s="366">
        <f t="shared" si="210"/>
        <v>0</v>
      </c>
      <c r="AK296" s="366">
        <f t="shared" si="210"/>
        <v>0</v>
      </c>
      <c r="AL296" s="366">
        <f t="shared" si="210"/>
        <v>0</v>
      </c>
      <c r="AM296" s="366">
        <f t="shared" si="210"/>
        <v>0</v>
      </c>
      <c r="AN296" s="366">
        <f t="shared" si="210"/>
        <v>0</v>
      </c>
      <c r="AO296" s="366">
        <f t="shared" si="210"/>
        <v>0</v>
      </c>
      <c r="AP296" s="366">
        <f t="shared" si="210"/>
        <v>0</v>
      </c>
      <c r="AQ296" s="366">
        <f t="shared" si="210"/>
        <v>0</v>
      </c>
      <c r="AR296" s="366">
        <f t="shared" si="210"/>
        <v>0</v>
      </c>
      <c r="AS296" s="366">
        <f t="shared" si="210"/>
        <v>18348.623853211</v>
      </c>
      <c r="AT296" s="366">
        <f t="shared" si="210"/>
        <v>0</v>
      </c>
      <c r="AU296" s="366">
        <f t="shared" si="210"/>
        <v>0</v>
      </c>
      <c r="AV296" s="366">
        <f t="shared" si="210"/>
        <v>0</v>
      </c>
      <c r="AW296" s="366">
        <f t="shared" si="210"/>
        <v>0</v>
      </c>
      <c r="AX296" s="366">
        <f t="shared" si="210"/>
        <v>0</v>
      </c>
      <c r="AY296" s="366">
        <f t="shared" si="210"/>
        <v>0</v>
      </c>
      <c r="AZ296" s="366">
        <f t="shared" si="210"/>
        <v>0</v>
      </c>
      <c r="BA296" s="385">
        <f t="shared" si="210"/>
        <v>0</v>
      </c>
    </row>
    <row r="297" s="309" customFormat="1" spans="2:53">
      <c r="B297" s="405"/>
      <c r="C297" s="370" t="s">
        <v>732</v>
      </c>
      <c r="D297" s="371">
        <f>SUM(F297:BA297)</f>
        <v>55045.871559633</v>
      </c>
      <c r="E297" s="367" t="s">
        <v>130</v>
      </c>
      <c r="F297" s="371">
        <f t="shared" ref="F297:BA297" si="211">F126</f>
        <v>0</v>
      </c>
      <c r="G297" s="371">
        <f t="shared" si="211"/>
        <v>0</v>
      </c>
      <c r="H297" s="371">
        <f t="shared" si="211"/>
        <v>0</v>
      </c>
      <c r="I297" s="371">
        <f t="shared" si="211"/>
        <v>0</v>
      </c>
      <c r="J297" s="371">
        <f t="shared" si="211"/>
        <v>0</v>
      </c>
      <c r="K297" s="371">
        <f t="shared" si="211"/>
        <v>0</v>
      </c>
      <c r="L297" s="371">
        <f t="shared" si="211"/>
        <v>0</v>
      </c>
      <c r="M297" s="371">
        <f t="shared" si="211"/>
        <v>0</v>
      </c>
      <c r="N297" s="371">
        <f t="shared" si="211"/>
        <v>0</v>
      </c>
      <c r="O297" s="371">
        <f t="shared" si="211"/>
        <v>0</v>
      </c>
      <c r="P297" s="371">
        <f t="shared" si="211"/>
        <v>0</v>
      </c>
      <c r="Q297" s="371">
        <f t="shared" si="211"/>
        <v>0</v>
      </c>
      <c r="R297" s="371">
        <f t="shared" si="211"/>
        <v>0</v>
      </c>
      <c r="S297" s="371">
        <f t="shared" si="211"/>
        <v>0</v>
      </c>
      <c r="T297" s="371">
        <f t="shared" si="211"/>
        <v>0</v>
      </c>
      <c r="U297" s="371">
        <f t="shared" si="211"/>
        <v>0</v>
      </c>
      <c r="V297" s="371">
        <f t="shared" si="211"/>
        <v>0</v>
      </c>
      <c r="W297" s="371">
        <f t="shared" si="211"/>
        <v>0</v>
      </c>
      <c r="X297" s="371">
        <f t="shared" si="211"/>
        <v>0</v>
      </c>
      <c r="Y297" s="371">
        <f t="shared" si="211"/>
        <v>1834.8623853211</v>
      </c>
      <c r="Z297" s="371">
        <f t="shared" si="211"/>
        <v>1834.8623853211</v>
      </c>
      <c r="AA297" s="371">
        <f t="shared" si="211"/>
        <v>1834.8623853211</v>
      </c>
      <c r="AB297" s="371">
        <f t="shared" si="211"/>
        <v>1834.8623853211</v>
      </c>
      <c r="AC297" s="371">
        <f t="shared" si="211"/>
        <v>1834.8623853211</v>
      </c>
      <c r="AD297" s="371">
        <f t="shared" si="211"/>
        <v>1834.8623853211</v>
      </c>
      <c r="AE297" s="371">
        <f t="shared" si="211"/>
        <v>1834.8623853211</v>
      </c>
      <c r="AF297" s="371">
        <f t="shared" si="211"/>
        <v>1834.8623853211</v>
      </c>
      <c r="AG297" s="371">
        <f t="shared" si="211"/>
        <v>1834.8623853211</v>
      </c>
      <c r="AH297" s="371">
        <f t="shared" si="211"/>
        <v>1834.8623853211</v>
      </c>
      <c r="AI297" s="371">
        <f t="shared" si="211"/>
        <v>1834.8623853211</v>
      </c>
      <c r="AJ297" s="371">
        <f t="shared" si="211"/>
        <v>1834.8623853211</v>
      </c>
      <c r="AK297" s="371">
        <f t="shared" si="211"/>
        <v>1834.8623853211</v>
      </c>
      <c r="AL297" s="371">
        <f t="shared" si="211"/>
        <v>1834.8623853211</v>
      </c>
      <c r="AM297" s="371">
        <f t="shared" si="211"/>
        <v>1834.8623853211</v>
      </c>
      <c r="AN297" s="371">
        <f t="shared" si="211"/>
        <v>1834.8623853211</v>
      </c>
      <c r="AO297" s="371">
        <f t="shared" si="211"/>
        <v>1834.8623853211</v>
      </c>
      <c r="AP297" s="371">
        <f t="shared" si="211"/>
        <v>1834.8623853211</v>
      </c>
      <c r="AQ297" s="371">
        <f t="shared" si="211"/>
        <v>1834.8623853211</v>
      </c>
      <c r="AR297" s="371">
        <f t="shared" si="211"/>
        <v>1834.8623853211</v>
      </c>
      <c r="AS297" s="371">
        <f t="shared" si="211"/>
        <v>2038.73598369011</v>
      </c>
      <c r="AT297" s="371">
        <f t="shared" si="211"/>
        <v>2038.73598369011</v>
      </c>
      <c r="AU297" s="371">
        <f t="shared" si="211"/>
        <v>2038.73598369011</v>
      </c>
      <c r="AV297" s="371">
        <f t="shared" si="211"/>
        <v>2038.73598369011</v>
      </c>
      <c r="AW297" s="371">
        <f t="shared" si="211"/>
        <v>2038.73598369011</v>
      </c>
      <c r="AX297" s="371">
        <f t="shared" si="211"/>
        <v>2038.73598369011</v>
      </c>
      <c r="AY297" s="371">
        <f t="shared" si="211"/>
        <v>2038.73598369011</v>
      </c>
      <c r="AZ297" s="371">
        <f t="shared" si="211"/>
        <v>2038.73598369011</v>
      </c>
      <c r="BA297" s="386">
        <f t="shared" si="211"/>
        <v>2038.73598369011</v>
      </c>
    </row>
    <row r="298" s="105" customFormat="1" ht="17.25" spans="2:53">
      <c r="B298" s="406"/>
      <c r="C298" s="390" t="s">
        <v>734</v>
      </c>
      <c r="D298" s="368"/>
      <c r="E298" s="391" t="s">
        <v>130</v>
      </c>
      <c r="F298" s="368">
        <f t="shared" ref="F298:BA298" si="212">F176</f>
        <v>0</v>
      </c>
      <c r="G298" s="368">
        <f t="shared" si="212"/>
        <v>0</v>
      </c>
      <c r="H298" s="368">
        <f t="shared" si="212"/>
        <v>0</v>
      </c>
      <c r="I298" s="368">
        <f t="shared" si="212"/>
        <v>0</v>
      </c>
      <c r="J298" s="368">
        <f t="shared" si="212"/>
        <v>0</v>
      </c>
      <c r="K298" s="368">
        <f t="shared" si="212"/>
        <v>0</v>
      </c>
      <c r="L298" s="368">
        <f t="shared" si="212"/>
        <v>0</v>
      </c>
      <c r="M298" s="368">
        <f t="shared" si="212"/>
        <v>0</v>
      </c>
      <c r="N298" s="368">
        <f t="shared" si="212"/>
        <v>0</v>
      </c>
      <c r="O298" s="368">
        <f t="shared" si="212"/>
        <v>0</v>
      </c>
      <c r="P298" s="368">
        <f t="shared" si="212"/>
        <v>0</v>
      </c>
      <c r="Q298" s="368">
        <f t="shared" si="212"/>
        <v>0</v>
      </c>
      <c r="R298" s="368">
        <f t="shared" si="212"/>
        <v>0</v>
      </c>
      <c r="S298" s="368">
        <f t="shared" si="212"/>
        <v>0</v>
      </c>
      <c r="T298" s="368">
        <f t="shared" si="212"/>
        <v>0</v>
      </c>
      <c r="U298" s="368">
        <f t="shared" si="212"/>
        <v>0</v>
      </c>
      <c r="V298" s="368">
        <f t="shared" si="212"/>
        <v>0</v>
      </c>
      <c r="W298" s="368">
        <f t="shared" si="212"/>
        <v>0</v>
      </c>
      <c r="X298" s="368">
        <f t="shared" si="212"/>
        <v>0</v>
      </c>
      <c r="Y298" s="368">
        <f t="shared" si="212"/>
        <v>16513.7614678899</v>
      </c>
      <c r="Z298" s="368">
        <f t="shared" si="212"/>
        <v>14678.8990825688</v>
      </c>
      <c r="AA298" s="368">
        <f t="shared" si="212"/>
        <v>12844.0366972477</v>
      </c>
      <c r="AB298" s="368">
        <f t="shared" si="212"/>
        <v>11009.1743119266</v>
      </c>
      <c r="AC298" s="368">
        <f t="shared" si="212"/>
        <v>9174.3119266055</v>
      </c>
      <c r="AD298" s="368">
        <f t="shared" si="212"/>
        <v>7339.4495412844</v>
      </c>
      <c r="AE298" s="368">
        <f t="shared" si="212"/>
        <v>5504.5871559633</v>
      </c>
      <c r="AF298" s="368">
        <f t="shared" si="212"/>
        <v>3669.7247706422</v>
      </c>
      <c r="AG298" s="368">
        <f t="shared" si="212"/>
        <v>1834.8623853211</v>
      </c>
      <c r="AH298" s="368">
        <f t="shared" si="212"/>
        <v>0</v>
      </c>
      <c r="AI298" s="368">
        <f t="shared" si="212"/>
        <v>16513.7614678899</v>
      </c>
      <c r="AJ298" s="368">
        <f t="shared" si="212"/>
        <v>14678.8990825688</v>
      </c>
      <c r="AK298" s="368">
        <f t="shared" si="212"/>
        <v>12844.0366972477</v>
      </c>
      <c r="AL298" s="368">
        <f t="shared" si="212"/>
        <v>11009.1743119266</v>
      </c>
      <c r="AM298" s="368">
        <f t="shared" si="212"/>
        <v>9174.3119266055</v>
      </c>
      <c r="AN298" s="368">
        <f t="shared" si="212"/>
        <v>7339.4495412844</v>
      </c>
      <c r="AO298" s="368">
        <f t="shared" si="212"/>
        <v>5504.5871559633</v>
      </c>
      <c r="AP298" s="368">
        <f t="shared" si="212"/>
        <v>3669.7247706422</v>
      </c>
      <c r="AQ298" s="368">
        <f t="shared" si="212"/>
        <v>1834.8623853211</v>
      </c>
      <c r="AR298" s="368">
        <f t="shared" si="212"/>
        <v>0</v>
      </c>
      <c r="AS298" s="368">
        <f t="shared" si="212"/>
        <v>16309.8878695209</v>
      </c>
      <c r="AT298" s="368">
        <f t="shared" si="212"/>
        <v>14271.1518858308</v>
      </c>
      <c r="AU298" s="368">
        <f t="shared" si="212"/>
        <v>12232.4159021407</v>
      </c>
      <c r="AV298" s="368">
        <f t="shared" si="212"/>
        <v>10193.6799184506</v>
      </c>
      <c r="AW298" s="368">
        <f t="shared" si="212"/>
        <v>8154.94393476045</v>
      </c>
      <c r="AX298" s="368">
        <f t="shared" si="212"/>
        <v>6116.20795107033</v>
      </c>
      <c r="AY298" s="368">
        <f t="shared" si="212"/>
        <v>4077.47196738022</v>
      </c>
      <c r="AZ298" s="368">
        <f t="shared" si="212"/>
        <v>2038.73598369011</v>
      </c>
      <c r="BA298" s="369">
        <f t="shared" si="212"/>
        <v>-2.27373675443232e-12</v>
      </c>
    </row>
    <row r="299" s="105" customFormat="1" spans="2:53">
      <c r="B299" s="410">
        <v>5</v>
      </c>
      <c r="C299" s="356" t="s">
        <v>735</v>
      </c>
      <c r="D299" s="357"/>
      <c r="E299" s="358" t="s">
        <v>130</v>
      </c>
      <c r="F299" s="357">
        <f t="shared" ref="F299:BA299" si="213">F177</f>
        <v>0</v>
      </c>
      <c r="G299" s="357">
        <f t="shared" si="213"/>
        <v>0</v>
      </c>
      <c r="H299" s="357">
        <f t="shared" si="213"/>
        <v>0</v>
      </c>
      <c r="I299" s="357">
        <f t="shared" si="213"/>
        <v>0</v>
      </c>
      <c r="J299" s="357">
        <f t="shared" si="213"/>
        <v>0</v>
      </c>
      <c r="K299" s="357">
        <f t="shared" si="213"/>
        <v>0</v>
      </c>
      <c r="L299" s="357">
        <f t="shared" si="213"/>
        <v>0</v>
      </c>
      <c r="M299" s="357">
        <f t="shared" si="213"/>
        <v>0</v>
      </c>
      <c r="N299" s="357">
        <f t="shared" si="213"/>
        <v>0</v>
      </c>
      <c r="O299" s="357">
        <f t="shared" si="213"/>
        <v>0</v>
      </c>
      <c r="P299" s="357">
        <f t="shared" si="213"/>
        <v>0</v>
      </c>
      <c r="Q299" s="357">
        <f t="shared" si="213"/>
        <v>0</v>
      </c>
      <c r="R299" s="357">
        <f t="shared" si="213"/>
        <v>0</v>
      </c>
      <c r="S299" s="357">
        <f t="shared" si="213"/>
        <v>0</v>
      </c>
      <c r="T299" s="357">
        <f t="shared" si="213"/>
        <v>0</v>
      </c>
      <c r="U299" s="357">
        <f t="shared" si="213"/>
        <v>0</v>
      </c>
      <c r="V299" s="357">
        <f t="shared" si="213"/>
        <v>0</v>
      </c>
      <c r="W299" s="357">
        <f t="shared" si="213"/>
        <v>0</v>
      </c>
      <c r="X299" s="357">
        <f t="shared" si="213"/>
        <v>0</v>
      </c>
      <c r="Y299" s="357">
        <f t="shared" si="213"/>
        <v>1161.50442477876</v>
      </c>
      <c r="Z299" s="357">
        <f t="shared" si="213"/>
        <v>995.575221238938</v>
      </c>
      <c r="AA299" s="357">
        <f t="shared" si="213"/>
        <v>829.646017699115</v>
      </c>
      <c r="AB299" s="357">
        <f t="shared" si="213"/>
        <v>663.716814159292</v>
      </c>
      <c r="AC299" s="357">
        <f t="shared" si="213"/>
        <v>497.787610619469</v>
      </c>
      <c r="AD299" s="357">
        <f t="shared" si="213"/>
        <v>331.858407079646</v>
      </c>
      <c r="AE299" s="357">
        <f t="shared" si="213"/>
        <v>165.929203539823</v>
      </c>
      <c r="AF299" s="357">
        <f t="shared" si="213"/>
        <v>0</v>
      </c>
      <c r="AG299" s="357">
        <f t="shared" si="213"/>
        <v>1161.50442477876</v>
      </c>
      <c r="AH299" s="357">
        <f t="shared" si="213"/>
        <v>995.575221238938</v>
      </c>
      <c r="AI299" s="357">
        <f t="shared" si="213"/>
        <v>829.646017699115</v>
      </c>
      <c r="AJ299" s="357">
        <f t="shared" si="213"/>
        <v>663.716814159292</v>
      </c>
      <c r="AK299" s="357">
        <f t="shared" si="213"/>
        <v>497.787610619469</v>
      </c>
      <c r="AL299" s="357">
        <f t="shared" si="213"/>
        <v>331.858407079646</v>
      </c>
      <c r="AM299" s="357">
        <f t="shared" si="213"/>
        <v>165.929203539823</v>
      </c>
      <c r="AN299" s="357">
        <f t="shared" si="213"/>
        <v>0</v>
      </c>
      <c r="AO299" s="357">
        <f t="shared" si="213"/>
        <v>1161.50442477876</v>
      </c>
      <c r="AP299" s="357">
        <f t="shared" si="213"/>
        <v>995.575221238938</v>
      </c>
      <c r="AQ299" s="357">
        <f t="shared" si="213"/>
        <v>829.646017699115</v>
      </c>
      <c r="AR299" s="357">
        <f t="shared" si="213"/>
        <v>663.716814159292</v>
      </c>
      <c r="AS299" s="357">
        <f t="shared" si="213"/>
        <v>497.787610619469</v>
      </c>
      <c r="AT299" s="357">
        <f t="shared" si="213"/>
        <v>331.858407079646</v>
      </c>
      <c r="AU299" s="357">
        <f t="shared" si="213"/>
        <v>165.929203539823</v>
      </c>
      <c r="AV299" s="357">
        <f t="shared" si="213"/>
        <v>0</v>
      </c>
      <c r="AW299" s="357">
        <f t="shared" si="213"/>
        <v>1106.19469026549</v>
      </c>
      <c r="AX299" s="357">
        <f t="shared" si="213"/>
        <v>884.955752212389</v>
      </c>
      <c r="AY299" s="357">
        <f t="shared" si="213"/>
        <v>663.716814159292</v>
      </c>
      <c r="AZ299" s="357">
        <f t="shared" si="213"/>
        <v>442.477876106195</v>
      </c>
      <c r="BA299" s="359">
        <f t="shared" si="213"/>
        <v>221.238938053097</v>
      </c>
    </row>
    <row r="300" s="105" customFormat="1" spans="2:53">
      <c r="B300" s="432"/>
      <c r="C300" s="133" t="s">
        <v>736</v>
      </c>
      <c r="D300" s="366">
        <f>SUM(F300:BA300)</f>
        <v>5309.73451327434</v>
      </c>
      <c r="E300" s="367" t="s">
        <v>130</v>
      </c>
      <c r="F300" s="366">
        <f t="shared" ref="F300:BA300" si="214">F178</f>
        <v>0</v>
      </c>
      <c r="G300" s="366">
        <f t="shared" si="214"/>
        <v>0</v>
      </c>
      <c r="H300" s="366">
        <f t="shared" si="214"/>
        <v>0</v>
      </c>
      <c r="I300" s="366">
        <f t="shared" si="214"/>
        <v>0</v>
      </c>
      <c r="J300" s="366">
        <f t="shared" si="214"/>
        <v>0</v>
      </c>
      <c r="K300" s="366">
        <f t="shared" si="214"/>
        <v>0</v>
      </c>
      <c r="L300" s="366">
        <f t="shared" si="214"/>
        <v>0</v>
      </c>
      <c r="M300" s="366">
        <f t="shared" si="214"/>
        <v>0</v>
      </c>
      <c r="N300" s="366">
        <f t="shared" si="214"/>
        <v>0</v>
      </c>
      <c r="O300" s="366">
        <f t="shared" si="214"/>
        <v>0</v>
      </c>
      <c r="P300" s="366">
        <f t="shared" si="214"/>
        <v>0</v>
      </c>
      <c r="Q300" s="366">
        <f t="shared" si="214"/>
        <v>0</v>
      </c>
      <c r="R300" s="366">
        <f t="shared" si="214"/>
        <v>0</v>
      </c>
      <c r="S300" s="366">
        <f t="shared" si="214"/>
        <v>0</v>
      </c>
      <c r="T300" s="366">
        <f t="shared" si="214"/>
        <v>0</v>
      </c>
      <c r="U300" s="366">
        <f t="shared" si="214"/>
        <v>0</v>
      </c>
      <c r="V300" s="366">
        <f t="shared" si="214"/>
        <v>0</v>
      </c>
      <c r="W300" s="366">
        <f t="shared" si="214"/>
        <v>0</v>
      </c>
      <c r="X300" s="366">
        <f t="shared" si="214"/>
        <v>1327.43362831858</v>
      </c>
      <c r="Y300" s="366">
        <f t="shared" si="214"/>
        <v>0</v>
      </c>
      <c r="Z300" s="366">
        <f t="shared" si="214"/>
        <v>0</v>
      </c>
      <c r="AA300" s="366">
        <f t="shared" si="214"/>
        <v>0</v>
      </c>
      <c r="AB300" s="366">
        <f t="shared" si="214"/>
        <v>0</v>
      </c>
      <c r="AC300" s="366">
        <f t="shared" si="214"/>
        <v>0</v>
      </c>
      <c r="AD300" s="366">
        <f t="shared" si="214"/>
        <v>0</v>
      </c>
      <c r="AE300" s="366">
        <f t="shared" si="214"/>
        <v>0</v>
      </c>
      <c r="AF300" s="366">
        <f t="shared" si="214"/>
        <v>1327.43362831858</v>
      </c>
      <c r="AG300" s="366">
        <f t="shared" si="214"/>
        <v>0</v>
      </c>
      <c r="AH300" s="366">
        <f t="shared" si="214"/>
        <v>0</v>
      </c>
      <c r="AI300" s="366">
        <f t="shared" si="214"/>
        <v>0</v>
      </c>
      <c r="AJ300" s="366">
        <f t="shared" si="214"/>
        <v>0</v>
      </c>
      <c r="AK300" s="366">
        <f t="shared" si="214"/>
        <v>0</v>
      </c>
      <c r="AL300" s="366">
        <f t="shared" si="214"/>
        <v>0</v>
      </c>
      <c r="AM300" s="366">
        <f t="shared" si="214"/>
        <v>0</v>
      </c>
      <c r="AN300" s="366">
        <f t="shared" si="214"/>
        <v>1327.43362831858</v>
      </c>
      <c r="AO300" s="366">
        <f t="shared" si="214"/>
        <v>0</v>
      </c>
      <c r="AP300" s="366">
        <f t="shared" si="214"/>
        <v>0</v>
      </c>
      <c r="AQ300" s="366">
        <f t="shared" si="214"/>
        <v>0</v>
      </c>
      <c r="AR300" s="366">
        <f t="shared" si="214"/>
        <v>0</v>
      </c>
      <c r="AS300" s="366">
        <f t="shared" si="214"/>
        <v>0</v>
      </c>
      <c r="AT300" s="366">
        <f t="shared" si="214"/>
        <v>0</v>
      </c>
      <c r="AU300" s="366">
        <f t="shared" si="214"/>
        <v>0</v>
      </c>
      <c r="AV300" s="366">
        <f t="shared" si="214"/>
        <v>1327.43362831858</v>
      </c>
      <c r="AW300" s="366">
        <f t="shared" si="214"/>
        <v>0</v>
      </c>
      <c r="AX300" s="366">
        <f t="shared" si="214"/>
        <v>0</v>
      </c>
      <c r="AY300" s="366">
        <f t="shared" si="214"/>
        <v>0</v>
      </c>
      <c r="AZ300" s="366">
        <f t="shared" si="214"/>
        <v>0</v>
      </c>
      <c r="BA300" s="385">
        <f t="shared" si="214"/>
        <v>0</v>
      </c>
    </row>
    <row r="301" s="105" customFormat="1" spans="2:53">
      <c r="B301" s="432"/>
      <c r="C301" s="370" t="s">
        <v>737</v>
      </c>
      <c r="D301" s="371">
        <f>SUM(F301:BA301)</f>
        <v>5309.73451327434</v>
      </c>
      <c r="E301" s="367" t="s">
        <v>130</v>
      </c>
      <c r="F301" s="371">
        <f t="shared" ref="F301:BA301" si="215">F179</f>
        <v>0</v>
      </c>
      <c r="G301" s="371">
        <f t="shared" si="215"/>
        <v>0</v>
      </c>
      <c r="H301" s="371">
        <f t="shared" si="215"/>
        <v>0</v>
      </c>
      <c r="I301" s="371">
        <f t="shared" si="215"/>
        <v>0</v>
      </c>
      <c r="J301" s="371">
        <f t="shared" si="215"/>
        <v>0</v>
      </c>
      <c r="K301" s="371">
        <f t="shared" si="215"/>
        <v>0</v>
      </c>
      <c r="L301" s="371">
        <f t="shared" si="215"/>
        <v>0</v>
      </c>
      <c r="M301" s="371">
        <f t="shared" si="215"/>
        <v>0</v>
      </c>
      <c r="N301" s="371">
        <f t="shared" si="215"/>
        <v>0</v>
      </c>
      <c r="O301" s="371">
        <f t="shared" si="215"/>
        <v>0</v>
      </c>
      <c r="P301" s="371">
        <f t="shared" si="215"/>
        <v>0</v>
      </c>
      <c r="Q301" s="371">
        <f t="shared" si="215"/>
        <v>0</v>
      </c>
      <c r="R301" s="371">
        <f t="shared" si="215"/>
        <v>0</v>
      </c>
      <c r="S301" s="371">
        <f t="shared" si="215"/>
        <v>0</v>
      </c>
      <c r="T301" s="371">
        <f t="shared" si="215"/>
        <v>0</v>
      </c>
      <c r="U301" s="371">
        <f t="shared" si="215"/>
        <v>0</v>
      </c>
      <c r="V301" s="371">
        <f t="shared" si="215"/>
        <v>0</v>
      </c>
      <c r="W301" s="371">
        <f t="shared" si="215"/>
        <v>0</v>
      </c>
      <c r="X301" s="371">
        <f t="shared" si="215"/>
        <v>165.929203539823</v>
      </c>
      <c r="Y301" s="371">
        <f t="shared" si="215"/>
        <v>165.929203539823</v>
      </c>
      <c r="Z301" s="371">
        <f t="shared" si="215"/>
        <v>165.929203539823</v>
      </c>
      <c r="AA301" s="371">
        <f t="shared" si="215"/>
        <v>165.929203539823</v>
      </c>
      <c r="AB301" s="371">
        <f t="shared" si="215"/>
        <v>165.929203539823</v>
      </c>
      <c r="AC301" s="371">
        <f t="shared" si="215"/>
        <v>165.929203539823</v>
      </c>
      <c r="AD301" s="371">
        <f t="shared" si="215"/>
        <v>165.929203539823</v>
      </c>
      <c r="AE301" s="371">
        <f t="shared" si="215"/>
        <v>165.929203539823</v>
      </c>
      <c r="AF301" s="371">
        <f t="shared" si="215"/>
        <v>165.929203539823</v>
      </c>
      <c r="AG301" s="371">
        <f t="shared" si="215"/>
        <v>165.929203539823</v>
      </c>
      <c r="AH301" s="371">
        <f t="shared" si="215"/>
        <v>165.929203539823</v>
      </c>
      <c r="AI301" s="371">
        <f t="shared" si="215"/>
        <v>165.929203539823</v>
      </c>
      <c r="AJ301" s="371">
        <f t="shared" si="215"/>
        <v>165.929203539823</v>
      </c>
      <c r="AK301" s="371">
        <f t="shared" si="215"/>
        <v>165.929203539823</v>
      </c>
      <c r="AL301" s="371">
        <f t="shared" si="215"/>
        <v>165.929203539823</v>
      </c>
      <c r="AM301" s="371">
        <f t="shared" si="215"/>
        <v>165.929203539823</v>
      </c>
      <c r="AN301" s="371">
        <f t="shared" si="215"/>
        <v>165.929203539823</v>
      </c>
      <c r="AO301" s="371">
        <f t="shared" si="215"/>
        <v>165.929203539823</v>
      </c>
      <c r="AP301" s="371">
        <f t="shared" si="215"/>
        <v>165.929203539823</v>
      </c>
      <c r="AQ301" s="371">
        <f t="shared" si="215"/>
        <v>165.929203539823</v>
      </c>
      <c r="AR301" s="371">
        <f t="shared" si="215"/>
        <v>165.929203539823</v>
      </c>
      <c r="AS301" s="371">
        <f t="shared" si="215"/>
        <v>165.929203539823</v>
      </c>
      <c r="AT301" s="371">
        <f t="shared" si="215"/>
        <v>165.929203539823</v>
      </c>
      <c r="AU301" s="371">
        <f t="shared" si="215"/>
        <v>165.929203539823</v>
      </c>
      <c r="AV301" s="371">
        <f t="shared" si="215"/>
        <v>221.238938053097</v>
      </c>
      <c r="AW301" s="371">
        <f t="shared" si="215"/>
        <v>221.238938053097</v>
      </c>
      <c r="AX301" s="371">
        <f t="shared" si="215"/>
        <v>221.238938053097</v>
      </c>
      <c r="AY301" s="371">
        <f t="shared" si="215"/>
        <v>221.238938053097</v>
      </c>
      <c r="AZ301" s="371">
        <f t="shared" si="215"/>
        <v>221.238938053097</v>
      </c>
      <c r="BA301" s="386">
        <f t="shared" si="215"/>
        <v>221.238938053097</v>
      </c>
    </row>
    <row r="302" s="105" customFormat="1" ht="17.25" spans="2:53">
      <c r="B302" s="433"/>
      <c r="C302" s="390" t="s">
        <v>739</v>
      </c>
      <c r="D302" s="368"/>
      <c r="E302" s="391" t="s">
        <v>130</v>
      </c>
      <c r="F302" s="368">
        <f t="shared" ref="F302:BA302" si="216">F229</f>
        <v>0</v>
      </c>
      <c r="G302" s="368">
        <f t="shared" si="216"/>
        <v>0</v>
      </c>
      <c r="H302" s="368">
        <f t="shared" si="216"/>
        <v>0</v>
      </c>
      <c r="I302" s="368">
        <f t="shared" si="216"/>
        <v>0</v>
      </c>
      <c r="J302" s="368">
        <f t="shared" si="216"/>
        <v>0</v>
      </c>
      <c r="K302" s="368">
        <f t="shared" si="216"/>
        <v>0</v>
      </c>
      <c r="L302" s="368">
        <f t="shared" si="216"/>
        <v>0</v>
      </c>
      <c r="M302" s="368">
        <f t="shared" si="216"/>
        <v>0</v>
      </c>
      <c r="N302" s="368">
        <f t="shared" si="216"/>
        <v>0</v>
      </c>
      <c r="O302" s="368">
        <f t="shared" si="216"/>
        <v>0</v>
      </c>
      <c r="P302" s="368">
        <f t="shared" si="216"/>
        <v>0</v>
      </c>
      <c r="Q302" s="368">
        <f t="shared" si="216"/>
        <v>0</v>
      </c>
      <c r="R302" s="368">
        <f t="shared" si="216"/>
        <v>0</v>
      </c>
      <c r="S302" s="368">
        <f t="shared" si="216"/>
        <v>0</v>
      </c>
      <c r="T302" s="368">
        <f t="shared" si="216"/>
        <v>0</v>
      </c>
      <c r="U302" s="368">
        <f t="shared" si="216"/>
        <v>0</v>
      </c>
      <c r="V302" s="368">
        <f t="shared" si="216"/>
        <v>0</v>
      </c>
      <c r="W302" s="368">
        <f t="shared" si="216"/>
        <v>0</v>
      </c>
      <c r="X302" s="368">
        <f t="shared" si="216"/>
        <v>1161.50442477876</v>
      </c>
      <c r="Y302" s="368">
        <f t="shared" si="216"/>
        <v>995.575221238938</v>
      </c>
      <c r="Z302" s="368">
        <f t="shared" si="216"/>
        <v>829.646017699115</v>
      </c>
      <c r="AA302" s="368">
        <f t="shared" si="216"/>
        <v>663.716814159292</v>
      </c>
      <c r="AB302" s="368">
        <f t="shared" si="216"/>
        <v>497.787610619469</v>
      </c>
      <c r="AC302" s="368">
        <f t="shared" si="216"/>
        <v>331.858407079646</v>
      </c>
      <c r="AD302" s="368">
        <f t="shared" si="216"/>
        <v>165.929203539823</v>
      </c>
      <c r="AE302" s="368">
        <f t="shared" si="216"/>
        <v>0</v>
      </c>
      <c r="AF302" s="368">
        <f t="shared" si="216"/>
        <v>1161.50442477876</v>
      </c>
      <c r="AG302" s="368">
        <f t="shared" si="216"/>
        <v>995.575221238938</v>
      </c>
      <c r="AH302" s="368">
        <f t="shared" si="216"/>
        <v>829.646017699115</v>
      </c>
      <c r="AI302" s="368">
        <f t="shared" si="216"/>
        <v>663.716814159292</v>
      </c>
      <c r="AJ302" s="368">
        <f t="shared" si="216"/>
        <v>497.787610619469</v>
      </c>
      <c r="AK302" s="368">
        <f t="shared" si="216"/>
        <v>331.858407079646</v>
      </c>
      <c r="AL302" s="368">
        <f t="shared" si="216"/>
        <v>165.929203539823</v>
      </c>
      <c r="AM302" s="368">
        <f t="shared" si="216"/>
        <v>0</v>
      </c>
      <c r="AN302" s="368">
        <f t="shared" si="216"/>
        <v>1161.50442477876</v>
      </c>
      <c r="AO302" s="368">
        <f t="shared" si="216"/>
        <v>995.575221238938</v>
      </c>
      <c r="AP302" s="368">
        <f t="shared" si="216"/>
        <v>829.646017699115</v>
      </c>
      <c r="AQ302" s="368">
        <f t="shared" si="216"/>
        <v>663.716814159292</v>
      </c>
      <c r="AR302" s="368">
        <f t="shared" si="216"/>
        <v>497.787610619469</v>
      </c>
      <c r="AS302" s="368">
        <f t="shared" si="216"/>
        <v>331.858407079646</v>
      </c>
      <c r="AT302" s="368">
        <f t="shared" si="216"/>
        <v>165.929203539823</v>
      </c>
      <c r="AU302" s="368">
        <f t="shared" si="216"/>
        <v>0</v>
      </c>
      <c r="AV302" s="368">
        <f t="shared" si="216"/>
        <v>1106.19469026549</v>
      </c>
      <c r="AW302" s="368">
        <f t="shared" si="216"/>
        <v>884.955752212389</v>
      </c>
      <c r="AX302" s="368">
        <f t="shared" si="216"/>
        <v>663.716814159292</v>
      </c>
      <c r="AY302" s="368">
        <f t="shared" si="216"/>
        <v>442.477876106195</v>
      </c>
      <c r="AZ302" s="368">
        <f t="shared" si="216"/>
        <v>221.238938053097</v>
      </c>
      <c r="BA302" s="369">
        <f t="shared" si="216"/>
        <v>0</v>
      </c>
    </row>
    <row r="303" s="105" customFormat="1" spans="2:53">
      <c r="B303" s="410">
        <v>6</v>
      </c>
      <c r="C303" s="411" t="s">
        <v>754</v>
      </c>
      <c r="D303" s="412">
        <f ca="1">SUM(F303:BA303)</f>
        <v>816732.519212603</v>
      </c>
      <c r="E303" s="358" t="s">
        <v>130</v>
      </c>
      <c r="F303" s="413">
        <f ca="1">F251+F262+F273+F282+F288+F297+F301</f>
        <v>0</v>
      </c>
      <c r="G303" s="413">
        <f ca="1" t="shared" ref="G303:BA303" si="217">G251+G262+G273+G282+G288+G297+G301</f>
        <v>0</v>
      </c>
      <c r="H303" s="413">
        <f ca="1" t="shared" si="217"/>
        <v>0</v>
      </c>
      <c r="I303" s="413">
        <f ca="1" t="shared" si="217"/>
        <v>0</v>
      </c>
      <c r="J303" s="413">
        <f ca="1" t="shared" si="217"/>
        <v>0</v>
      </c>
      <c r="K303" s="413">
        <f ca="1" t="shared" si="217"/>
        <v>0</v>
      </c>
      <c r="L303" s="413">
        <f ca="1" t="shared" si="217"/>
        <v>0</v>
      </c>
      <c r="M303" s="413">
        <f ca="1" t="shared" si="217"/>
        <v>11218.5763967984</v>
      </c>
      <c r="N303" s="413">
        <f ca="1" t="shared" si="217"/>
        <v>28588.8264715822</v>
      </c>
      <c r="O303" s="413">
        <f ca="1" t="shared" si="217"/>
        <v>28126.3264715822</v>
      </c>
      <c r="P303" s="413">
        <f ca="1" t="shared" si="217"/>
        <v>28126.3264715822</v>
      </c>
      <c r="Q303" s="413">
        <f ca="1" t="shared" si="217"/>
        <v>28126.3264715822</v>
      </c>
      <c r="R303" s="413">
        <f ca="1" t="shared" si="217"/>
        <v>28126.3264715822</v>
      </c>
      <c r="S303" s="413">
        <f ca="1" t="shared" si="217"/>
        <v>28126.3264715822</v>
      </c>
      <c r="T303" s="413">
        <f ca="1" t="shared" si="217"/>
        <v>28126.3264715822</v>
      </c>
      <c r="U303" s="413">
        <f ca="1" t="shared" si="217"/>
        <v>28126.3264715822</v>
      </c>
      <c r="V303" s="413">
        <f ca="1" t="shared" si="217"/>
        <v>28126.3264715822</v>
      </c>
      <c r="W303" s="413">
        <f ca="1" t="shared" si="217"/>
        <v>28126.3264715822</v>
      </c>
      <c r="X303" s="413">
        <f ca="1" t="shared" si="217"/>
        <v>28292.255675122</v>
      </c>
      <c r="Y303" s="413">
        <f ca="1" t="shared" si="217"/>
        <v>29902.1180604431</v>
      </c>
      <c r="Z303" s="413">
        <f ca="1" t="shared" si="217"/>
        <v>29587.1180604431</v>
      </c>
      <c r="AA303" s="413">
        <f ca="1" t="shared" si="217"/>
        <v>29587.1180604431</v>
      </c>
      <c r="AB303" s="413">
        <f ca="1" t="shared" si="217"/>
        <v>29587.1180604431</v>
      </c>
      <c r="AC303" s="413">
        <f ca="1" t="shared" si="217"/>
        <v>29587.1180604431</v>
      </c>
      <c r="AD303" s="413">
        <f ca="1" t="shared" si="217"/>
        <v>29587.1180604431</v>
      </c>
      <c r="AE303" s="413">
        <f ca="1" t="shared" si="217"/>
        <v>27827.8588011838</v>
      </c>
      <c r="AF303" s="413">
        <f ca="1" t="shared" si="217"/>
        <v>25364.8958382209</v>
      </c>
      <c r="AG303" s="413">
        <f ca="1" t="shared" si="217"/>
        <v>25127.3958382209</v>
      </c>
      <c r="AH303" s="413">
        <f ca="1" t="shared" si="217"/>
        <v>24794.8958382209</v>
      </c>
      <c r="AI303" s="413">
        <f ca="1" t="shared" si="217"/>
        <v>24794.8958382209</v>
      </c>
      <c r="AJ303" s="413">
        <f ca="1" t="shared" si="217"/>
        <v>24794.8958382209</v>
      </c>
      <c r="AK303" s="413">
        <f ca="1" t="shared" si="217"/>
        <v>24794.8958382209</v>
      </c>
      <c r="AL303" s="413">
        <f ca="1" t="shared" si="217"/>
        <v>24794.8958382209</v>
      </c>
      <c r="AM303" s="413">
        <f ca="1" t="shared" si="217"/>
        <v>24794.8958382209</v>
      </c>
      <c r="AN303" s="413">
        <f ca="1" t="shared" si="217"/>
        <v>24794.8958382209</v>
      </c>
      <c r="AO303" s="413">
        <f ca="1" t="shared" si="217"/>
        <v>24794.8958382209</v>
      </c>
      <c r="AP303" s="413">
        <f ca="1" t="shared" si="217"/>
        <v>15335.5787006818</v>
      </c>
      <c r="AQ303" s="413">
        <f ca="1" t="shared" si="217"/>
        <v>2092.53470812698</v>
      </c>
      <c r="AR303" s="413">
        <f ca="1" t="shared" si="217"/>
        <v>2092.53470812698</v>
      </c>
      <c r="AS303" s="413">
        <f ca="1" t="shared" si="217"/>
        <v>2296.40830649599</v>
      </c>
      <c r="AT303" s="413">
        <f ca="1" t="shared" si="217"/>
        <v>2296.40830649599</v>
      </c>
      <c r="AU303" s="413">
        <f ca="1" t="shared" si="217"/>
        <v>2296.40830649599</v>
      </c>
      <c r="AV303" s="413">
        <f ca="1" t="shared" si="217"/>
        <v>2351.71804100926</v>
      </c>
      <c r="AW303" s="413">
        <f ca="1" t="shared" si="217"/>
        <v>2351.71804100926</v>
      </c>
      <c r="AX303" s="413">
        <f ca="1" t="shared" si="217"/>
        <v>2351.71804100926</v>
      </c>
      <c r="AY303" s="413">
        <f ca="1" t="shared" si="217"/>
        <v>2504.62323978602</v>
      </c>
      <c r="AZ303" s="413">
        <f ca="1" t="shared" si="217"/>
        <v>2504.62323978602</v>
      </c>
      <c r="BA303" s="434">
        <f ca="1" t="shared" si="217"/>
        <v>2504.62323978602</v>
      </c>
    </row>
    <row r="304" s="105" customFormat="1" ht="17.25" spans="2:53">
      <c r="B304" s="409">
        <v>7</v>
      </c>
      <c r="C304" s="414" t="s">
        <v>755</v>
      </c>
      <c r="D304" s="415"/>
      <c r="E304" s="416" t="s">
        <v>130</v>
      </c>
      <c r="F304" s="435">
        <f ca="1">F257+F268+F279+F283+F294+F298+F302</f>
        <v>0</v>
      </c>
      <c r="G304" s="435">
        <f ca="1" t="shared" ref="G304:BA304" si="218">G257+G268+G279+G283+G294+G298+G302</f>
        <v>0</v>
      </c>
      <c r="H304" s="435">
        <f ca="1" t="shared" si="218"/>
        <v>0</v>
      </c>
      <c r="I304" s="435">
        <f ca="1" t="shared" si="218"/>
        <v>0</v>
      </c>
      <c r="J304" s="435">
        <f ca="1" t="shared" si="218"/>
        <v>0</v>
      </c>
      <c r="K304" s="435">
        <f ca="1" t="shared" si="218"/>
        <v>0</v>
      </c>
      <c r="L304" s="435">
        <f ca="1" t="shared" si="218"/>
        <v>0</v>
      </c>
      <c r="M304" s="435">
        <f ca="1" t="shared" si="218"/>
        <v>781000.868627122</v>
      </c>
      <c r="N304" s="435">
        <f ca="1" t="shared" si="218"/>
        <v>752870.75775187</v>
      </c>
      <c r="O304" s="435">
        <f ca="1" t="shared" si="218"/>
        <v>724744.431280287</v>
      </c>
      <c r="P304" s="435">
        <f ca="1" t="shared" si="218"/>
        <v>696618.104808705</v>
      </c>
      <c r="Q304" s="435">
        <f ca="1" t="shared" si="218"/>
        <v>668491.778337123</v>
      </c>
      <c r="R304" s="435">
        <f ca="1" t="shared" si="218"/>
        <v>640365.451865541</v>
      </c>
      <c r="S304" s="435">
        <f ca="1" t="shared" si="218"/>
        <v>612697.840990289</v>
      </c>
      <c r="T304" s="435">
        <f ca="1" t="shared" si="218"/>
        <v>584571.514518706</v>
      </c>
      <c r="U304" s="435">
        <f ca="1" t="shared" si="218"/>
        <v>556445.188047125</v>
      </c>
      <c r="V304" s="435">
        <f ca="1" t="shared" si="218"/>
        <v>528318.861575543</v>
      </c>
      <c r="W304" s="435">
        <f ca="1" t="shared" si="218"/>
        <v>500192.535103961</v>
      </c>
      <c r="X304" s="435">
        <f ca="1" t="shared" si="218"/>
        <v>473686.428653487</v>
      </c>
      <c r="Y304" s="435">
        <f ca="1" t="shared" si="218"/>
        <v>462132.934446255</v>
      </c>
      <c r="Z304" s="435">
        <f ca="1" t="shared" si="218"/>
        <v>432545.816385812</v>
      </c>
      <c r="AA304" s="435">
        <f ca="1" t="shared" si="218"/>
        <v>402958.698325369</v>
      </c>
      <c r="AB304" s="435">
        <f ca="1" t="shared" si="218"/>
        <v>373371.580264925</v>
      </c>
      <c r="AC304" s="435">
        <f ca="1" t="shared" si="218"/>
        <v>344243.177800813</v>
      </c>
      <c r="AD304" s="435">
        <f ca="1" t="shared" si="218"/>
        <v>314656.059740369</v>
      </c>
      <c r="AE304" s="435">
        <f ca="1" t="shared" si="218"/>
        <v>286828.200939185</v>
      </c>
      <c r="AF304" s="435">
        <f ca="1" t="shared" si="218"/>
        <v>262790.738729283</v>
      </c>
      <c r="AG304" s="435">
        <f ca="1" t="shared" si="218"/>
        <v>237663.342891062</v>
      </c>
      <c r="AH304" s="435">
        <f ca="1" t="shared" si="218"/>
        <v>213327.162649172</v>
      </c>
      <c r="AI304" s="435">
        <f ca="1" t="shared" si="218"/>
        <v>206880.890664162</v>
      </c>
      <c r="AJ304" s="435">
        <f ca="1" t="shared" si="218"/>
        <v>182085.994825941</v>
      </c>
      <c r="AK304" s="435">
        <f ca="1" t="shared" si="218"/>
        <v>157291.09898772</v>
      </c>
      <c r="AL304" s="435">
        <f ca="1" t="shared" si="218"/>
        <v>132496.203149499</v>
      </c>
      <c r="AM304" s="435">
        <f ca="1" t="shared" si="218"/>
        <v>108160.022907609</v>
      </c>
      <c r="AN304" s="435">
        <f ca="1" t="shared" si="218"/>
        <v>84692.5606977063</v>
      </c>
      <c r="AO304" s="435">
        <f ca="1" t="shared" si="218"/>
        <v>59897.6648594854</v>
      </c>
      <c r="AP304" s="435">
        <f ca="1" t="shared" si="218"/>
        <v>44562.0861588037</v>
      </c>
      <c r="AQ304" s="435">
        <f ca="1" t="shared" si="218"/>
        <v>42469.5514506767</v>
      </c>
      <c r="AR304" s="435">
        <f ca="1" t="shared" si="218"/>
        <v>40835.73233888</v>
      </c>
      <c r="AS304" s="435">
        <f ca="1" t="shared" si="218"/>
        <v>56887.947885595</v>
      </c>
      <c r="AT304" s="435">
        <f ca="1" t="shared" si="218"/>
        <v>54591.5395790991</v>
      </c>
      <c r="AU304" s="435">
        <f ca="1" t="shared" si="218"/>
        <v>52295.1312726031</v>
      </c>
      <c r="AV304" s="435">
        <f ca="1" t="shared" si="218"/>
        <v>51270.8468599124</v>
      </c>
      <c r="AW304" s="435">
        <f ca="1" t="shared" si="218"/>
        <v>49377.8444152334</v>
      </c>
      <c r="AX304" s="435">
        <f ca="1" t="shared" si="218"/>
        <v>47026.1263742241</v>
      </c>
      <c r="AY304" s="435">
        <f ca="1" t="shared" si="218"/>
        <v>44980.2187307684</v>
      </c>
      <c r="AZ304" s="435">
        <f ca="1" t="shared" si="218"/>
        <v>42475.5954909823</v>
      </c>
      <c r="BA304" s="436">
        <f ca="1" t="shared" si="218"/>
        <v>39970.9722511963</v>
      </c>
    </row>
  </sheetData>
  <mergeCells count="22">
    <mergeCell ref="B25:B26"/>
    <mergeCell ref="B28:B38"/>
    <mergeCell ref="B39:B49"/>
    <mergeCell ref="B50:B60"/>
    <mergeCell ref="B61:B112"/>
    <mergeCell ref="B113:B123"/>
    <mergeCell ref="B124:B176"/>
    <mergeCell ref="B177:B229"/>
    <mergeCell ref="B244:B245"/>
    <mergeCell ref="B246:B257"/>
    <mergeCell ref="B258:B268"/>
    <mergeCell ref="B269:B279"/>
    <mergeCell ref="B280:B283"/>
    <mergeCell ref="B284:B294"/>
    <mergeCell ref="B295:B298"/>
    <mergeCell ref="B299:B302"/>
    <mergeCell ref="C25:C26"/>
    <mergeCell ref="C244:C245"/>
    <mergeCell ref="D25:D26"/>
    <mergeCell ref="D244:D245"/>
    <mergeCell ref="E25:E26"/>
    <mergeCell ref="E244:E245"/>
  </mergeCells>
  <conditionalFormatting sqref="F125:BA125">
    <cfRule type="cellIs" dxfId="1" priority="2" operator="greaterThan">
      <formula>0</formula>
    </cfRule>
  </conditionalFormatting>
  <conditionalFormatting sqref="F296:BA296">
    <cfRule type="cellIs" dxfId="1" priority="1" operator="greaterThan">
      <formula>0</formula>
    </cfRule>
  </conditionalFormatting>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1:BA93"/>
  <sheetViews>
    <sheetView showGridLines="0" zoomScale="70" zoomScaleNormal="70" workbookViewId="0">
      <pane xSplit="4" ySplit="4" topLeftCell="E28" activePane="bottomRight" state="frozen"/>
      <selection/>
      <selection pane="topRight"/>
      <selection pane="bottomLeft"/>
      <selection pane="bottomRight" activeCell="R34" sqref="R34"/>
    </sheetView>
  </sheetViews>
  <sheetFormatPr defaultColWidth="8.78181818181818" defaultRowHeight="16.5"/>
  <cols>
    <col min="1" max="1" width="4.44545454545455" style="106" customWidth="1"/>
    <col min="2" max="2" width="8.78181818181818" style="106"/>
    <col min="3" max="3" width="46.7818181818182" style="106" customWidth="1"/>
    <col min="4" max="4" width="17.6636363636364" style="106" customWidth="1"/>
    <col min="5" max="5" width="8.78181818181818" style="106"/>
    <col min="6" max="7" width="13.6363636363636" style="106" customWidth="1"/>
    <col min="8" max="8" width="12.9818181818182" style="106" customWidth="1"/>
    <col min="9" max="9" width="13.3818181818182" style="106" customWidth="1"/>
    <col min="10" max="10" width="13.1090909090909" style="106" customWidth="1"/>
    <col min="11" max="11" width="12.8545454545455" style="106" customWidth="1"/>
    <col min="12" max="12" width="13.1181818181818" style="106" customWidth="1"/>
    <col min="13" max="13" width="16.6181818181818" style="106" customWidth="1"/>
    <col min="14" max="27" width="13.2545454545455" style="106" customWidth="1"/>
    <col min="28" max="53" width="11.8727272727273" style="106" customWidth="1"/>
    <col min="54" max="16384" width="8.78181818181818" style="106"/>
  </cols>
  <sheetData>
    <row r="1" ht="9" customHeight="1"/>
    <row r="2" ht="18.45" customHeight="1" spans="2:53">
      <c r="B2" s="107" t="s">
        <v>756</v>
      </c>
    </row>
    <row r="3" spans="2:53">
      <c r="B3" s="108" t="s">
        <v>2</v>
      </c>
      <c r="C3" s="10" t="s">
        <v>430</v>
      </c>
      <c r="D3" s="10" t="s">
        <v>491</v>
      </c>
      <c r="E3" s="10" t="s">
        <v>9</v>
      </c>
      <c r="F3" s="11">
        <v>2023</v>
      </c>
      <c r="G3" s="11">
        <v>2024</v>
      </c>
      <c r="H3" s="11">
        <v>2025</v>
      </c>
      <c r="I3" s="11">
        <v>2026</v>
      </c>
      <c r="J3" s="11">
        <v>2027</v>
      </c>
      <c r="K3" s="11">
        <v>2028</v>
      </c>
      <c r="L3" s="11">
        <v>2029</v>
      </c>
      <c r="M3" s="11">
        <v>2030</v>
      </c>
      <c r="N3" s="13">
        <v>2031</v>
      </c>
      <c r="O3" s="13">
        <v>2032</v>
      </c>
      <c r="P3" s="13">
        <v>2033</v>
      </c>
      <c r="Q3" s="13">
        <v>2034</v>
      </c>
      <c r="R3" s="13">
        <v>2035</v>
      </c>
      <c r="S3" s="13">
        <v>2036</v>
      </c>
      <c r="T3" s="13">
        <v>2037</v>
      </c>
      <c r="U3" s="13">
        <v>2038</v>
      </c>
      <c r="V3" s="13">
        <v>2039</v>
      </c>
      <c r="W3" s="13">
        <v>2040</v>
      </c>
      <c r="X3" s="13">
        <v>2041</v>
      </c>
      <c r="Y3" s="13">
        <v>2042</v>
      </c>
      <c r="Z3" s="13">
        <v>2043</v>
      </c>
      <c r="AA3" s="13">
        <v>2044</v>
      </c>
      <c r="AB3" s="13">
        <v>2045</v>
      </c>
      <c r="AC3" s="13">
        <v>2046</v>
      </c>
      <c r="AD3" s="13">
        <v>2047</v>
      </c>
      <c r="AE3" s="13">
        <v>2048</v>
      </c>
      <c r="AF3" s="13">
        <v>2049</v>
      </c>
      <c r="AG3" s="13">
        <v>2050</v>
      </c>
      <c r="AH3" s="13">
        <v>2051</v>
      </c>
      <c r="AI3" s="13">
        <v>2052</v>
      </c>
      <c r="AJ3" s="13">
        <v>2053</v>
      </c>
      <c r="AK3" s="13">
        <v>2054</v>
      </c>
      <c r="AL3" s="13">
        <v>2055</v>
      </c>
      <c r="AM3" s="13">
        <v>2056</v>
      </c>
      <c r="AN3" s="13">
        <v>2057</v>
      </c>
      <c r="AO3" s="13">
        <v>2058</v>
      </c>
      <c r="AP3" s="13">
        <v>2059</v>
      </c>
      <c r="AQ3" s="13">
        <v>2060</v>
      </c>
      <c r="AR3" s="13">
        <v>2061</v>
      </c>
      <c r="AS3" s="13">
        <v>2062</v>
      </c>
      <c r="AT3" s="13">
        <v>2063</v>
      </c>
      <c r="AU3" s="13">
        <v>2064</v>
      </c>
      <c r="AV3" s="13">
        <v>2065</v>
      </c>
      <c r="AW3" s="13">
        <v>2066</v>
      </c>
      <c r="AX3" s="13">
        <v>2067</v>
      </c>
      <c r="AY3" s="13">
        <v>2068</v>
      </c>
      <c r="AZ3" s="13">
        <v>2069</v>
      </c>
      <c r="BA3" s="14">
        <v>2070</v>
      </c>
    </row>
    <row r="4" spans="2:53">
      <c r="B4" s="115"/>
      <c r="C4" s="17"/>
      <c r="D4" s="17"/>
      <c r="E4" s="17"/>
      <c r="F4" s="18">
        <v>1</v>
      </c>
      <c r="G4" s="18">
        <v>2</v>
      </c>
      <c r="H4" s="18">
        <v>3</v>
      </c>
      <c r="I4" s="18">
        <v>4</v>
      </c>
      <c r="J4" s="18">
        <v>5</v>
      </c>
      <c r="K4" s="18">
        <v>6</v>
      </c>
      <c r="L4" s="18">
        <v>7</v>
      </c>
      <c r="M4" s="18">
        <v>8</v>
      </c>
      <c r="N4" s="20">
        <v>9</v>
      </c>
      <c r="O4" s="20">
        <v>10</v>
      </c>
      <c r="P4" s="20">
        <v>11</v>
      </c>
      <c r="Q4" s="20">
        <v>12</v>
      </c>
      <c r="R4" s="20">
        <v>13</v>
      </c>
      <c r="S4" s="20">
        <v>14</v>
      </c>
      <c r="T4" s="20">
        <v>15</v>
      </c>
      <c r="U4" s="20">
        <v>16</v>
      </c>
      <c r="V4" s="20">
        <v>17</v>
      </c>
      <c r="W4" s="20">
        <v>18</v>
      </c>
      <c r="X4" s="20">
        <v>19</v>
      </c>
      <c r="Y4" s="20">
        <v>20</v>
      </c>
      <c r="Z4" s="20">
        <v>21</v>
      </c>
      <c r="AA4" s="20">
        <v>22</v>
      </c>
      <c r="AB4" s="20">
        <v>23</v>
      </c>
      <c r="AC4" s="20">
        <v>24</v>
      </c>
      <c r="AD4" s="20">
        <v>25</v>
      </c>
      <c r="AE4" s="20">
        <v>26</v>
      </c>
      <c r="AF4" s="20">
        <v>27</v>
      </c>
      <c r="AG4" s="20">
        <v>28</v>
      </c>
      <c r="AH4" s="20">
        <v>29</v>
      </c>
      <c r="AI4" s="20">
        <v>30</v>
      </c>
      <c r="AJ4" s="20">
        <v>31</v>
      </c>
      <c r="AK4" s="20">
        <v>32</v>
      </c>
      <c r="AL4" s="20">
        <v>33</v>
      </c>
      <c r="AM4" s="20">
        <v>34</v>
      </c>
      <c r="AN4" s="20">
        <v>35</v>
      </c>
      <c r="AO4" s="20">
        <v>36</v>
      </c>
      <c r="AP4" s="20">
        <v>37</v>
      </c>
      <c r="AQ4" s="20">
        <v>38</v>
      </c>
      <c r="AR4" s="20">
        <v>39</v>
      </c>
      <c r="AS4" s="20">
        <v>40</v>
      </c>
      <c r="AT4" s="20">
        <v>41</v>
      </c>
      <c r="AU4" s="20">
        <v>42</v>
      </c>
      <c r="AV4" s="20">
        <v>43</v>
      </c>
      <c r="AW4" s="20">
        <v>44</v>
      </c>
      <c r="AX4" s="20">
        <v>45</v>
      </c>
      <c r="AY4" s="20">
        <v>46</v>
      </c>
      <c r="AZ4" s="20">
        <v>47</v>
      </c>
      <c r="BA4" s="21">
        <v>48</v>
      </c>
    </row>
    <row r="5" spans="2:53">
      <c r="B5" s="213"/>
      <c r="C5" s="214" t="s">
        <v>349</v>
      </c>
      <c r="D5" s="214"/>
      <c r="E5" s="214"/>
      <c r="F5" s="215">
        <f>参数输入表!$I$47</f>
        <v>0</v>
      </c>
      <c r="G5" s="215">
        <f>参数输入表!$I$48</f>
        <v>0</v>
      </c>
      <c r="H5" s="215">
        <f>参数输入表!$I$49</f>
        <v>0</v>
      </c>
      <c r="I5" s="215">
        <f>参数输入表!$I$50</f>
        <v>0</v>
      </c>
      <c r="J5" s="215">
        <f>参数输入表!$I$51</f>
        <v>0</v>
      </c>
      <c r="K5" s="215">
        <f>参数输入表!$I$52</f>
        <v>0</v>
      </c>
      <c r="L5" s="215">
        <f>参数输入表!$I$53</f>
        <v>0</v>
      </c>
      <c r="M5" s="215">
        <f>参数输入表!$I$54</f>
        <v>0.416666666666667</v>
      </c>
      <c r="N5" s="215">
        <f>参数输入表!$I$55</f>
        <v>1</v>
      </c>
      <c r="O5" s="215">
        <f>参数输入表!$I$56</f>
        <v>1</v>
      </c>
      <c r="P5" s="215">
        <f>参数输入表!$I$57</f>
        <v>1</v>
      </c>
      <c r="Q5" s="215">
        <f>参数输入表!$I$58</f>
        <v>1</v>
      </c>
      <c r="R5" s="215">
        <f>参数输入表!$I$59</f>
        <v>1</v>
      </c>
      <c r="S5" s="215">
        <f>参数输入表!$I$60</f>
        <v>1</v>
      </c>
      <c r="T5" s="215">
        <f>参数输入表!$I$61</f>
        <v>1</v>
      </c>
      <c r="U5" s="215">
        <f>参数输入表!$I$62</f>
        <v>1</v>
      </c>
      <c r="V5" s="215">
        <f>参数输入表!$I$63</f>
        <v>1</v>
      </c>
      <c r="W5" s="215">
        <f>参数输入表!$I$64</f>
        <v>1</v>
      </c>
      <c r="X5" s="215">
        <f>参数输入表!$I$65</f>
        <v>1</v>
      </c>
      <c r="Y5" s="215">
        <f>参数输入表!$I$66</f>
        <v>1</v>
      </c>
      <c r="Z5" s="215">
        <f>参数输入表!$I$67</f>
        <v>1</v>
      </c>
      <c r="AA5" s="215">
        <f>参数输入表!$I$68</f>
        <v>1</v>
      </c>
      <c r="AB5" s="215">
        <f>参数输入表!$I$69</f>
        <v>1</v>
      </c>
      <c r="AC5" s="215">
        <f>参数输入表!$I$70</f>
        <v>1</v>
      </c>
      <c r="AD5" s="215">
        <f>参数输入表!$I$71</f>
        <v>1</v>
      </c>
      <c r="AE5" s="215">
        <f>参数输入表!$I$72</f>
        <v>1</v>
      </c>
      <c r="AF5" s="215">
        <f>参数输入表!$I$73</f>
        <v>1</v>
      </c>
      <c r="AG5" s="215">
        <f>参数输入表!$I$74</f>
        <v>1</v>
      </c>
      <c r="AH5" s="215">
        <f>参数输入表!$I$75</f>
        <v>1</v>
      </c>
      <c r="AI5" s="215">
        <f>参数输入表!$I$76</f>
        <v>1</v>
      </c>
      <c r="AJ5" s="215">
        <f>参数输入表!$I$77</f>
        <v>1</v>
      </c>
      <c r="AK5" s="215">
        <f>参数输入表!$I$78</f>
        <v>1</v>
      </c>
      <c r="AL5" s="215">
        <f>参数输入表!$I$79</f>
        <v>1</v>
      </c>
      <c r="AM5" s="215">
        <f>参数输入表!$I$80</f>
        <v>1</v>
      </c>
      <c r="AN5" s="215">
        <f>参数输入表!$I$81</f>
        <v>1</v>
      </c>
      <c r="AO5" s="215">
        <f>参数输入表!$I$82</f>
        <v>1</v>
      </c>
      <c r="AP5" s="215">
        <f>参数输入表!$I$83</f>
        <v>1</v>
      </c>
      <c r="AQ5" s="215">
        <f>参数输入表!$I$84</f>
        <v>1</v>
      </c>
      <c r="AR5" s="215">
        <f>参数输入表!$I$85</f>
        <v>1</v>
      </c>
      <c r="AS5" s="215">
        <f>参数输入表!$I$86</f>
        <v>1</v>
      </c>
      <c r="AT5" s="215">
        <f>参数输入表!$I$87</f>
        <v>1</v>
      </c>
      <c r="AU5" s="215">
        <f>参数输入表!$I$88</f>
        <v>1</v>
      </c>
      <c r="AV5" s="215">
        <f>参数输入表!$I$89</f>
        <v>1</v>
      </c>
      <c r="AW5" s="215">
        <f>参数输入表!$I$90</f>
        <v>1</v>
      </c>
      <c r="AX5" s="215">
        <f>参数输入表!$I$91</f>
        <v>1</v>
      </c>
      <c r="AY5" s="215">
        <f>参数输入表!$I$92</f>
        <v>1</v>
      </c>
      <c r="AZ5" s="215">
        <f>参数输入表!$I$93</f>
        <v>1</v>
      </c>
      <c r="BA5" s="216">
        <f>参数输入表!$I$94</f>
        <v>0.583333333333333</v>
      </c>
    </row>
    <row r="6" spans="2:53">
      <c r="B6" s="217" t="s">
        <v>675</v>
      </c>
      <c r="C6" s="218" t="s">
        <v>757</v>
      </c>
      <c r="D6" s="134">
        <f ca="1" t="shared" ref="D6:D10" si="0">SUM(F6:BA6)</f>
        <v>3797098.01480271</v>
      </c>
      <c r="E6" s="256" t="s">
        <v>130</v>
      </c>
      <c r="F6" s="134">
        <f ca="1">F7+F27+F28+F30+F31</f>
        <v>0</v>
      </c>
      <c r="G6" s="134">
        <f ca="1" t="shared" ref="G6:N6" si="1">G7+G27+G28+G30+G31</f>
        <v>0</v>
      </c>
      <c r="H6" s="134">
        <f ca="1" t="shared" si="1"/>
        <v>0</v>
      </c>
      <c r="I6" s="134">
        <f ca="1" t="shared" si="1"/>
        <v>0</v>
      </c>
      <c r="J6" s="134">
        <f ca="1" t="shared" si="1"/>
        <v>0</v>
      </c>
      <c r="K6" s="134">
        <f ca="1" t="shared" si="1"/>
        <v>0</v>
      </c>
      <c r="L6" s="134">
        <f ca="1" t="shared" si="1"/>
        <v>0</v>
      </c>
      <c r="M6" s="134">
        <f ca="1" t="shared" si="1"/>
        <v>49337.5235074423</v>
      </c>
      <c r="N6" s="134">
        <f ca="1" t="shared" si="1"/>
        <v>125796.567746746</v>
      </c>
      <c r="O6" s="134">
        <f ca="1" t="shared" ref="O6:AL6" si="2">O7+O27+O28+O30+O31</f>
        <v>124048.168995703</v>
      </c>
      <c r="P6" s="134">
        <f ca="1" t="shared" si="2"/>
        <v>122073.934416318</v>
      </c>
      <c r="Q6" s="134">
        <f ca="1" t="shared" si="2"/>
        <v>120153.941853429</v>
      </c>
      <c r="R6" s="134">
        <f ca="1" t="shared" si="2"/>
        <v>118344.700088066</v>
      </c>
      <c r="S6" s="134">
        <f ca="1" t="shared" si="2"/>
        <v>116708.965577811</v>
      </c>
      <c r="T6" s="134">
        <f ca="1" t="shared" si="2"/>
        <v>115514.795570981</v>
      </c>
      <c r="U6" s="134">
        <f ca="1" t="shared" si="2"/>
        <v>114582.995884907</v>
      </c>
      <c r="V6" s="134">
        <f ca="1" t="shared" si="2"/>
        <v>113636.187855924</v>
      </c>
      <c r="W6" s="134">
        <f ca="1" t="shared" si="2"/>
        <v>112681.020000892</v>
      </c>
      <c r="X6" s="134">
        <f ca="1" t="shared" si="2"/>
        <v>111935.839870402</v>
      </c>
      <c r="Y6" s="134">
        <f ca="1" t="shared" si="2"/>
        <v>113254.217965637</v>
      </c>
      <c r="Z6" s="134">
        <f ca="1" t="shared" si="2"/>
        <v>112540.574052438</v>
      </c>
      <c r="AA6" s="134">
        <f ca="1" t="shared" si="2"/>
        <v>111464.154370504</v>
      </c>
      <c r="AB6" s="134">
        <f ca="1" t="shared" si="2"/>
        <v>109925.866549007</v>
      </c>
      <c r="AC6" s="134">
        <f ca="1" t="shared" si="2"/>
        <v>107917.479777412</v>
      </c>
      <c r="AD6" s="134">
        <f ca="1" t="shared" si="2"/>
        <v>105341.12880613</v>
      </c>
      <c r="AE6" s="134">
        <f ca="1" t="shared" si="2"/>
        <v>101012.553336341</v>
      </c>
      <c r="AF6" s="134">
        <f ca="1" t="shared" si="2"/>
        <v>96133.0712688703</v>
      </c>
      <c r="AG6" s="134">
        <f ca="1" t="shared" si="2"/>
        <v>93566.5043027024</v>
      </c>
      <c r="AH6" s="134">
        <f ca="1" t="shared" si="2"/>
        <v>91610.1147275419</v>
      </c>
      <c r="AI6" s="134">
        <f ca="1" t="shared" si="2"/>
        <v>91165.0766428876</v>
      </c>
      <c r="AJ6" s="134">
        <f ca="1" t="shared" si="2"/>
        <v>91165.0766428876</v>
      </c>
      <c r="AK6" s="134">
        <f ca="1" t="shared" si="2"/>
        <v>91165.0766428876</v>
      </c>
      <c r="AL6" s="134">
        <f ca="1" t="shared" si="2"/>
        <v>91165.0766428876</v>
      </c>
      <c r="AM6" s="134">
        <f ca="1" t="shared" ref="AM6:BA6" si="3">AM7+AM27+AM28+AM30+AM31</f>
        <v>91165.0766428876</v>
      </c>
      <c r="AN6" s="134">
        <f ca="1" t="shared" si="3"/>
        <v>91165.0766428876</v>
      </c>
      <c r="AO6" s="134">
        <f ca="1" t="shared" si="3"/>
        <v>91165.0766428876</v>
      </c>
      <c r="AP6" s="134">
        <f ca="1" t="shared" si="3"/>
        <v>80245.6568111901</v>
      </c>
      <c r="AQ6" s="134">
        <f ca="1" t="shared" si="3"/>
        <v>64958.4690468135</v>
      </c>
      <c r="AR6" s="134">
        <f ca="1" t="shared" si="3"/>
        <v>64958.4690468135</v>
      </c>
      <c r="AS6" s="134">
        <f ca="1" t="shared" si="3"/>
        <v>65162.3426451825</v>
      </c>
      <c r="AT6" s="134">
        <f ca="1" t="shared" si="3"/>
        <v>65162.3426451825</v>
      </c>
      <c r="AU6" s="134">
        <f ca="1" t="shared" si="3"/>
        <v>65162.3426451825</v>
      </c>
      <c r="AV6" s="134">
        <f ca="1" t="shared" si="3"/>
        <v>65217.6523796958</v>
      </c>
      <c r="AW6" s="134">
        <f ca="1" t="shared" si="3"/>
        <v>65217.6523796958</v>
      </c>
      <c r="AX6" s="134">
        <f ca="1" t="shared" si="3"/>
        <v>65217.6523796958</v>
      </c>
      <c r="AY6" s="134">
        <f ca="1" t="shared" si="3"/>
        <v>65370.5575784726</v>
      </c>
      <c r="AZ6" s="134">
        <f ca="1" t="shared" si="3"/>
        <v>65370.5575784726</v>
      </c>
      <c r="BA6" s="143">
        <f ca="1" t="shared" si="3"/>
        <v>39318.4766408929</v>
      </c>
    </row>
    <row r="7" spans="2:53">
      <c r="B7" s="217">
        <v>1</v>
      </c>
      <c r="C7" s="218" t="s">
        <v>244</v>
      </c>
      <c r="D7" s="134">
        <f ca="1" t="shared" si="0"/>
        <v>3354193.41517324</v>
      </c>
      <c r="E7" s="256" t="s">
        <v>130</v>
      </c>
      <c r="F7" s="134">
        <f ca="1">SUM(F8:F9)+SUM(F12:F18)+SUM(F25:F26)</f>
        <v>0</v>
      </c>
      <c r="G7" s="134">
        <f ca="1" t="shared" ref="G7:BA7" si="4">SUM(G8:G9)+SUM(G12:G18)+SUM(G25:G26)</f>
        <v>0</v>
      </c>
      <c r="H7" s="134">
        <f ca="1" t="shared" si="4"/>
        <v>0</v>
      </c>
      <c r="I7" s="134">
        <f ca="1" t="shared" si="4"/>
        <v>0</v>
      </c>
      <c r="J7" s="134">
        <f ca="1" t="shared" si="4"/>
        <v>0</v>
      </c>
      <c r="K7" s="134">
        <f ca="1" t="shared" si="4"/>
        <v>0</v>
      </c>
      <c r="L7" s="134">
        <f ca="1" t="shared" si="4"/>
        <v>0</v>
      </c>
      <c r="M7" s="134">
        <f ca="1" t="shared" si="4"/>
        <v>37909.9306004087</v>
      </c>
      <c r="N7" s="134">
        <f ca="1" t="shared" si="4"/>
        <v>92989.0166487427</v>
      </c>
      <c r="O7" s="134">
        <f ca="1" t="shared" si="4"/>
        <v>92526.5166487427</v>
      </c>
      <c r="P7" s="134">
        <f ca="1" t="shared" si="4"/>
        <v>92526.5166487427</v>
      </c>
      <c r="Q7" s="134">
        <f ca="1" t="shared" si="4"/>
        <v>92526.5166487427</v>
      </c>
      <c r="R7" s="134">
        <f ca="1" t="shared" si="4"/>
        <v>92526.5166487427</v>
      </c>
      <c r="S7" s="134">
        <f ca="1" t="shared" si="4"/>
        <v>92526.5166487427</v>
      </c>
      <c r="T7" s="134">
        <f ca="1" t="shared" si="4"/>
        <v>92526.5166487427</v>
      </c>
      <c r="U7" s="134">
        <f ca="1" t="shared" si="4"/>
        <v>92526.5166487427</v>
      </c>
      <c r="V7" s="134">
        <f ca="1" t="shared" si="4"/>
        <v>92526.5166487427</v>
      </c>
      <c r="W7" s="134">
        <f ca="1" t="shared" si="4"/>
        <v>92526.5166487427</v>
      </c>
      <c r="X7" s="134">
        <f ca="1" t="shared" si="4"/>
        <v>92692.4458522825</v>
      </c>
      <c r="Y7" s="134">
        <f ca="1" t="shared" si="4"/>
        <v>94302.3082376036</v>
      </c>
      <c r="Z7" s="134">
        <f ca="1" t="shared" si="4"/>
        <v>93987.3082376036</v>
      </c>
      <c r="AA7" s="134">
        <f ca="1" t="shared" si="4"/>
        <v>93987.3082376036</v>
      </c>
      <c r="AB7" s="134">
        <f ca="1" t="shared" si="4"/>
        <v>93987.3082376036</v>
      </c>
      <c r="AC7" s="134">
        <f ca="1" t="shared" si="4"/>
        <v>93987.3082376036</v>
      </c>
      <c r="AD7" s="134">
        <f ca="1" t="shared" si="4"/>
        <v>93987.3082376036</v>
      </c>
      <c r="AE7" s="134">
        <f ca="1" t="shared" si="4"/>
        <v>92228.0489783444</v>
      </c>
      <c r="AF7" s="134">
        <f ca="1" t="shared" si="4"/>
        <v>89765.0860153814</v>
      </c>
      <c r="AG7" s="134">
        <f ca="1" t="shared" si="4"/>
        <v>89527.5860153814</v>
      </c>
      <c r="AH7" s="134">
        <f ca="1" t="shared" si="4"/>
        <v>89195.0860153814</v>
      </c>
      <c r="AI7" s="134">
        <f ca="1" t="shared" si="4"/>
        <v>89195.0860153814</v>
      </c>
      <c r="AJ7" s="134">
        <f ca="1" t="shared" si="4"/>
        <v>89195.0860153814</v>
      </c>
      <c r="AK7" s="134">
        <f ca="1" t="shared" si="4"/>
        <v>89195.0860153814</v>
      </c>
      <c r="AL7" s="134">
        <f ca="1" t="shared" si="4"/>
        <v>89195.0860153814</v>
      </c>
      <c r="AM7" s="134">
        <f ca="1" t="shared" si="4"/>
        <v>89195.0860153814</v>
      </c>
      <c r="AN7" s="134">
        <f ca="1" t="shared" si="4"/>
        <v>89195.0860153814</v>
      </c>
      <c r="AO7" s="134">
        <f ca="1" t="shared" si="4"/>
        <v>89195.0860153814</v>
      </c>
      <c r="AP7" s="134">
        <f ca="1" t="shared" si="4"/>
        <v>78275.6661836839</v>
      </c>
      <c r="AQ7" s="134">
        <f ca="1" t="shared" si="4"/>
        <v>62988.4784193074</v>
      </c>
      <c r="AR7" s="134">
        <f ca="1" t="shared" si="4"/>
        <v>62988.4784193074</v>
      </c>
      <c r="AS7" s="134">
        <f ca="1" t="shared" si="4"/>
        <v>63192.3520176764</v>
      </c>
      <c r="AT7" s="134">
        <f ca="1" t="shared" si="4"/>
        <v>63192.3520176764</v>
      </c>
      <c r="AU7" s="134">
        <f ca="1" t="shared" si="4"/>
        <v>63192.3520176764</v>
      </c>
      <c r="AV7" s="134">
        <f ca="1" t="shared" si="4"/>
        <v>63247.6617521897</v>
      </c>
      <c r="AW7" s="134">
        <f ca="1" t="shared" si="4"/>
        <v>63247.6617521897</v>
      </c>
      <c r="AX7" s="134">
        <f ca="1" t="shared" si="4"/>
        <v>63247.6617521897</v>
      </c>
      <c r="AY7" s="134">
        <f ca="1" t="shared" si="4"/>
        <v>63400.5669509664</v>
      </c>
      <c r="AZ7" s="134">
        <f ca="1" t="shared" si="4"/>
        <v>63400.5669509664</v>
      </c>
      <c r="BA7" s="143">
        <f ca="1" t="shared" si="4"/>
        <v>38169.3154415144</v>
      </c>
    </row>
    <row r="8" spans="2:53">
      <c r="B8" s="257">
        <v>1.1</v>
      </c>
      <c r="C8" s="258" t="s">
        <v>241</v>
      </c>
      <c r="D8" s="42">
        <f t="shared" si="0"/>
        <v>9911.50442477876</v>
      </c>
      <c r="E8" s="256" t="s">
        <v>130</v>
      </c>
      <c r="F8" s="42">
        <f>参数输入表!$I$380*参数输入表!$I$382/(1+参数输入表!$I$383)*F5</f>
        <v>0</v>
      </c>
      <c r="G8" s="42">
        <f>参数输入表!$I$380*参数输入表!$I$382/(1+参数输入表!$I$383)*G5</f>
        <v>0</v>
      </c>
      <c r="H8" s="42">
        <f>参数输入表!$I$380*参数输入表!$I$382/(1+参数输入表!$I$383)*H5</f>
        <v>0</v>
      </c>
      <c r="I8" s="42">
        <f>参数输入表!$I$380*参数输入表!$I$382/(1+参数输入表!$I$383)*I5</f>
        <v>0</v>
      </c>
      <c r="J8" s="42">
        <f>参数输入表!$I$380*参数输入表!$I$382/(1+参数输入表!$I$383)*J5</f>
        <v>0</v>
      </c>
      <c r="K8" s="42">
        <f>参数输入表!$I$380*参数输入表!$I$382/(1+参数输入表!$I$383)*K5</f>
        <v>0</v>
      </c>
      <c r="L8" s="42">
        <f>参数输入表!$I$380*参数输入表!$I$382/(1+参数输入表!$I$383)*L5</f>
        <v>0</v>
      </c>
      <c r="M8" s="42">
        <f>参数输入表!$I$380*参数输入表!$I$382/(1+参数输入表!$I$383)*M5</f>
        <v>103.244837758112</v>
      </c>
      <c r="N8" s="42">
        <f>参数输入表!$I$380*参数输入表!$I$382/(1+参数输入表!$I$383)*N5</f>
        <v>247.787610619469</v>
      </c>
      <c r="O8" s="42">
        <f>参数输入表!$I$380*参数输入表!$I$382/(1+参数输入表!$I$383)*O5</f>
        <v>247.787610619469</v>
      </c>
      <c r="P8" s="42">
        <f>参数输入表!$I$380*参数输入表!$I$382/(1+参数输入表!$I$383)*P5</f>
        <v>247.787610619469</v>
      </c>
      <c r="Q8" s="42">
        <f>参数输入表!$I$380*参数输入表!$I$382/(1+参数输入表!$I$383)*Q5</f>
        <v>247.787610619469</v>
      </c>
      <c r="R8" s="42">
        <f>参数输入表!$I$380*参数输入表!$I$382/(1+参数输入表!$I$383)*R5</f>
        <v>247.787610619469</v>
      </c>
      <c r="S8" s="42">
        <f>参数输入表!$I$380*参数输入表!$I$382/(1+参数输入表!$I$383)*S5</f>
        <v>247.787610619469</v>
      </c>
      <c r="T8" s="42">
        <f>参数输入表!$I$380*参数输入表!$I$382/(1+参数输入表!$I$383)*T5</f>
        <v>247.787610619469</v>
      </c>
      <c r="U8" s="42">
        <f>参数输入表!$I$380*参数输入表!$I$382/(1+参数输入表!$I$383)*U5</f>
        <v>247.787610619469</v>
      </c>
      <c r="V8" s="42">
        <f>参数输入表!$I$380*参数输入表!$I$382/(1+参数输入表!$I$383)*V5</f>
        <v>247.787610619469</v>
      </c>
      <c r="W8" s="42">
        <f>参数输入表!$I$380*参数输入表!$I$382/(1+参数输入表!$I$383)*W5</f>
        <v>247.787610619469</v>
      </c>
      <c r="X8" s="42">
        <f>参数输入表!$I$380*参数输入表!$I$382/(1+参数输入表!$I$383)*X5</f>
        <v>247.787610619469</v>
      </c>
      <c r="Y8" s="42">
        <f>参数输入表!$I$380*参数输入表!$I$382/(1+参数输入表!$I$383)*Y5</f>
        <v>247.787610619469</v>
      </c>
      <c r="Z8" s="42">
        <f>参数输入表!$I$380*参数输入表!$I$382/(1+参数输入表!$I$383)*Z5</f>
        <v>247.787610619469</v>
      </c>
      <c r="AA8" s="42">
        <f>参数输入表!$I$380*参数输入表!$I$382/(1+参数输入表!$I$383)*AA5</f>
        <v>247.787610619469</v>
      </c>
      <c r="AB8" s="42">
        <f>参数输入表!$I$380*参数输入表!$I$382/(1+参数输入表!$I$383)*AB5</f>
        <v>247.787610619469</v>
      </c>
      <c r="AC8" s="42">
        <f>参数输入表!$I$380*参数输入表!$I$382/(1+参数输入表!$I$383)*AC5</f>
        <v>247.787610619469</v>
      </c>
      <c r="AD8" s="42">
        <f>参数输入表!$I$380*参数输入表!$I$382/(1+参数输入表!$I$383)*AD5</f>
        <v>247.787610619469</v>
      </c>
      <c r="AE8" s="42">
        <f>参数输入表!$I$380*参数输入表!$I$382/(1+参数输入表!$I$383)*AE5</f>
        <v>247.787610619469</v>
      </c>
      <c r="AF8" s="42">
        <f>参数输入表!$I$380*参数输入表!$I$382/(1+参数输入表!$I$383)*AF5</f>
        <v>247.787610619469</v>
      </c>
      <c r="AG8" s="42">
        <f>参数输入表!$I$380*参数输入表!$I$382/(1+参数输入表!$I$383)*AG5</f>
        <v>247.787610619469</v>
      </c>
      <c r="AH8" s="42">
        <f>参数输入表!$I$380*参数输入表!$I$382/(1+参数输入表!$I$383)*AH5</f>
        <v>247.787610619469</v>
      </c>
      <c r="AI8" s="42">
        <f>参数输入表!$I$380*参数输入表!$I$382/(1+参数输入表!$I$383)*AI5</f>
        <v>247.787610619469</v>
      </c>
      <c r="AJ8" s="42">
        <f>参数输入表!$I$380*参数输入表!$I$382/(1+参数输入表!$I$383)*AJ5</f>
        <v>247.787610619469</v>
      </c>
      <c r="AK8" s="42">
        <f>参数输入表!$I$380*参数输入表!$I$382/(1+参数输入表!$I$383)*AK5</f>
        <v>247.787610619469</v>
      </c>
      <c r="AL8" s="42">
        <f>参数输入表!$I$380*参数输入表!$I$382/(1+参数输入表!$I$383)*AL5</f>
        <v>247.787610619469</v>
      </c>
      <c r="AM8" s="42">
        <f>参数输入表!$I$380*参数输入表!$I$382/(1+参数输入表!$I$383)*AM5</f>
        <v>247.787610619469</v>
      </c>
      <c r="AN8" s="42">
        <f>参数输入表!$I$380*参数输入表!$I$382/(1+参数输入表!$I$383)*AN5</f>
        <v>247.787610619469</v>
      </c>
      <c r="AO8" s="42">
        <f>参数输入表!$I$380*参数输入表!$I$382/(1+参数输入表!$I$383)*AO5</f>
        <v>247.787610619469</v>
      </c>
      <c r="AP8" s="42">
        <f>参数输入表!$I$380*参数输入表!$I$382/(1+参数输入表!$I$383)*AP5</f>
        <v>247.787610619469</v>
      </c>
      <c r="AQ8" s="42">
        <f>参数输入表!$I$380*参数输入表!$I$382/(1+参数输入表!$I$383)*AQ5</f>
        <v>247.787610619469</v>
      </c>
      <c r="AR8" s="42">
        <f>参数输入表!$I$380*参数输入表!$I$382/(1+参数输入表!$I$383)*AR5</f>
        <v>247.787610619469</v>
      </c>
      <c r="AS8" s="42">
        <f>参数输入表!$I$380*参数输入表!$I$382/(1+参数输入表!$I$383)*AS5</f>
        <v>247.787610619469</v>
      </c>
      <c r="AT8" s="42">
        <f>参数输入表!$I$380*参数输入表!$I$382/(1+参数输入表!$I$383)*AT5</f>
        <v>247.787610619469</v>
      </c>
      <c r="AU8" s="42">
        <f>参数输入表!$I$380*参数输入表!$I$382/(1+参数输入表!$I$383)*AU5</f>
        <v>247.787610619469</v>
      </c>
      <c r="AV8" s="42">
        <f>参数输入表!$I$380*参数输入表!$I$382/(1+参数输入表!$I$383)*AV5</f>
        <v>247.787610619469</v>
      </c>
      <c r="AW8" s="42">
        <f>参数输入表!$I$380*参数输入表!$I$382/(1+参数输入表!$I$383)*AW5</f>
        <v>247.787610619469</v>
      </c>
      <c r="AX8" s="42">
        <f>参数输入表!$I$380*参数输入表!$I$382/(1+参数输入表!$I$383)*AX5</f>
        <v>247.787610619469</v>
      </c>
      <c r="AY8" s="42">
        <f>参数输入表!$I$380*参数输入表!$I$382/(1+参数输入表!$I$383)*AY5</f>
        <v>247.787610619469</v>
      </c>
      <c r="AZ8" s="42">
        <f>参数输入表!$I$380*参数输入表!$I$382/(1+参数输入表!$I$383)*AZ5</f>
        <v>247.787610619469</v>
      </c>
      <c r="BA8" s="43">
        <f>参数输入表!$I$380*参数输入表!$I$382/(1+参数输入表!$I$383)*BA5</f>
        <v>144.542772861357</v>
      </c>
    </row>
    <row r="9" spans="2:53">
      <c r="B9" s="257">
        <v>1.2</v>
      </c>
      <c r="C9" s="258" t="s">
        <v>282</v>
      </c>
      <c r="D9" s="42">
        <f t="shared" si="0"/>
        <v>1783605.66371681</v>
      </c>
      <c r="E9" s="256" t="s">
        <v>130</v>
      </c>
      <c r="F9" s="42">
        <f>F10*F11/(1+参数输入表!$I$600)</f>
        <v>0</v>
      </c>
      <c r="G9" s="42">
        <f>G10*G11/(1+参数输入表!$I$600)</f>
        <v>0</v>
      </c>
      <c r="H9" s="42">
        <f>H10*H11/(1+参数输入表!$I$600)</f>
        <v>0</v>
      </c>
      <c r="I9" s="42">
        <f>I10*I11/(1+参数输入表!$I$600)</f>
        <v>0</v>
      </c>
      <c r="J9" s="42">
        <f>J10*J11/(1+参数输入表!$I$600)</f>
        <v>0</v>
      </c>
      <c r="K9" s="42">
        <f>K10*K11/(1+参数输入表!$I$600)</f>
        <v>0</v>
      </c>
      <c r="L9" s="42">
        <f>L10*L11/(1+参数输入表!$I$600)</f>
        <v>0</v>
      </c>
      <c r="M9" s="42">
        <f>M10*M11/(1+参数输入表!$I$600)</f>
        <v>18579.2256637167</v>
      </c>
      <c r="N9" s="42">
        <f>N10*N11/(1+参数输入表!$I$600)</f>
        <v>44590.1415929202</v>
      </c>
      <c r="O9" s="42">
        <f>O10*O11/(1+参数输入表!$I$600)</f>
        <v>44590.1415929202</v>
      </c>
      <c r="P9" s="42">
        <f>P10*P11/(1+参数输入表!$I$600)</f>
        <v>44590.1415929202</v>
      </c>
      <c r="Q9" s="42">
        <f>Q10*Q11/(1+参数输入表!$I$600)</f>
        <v>44590.1415929202</v>
      </c>
      <c r="R9" s="42">
        <f>R10*R11/(1+参数输入表!$I$600)</f>
        <v>44590.1415929202</v>
      </c>
      <c r="S9" s="42">
        <f>S10*S11/(1+参数输入表!$I$600)</f>
        <v>44590.1415929202</v>
      </c>
      <c r="T9" s="42">
        <f>T10*T11/(1+参数输入表!$I$600)</f>
        <v>44590.1415929202</v>
      </c>
      <c r="U9" s="42">
        <f>U10*U11/(1+参数输入表!$I$600)</f>
        <v>44590.1415929202</v>
      </c>
      <c r="V9" s="42">
        <f>V10*V11/(1+参数输入表!$I$600)</f>
        <v>44590.1415929202</v>
      </c>
      <c r="W9" s="42">
        <f>W10*W11/(1+参数输入表!$I$600)</f>
        <v>44590.1415929202</v>
      </c>
      <c r="X9" s="42">
        <f>X10*X11/(1+参数输入表!$I$600)</f>
        <v>44590.1415929202</v>
      </c>
      <c r="Y9" s="42">
        <f>Y10*Y11/(1+参数输入表!$I$600)</f>
        <v>44590.1415929202</v>
      </c>
      <c r="Z9" s="42">
        <f>Z10*Z11/(1+参数输入表!$I$600)</f>
        <v>44590.1415929202</v>
      </c>
      <c r="AA9" s="42">
        <f>AA10*AA11/(1+参数输入表!$I$600)</f>
        <v>44590.1415929202</v>
      </c>
      <c r="AB9" s="42">
        <f>AB10*AB11/(1+参数输入表!$I$600)</f>
        <v>44590.1415929202</v>
      </c>
      <c r="AC9" s="42">
        <f>AC10*AC11/(1+参数输入表!$I$600)</f>
        <v>44590.1415929202</v>
      </c>
      <c r="AD9" s="42">
        <f>AD10*AD11/(1+参数输入表!$I$600)</f>
        <v>44590.1415929202</v>
      </c>
      <c r="AE9" s="42">
        <f>AE10*AE11/(1+参数输入表!$I$600)</f>
        <v>44590.1415929202</v>
      </c>
      <c r="AF9" s="42">
        <f>AF10*AF11/(1+参数输入表!$I$600)</f>
        <v>44590.1415929202</v>
      </c>
      <c r="AG9" s="42">
        <f>AG10*AG11/(1+参数输入表!$I$600)</f>
        <v>44590.1415929202</v>
      </c>
      <c r="AH9" s="42">
        <f>AH10*AH11/(1+参数输入表!$I$600)</f>
        <v>44590.1415929202</v>
      </c>
      <c r="AI9" s="42">
        <f>AI10*AI11/(1+参数输入表!$I$600)</f>
        <v>44590.1415929202</v>
      </c>
      <c r="AJ9" s="42">
        <f>AJ10*AJ11/(1+参数输入表!$I$600)</f>
        <v>44590.1415929202</v>
      </c>
      <c r="AK9" s="42">
        <f>AK10*AK11/(1+参数输入表!$I$600)</f>
        <v>44590.1415929202</v>
      </c>
      <c r="AL9" s="42">
        <f>AL10*AL11/(1+参数输入表!$I$600)</f>
        <v>44590.1415929202</v>
      </c>
      <c r="AM9" s="42">
        <f>AM10*AM11/(1+参数输入表!$I$600)</f>
        <v>44590.1415929202</v>
      </c>
      <c r="AN9" s="42">
        <f>AN10*AN11/(1+参数输入表!$I$600)</f>
        <v>44590.1415929202</v>
      </c>
      <c r="AO9" s="42">
        <f>AO10*AO11/(1+参数输入表!$I$600)</f>
        <v>44590.1415929202</v>
      </c>
      <c r="AP9" s="42">
        <f>AP10*AP11/(1+参数输入表!$I$600)</f>
        <v>44590.1415929202</v>
      </c>
      <c r="AQ9" s="42">
        <f>AQ10*AQ11/(1+参数输入表!$I$600)</f>
        <v>44590.1415929202</v>
      </c>
      <c r="AR9" s="42">
        <f>AR10*AR11/(1+参数输入表!$I$600)</f>
        <v>44590.1415929202</v>
      </c>
      <c r="AS9" s="42">
        <f>AS10*AS11/(1+参数输入表!$I$600)</f>
        <v>44590.1415929202</v>
      </c>
      <c r="AT9" s="42">
        <f>AT10*AT11/(1+参数输入表!$I$600)</f>
        <v>44590.1415929202</v>
      </c>
      <c r="AU9" s="42">
        <f>AU10*AU11/(1+参数输入表!$I$600)</f>
        <v>44590.1415929202</v>
      </c>
      <c r="AV9" s="42">
        <f>AV10*AV11/(1+参数输入表!$I$600)</f>
        <v>44590.1415929202</v>
      </c>
      <c r="AW9" s="42">
        <f>AW10*AW11/(1+参数输入表!$I$600)</f>
        <v>44590.1415929202</v>
      </c>
      <c r="AX9" s="42">
        <f>AX10*AX11/(1+参数输入表!$I$600)</f>
        <v>44590.1415929202</v>
      </c>
      <c r="AY9" s="42">
        <f>AY10*AY11/(1+参数输入表!$I$600)</f>
        <v>44590.1415929202</v>
      </c>
      <c r="AZ9" s="42">
        <f>AZ10*AZ11/(1+参数输入表!$I$600)</f>
        <v>44590.1415929202</v>
      </c>
      <c r="BA9" s="43">
        <f>BA10*BA11/(1+参数输入表!$I$600)</f>
        <v>26010.9159292034</v>
      </c>
    </row>
    <row r="10" spans="2:53">
      <c r="B10" s="259"/>
      <c r="C10" s="260" t="s">
        <v>286</v>
      </c>
      <c r="D10" s="261">
        <f t="shared" si="0"/>
        <v>8730666.66666664</v>
      </c>
      <c r="E10" s="262" t="s">
        <v>758</v>
      </c>
      <c r="F10" s="261">
        <f>参数输入表!$I$503*1000/10000</f>
        <v>0</v>
      </c>
      <c r="G10" s="261">
        <f>参数输入表!$I$504*1000/10000</f>
        <v>0</v>
      </c>
      <c r="H10" s="261">
        <f>参数输入表!$I$505*1000/10000</f>
        <v>0</v>
      </c>
      <c r="I10" s="261">
        <f>参数输入表!$I$506*1000/10000</f>
        <v>0</v>
      </c>
      <c r="J10" s="261">
        <f>参数输入表!$I$507*1000/10000</f>
        <v>0</v>
      </c>
      <c r="K10" s="261">
        <f>参数输入表!$I$508*1000/10000</f>
        <v>0</v>
      </c>
      <c r="L10" s="261">
        <f>参数输入表!$I$509*1000/10000</f>
        <v>0</v>
      </c>
      <c r="M10" s="261">
        <f>参数输入表!$I$510*1000/10000</f>
        <v>90944.4444444441</v>
      </c>
      <c r="N10" s="261">
        <f>参数输入表!$I$511*1000/10000</f>
        <v>218266.666666666</v>
      </c>
      <c r="O10" s="261">
        <f>参数输入表!$I$512*1000/10000</f>
        <v>218266.666666666</v>
      </c>
      <c r="P10" s="261">
        <f>参数输入表!$I$513*1000/10000</f>
        <v>218266.666666666</v>
      </c>
      <c r="Q10" s="261">
        <f>参数输入表!$I$514*1000/10000</f>
        <v>218266.666666666</v>
      </c>
      <c r="R10" s="261">
        <f>参数输入表!$I$515*1000/10000</f>
        <v>218266.666666666</v>
      </c>
      <c r="S10" s="261">
        <f>参数输入表!$I$516*1000/10000</f>
        <v>218266.666666666</v>
      </c>
      <c r="T10" s="261">
        <f>参数输入表!$I$517*1000/10000</f>
        <v>218266.666666666</v>
      </c>
      <c r="U10" s="261">
        <f>参数输入表!$I$518*1000/10000</f>
        <v>218266.666666666</v>
      </c>
      <c r="V10" s="261">
        <f>参数输入表!$I$519*1000/10000</f>
        <v>218266.666666666</v>
      </c>
      <c r="W10" s="261">
        <f>参数输入表!$I$520*1000/10000</f>
        <v>218266.666666666</v>
      </c>
      <c r="X10" s="261">
        <f>参数输入表!$I$521*1000/10000</f>
        <v>218266.666666666</v>
      </c>
      <c r="Y10" s="261">
        <f>参数输入表!$I$522*1000/10000</f>
        <v>218266.666666666</v>
      </c>
      <c r="Z10" s="261">
        <f>参数输入表!$I$523*1000/10000</f>
        <v>218266.666666666</v>
      </c>
      <c r="AA10" s="261">
        <f>参数输入表!$I$524*1000/10000</f>
        <v>218266.666666666</v>
      </c>
      <c r="AB10" s="261">
        <f>参数输入表!$I$525*1000/10000</f>
        <v>218266.666666666</v>
      </c>
      <c r="AC10" s="261">
        <f>参数输入表!$I$526*1000/10000</f>
        <v>218266.666666666</v>
      </c>
      <c r="AD10" s="261">
        <f>参数输入表!$I$527*1000/10000</f>
        <v>218266.666666666</v>
      </c>
      <c r="AE10" s="261">
        <f>参数输入表!$I$528*1000/10000</f>
        <v>218266.666666666</v>
      </c>
      <c r="AF10" s="261">
        <f>参数输入表!$I$529*1000/10000</f>
        <v>218266.666666666</v>
      </c>
      <c r="AG10" s="261">
        <f>参数输入表!$I$530*1000/10000</f>
        <v>218266.666666666</v>
      </c>
      <c r="AH10" s="261">
        <f>参数输入表!$I$531*1000/10000</f>
        <v>218266.666666666</v>
      </c>
      <c r="AI10" s="261">
        <f>参数输入表!$I$532*1000/10000</f>
        <v>218266.666666666</v>
      </c>
      <c r="AJ10" s="261">
        <f>参数输入表!$I$533*1000/10000</f>
        <v>218266.666666666</v>
      </c>
      <c r="AK10" s="261">
        <f>参数输入表!$I$534*1000/10000</f>
        <v>218266.666666666</v>
      </c>
      <c r="AL10" s="261">
        <f>参数输入表!$I$535*1000/10000</f>
        <v>218266.666666666</v>
      </c>
      <c r="AM10" s="261">
        <f>参数输入表!$I$536*1000/10000</f>
        <v>218266.666666666</v>
      </c>
      <c r="AN10" s="261">
        <f>参数输入表!$I$537*1000/10000</f>
        <v>218266.666666666</v>
      </c>
      <c r="AO10" s="261">
        <f>参数输入表!$I$538*1000/10000</f>
        <v>218266.666666666</v>
      </c>
      <c r="AP10" s="261">
        <f>参数输入表!$I$539*1000/10000</f>
        <v>218266.666666666</v>
      </c>
      <c r="AQ10" s="261">
        <f>参数输入表!$I$540*1000/10000</f>
        <v>218266.666666666</v>
      </c>
      <c r="AR10" s="261">
        <f>参数输入表!$I$541*1000/10000</f>
        <v>218266.666666666</v>
      </c>
      <c r="AS10" s="261">
        <f>参数输入表!$I$542*1000/10000</f>
        <v>218266.666666666</v>
      </c>
      <c r="AT10" s="261">
        <f>参数输入表!$I$543*1000/10000</f>
        <v>218266.666666666</v>
      </c>
      <c r="AU10" s="261">
        <f>参数输入表!$I$544*1000/10000</f>
        <v>218266.666666666</v>
      </c>
      <c r="AV10" s="261">
        <f>参数输入表!$I$545*1000/10000</f>
        <v>218266.666666666</v>
      </c>
      <c r="AW10" s="261">
        <f>参数输入表!$I$546*1000/10000</f>
        <v>218266.666666666</v>
      </c>
      <c r="AX10" s="261">
        <f>参数输入表!$I$547*1000/10000</f>
        <v>218266.666666666</v>
      </c>
      <c r="AY10" s="261">
        <f>参数输入表!$I$548*1000/10000</f>
        <v>218266.666666666</v>
      </c>
      <c r="AZ10" s="261">
        <f>参数输入表!$I$549*1000/10000</f>
        <v>218266.666666666</v>
      </c>
      <c r="BA10" s="263">
        <f>参数输入表!$I$550*1000/10000</f>
        <v>127322.222222222</v>
      </c>
    </row>
    <row r="11" spans="2:53">
      <c r="B11" s="259"/>
      <c r="C11" s="260" t="s">
        <v>287</v>
      </c>
      <c r="D11" s="261"/>
      <c r="E11" s="262" t="s">
        <v>127</v>
      </c>
      <c r="F11" s="264">
        <f>参数输入表!$I$552</f>
        <v>0.23085</v>
      </c>
      <c r="G11" s="264">
        <f>参数输入表!$I$553</f>
        <v>0.23085</v>
      </c>
      <c r="H11" s="264">
        <f>参数输入表!$I$554</f>
        <v>0.23085</v>
      </c>
      <c r="I11" s="264">
        <f>参数输入表!$I$555</f>
        <v>0.23085</v>
      </c>
      <c r="J11" s="264">
        <f>参数输入表!$I$556</f>
        <v>0.23085</v>
      </c>
      <c r="K11" s="264">
        <f>参数输入表!$I$557</f>
        <v>0.23085</v>
      </c>
      <c r="L11" s="264">
        <f>参数输入表!$I$558</f>
        <v>0.23085</v>
      </c>
      <c r="M11" s="264">
        <f>参数输入表!$I$559</f>
        <v>0.23085</v>
      </c>
      <c r="N11" s="264">
        <f>参数输入表!$I$560</f>
        <v>0.23085</v>
      </c>
      <c r="O11" s="264">
        <f>参数输入表!$I$561</f>
        <v>0.23085</v>
      </c>
      <c r="P11" s="264">
        <f>参数输入表!$I$562</f>
        <v>0.23085</v>
      </c>
      <c r="Q11" s="264">
        <f>参数输入表!$I$563</f>
        <v>0.23085</v>
      </c>
      <c r="R11" s="264">
        <f>参数输入表!$I$564</f>
        <v>0.23085</v>
      </c>
      <c r="S11" s="264">
        <f>参数输入表!$I$565</f>
        <v>0.23085</v>
      </c>
      <c r="T11" s="264">
        <f>参数输入表!$I$566</f>
        <v>0.23085</v>
      </c>
      <c r="U11" s="264">
        <f>参数输入表!$I$567</f>
        <v>0.23085</v>
      </c>
      <c r="V11" s="264">
        <f>参数输入表!$I$568</f>
        <v>0.23085</v>
      </c>
      <c r="W11" s="264">
        <f>参数输入表!$I$569</f>
        <v>0.23085</v>
      </c>
      <c r="X11" s="264">
        <f>参数输入表!$I$570</f>
        <v>0.23085</v>
      </c>
      <c r="Y11" s="264">
        <f>参数输入表!$I$571</f>
        <v>0.23085</v>
      </c>
      <c r="Z11" s="264">
        <f>参数输入表!$I$572</f>
        <v>0.23085</v>
      </c>
      <c r="AA11" s="264">
        <f>参数输入表!$I$573</f>
        <v>0.23085</v>
      </c>
      <c r="AB11" s="264">
        <f>参数输入表!$I$574</f>
        <v>0.23085</v>
      </c>
      <c r="AC11" s="264">
        <f>参数输入表!$I$575</f>
        <v>0.23085</v>
      </c>
      <c r="AD11" s="264">
        <f>参数输入表!$I$576</f>
        <v>0.23085</v>
      </c>
      <c r="AE11" s="264">
        <f>参数输入表!$I$577</f>
        <v>0.23085</v>
      </c>
      <c r="AF11" s="264">
        <f>参数输入表!$I$578</f>
        <v>0.23085</v>
      </c>
      <c r="AG11" s="264">
        <f>参数输入表!$I$579</f>
        <v>0.23085</v>
      </c>
      <c r="AH11" s="264">
        <f>参数输入表!$I$580</f>
        <v>0.23085</v>
      </c>
      <c r="AI11" s="264">
        <f>参数输入表!$I$581</f>
        <v>0.23085</v>
      </c>
      <c r="AJ11" s="264">
        <f>参数输入表!$I$582</f>
        <v>0.23085</v>
      </c>
      <c r="AK11" s="264">
        <f>参数输入表!$I$583</f>
        <v>0.23085</v>
      </c>
      <c r="AL11" s="264">
        <f>参数输入表!$I$584</f>
        <v>0.23085</v>
      </c>
      <c r="AM11" s="264">
        <f>参数输入表!$I$585</f>
        <v>0.23085</v>
      </c>
      <c r="AN11" s="264">
        <f>参数输入表!$I$586</f>
        <v>0.23085</v>
      </c>
      <c r="AO11" s="264">
        <f>参数输入表!$I$587</f>
        <v>0.23085</v>
      </c>
      <c r="AP11" s="264">
        <f>参数输入表!$I$588</f>
        <v>0.23085</v>
      </c>
      <c r="AQ11" s="264">
        <f>参数输入表!$I$589</f>
        <v>0.23085</v>
      </c>
      <c r="AR11" s="264">
        <f>参数输入表!$I$590</f>
        <v>0.23085</v>
      </c>
      <c r="AS11" s="264">
        <f>参数输入表!$I$591</f>
        <v>0.23085</v>
      </c>
      <c r="AT11" s="264">
        <f>参数输入表!$I$592</f>
        <v>0.23085</v>
      </c>
      <c r="AU11" s="264">
        <f>参数输入表!$I$593</f>
        <v>0.23085</v>
      </c>
      <c r="AV11" s="264">
        <f>参数输入表!$I$594</f>
        <v>0.23085</v>
      </c>
      <c r="AW11" s="264">
        <f>参数输入表!$I$595</f>
        <v>0.23085</v>
      </c>
      <c r="AX11" s="264">
        <f>参数输入表!$I$596</f>
        <v>0.23085</v>
      </c>
      <c r="AY11" s="264">
        <f>参数输入表!$I$597</f>
        <v>0.23085</v>
      </c>
      <c r="AZ11" s="264">
        <f>参数输入表!$I$598</f>
        <v>0.23085</v>
      </c>
      <c r="BA11" s="265">
        <f>参数输入表!$I$599</f>
        <v>0.23085</v>
      </c>
    </row>
    <row r="12" s="105" customFormat="1" spans="2:53">
      <c r="B12" s="257">
        <v>1.3</v>
      </c>
      <c r="C12" s="258" t="s">
        <v>288</v>
      </c>
      <c r="D12" s="124">
        <f>SUM(F12:BA12)</f>
        <v>11668.4</v>
      </c>
      <c r="E12" s="266" t="s">
        <v>130</v>
      </c>
      <c r="F12" s="124">
        <f>IF(F4-参数输入表!$I$4&gt;0,参数输入表!$I$602/(1+参数输入表!$I$603),0)</f>
        <v>0</v>
      </c>
      <c r="G12" s="124">
        <f>IF(G4-参数输入表!$I$4&gt;0,参数输入表!$I$602/(1+参数输入表!$I$603),0)</f>
        <v>0</v>
      </c>
      <c r="H12" s="124">
        <f>IF(H4-参数输入表!$I$4&gt;0,参数输入表!$I$602/(1+参数输入表!$I$603),0)</f>
        <v>0</v>
      </c>
      <c r="I12" s="124">
        <f>IF(I4-参数输入表!$I$4&gt;0,参数输入表!$I$602/(1+参数输入表!$I$603),0)</f>
        <v>0</v>
      </c>
      <c r="J12" s="124">
        <f>IF(J4-参数输入表!$I$4&gt;0,参数输入表!$I$602/(1+参数输入表!$I$603),0)</f>
        <v>0</v>
      </c>
      <c r="K12" s="124">
        <f>IF(K4-参数输入表!$I$4&gt;0,参数输入表!$I$602/(1+参数输入表!$I$603),0)</f>
        <v>0</v>
      </c>
      <c r="L12" s="124">
        <f>IF(L4-参数输入表!$I$4&gt;0,参数输入表!$I$602/(1+参数输入表!$I$603),0)</f>
        <v>0</v>
      </c>
      <c r="M12" s="124">
        <f>IF(M4-参数输入表!$I$4&gt;0,参数输入表!$I$602/(1+参数输入表!$I$603),0)</f>
        <v>0</v>
      </c>
      <c r="N12" s="124">
        <f>IF(N4-参数输入表!$I$4&gt;0,参数输入表!$I$602/(1+参数输入表!$I$603),0)</f>
        <v>291.71</v>
      </c>
      <c r="O12" s="124">
        <f>IF(O4-参数输入表!$I$4&gt;0,参数输入表!$I$602/(1+参数输入表!$I$603),0)</f>
        <v>291.71</v>
      </c>
      <c r="P12" s="124">
        <f>IF(P4-参数输入表!$I$4&gt;0,参数输入表!$I$602/(1+参数输入表!$I$603),0)</f>
        <v>291.71</v>
      </c>
      <c r="Q12" s="124">
        <f>IF(Q4-参数输入表!$I$4&gt;0,参数输入表!$I$602/(1+参数输入表!$I$603),0)</f>
        <v>291.71</v>
      </c>
      <c r="R12" s="124">
        <f>IF(R4-参数输入表!$I$4&gt;0,参数输入表!$I$602/(1+参数输入表!$I$603),0)</f>
        <v>291.71</v>
      </c>
      <c r="S12" s="124">
        <f>IF(S4-参数输入表!$I$4&gt;0,参数输入表!$I$602/(1+参数输入表!$I$603),0)</f>
        <v>291.71</v>
      </c>
      <c r="T12" s="124">
        <f>IF(T4-参数输入表!$I$4&gt;0,参数输入表!$I$602/(1+参数输入表!$I$603),0)</f>
        <v>291.71</v>
      </c>
      <c r="U12" s="124">
        <f>IF(U4-参数输入表!$I$4&gt;0,参数输入表!$I$602/(1+参数输入表!$I$603),0)</f>
        <v>291.71</v>
      </c>
      <c r="V12" s="124">
        <f>IF(V4-参数输入表!$I$4&gt;0,参数输入表!$I$602/(1+参数输入表!$I$603),0)</f>
        <v>291.71</v>
      </c>
      <c r="W12" s="124">
        <f>IF(W4-参数输入表!$I$4&gt;0,参数输入表!$I$602/(1+参数输入表!$I$603),0)</f>
        <v>291.71</v>
      </c>
      <c r="X12" s="124">
        <f>IF(X4-参数输入表!$I$4&gt;0,参数输入表!$I$602/(1+参数输入表!$I$603),0)</f>
        <v>291.71</v>
      </c>
      <c r="Y12" s="124">
        <f>IF(Y4-参数输入表!$I$4&gt;0,参数输入表!$I$602/(1+参数输入表!$I$603),0)</f>
        <v>291.71</v>
      </c>
      <c r="Z12" s="124">
        <f>IF(Z4-参数输入表!$I$4&gt;0,参数输入表!$I$602/(1+参数输入表!$I$603),0)</f>
        <v>291.71</v>
      </c>
      <c r="AA12" s="124">
        <f>IF(AA4-参数输入表!$I$4&gt;0,参数输入表!$I$602/(1+参数输入表!$I$603),0)</f>
        <v>291.71</v>
      </c>
      <c r="AB12" s="124">
        <f>IF(AB4-参数输入表!$I$4&gt;0,参数输入表!$I$602/(1+参数输入表!$I$603),0)</f>
        <v>291.71</v>
      </c>
      <c r="AC12" s="124">
        <f>IF(AC4-参数输入表!$I$4&gt;0,参数输入表!$I$602/(1+参数输入表!$I$603),0)</f>
        <v>291.71</v>
      </c>
      <c r="AD12" s="124">
        <f>IF(AD4-参数输入表!$I$4&gt;0,参数输入表!$I$602/(1+参数输入表!$I$603),0)</f>
        <v>291.71</v>
      </c>
      <c r="AE12" s="124">
        <f>IF(AE4-参数输入表!$I$4&gt;0,参数输入表!$I$602/(1+参数输入表!$I$603),0)</f>
        <v>291.71</v>
      </c>
      <c r="AF12" s="124">
        <f>IF(AF4-参数输入表!$I$4&gt;0,参数输入表!$I$602/(1+参数输入表!$I$603),0)</f>
        <v>291.71</v>
      </c>
      <c r="AG12" s="124">
        <f>IF(AG4-参数输入表!$I$4&gt;0,参数输入表!$I$602/(1+参数输入表!$I$603),0)</f>
        <v>291.71</v>
      </c>
      <c r="AH12" s="124">
        <f>IF(AH4-参数输入表!$I$4&gt;0,参数输入表!$I$602/(1+参数输入表!$I$603),0)</f>
        <v>291.71</v>
      </c>
      <c r="AI12" s="124">
        <f>IF(AI4-参数输入表!$I$4&gt;0,参数输入表!$I$602/(1+参数输入表!$I$603),0)</f>
        <v>291.71</v>
      </c>
      <c r="AJ12" s="124">
        <f>IF(AJ4-参数输入表!$I$4&gt;0,参数输入表!$I$602/(1+参数输入表!$I$603),0)</f>
        <v>291.71</v>
      </c>
      <c r="AK12" s="124">
        <f>IF(AK4-参数输入表!$I$4&gt;0,参数输入表!$I$602/(1+参数输入表!$I$603),0)</f>
        <v>291.71</v>
      </c>
      <c r="AL12" s="124">
        <f>IF(AL4-参数输入表!$I$4&gt;0,参数输入表!$I$602/(1+参数输入表!$I$603),0)</f>
        <v>291.71</v>
      </c>
      <c r="AM12" s="124">
        <f>IF(AM4-参数输入表!$I$4&gt;0,参数输入表!$I$602/(1+参数输入表!$I$603),0)</f>
        <v>291.71</v>
      </c>
      <c r="AN12" s="124">
        <f>IF(AN4-参数输入表!$I$4&gt;0,参数输入表!$I$602/(1+参数输入表!$I$603),0)</f>
        <v>291.71</v>
      </c>
      <c r="AO12" s="124">
        <f>IF(AO4-参数输入表!$I$4&gt;0,参数输入表!$I$602/(1+参数输入表!$I$603),0)</f>
        <v>291.71</v>
      </c>
      <c r="AP12" s="124">
        <f>IF(AP4-参数输入表!$I$4&gt;0,参数输入表!$I$602/(1+参数输入表!$I$603),0)</f>
        <v>291.71</v>
      </c>
      <c r="AQ12" s="124">
        <f>IF(AQ4-参数输入表!$I$4&gt;0,参数输入表!$I$602/(1+参数输入表!$I$603),0)</f>
        <v>291.71</v>
      </c>
      <c r="AR12" s="124">
        <f>IF(AR4-参数输入表!$I$4&gt;0,参数输入表!$I$602/(1+参数输入表!$I$603),0)</f>
        <v>291.71</v>
      </c>
      <c r="AS12" s="124">
        <f>IF(AS4-参数输入表!$I$4&gt;0,参数输入表!$I$602/(1+参数输入表!$I$603),0)</f>
        <v>291.71</v>
      </c>
      <c r="AT12" s="124">
        <f>IF(AT4-参数输入表!$I$4&gt;0,参数输入表!$I$602/(1+参数输入表!$I$603),0)</f>
        <v>291.71</v>
      </c>
      <c r="AU12" s="124">
        <f>IF(AU4-参数输入表!$I$4&gt;0,参数输入表!$I$602/(1+参数输入表!$I$603),0)</f>
        <v>291.71</v>
      </c>
      <c r="AV12" s="124">
        <f>IF(AV4-参数输入表!$I$4&gt;0,参数输入表!$I$602/(1+参数输入表!$I$603),0)</f>
        <v>291.71</v>
      </c>
      <c r="AW12" s="124">
        <f>IF(AW4-参数输入表!$I$4&gt;0,参数输入表!$I$602/(1+参数输入表!$I$603),0)</f>
        <v>291.71</v>
      </c>
      <c r="AX12" s="124">
        <f>IF(AX4-参数输入表!$I$4&gt;0,参数输入表!$I$602/(1+参数输入表!$I$603),0)</f>
        <v>291.71</v>
      </c>
      <c r="AY12" s="124">
        <f>IF(AY4-参数输入表!$I$4&gt;0,参数输入表!$I$602/(1+参数输入表!$I$603),0)</f>
        <v>291.71</v>
      </c>
      <c r="AZ12" s="124">
        <f>IF(AZ4-参数输入表!$I$4&gt;0,参数输入表!$I$602/(1+参数输入表!$I$603),0)</f>
        <v>291.71</v>
      </c>
      <c r="BA12" s="125">
        <f>IF(BA4-参数输入表!$I$4&gt;0,参数输入表!$I$602/(1+参数输入表!$I$603),0)</f>
        <v>291.71</v>
      </c>
    </row>
    <row r="13" s="105" customFormat="1" spans="2:53">
      <c r="B13" s="257">
        <v>1.4</v>
      </c>
      <c r="C13" s="54" t="s">
        <v>759</v>
      </c>
      <c r="D13" s="124">
        <f>SUM(F13:BA13)</f>
        <v>407.787610619469</v>
      </c>
      <c r="E13" s="266" t="s">
        <v>130</v>
      </c>
      <c r="F13" s="124">
        <f>IF(F4-参数输入表!$I$4&gt;0,参数输入表!$I$605/(1+参数输入表!$I$606),0)</f>
        <v>0</v>
      </c>
      <c r="G13" s="124">
        <f>IF(G4-参数输入表!$I$4&gt;0,参数输入表!$I$605/(1+参数输入表!$I$606),0)</f>
        <v>0</v>
      </c>
      <c r="H13" s="124">
        <f>IF(H4-参数输入表!$I$4&gt;0,参数输入表!$I$605/(1+参数输入表!$I$606),0)</f>
        <v>0</v>
      </c>
      <c r="I13" s="124">
        <f>IF(I4-参数输入表!$I$4&gt;0,参数输入表!$I$605/(1+参数输入表!$I$606),0)</f>
        <v>0</v>
      </c>
      <c r="J13" s="124">
        <f>IF(J4-参数输入表!$I$4&gt;0,参数输入表!$I$605/(1+参数输入表!$I$606),0)</f>
        <v>0</v>
      </c>
      <c r="K13" s="124">
        <f>IF(K4-参数输入表!$I$4&gt;0,参数输入表!$I$605/(1+参数输入表!$I$606),0)</f>
        <v>0</v>
      </c>
      <c r="L13" s="124">
        <f>IF(L4-参数输入表!$I$4&gt;0,参数输入表!$I$605/(1+参数输入表!$I$606),0)</f>
        <v>0</v>
      </c>
      <c r="M13" s="124">
        <f>IF(M4-参数输入表!$I$4&gt;0,参数输入表!$I$605/(1+参数输入表!$I$606),0)</f>
        <v>0</v>
      </c>
      <c r="N13" s="124">
        <f>IF(N4-参数输入表!$I$4&gt;0,参数输入表!$I$605/(1+参数输入表!$I$606),0)</f>
        <v>10.1946902654867</v>
      </c>
      <c r="O13" s="124">
        <f>IF(O4-参数输入表!$I$4&gt;0,参数输入表!$I$605/(1+参数输入表!$I$606),0)</f>
        <v>10.1946902654867</v>
      </c>
      <c r="P13" s="124">
        <f>IF(P4-参数输入表!$I$4&gt;0,参数输入表!$I$605/(1+参数输入表!$I$606),0)</f>
        <v>10.1946902654867</v>
      </c>
      <c r="Q13" s="124">
        <f>IF(Q4-参数输入表!$I$4&gt;0,参数输入表!$I$605/(1+参数输入表!$I$606),0)</f>
        <v>10.1946902654867</v>
      </c>
      <c r="R13" s="124">
        <f>IF(R4-参数输入表!$I$4&gt;0,参数输入表!$I$605/(1+参数输入表!$I$606),0)</f>
        <v>10.1946902654867</v>
      </c>
      <c r="S13" s="124">
        <f>IF(S4-参数输入表!$I$4&gt;0,参数输入表!$I$605/(1+参数输入表!$I$606),0)</f>
        <v>10.1946902654867</v>
      </c>
      <c r="T13" s="124">
        <f>IF(T4-参数输入表!$I$4&gt;0,参数输入表!$I$605/(1+参数输入表!$I$606),0)</f>
        <v>10.1946902654867</v>
      </c>
      <c r="U13" s="124">
        <f>IF(U4-参数输入表!$I$4&gt;0,参数输入表!$I$605/(1+参数输入表!$I$606),0)</f>
        <v>10.1946902654867</v>
      </c>
      <c r="V13" s="124">
        <f>IF(V4-参数输入表!$I$4&gt;0,参数输入表!$I$605/(1+参数输入表!$I$606),0)</f>
        <v>10.1946902654867</v>
      </c>
      <c r="W13" s="124">
        <f>IF(W4-参数输入表!$I$4&gt;0,参数输入表!$I$605/(1+参数输入表!$I$606),0)</f>
        <v>10.1946902654867</v>
      </c>
      <c r="X13" s="124">
        <f>IF(X4-参数输入表!$I$4&gt;0,参数输入表!$I$605/(1+参数输入表!$I$606),0)</f>
        <v>10.1946902654867</v>
      </c>
      <c r="Y13" s="124">
        <f>IF(Y4-参数输入表!$I$4&gt;0,参数输入表!$I$605/(1+参数输入表!$I$606),0)</f>
        <v>10.1946902654867</v>
      </c>
      <c r="Z13" s="124">
        <f>IF(Z4-参数输入表!$I$4&gt;0,参数输入表!$I$605/(1+参数输入表!$I$606),0)</f>
        <v>10.1946902654867</v>
      </c>
      <c r="AA13" s="124">
        <f>IF(AA4-参数输入表!$I$4&gt;0,参数输入表!$I$605/(1+参数输入表!$I$606),0)</f>
        <v>10.1946902654867</v>
      </c>
      <c r="AB13" s="124">
        <f>IF(AB4-参数输入表!$I$4&gt;0,参数输入表!$I$605/(1+参数输入表!$I$606),0)</f>
        <v>10.1946902654867</v>
      </c>
      <c r="AC13" s="124">
        <f>IF(AC4-参数输入表!$I$4&gt;0,参数输入表!$I$605/(1+参数输入表!$I$606),0)</f>
        <v>10.1946902654867</v>
      </c>
      <c r="AD13" s="124">
        <f>IF(AD4-参数输入表!$I$4&gt;0,参数输入表!$I$605/(1+参数输入表!$I$606),0)</f>
        <v>10.1946902654867</v>
      </c>
      <c r="AE13" s="124">
        <f>IF(AE4-参数输入表!$I$4&gt;0,参数输入表!$I$605/(1+参数输入表!$I$606),0)</f>
        <v>10.1946902654867</v>
      </c>
      <c r="AF13" s="124">
        <f>IF(AF4-参数输入表!$I$4&gt;0,参数输入表!$I$605/(1+参数输入表!$I$606),0)</f>
        <v>10.1946902654867</v>
      </c>
      <c r="AG13" s="124">
        <f>IF(AG4-参数输入表!$I$4&gt;0,参数输入表!$I$605/(1+参数输入表!$I$606),0)</f>
        <v>10.1946902654867</v>
      </c>
      <c r="AH13" s="124">
        <f>IF(AH4-参数输入表!$I$4&gt;0,参数输入表!$I$605/(1+参数输入表!$I$606),0)</f>
        <v>10.1946902654867</v>
      </c>
      <c r="AI13" s="124">
        <f>IF(AI4-参数输入表!$I$4&gt;0,参数输入表!$I$605/(1+参数输入表!$I$606),0)</f>
        <v>10.1946902654867</v>
      </c>
      <c r="AJ13" s="124">
        <f>IF(AJ4-参数输入表!$I$4&gt;0,参数输入表!$I$605/(1+参数输入表!$I$606),0)</f>
        <v>10.1946902654867</v>
      </c>
      <c r="AK13" s="124">
        <f>IF(AK4-参数输入表!$I$4&gt;0,参数输入表!$I$605/(1+参数输入表!$I$606),0)</f>
        <v>10.1946902654867</v>
      </c>
      <c r="AL13" s="124">
        <f>IF(AL4-参数输入表!$I$4&gt;0,参数输入表!$I$605/(1+参数输入表!$I$606),0)</f>
        <v>10.1946902654867</v>
      </c>
      <c r="AM13" s="124">
        <f>IF(AM4-参数输入表!$I$4&gt;0,参数输入表!$I$605/(1+参数输入表!$I$606),0)</f>
        <v>10.1946902654867</v>
      </c>
      <c r="AN13" s="124">
        <f>IF(AN4-参数输入表!$I$4&gt;0,参数输入表!$I$605/(1+参数输入表!$I$606),0)</f>
        <v>10.1946902654867</v>
      </c>
      <c r="AO13" s="124">
        <f>IF(AO4-参数输入表!$I$4&gt;0,参数输入表!$I$605/(1+参数输入表!$I$606),0)</f>
        <v>10.1946902654867</v>
      </c>
      <c r="AP13" s="124">
        <f>IF(AP4-参数输入表!$I$4&gt;0,参数输入表!$I$605/(1+参数输入表!$I$606),0)</f>
        <v>10.1946902654867</v>
      </c>
      <c r="AQ13" s="124">
        <f>IF(AQ4-参数输入表!$I$4&gt;0,参数输入表!$I$605/(1+参数输入表!$I$606),0)</f>
        <v>10.1946902654867</v>
      </c>
      <c r="AR13" s="124">
        <f>IF(AR4-参数输入表!$I$4&gt;0,参数输入表!$I$605/(1+参数输入表!$I$606),0)</f>
        <v>10.1946902654867</v>
      </c>
      <c r="AS13" s="124">
        <f>IF(AS4-参数输入表!$I$4&gt;0,参数输入表!$I$605/(1+参数输入表!$I$606),0)</f>
        <v>10.1946902654867</v>
      </c>
      <c r="AT13" s="124">
        <f>IF(AT4-参数输入表!$I$4&gt;0,参数输入表!$I$605/(1+参数输入表!$I$606),0)</f>
        <v>10.1946902654867</v>
      </c>
      <c r="AU13" s="124">
        <f>IF(AU4-参数输入表!$I$4&gt;0,参数输入表!$I$605/(1+参数输入表!$I$606),0)</f>
        <v>10.1946902654867</v>
      </c>
      <c r="AV13" s="124">
        <f>IF(AV4-参数输入表!$I$4&gt;0,参数输入表!$I$605/(1+参数输入表!$I$606),0)</f>
        <v>10.1946902654867</v>
      </c>
      <c r="AW13" s="124">
        <f>IF(AW4-参数输入表!$I$4&gt;0,参数输入表!$I$605/(1+参数输入表!$I$606),0)</f>
        <v>10.1946902654867</v>
      </c>
      <c r="AX13" s="124">
        <f>IF(AX4-参数输入表!$I$4&gt;0,参数输入表!$I$605/(1+参数输入表!$I$606),0)</f>
        <v>10.1946902654867</v>
      </c>
      <c r="AY13" s="124">
        <f>IF(AY4-参数输入表!$I$4&gt;0,参数输入表!$I$605/(1+参数输入表!$I$606),0)</f>
        <v>10.1946902654867</v>
      </c>
      <c r="AZ13" s="124">
        <f>IF(AZ4-参数输入表!$I$4&gt;0,参数输入表!$I$605/(1+参数输入表!$I$606),0)</f>
        <v>10.1946902654867</v>
      </c>
      <c r="BA13" s="125">
        <f>IF(BA4-参数输入表!$I$4&gt;0,参数输入表!$I$605/(1+参数输入表!$I$606),0)</f>
        <v>10.1946902654867</v>
      </c>
    </row>
    <row r="14" s="105" customFormat="1" spans="2:53">
      <c r="B14" s="257">
        <v>1.5</v>
      </c>
      <c r="C14" s="54" t="s">
        <v>294</v>
      </c>
      <c r="D14" s="124">
        <f>SUM(F14:BA14)</f>
        <v>1561.41592920354</v>
      </c>
      <c r="E14" s="266" t="s">
        <v>130</v>
      </c>
      <c r="F14" s="124">
        <f>IF(F4-参数输入表!$I$4&gt;0,参数输入表!$I$608/(1+参数输入表!$I$609),0)</f>
        <v>0</v>
      </c>
      <c r="G14" s="124">
        <f>IF(G4-参数输入表!$I$4&gt;0,参数输入表!$I$608/(1+参数输入表!$I$609),0)</f>
        <v>0</v>
      </c>
      <c r="H14" s="124">
        <f>IF(H4-参数输入表!$I$4&gt;0,参数输入表!$I$608/(1+参数输入表!$I$609),0)</f>
        <v>0</v>
      </c>
      <c r="I14" s="124">
        <f>IF(I4-参数输入表!$I$4&gt;0,参数输入表!$I$608/(1+参数输入表!$I$609),0)</f>
        <v>0</v>
      </c>
      <c r="J14" s="124">
        <f>IF(J4-参数输入表!$I$4&gt;0,参数输入表!$I$608/(1+参数输入表!$I$609),0)</f>
        <v>0</v>
      </c>
      <c r="K14" s="124">
        <f>IF(K4-参数输入表!$I$4&gt;0,参数输入表!$I$608/(1+参数输入表!$I$609),0)</f>
        <v>0</v>
      </c>
      <c r="L14" s="124">
        <f>IF(L4-参数输入表!$I$4&gt;0,参数输入表!$I$608/(1+参数输入表!$I$609),0)</f>
        <v>0</v>
      </c>
      <c r="M14" s="124">
        <f>IF(M4-参数输入表!$I$4&gt;0,参数输入表!$I$608/(1+参数输入表!$I$609),0)</f>
        <v>0</v>
      </c>
      <c r="N14" s="124">
        <f>IF(N4-参数输入表!$I$4&gt;0,参数输入表!$I$608/(1+参数输入表!$I$609),0)</f>
        <v>39.0353982300885</v>
      </c>
      <c r="O14" s="124">
        <f>IF(O4-参数输入表!$I$4&gt;0,参数输入表!$I$608/(1+参数输入表!$I$609),0)</f>
        <v>39.0353982300885</v>
      </c>
      <c r="P14" s="124">
        <f>IF(P4-参数输入表!$I$4&gt;0,参数输入表!$I$608/(1+参数输入表!$I$609),0)</f>
        <v>39.0353982300885</v>
      </c>
      <c r="Q14" s="124">
        <f>IF(Q4-参数输入表!$I$4&gt;0,参数输入表!$I$608/(1+参数输入表!$I$609),0)</f>
        <v>39.0353982300885</v>
      </c>
      <c r="R14" s="124">
        <f>IF(R4-参数输入表!$I$4&gt;0,参数输入表!$I$608/(1+参数输入表!$I$609),0)</f>
        <v>39.0353982300885</v>
      </c>
      <c r="S14" s="124">
        <f>IF(S4-参数输入表!$I$4&gt;0,参数输入表!$I$608/(1+参数输入表!$I$609),0)</f>
        <v>39.0353982300885</v>
      </c>
      <c r="T14" s="124">
        <f>IF(T4-参数输入表!$I$4&gt;0,参数输入表!$I$608/(1+参数输入表!$I$609),0)</f>
        <v>39.0353982300885</v>
      </c>
      <c r="U14" s="124">
        <f>IF(U4-参数输入表!$I$4&gt;0,参数输入表!$I$608/(1+参数输入表!$I$609),0)</f>
        <v>39.0353982300885</v>
      </c>
      <c r="V14" s="124">
        <f>IF(V4-参数输入表!$I$4&gt;0,参数输入表!$I$608/(1+参数输入表!$I$609),0)</f>
        <v>39.0353982300885</v>
      </c>
      <c r="W14" s="124">
        <f>IF(W4-参数输入表!$I$4&gt;0,参数输入表!$I$608/(1+参数输入表!$I$609),0)</f>
        <v>39.0353982300885</v>
      </c>
      <c r="X14" s="124">
        <f>IF(X4-参数输入表!$I$4&gt;0,参数输入表!$I$608/(1+参数输入表!$I$609),0)</f>
        <v>39.0353982300885</v>
      </c>
      <c r="Y14" s="124">
        <f>IF(Y4-参数输入表!$I$4&gt;0,参数输入表!$I$608/(1+参数输入表!$I$609),0)</f>
        <v>39.0353982300885</v>
      </c>
      <c r="Z14" s="124">
        <f>IF(Z4-参数输入表!$I$4&gt;0,参数输入表!$I$608/(1+参数输入表!$I$609),0)</f>
        <v>39.0353982300885</v>
      </c>
      <c r="AA14" s="124">
        <f>IF(AA4-参数输入表!$I$4&gt;0,参数输入表!$I$608/(1+参数输入表!$I$609),0)</f>
        <v>39.0353982300885</v>
      </c>
      <c r="AB14" s="124">
        <f>IF(AB4-参数输入表!$I$4&gt;0,参数输入表!$I$608/(1+参数输入表!$I$609),0)</f>
        <v>39.0353982300885</v>
      </c>
      <c r="AC14" s="124">
        <f>IF(AC4-参数输入表!$I$4&gt;0,参数输入表!$I$608/(1+参数输入表!$I$609),0)</f>
        <v>39.0353982300885</v>
      </c>
      <c r="AD14" s="124">
        <f>IF(AD4-参数输入表!$I$4&gt;0,参数输入表!$I$608/(1+参数输入表!$I$609),0)</f>
        <v>39.0353982300885</v>
      </c>
      <c r="AE14" s="124">
        <f>IF(AE4-参数输入表!$I$4&gt;0,参数输入表!$I$608/(1+参数输入表!$I$609),0)</f>
        <v>39.0353982300885</v>
      </c>
      <c r="AF14" s="124">
        <f>IF(AF4-参数输入表!$I$4&gt;0,参数输入表!$I$608/(1+参数输入表!$I$609),0)</f>
        <v>39.0353982300885</v>
      </c>
      <c r="AG14" s="124">
        <f>IF(AG4-参数输入表!$I$4&gt;0,参数输入表!$I$608/(1+参数输入表!$I$609),0)</f>
        <v>39.0353982300885</v>
      </c>
      <c r="AH14" s="124">
        <f>IF(AH4-参数输入表!$I$4&gt;0,参数输入表!$I$608/(1+参数输入表!$I$609),0)</f>
        <v>39.0353982300885</v>
      </c>
      <c r="AI14" s="124">
        <f>IF(AI4-参数输入表!$I$4&gt;0,参数输入表!$I$608/(1+参数输入表!$I$609),0)</f>
        <v>39.0353982300885</v>
      </c>
      <c r="AJ14" s="124">
        <f>IF(AJ4-参数输入表!$I$4&gt;0,参数输入表!$I$608/(1+参数输入表!$I$609),0)</f>
        <v>39.0353982300885</v>
      </c>
      <c r="AK14" s="124">
        <f>IF(AK4-参数输入表!$I$4&gt;0,参数输入表!$I$608/(1+参数输入表!$I$609),0)</f>
        <v>39.0353982300885</v>
      </c>
      <c r="AL14" s="124">
        <f>IF(AL4-参数输入表!$I$4&gt;0,参数输入表!$I$608/(1+参数输入表!$I$609),0)</f>
        <v>39.0353982300885</v>
      </c>
      <c r="AM14" s="124">
        <f>IF(AM4-参数输入表!$I$4&gt;0,参数输入表!$I$608/(1+参数输入表!$I$609),0)</f>
        <v>39.0353982300885</v>
      </c>
      <c r="AN14" s="124">
        <f>IF(AN4-参数输入表!$I$4&gt;0,参数输入表!$I$608/(1+参数输入表!$I$609),0)</f>
        <v>39.0353982300885</v>
      </c>
      <c r="AO14" s="124">
        <f>IF(AO4-参数输入表!$I$4&gt;0,参数输入表!$I$608/(1+参数输入表!$I$609),0)</f>
        <v>39.0353982300885</v>
      </c>
      <c r="AP14" s="124">
        <f>IF(AP4-参数输入表!$I$4&gt;0,参数输入表!$I$608/(1+参数输入表!$I$609),0)</f>
        <v>39.0353982300885</v>
      </c>
      <c r="AQ14" s="124">
        <f>IF(AQ4-参数输入表!$I$4&gt;0,参数输入表!$I$608/(1+参数输入表!$I$609),0)</f>
        <v>39.0353982300885</v>
      </c>
      <c r="AR14" s="124">
        <f>IF(AR4-参数输入表!$I$4&gt;0,参数输入表!$I$608/(1+参数输入表!$I$609),0)</f>
        <v>39.0353982300885</v>
      </c>
      <c r="AS14" s="124">
        <f>IF(AS4-参数输入表!$I$4&gt;0,参数输入表!$I$608/(1+参数输入表!$I$609),0)</f>
        <v>39.0353982300885</v>
      </c>
      <c r="AT14" s="124">
        <f>IF(AT4-参数输入表!$I$4&gt;0,参数输入表!$I$608/(1+参数输入表!$I$609),0)</f>
        <v>39.0353982300885</v>
      </c>
      <c r="AU14" s="124">
        <f>IF(AU4-参数输入表!$I$4&gt;0,参数输入表!$I$608/(1+参数输入表!$I$609),0)</f>
        <v>39.0353982300885</v>
      </c>
      <c r="AV14" s="124">
        <f>IF(AV4-参数输入表!$I$4&gt;0,参数输入表!$I$608/(1+参数输入表!$I$609),0)</f>
        <v>39.0353982300885</v>
      </c>
      <c r="AW14" s="124">
        <f>IF(AW4-参数输入表!$I$4&gt;0,参数输入表!$I$608/(1+参数输入表!$I$609),0)</f>
        <v>39.0353982300885</v>
      </c>
      <c r="AX14" s="124">
        <f>IF(AX4-参数输入表!$I$4&gt;0,参数输入表!$I$608/(1+参数输入表!$I$609),0)</f>
        <v>39.0353982300885</v>
      </c>
      <c r="AY14" s="124">
        <f>IF(AY4-参数输入表!$I$4&gt;0,参数输入表!$I$608/(1+参数输入表!$I$609),0)</f>
        <v>39.0353982300885</v>
      </c>
      <c r="AZ14" s="124">
        <f>IF(AZ4-参数输入表!$I$4&gt;0,参数输入表!$I$608/(1+参数输入表!$I$609),0)</f>
        <v>39.0353982300885</v>
      </c>
      <c r="BA14" s="125">
        <f>IF(BA4-参数输入表!$I$4&gt;0,参数输入表!$I$608/(1+参数输入表!$I$609),0)</f>
        <v>39.0353982300885</v>
      </c>
    </row>
    <row r="15" spans="2:53">
      <c r="B15" s="257" t="s">
        <v>760</v>
      </c>
      <c r="C15" s="258" t="s">
        <v>255</v>
      </c>
      <c r="D15" s="42">
        <f t="shared" ref="D15:D24" si="5">SUM(F15:BA15)</f>
        <v>397551.988086561</v>
      </c>
      <c r="E15" s="256" t="s">
        <v>130</v>
      </c>
      <c r="F15" s="42">
        <f>参数输入表!$I$386*参数输入表!$I$435/(1+参数输入表!$I$436)</f>
        <v>0</v>
      </c>
      <c r="G15" s="42">
        <f>参数输入表!$I$387*参数输入表!$I$435/(1+参数输入表!$I$436)</f>
        <v>0</v>
      </c>
      <c r="H15" s="42">
        <f>参数输入表!$I$388*参数输入表!$I$435/(1+参数输入表!$I$436)</f>
        <v>0</v>
      </c>
      <c r="I15" s="42">
        <f>参数输入表!$I$389*参数输入表!$I$435/(1+参数输入表!$I$436)</f>
        <v>0</v>
      </c>
      <c r="J15" s="42">
        <f>参数输入表!$I$390*参数输入表!$I$435/(1+参数输入表!$I$436)</f>
        <v>0</v>
      </c>
      <c r="K15" s="42">
        <f>参数输入表!$I$391*参数输入表!$I$435/(1+参数输入表!$I$436)</f>
        <v>0</v>
      </c>
      <c r="L15" s="42">
        <f>参数输入表!$I$392*参数输入表!$I$435/(1+参数输入表!$I$436)</f>
        <v>0</v>
      </c>
      <c r="M15" s="42">
        <f>参数输入表!$I$393*参数输入表!$I$435/(1+参数输入表!$I$436)</f>
        <v>4141.16654256835</v>
      </c>
      <c r="N15" s="42">
        <f>参数输入表!$I$394*参数输入表!$I$435/(1+参数输入表!$I$436)</f>
        <v>9938.79970216403</v>
      </c>
      <c r="O15" s="42">
        <f>参数输入表!$I$395*参数输入表!$I$435/(1+参数输入表!$I$436)</f>
        <v>9938.79970216403</v>
      </c>
      <c r="P15" s="42">
        <f>参数输入表!$I$396*参数输入表!$I$435/(1+参数输入表!$I$436)</f>
        <v>9938.79970216403</v>
      </c>
      <c r="Q15" s="42">
        <f>参数输入表!$I$397*参数输入表!$I$435/(1+参数输入表!$I$436)</f>
        <v>9938.79970216403</v>
      </c>
      <c r="R15" s="42">
        <f>参数输入表!$I$398*参数输入表!$I$435/(1+参数输入表!$I$436)</f>
        <v>9938.79970216403</v>
      </c>
      <c r="S15" s="42">
        <f>参数输入表!$I$399*参数输入表!$I$435/(1+参数输入表!$I$436)</f>
        <v>9938.79970216403</v>
      </c>
      <c r="T15" s="42">
        <f>参数输入表!$I$400*参数输入表!$I$435/(1+参数输入表!$I$436)</f>
        <v>9938.79970216403</v>
      </c>
      <c r="U15" s="42">
        <f>参数输入表!$I$401*参数输入表!$I$435/(1+参数输入表!$I$436)</f>
        <v>9938.79970216403</v>
      </c>
      <c r="V15" s="42">
        <f>参数输入表!$I$402*参数输入表!$I$435/(1+参数输入表!$I$436)</f>
        <v>9938.79970216403</v>
      </c>
      <c r="W15" s="42">
        <f>参数输入表!$I$403*参数输入表!$I$435/(1+参数输入表!$I$436)</f>
        <v>9938.79970216403</v>
      </c>
      <c r="X15" s="42">
        <f>参数输入表!$I$404*参数输入表!$I$435/(1+参数输入表!$I$436)</f>
        <v>9938.79970216403</v>
      </c>
      <c r="Y15" s="42">
        <f>参数输入表!$I$405*参数输入表!$I$435/(1+参数输入表!$I$436)</f>
        <v>9938.79970216403</v>
      </c>
      <c r="Z15" s="42">
        <f>参数输入表!$I$406*参数输入表!$I$435/(1+参数输入表!$I$436)</f>
        <v>9938.79970216403</v>
      </c>
      <c r="AA15" s="42">
        <f>参数输入表!$I$407*参数输入表!$I$435/(1+参数输入表!$I$436)</f>
        <v>9938.79970216403</v>
      </c>
      <c r="AB15" s="42">
        <f>参数输入表!$I$408*参数输入表!$I$435/(1+参数输入表!$I$436)</f>
        <v>9938.79970216403</v>
      </c>
      <c r="AC15" s="42">
        <f>参数输入表!$I$409*参数输入表!$I$435/(1+参数输入表!$I$436)</f>
        <v>9938.79970216403</v>
      </c>
      <c r="AD15" s="42">
        <f>参数输入表!$I$410*参数输入表!$I$435/(1+参数输入表!$I$436)</f>
        <v>9938.79970216403</v>
      </c>
      <c r="AE15" s="42">
        <f>参数输入表!$I$411*参数输入表!$I$435/(1+参数输入表!$I$436)</f>
        <v>9938.79970216403</v>
      </c>
      <c r="AF15" s="42">
        <f>参数输入表!$I$412*参数输入表!$I$435/(1+参数输入表!$I$436)</f>
        <v>9938.79970216403</v>
      </c>
      <c r="AG15" s="42">
        <f>参数输入表!$I$413*参数输入表!$I$435/(1+参数输入表!$I$436)</f>
        <v>9938.79970216403</v>
      </c>
      <c r="AH15" s="42">
        <f>参数输入表!$I$414*参数输入表!$I$435/(1+参数输入表!$I$436)</f>
        <v>9938.79970216403</v>
      </c>
      <c r="AI15" s="42">
        <f>参数输入表!$I$415*参数输入表!$I$435/(1+参数输入表!$I$436)</f>
        <v>9938.79970216403</v>
      </c>
      <c r="AJ15" s="42">
        <f>参数输入表!$I$416*参数输入表!$I$435/(1+参数输入表!$I$436)</f>
        <v>9938.79970216403</v>
      </c>
      <c r="AK15" s="42">
        <f>参数输入表!$I$417*参数输入表!$I$435/(1+参数输入表!$I$436)</f>
        <v>9938.79970216403</v>
      </c>
      <c r="AL15" s="42">
        <f>参数输入表!$I$418*参数输入表!$I$435/(1+参数输入表!$I$436)</f>
        <v>9938.79970216403</v>
      </c>
      <c r="AM15" s="42">
        <f>参数输入表!$I$419*参数输入表!$I$435/(1+参数输入表!$I$436)</f>
        <v>9938.79970216403</v>
      </c>
      <c r="AN15" s="42">
        <f>参数输入表!$I$420*参数输入表!$I$435/(1+参数输入表!$I$436)</f>
        <v>9938.79970216403</v>
      </c>
      <c r="AO15" s="42">
        <f>参数输入表!$I$421*参数输入表!$I$435/(1+参数输入表!$I$436)</f>
        <v>9938.79970216403</v>
      </c>
      <c r="AP15" s="42">
        <f>参数输入表!$I$422*参数输入表!$I$435/(1+参数输入表!$I$436)</f>
        <v>9938.79970216403</v>
      </c>
      <c r="AQ15" s="42">
        <f>参数输入表!$I$423*参数输入表!$I$435/(1+参数输入表!$I$436)</f>
        <v>9938.79970216403</v>
      </c>
      <c r="AR15" s="42">
        <f>参数输入表!$I$424*参数输入表!$I$435/(1+参数输入表!$I$436)</f>
        <v>9938.79970216403</v>
      </c>
      <c r="AS15" s="42">
        <f>参数输入表!$I$425*参数输入表!$I$435/(1+参数输入表!$I$436)</f>
        <v>9938.79970216403</v>
      </c>
      <c r="AT15" s="42">
        <f>参数输入表!$I$426*参数输入表!$I$435/(1+参数输入表!$I$436)</f>
        <v>9938.79970216403</v>
      </c>
      <c r="AU15" s="42">
        <f>参数输入表!$I$427*参数输入表!$I$435/(1+参数输入表!$I$436)</f>
        <v>9938.79970216403</v>
      </c>
      <c r="AV15" s="42">
        <f>参数输入表!$I$428*参数输入表!$I$435/(1+参数输入表!$I$436)</f>
        <v>9938.79970216403</v>
      </c>
      <c r="AW15" s="42">
        <f>参数输入表!$I$429*参数输入表!$I$435/(1+参数输入表!$I$436)</f>
        <v>9938.79970216403</v>
      </c>
      <c r="AX15" s="42">
        <f>参数输入表!$I$430*参数输入表!$I$435/(1+参数输入表!$I$436)</f>
        <v>9938.79970216403</v>
      </c>
      <c r="AY15" s="42">
        <f>参数输入表!$I$431*参数输入表!$I$435/(1+参数输入表!$I$436)</f>
        <v>9938.79970216403</v>
      </c>
      <c r="AZ15" s="42">
        <f>参数输入表!$I$432*参数输入表!$I$435/(1+参数输入表!$I$436)</f>
        <v>9938.79970216403</v>
      </c>
      <c r="BA15" s="43">
        <f>参数输入表!$I$433*参数输入表!$I$435/(1+参数输入表!$I$436)</f>
        <v>5797.63315959569</v>
      </c>
    </row>
    <row r="16" spans="2:53">
      <c r="B16" s="257" t="s">
        <v>761</v>
      </c>
      <c r="C16" s="54" t="s">
        <v>269</v>
      </c>
      <c r="D16" s="42">
        <f t="shared" si="5"/>
        <v>111100.8</v>
      </c>
      <c r="E16" s="256" t="s">
        <v>130</v>
      </c>
      <c r="F16" s="42">
        <f>(参数输入表!$I$492*参数输入表!$I$495+参数输入表!$I$493*参数输入表!$I$496)*(1+参数输入表!$I$497)*(1+参数输入表!$I$498*(F4-参数输入表!$I$25))/(1+参数输入表!$I$499)*F5</f>
        <v>0</v>
      </c>
      <c r="G16" s="42">
        <f>(参数输入表!$I$492*参数输入表!$I$495+参数输入表!$I$493*参数输入表!$I$496)*(1+参数输入表!$I$497)*(1+参数输入表!$I$498*(G4-参数输入表!$I$25))/(1+参数输入表!$I$499)*G5</f>
        <v>0</v>
      </c>
      <c r="H16" s="42">
        <f>(参数输入表!$I$492*参数输入表!$I$495+参数输入表!$I$493*参数输入表!$I$496)*(1+参数输入表!$I$497)*(1+参数输入表!$I$498*(H4-参数输入表!$I$25))/(1+参数输入表!$I$499)*H5</f>
        <v>0</v>
      </c>
      <c r="I16" s="42">
        <f>(参数输入表!$I$492*参数输入表!$I$495+参数输入表!$I$493*参数输入表!$I$496)*(1+参数输入表!$I$497)*(1+参数输入表!$I$498*(I4-参数输入表!$I$25))/(1+参数输入表!$I$499)*I5</f>
        <v>0</v>
      </c>
      <c r="J16" s="42">
        <f>(参数输入表!$I$492*参数输入表!$I$495+参数输入表!$I$493*参数输入表!$I$496)*(1+参数输入表!$I$497)*(1+参数输入表!$I$498*(J4-参数输入表!$I$25))/(1+参数输入表!$I$499)*J5</f>
        <v>0</v>
      </c>
      <c r="K16" s="42">
        <f>(参数输入表!$I$492*参数输入表!$I$495+参数输入表!$I$493*参数输入表!$I$496)*(1+参数输入表!$I$497)*(1+参数输入表!$I$498*(K4-参数输入表!$I$25))/(1+参数输入表!$I$499)*K5</f>
        <v>0</v>
      </c>
      <c r="L16" s="42">
        <f>(参数输入表!$I$492*参数输入表!$I$495+参数输入表!$I$493*参数输入表!$I$496)*(1+参数输入表!$I$497)*(1+参数输入表!$I$498*(L4-参数输入表!$I$25))/(1+参数输入表!$I$499)*L5</f>
        <v>0</v>
      </c>
      <c r="M16" s="42">
        <f>(参数输入表!$I$492*参数输入表!$I$495+参数输入表!$I$493*参数输入表!$I$496)*(1+参数输入表!$I$497)*(1+参数输入表!$I$498*(M4-参数输入表!$I$25))/(1+参数输入表!$I$499)*M5</f>
        <v>1157.3</v>
      </c>
      <c r="N16" s="42">
        <f>(参数输入表!$I$492*参数输入表!$I$495+参数输入表!$I$493*参数输入表!$I$496)*(1+参数输入表!$I$497)*(1+参数输入表!$I$498*(N4-参数输入表!$I$25))/(1+参数输入表!$I$499)*N5</f>
        <v>2777.52</v>
      </c>
      <c r="O16" s="42">
        <f>(参数输入表!$I$492*参数输入表!$I$495+参数输入表!$I$493*参数输入表!$I$496)*(1+参数输入表!$I$497)*(1+参数输入表!$I$498*(O4-参数输入表!$I$25))/(1+参数输入表!$I$499)*O5</f>
        <v>2777.52</v>
      </c>
      <c r="P16" s="42">
        <f>(参数输入表!$I$492*参数输入表!$I$495+参数输入表!$I$493*参数输入表!$I$496)*(1+参数输入表!$I$497)*(1+参数输入表!$I$498*(P4-参数输入表!$I$25))/(1+参数输入表!$I$499)*P5</f>
        <v>2777.52</v>
      </c>
      <c r="Q16" s="42">
        <f>(参数输入表!$I$492*参数输入表!$I$495+参数输入表!$I$493*参数输入表!$I$496)*(1+参数输入表!$I$497)*(1+参数输入表!$I$498*(Q4-参数输入表!$I$25))/(1+参数输入表!$I$499)*Q5</f>
        <v>2777.52</v>
      </c>
      <c r="R16" s="42">
        <f>(参数输入表!$I$492*参数输入表!$I$495+参数输入表!$I$493*参数输入表!$I$496)*(1+参数输入表!$I$497)*(1+参数输入表!$I$498*(R4-参数输入表!$I$25))/(1+参数输入表!$I$499)*R5</f>
        <v>2777.52</v>
      </c>
      <c r="S16" s="42">
        <f>(参数输入表!$I$492*参数输入表!$I$495+参数输入表!$I$493*参数输入表!$I$496)*(1+参数输入表!$I$497)*(1+参数输入表!$I$498*(S4-参数输入表!$I$25))/(1+参数输入表!$I$499)*S5</f>
        <v>2777.52</v>
      </c>
      <c r="T16" s="42">
        <f>(参数输入表!$I$492*参数输入表!$I$495+参数输入表!$I$493*参数输入表!$I$496)*(1+参数输入表!$I$497)*(1+参数输入表!$I$498*(T4-参数输入表!$I$25))/(1+参数输入表!$I$499)*T5</f>
        <v>2777.52</v>
      </c>
      <c r="U16" s="42">
        <f>(参数输入表!$I$492*参数输入表!$I$495+参数输入表!$I$493*参数输入表!$I$496)*(1+参数输入表!$I$497)*(1+参数输入表!$I$498*(U4-参数输入表!$I$25))/(1+参数输入表!$I$499)*U5</f>
        <v>2777.52</v>
      </c>
      <c r="V16" s="42">
        <f>(参数输入表!$I$492*参数输入表!$I$495+参数输入表!$I$493*参数输入表!$I$496)*(1+参数输入表!$I$497)*(1+参数输入表!$I$498*(V4-参数输入表!$I$25))/(1+参数输入表!$I$499)*V5</f>
        <v>2777.52</v>
      </c>
      <c r="W16" s="42">
        <f>(参数输入表!$I$492*参数输入表!$I$495+参数输入表!$I$493*参数输入表!$I$496)*(1+参数输入表!$I$497)*(1+参数输入表!$I$498*(W4-参数输入表!$I$25))/(1+参数输入表!$I$499)*W5</f>
        <v>2777.52</v>
      </c>
      <c r="X16" s="42">
        <f>(参数输入表!$I$492*参数输入表!$I$495+参数输入表!$I$493*参数输入表!$I$496)*(1+参数输入表!$I$497)*(1+参数输入表!$I$498*(X4-参数输入表!$I$25))/(1+参数输入表!$I$499)*X5</f>
        <v>2777.52</v>
      </c>
      <c r="Y16" s="42">
        <f>(参数输入表!$I$492*参数输入表!$I$495+参数输入表!$I$493*参数输入表!$I$496)*(1+参数输入表!$I$497)*(1+参数输入表!$I$498*(Y4-参数输入表!$I$25))/(1+参数输入表!$I$499)*Y5</f>
        <v>2777.52</v>
      </c>
      <c r="Z16" s="42">
        <f>(参数输入表!$I$492*参数输入表!$I$495+参数输入表!$I$493*参数输入表!$I$496)*(1+参数输入表!$I$497)*(1+参数输入表!$I$498*(Z4-参数输入表!$I$25))/(1+参数输入表!$I$499)*Z5</f>
        <v>2777.52</v>
      </c>
      <c r="AA16" s="42">
        <f>(参数输入表!$I$492*参数输入表!$I$495+参数输入表!$I$493*参数输入表!$I$496)*(1+参数输入表!$I$497)*(1+参数输入表!$I$498*(AA4-参数输入表!$I$25))/(1+参数输入表!$I$499)*AA5</f>
        <v>2777.52</v>
      </c>
      <c r="AB16" s="42">
        <f>(参数输入表!$I$492*参数输入表!$I$495+参数输入表!$I$493*参数输入表!$I$496)*(1+参数输入表!$I$497)*(1+参数输入表!$I$498*(AB4-参数输入表!$I$25))/(1+参数输入表!$I$499)*AB5</f>
        <v>2777.52</v>
      </c>
      <c r="AC16" s="42">
        <f>(参数输入表!$I$492*参数输入表!$I$495+参数输入表!$I$493*参数输入表!$I$496)*(1+参数输入表!$I$497)*(1+参数输入表!$I$498*(AC4-参数输入表!$I$25))/(1+参数输入表!$I$499)*AC5</f>
        <v>2777.52</v>
      </c>
      <c r="AD16" s="42">
        <f>(参数输入表!$I$492*参数输入表!$I$495+参数输入表!$I$493*参数输入表!$I$496)*(1+参数输入表!$I$497)*(1+参数输入表!$I$498*(AD4-参数输入表!$I$25))/(1+参数输入表!$I$499)*AD5</f>
        <v>2777.52</v>
      </c>
      <c r="AE16" s="42">
        <f>(参数输入表!$I$492*参数输入表!$I$495+参数输入表!$I$493*参数输入表!$I$496)*(1+参数输入表!$I$497)*(1+参数输入表!$I$498*(AE4-参数输入表!$I$25))/(1+参数输入表!$I$499)*AE5</f>
        <v>2777.52</v>
      </c>
      <c r="AF16" s="42">
        <f>(参数输入表!$I$492*参数输入表!$I$495+参数输入表!$I$493*参数输入表!$I$496)*(1+参数输入表!$I$497)*(1+参数输入表!$I$498*(AF4-参数输入表!$I$25))/(1+参数输入表!$I$499)*AF5</f>
        <v>2777.52</v>
      </c>
      <c r="AG16" s="42">
        <f>(参数输入表!$I$492*参数输入表!$I$495+参数输入表!$I$493*参数输入表!$I$496)*(1+参数输入表!$I$497)*(1+参数输入表!$I$498*(AG4-参数输入表!$I$25))/(1+参数输入表!$I$499)*AG5</f>
        <v>2777.52</v>
      </c>
      <c r="AH16" s="42">
        <f>(参数输入表!$I$492*参数输入表!$I$495+参数输入表!$I$493*参数输入表!$I$496)*(1+参数输入表!$I$497)*(1+参数输入表!$I$498*(AH4-参数输入表!$I$25))/(1+参数输入表!$I$499)*AH5</f>
        <v>2777.52</v>
      </c>
      <c r="AI16" s="42">
        <f>(参数输入表!$I$492*参数输入表!$I$495+参数输入表!$I$493*参数输入表!$I$496)*(1+参数输入表!$I$497)*(1+参数输入表!$I$498*(AI4-参数输入表!$I$25))/(1+参数输入表!$I$499)*AI5</f>
        <v>2777.52</v>
      </c>
      <c r="AJ16" s="42">
        <f>(参数输入表!$I$492*参数输入表!$I$495+参数输入表!$I$493*参数输入表!$I$496)*(1+参数输入表!$I$497)*(1+参数输入表!$I$498*(AJ4-参数输入表!$I$25))/(1+参数输入表!$I$499)*AJ5</f>
        <v>2777.52</v>
      </c>
      <c r="AK16" s="42">
        <f>(参数输入表!$I$492*参数输入表!$I$495+参数输入表!$I$493*参数输入表!$I$496)*(1+参数输入表!$I$497)*(1+参数输入表!$I$498*(AK4-参数输入表!$I$25))/(1+参数输入表!$I$499)*AK5</f>
        <v>2777.52</v>
      </c>
      <c r="AL16" s="42">
        <f>(参数输入表!$I$492*参数输入表!$I$495+参数输入表!$I$493*参数输入表!$I$496)*(1+参数输入表!$I$497)*(1+参数输入表!$I$498*(AL4-参数输入表!$I$25))/(1+参数输入表!$I$499)*AL5</f>
        <v>2777.52</v>
      </c>
      <c r="AM16" s="42">
        <f>(参数输入表!$I$492*参数输入表!$I$495+参数输入表!$I$493*参数输入表!$I$496)*(1+参数输入表!$I$497)*(1+参数输入表!$I$498*(AM4-参数输入表!$I$25))/(1+参数输入表!$I$499)*AM5</f>
        <v>2777.52</v>
      </c>
      <c r="AN16" s="42">
        <f>(参数输入表!$I$492*参数输入表!$I$495+参数输入表!$I$493*参数输入表!$I$496)*(1+参数输入表!$I$497)*(1+参数输入表!$I$498*(AN4-参数输入表!$I$25))/(1+参数输入表!$I$499)*AN5</f>
        <v>2777.52</v>
      </c>
      <c r="AO16" s="42">
        <f>(参数输入表!$I$492*参数输入表!$I$495+参数输入表!$I$493*参数输入表!$I$496)*(1+参数输入表!$I$497)*(1+参数输入表!$I$498*(AO4-参数输入表!$I$25))/(1+参数输入表!$I$499)*AO5</f>
        <v>2777.52</v>
      </c>
      <c r="AP16" s="42">
        <f>(参数输入表!$I$492*参数输入表!$I$495+参数输入表!$I$493*参数输入表!$I$496)*(1+参数输入表!$I$497)*(1+参数输入表!$I$498*(AP4-参数输入表!$I$25))/(1+参数输入表!$I$499)*AP5</f>
        <v>2777.52</v>
      </c>
      <c r="AQ16" s="42">
        <f>(参数输入表!$I$492*参数输入表!$I$495+参数输入表!$I$493*参数输入表!$I$496)*(1+参数输入表!$I$497)*(1+参数输入表!$I$498*(AQ4-参数输入表!$I$25))/(1+参数输入表!$I$499)*AQ5</f>
        <v>2777.52</v>
      </c>
      <c r="AR16" s="42">
        <f>(参数输入表!$I$492*参数输入表!$I$495+参数输入表!$I$493*参数输入表!$I$496)*(1+参数输入表!$I$497)*(1+参数输入表!$I$498*(AR4-参数输入表!$I$25))/(1+参数输入表!$I$499)*AR5</f>
        <v>2777.52</v>
      </c>
      <c r="AS16" s="42">
        <f>(参数输入表!$I$492*参数输入表!$I$495+参数输入表!$I$493*参数输入表!$I$496)*(1+参数输入表!$I$497)*(1+参数输入表!$I$498*(AS4-参数输入表!$I$25))/(1+参数输入表!$I$499)*AS5</f>
        <v>2777.52</v>
      </c>
      <c r="AT16" s="42">
        <f>(参数输入表!$I$492*参数输入表!$I$495+参数输入表!$I$493*参数输入表!$I$496)*(1+参数输入表!$I$497)*(1+参数输入表!$I$498*(AT4-参数输入表!$I$25))/(1+参数输入表!$I$499)*AT5</f>
        <v>2777.52</v>
      </c>
      <c r="AU16" s="42">
        <f>(参数输入表!$I$492*参数输入表!$I$495+参数输入表!$I$493*参数输入表!$I$496)*(1+参数输入表!$I$497)*(1+参数输入表!$I$498*(AU4-参数输入表!$I$25))/(1+参数输入表!$I$499)*AU5</f>
        <v>2777.52</v>
      </c>
      <c r="AV16" s="42">
        <f>(参数输入表!$I$492*参数输入表!$I$495+参数输入表!$I$493*参数输入表!$I$496)*(1+参数输入表!$I$497)*(1+参数输入表!$I$498*(AV4-参数输入表!$I$25))/(1+参数输入表!$I$499)*AV5</f>
        <v>2777.52</v>
      </c>
      <c r="AW16" s="42">
        <f>(参数输入表!$I$492*参数输入表!$I$495+参数输入表!$I$493*参数输入表!$I$496)*(1+参数输入表!$I$497)*(1+参数输入表!$I$498*(AW4-参数输入表!$I$25))/(1+参数输入表!$I$499)*AW5</f>
        <v>2777.52</v>
      </c>
      <c r="AX16" s="42">
        <f>(参数输入表!$I$492*参数输入表!$I$495+参数输入表!$I$493*参数输入表!$I$496)*(1+参数输入表!$I$497)*(1+参数输入表!$I$498*(AX4-参数输入表!$I$25))/(1+参数输入表!$I$499)*AX5</f>
        <v>2777.52</v>
      </c>
      <c r="AY16" s="42">
        <f>(参数输入表!$I$492*参数输入表!$I$495+参数输入表!$I$493*参数输入表!$I$496)*(1+参数输入表!$I$497)*(1+参数输入表!$I$498*(AY4-参数输入表!$I$25))/(1+参数输入表!$I$499)*AY5</f>
        <v>2777.52</v>
      </c>
      <c r="AZ16" s="42">
        <f>(参数输入表!$I$492*参数输入表!$I$495+参数输入表!$I$493*参数输入表!$I$496)*(1+参数输入表!$I$497)*(1+参数输入表!$I$498*(AZ4-参数输入表!$I$25))/(1+参数输入表!$I$499)*AZ5</f>
        <v>2777.52</v>
      </c>
      <c r="BA16" s="43">
        <f>(参数输入表!$I$492*参数输入表!$I$495+参数输入表!$I$493*参数输入表!$I$496)*(1+参数输入表!$I$497)*(1+参数输入表!$I$498*(BA4-参数输入表!$I$25))/(1+参数输入表!$I$499)*BA5</f>
        <v>1620.22</v>
      </c>
    </row>
    <row r="17" spans="2:53">
      <c r="B17" s="257" t="s">
        <v>762</v>
      </c>
      <c r="C17" s="54" t="s">
        <v>763</v>
      </c>
      <c r="D17" s="42">
        <f t="shared" si="5"/>
        <v>4128.44036697248</v>
      </c>
      <c r="E17" s="256" t="s">
        <v>130</v>
      </c>
      <c r="F17" s="42">
        <f>'表2-折旧摊销表'!F63</f>
        <v>0</v>
      </c>
      <c r="G17" s="42">
        <f>'表2-折旧摊销表'!G63</f>
        <v>0</v>
      </c>
      <c r="H17" s="42">
        <f>'表2-折旧摊销表'!H63</f>
        <v>0</v>
      </c>
      <c r="I17" s="42">
        <f>'表2-折旧摊销表'!I63</f>
        <v>0</v>
      </c>
      <c r="J17" s="42">
        <f>'表2-折旧摊销表'!J63</f>
        <v>0</v>
      </c>
      <c r="K17" s="42">
        <f>'表2-折旧摊销表'!K63</f>
        <v>0</v>
      </c>
      <c r="L17" s="42">
        <f>'表2-折旧摊销表'!L63</f>
        <v>0</v>
      </c>
      <c r="M17" s="42">
        <f>'表2-折旧摊销表'!M63</f>
        <v>0</v>
      </c>
      <c r="N17" s="42">
        <f>'表2-折旧摊销表'!N63</f>
        <v>91.743119266055</v>
      </c>
      <c r="O17" s="42">
        <f>'表2-折旧摊销表'!O63</f>
        <v>91.743119266055</v>
      </c>
      <c r="P17" s="42">
        <f>'表2-折旧摊销表'!P63</f>
        <v>91.743119266055</v>
      </c>
      <c r="Q17" s="42">
        <f>'表2-折旧摊销表'!Q63</f>
        <v>91.743119266055</v>
      </c>
      <c r="R17" s="42">
        <f>'表2-折旧摊销表'!R63</f>
        <v>91.743119266055</v>
      </c>
      <c r="S17" s="42">
        <f>'表2-折旧摊销表'!S63</f>
        <v>91.743119266055</v>
      </c>
      <c r="T17" s="42">
        <f>'表2-折旧摊销表'!T63</f>
        <v>91.743119266055</v>
      </c>
      <c r="U17" s="42">
        <f>'表2-折旧摊销表'!U63</f>
        <v>91.743119266055</v>
      </c>
      <c r="V17" s="42">
        <f>'表2-折旧摊销表'!V63</f>
        <v>91.743119266055</v>
      </c>
      <c r="W17" s="42">
        <f>'表2-折旧摊销表'!W63</f>
        <v>91.743119266055</v>
      </c>
      <c r="X17" s="42">
        <f>'表2-折旧摊销表'!X63</f>
        <v>91.743119266055</v>
      </c>
      <c r="Y17" s="42">
        <f>'表2-折旧摊销表'!Y63</f>
        <v>91.743119266055</v>
      </c>
      <c r="Z17" s="42">
        <f>'表2-折旧摊销表'!Z63</f>
        <v>91.743119266055</v>
      </c>
      <c r="AA17" s="42">
        <f>'表2-折旧摊销表'!AA63</f>
        <v>91.743119266055</v>
      </c>
      <c r="AB17" s="42">
        <f>'表2-折旧摊销表'!AB63</f>
        <v>91.743119266055</v>
      </c>
      <c r="AC17" s="42">
        <f>'表2-折旧摊销表'!AC63</f>
        <v>91.743119266055</v>
      </c>
      <c r="AD17" s="42">
        <f>'表2-折旧摊销表'!AD63</f>
        <v>91.743119266055</v>
      </c>
      <c r="AE17" s="42">
        <f>'表2-折旧摊销表'!AE63</f>
        <v>91.743119266055</v>
      </c>
      <c r="AF17" s="42">
        <f>'表2-折旧摊销表'!AF63</f>
        <v>91.743119266055</v>
      </c>
      <c r="AG17" s="42">
        <f>'表2-折旧摊销表'!AG63</f>
        <v>91.743119266055</v>
      </c>
      <c r="AH17" s="42">
        <f>'表2-折旧摊销表'!AH63</f>
        <v>91.743119266055</v>
      </c>
      <c r="AI17" s="42">
        <f>'表2-折旧摊销表'!AI63</f>
        <v>91.743119266055</v>
      </c>
      <c r="AJ17" s="42">
        <f>'表2-折旧摊销表'!AJ63</f>
        <v>91.743119266055</v>
      </c>
      <c r="AK17" s="42">
        <f>'表2-折旧摊销表'!AK63</f>
        <v>91.743119266055</v>
      </c>
      <c r="AL17" s="42">
        <f>'表2-折旧摊销表'!AL63</f>
        <v>91.743119266055</v>
      </c>
      <c r="AM17" s="42">
        <f>'表2-折旧摊销表'!AM63</f>
        <v>91.743119266055</v>
      </c>
      <c r="AN17" s="42">
        <f>'表2-折旧摊销表'!AN63</f>
        <v>91.743119266055</v>
      </c>
      <c r="AO17" s="42">
        <f>'表2-折旧摊销表'!AO63</f>
        <v>91.743119266055</v>
      </c>
      <c r="AP17" s="42">
        <f>'表2-折旧摊销表'!AP63</f>
        <v>91.743119266055</v>
      </c>
      <c r="AQ17" s="42">
        <f>'表2-折旧摊销表'!AQ63</f>
        <v>91.743119266055</v>
      </c>
      <c r="AR17" s="42">
        <f>'表2-折旧摊销表'!AR63</f>
        <v>91.743119266055</v>
      </c>
      <c r="AS17" s="42">
        <f>'表2-折旧摊销表'!AS63</f>
        <v>91.743119266055</v>
      </c>
      <c r="AT17" s="42">
        <f>'表2-折旧摊销表'!AT63</f>
        <v>91.743119266055</v>
      </c>
      <c r="AU17" s="42">
        <f>'表2-折旧摊销表'!AU63</f>
        <v>91.743119266055</v>
      </c>
      <c r="AV17" s="42">
        <f>'表2-折旧摊销表'!AV63</f>
        <v>91.743119266055</v>
      </c>
      <c r="AW17" s="42">
        <f>'表2-折旧摊销表'!AW63</f>
        <v>91.743119266055</v>
      </c>
      <c r="AX17" s="42">
        <f>'表2-折旧摊销表'!AX63</f>
        <v>91.743119266055</v>
      </c>
      <c r="AY17" s="42">
        <f>'表2-折旧摊销表'!AY63</f>
        <v>244.648318042813</v>
      </c>
      <c r="AZ17" s="42">
        <f>'表2-折旧摊销表'!AZ63</f>
        <v>244.648318042813</v>
      </c>
      <c r="BA17" s="43">
        <f>'表2-折旧摊销表'!BA63</f>
        <v>244.648318042813</v>
      </c>
    </row>
    <row r="18" spans="2:53">
      <c r="B18" s="257" t="s">
        <v>764</v>
      </c>
      <c r="C18" s="54" t="s">
        <v>765</v>
      </c>
      <c r="D18" s="42">
        <f ca="1" t="shared" si="5"/>
        <v>914227.226359055</v>
      </c>
      <c r="E18" s="256" t="s">
        <v>130</v>
      </c>
      <c r="F18" s="42">
        <f ca="1">SUM(F19:F24)</f>
        <v>0</v>
      </c>
      <c r="G18" s="42">
        <f ca="1" t="shared" ref="G18:BA18" si="6">SUM(G19:G24)</f>
        <v>0</v>
      </c>
      <c r="H18" s="42">
        <f ca="1" t="shared" si="6"/>
        <v>0</v>
      </c>
      <c r="I18" s="42">
        <f ca="1" t="shared" si="6"/>
        <v>0</v>
      </c>
      <c r="J18" s="42">
        <f ca="1" t="shared" si="6"/>
        <v>0</v>
      </c>
      <c r="K18" s="42">
        <f ca="1" t="shared" si="6"/>
        <v>0</v>
      </c>
      <c r="L18" s="42">
        <f ca="1" t="shared" si="6"/>
        <v>0</v>
      </c>
      <c r="M18" s="42">
        <f ca="1" t="shared" si="6"/>
        <v>12678.6790909568</v>
      </c>
      <c r="N18" s="42">
        <f ca="1" t="shared" si="6"/>
        <v>32001.3298182963</v>
      </c>
      <c r="O18" s="42">
        <f ca="1" t="shared" si="6"/>
        <v>31538.8298182963</v>
      </c>
      <c r="P18" s="42">
        <f ca="1" t="shared" si="6"/>
        <v>31538.8298182963</v>
      </c>
      <c r="Q18" s="42">
        <f ca="1" t="shared" si="6"/>
        <v>31538.8298182963</v>
      </c>
      <c r="R18" s="42">
        <f ca="1" t="shared" si="6"/>
        <v>31538.8298182963</v>
      </c>
      <c r="S18" s="42">
        <f ca="1" t="shared" si="6"/>
        <v>31538.8298182963</v>
      </c>
      <c r="T18" s="42">
        <f ca="1" t="shared" si="6"/>
        <v>31538.8298182963</v>
      </c>
      <c r="U18" s="42">
        <f ca="1" t="shared" si="6"/>
        <v>31538.8298182963</v>
      </c>
      <c r="V18" s="42">
        <f ca="1" t="shared" si="6"/>
        <v>31538.8298182963</v>
      </c>
      <c r="W18" s="42">
        <f ca="1" t="shared" si="6"/>
        <v>31538.8298182963</v>
      </c>
      <c r="X18" s="42">
        <f ca="1" t="shared" si="6"/>
        <v>31704.7590218361</v>
      </c>
      <c r="Y18" s="42">
        <f ca="1" t="shared" si="6"/>
        <v>33314.6214071572</v>
      </c>
      <c r="Z18" s="42">
        <f ca="1" t="shared" si="6"/>
        <v>32999.6214071572</v>
      </c>
      <c r="AA18" s="42">
        <f ca="1" t="shared" si="6"/>
        <v>32999.6214071572</v>
      </c>
      <c r="AB18" s="42">
        <f ca="1" t="shared" si="6"/>
        <v>32999.6214071572</v>
      </c>
      <c r="AC18" s="42">
        <f ca="1" t="shared" si="6"/>
        <v>32999.6214071572</v>
      </c>
      <c r="AD18" s="42">
        <f ca="1" t="shared" si="6"/>
        <v>32999.6214071572</v>
      </c>
      <c r="AE18" s="42">
        <f ca="1" t="shared" si="6"/>
        <v>31240.3621478979</v>
      </c>
      <c r="AF18" s="42">
        <f ca="1" t="shared" si="6"/>
        <v>28777.399184935</v>
      </c>
      <c r="AG18" s="42">
        <f ca="1" t="shared" si="6"/>
        <v>28539.899184935</v>
      </c>
      <c r="AH18" s="42">
        <f ca="1" t="shared" si="6"/>
        <v>28207.399184935</v>
      </c>
      <c r="AI18" s="42">
        <f ca="1" t="shared" si="6"/>
        <v>28207.399184935</v>
      </c>
      <c r="AJ18" s="42">
        <f ca="1" t="shared" si="6"/>
        <v>28207.399184935</v>
      </c>
      <c r="AK18" s="42">
        <f ca="1" t="shared" si="6"/>
        <v>28207.399184935</v>
      </c>
      <c r="AL18" s="42">
        <f ca="1" t="shared" si="6"/>
        <v>28207.399184935</v>
      </c>
      <c r="AM18" s="42">
        <f ca="1" t="shared" si="6"/>
        <v>28207.399184935</v>
      </c>
      <c r="AN18" s="42">
        <f ca="1" t="shared" si="6"/>
        <v>28207.399184935</v>
      </c>
      <c r="AO18" s="42">
        <f ca="1" t="shared" si="6"/>
        <v>28207.399184935</v>
      </c>
      <c r="AP18" s="42">
        <f ca="1" t="shared" si="6"/>
        <v>17287.9793532375</v>
      </c>
      <c r="AQ18" s="42">
        <f ca="1" t="shared" si="6"/>
        <v>2000.79158886092</v>
      </c>
      <c r="AR18" s="42">
        <f ca="1" t="shared" si="6"/>
        <v>2000.79158886092</v>
      </c>
      <c r="AS18" s="42">
        <f ca="1" t="shared" si="6"/>
        <v>2204.66518722993</v>
      </c>
      <c r="AT18" s="42">
        <f ca="1" t="shared" si="6"/>
        <v>2204.66518722993</v>
      </c>
      <c r="AU18" s="42">
        <f ca="1" t="shared" si="6"/>
        <v>2204.66518722993</v>
      </c>
      <c r="AV18" s="42">
        <f ca="1" t="shared" si="6"/>
        <v>2259.97492174321</v>
      </c>
      <c r="AW18" s="42">
        <f ca="1" t="shared" si="6"/>
        <v>2259.97492174321</v>
      </c>
      <c r="AX18" s="42">
        <f ca="1" t="shared" si="6"/>
        <v>2259.97492174321</v>
      </c>
      <c r="AY18" s="42">
        <f ca="1" t="shared" si="6"/>
        <v>2259.97492174321</v>
      </c>
      <c r="AZ18" s="42">
        <f ca="1" t="shared" si="6"/>
        <v>2259.97492174321</v>
      </c>
      <c r="BA18" s="43">
        <f ca="1" t="shared" si="6"/>
        <v>2259.97492174321</v>
      </c>
    </row>
    <row r="19" spans="2:53">
      <c r="B19" s="267"/>
      <c r="C19" s="268" t="s">
        <v>306</v>
      </c>
      <c r="D19" s="261">
        <f ca="1" t="shared" si="5"/>
        <v>759991.620286147</v>
      </c>
      <c r="E19" s="269" t="s">
        <v>130</v>
      </c>
      <c r="F19" s="261">
        <f ca="1">'表2-折旧摊销表'!F32</f>
        <v>0</v>
      </c>
      <c r="G19" s="261">
        <f ca="1">'表2-折旧摊销表'!G32</f>
        <v>0</v>
      </c>
      <c r="H19" s="261">
        <f ca="1">'表2-折旧摊销表'!H32</f>
        <v>0</v>
      </c>
      <c r="I19" s="261">
        <f ca="1">'表2-折旧摊销表'!I32</f>
        <v>0</v>
      </c>
      <c r="J19" s="261">
        <f ca="1">'表2-折旧摊销表'!J32</f>
        <v>0</v>
      </c>
      <c r="K19" s="261">
        <f ca="1">'表2-折旧摊销表'!K32</f>
        <v>0</v>
      </c>
      <c r="L19" s="261">
        <f ca="1">'表2-折旧摊销表'!L32</f>
        <v>0</v>
      </c>
      <c r="M19" s="261">
        <f ca="1">'表2-折旧摊销表'!M32</f>
        <v>10919.4198316975</v>
      </c>
      <c r="N19" s="261">
        <f ca="1">'表2-折旧摊销表'!N32</f>
        <v>26206.607596074</v>
      </c>
      <c r="O19" s="261">
        <f ca="1">'表2-折旧摊销表'!O32</f>
        <v>26206.607596074</v>
      </c>
      <c r="P19" s="261">
        <f ca="1">'表2-折旧摊销表'!P32</f>
        <v>26206.607596074</v>
      </c>
      <c r="Q19" s="261">
        <f ca="1">'表2-折旧摊销表'!Q32</f>
        <v>26206.607596074</v>
      </c>
      <c r="R19" s="261">
        <f ca="1">'表2-折旧摊销表'!R32</f>
        <v>26206.607596074</v>
      </c>
      <c r="S19" s="261">
        <f ca="1">'表2-折旧摊销表'!S32</f>
        <v>26206.607596074</v>
      </c>
      <c r="T19" s="261">
        <f ca="1">'表2-折旧摊销表'!T32</f>
        <v>26206.607596074</v>
      </c>
      <c r="U19" s="261">
        <f ca="1">'表2-折旧摊销表'!U32</f>
        <v>26206.607596074</v>
      </c>
      <c r="V19" s="261">
        <f ca="1">'表2-折旧摊销表'!V32</f>
        <v>26206.607596074</v>
      </c>
      <c r="W19" s="261">
        <f ca="1">'表2-折旧摊销表'!W32</f>
        <v>26206.607596074</v>
      </c>
      <c r="X19" s="261">
        <f ca="1">'表2-折旧摊销表'!X32</f>
        <v>26206.607596074</v>
      </c>
      <c r="Y19" s="261">
        <f ca="1">'表2-折旧摊销表'!Y32</f>
        <v>26206.607596074</v>
      </c>
      <c r="Z19" s="261">
        <f ca="1">'表2-折旧摊销表'!Z32</f>
        <v>26206.607596074</v>
      </c>
      <c r="AA19" s="261">
        <f ca="1">'表2-折旧摊销表'!AA32</f>
        <v>26206.607596074</v>
      </c>
      <c r="AB19" s="261">
        <f ca="1">'表2-折旧摊销表'!AB32</f>
        <v>26206.607596074</v>
      </c>
      <c r="AC19" s="261">
        <f ca="1">'表2-折旧摊销表'!AC32</f>
        <v>26206.607596074</v>
      </c>
      <c r="AD19" s="261">
        <f ca="1">'表2-折旧摊销表'!AD32</f>
        <v>26206.607596074</v>
      </c>
      <c r="AE19" s="261">
        <f ca="1">'表2-折旧摊销表'!AE32</f>
        <v>26206.607596074</v>
      </c>
      <c r="AF19" s="261">
        <f ca="1">'表2-折旧摊销表'!AF32</f>
        <v>26206.607596074</v>
      </c>
      <c r="AG19" s="261">
        <f ca="1">'表2-折旧摊销表'!AG32</f>
        <v>26206.607596074</v>
      </c>
      <c r="AH19" s="261">
        <f ca="1">'表2-折旧摊销表'!AH32</f>
        <v>26206.607596074</v>
      </c>
      <c r="AI19" s="261">
        <f ca="1">'表2-折旧摊销表'!AI32</f>
        <v>26206.607596074</v>
      </c>
      <c r="AJ19" s="261">
        <f ca="1">'表2-折旧摊销表'!AJ32</f>
        <v>26206.607596074</v>
      </c>
      <c r="AK19" s="261">
        <f ca="1">'表2-折旧摊销表'!AK32</f>
        <v>26206.607596074</v>
      </c>
      <c r="AL19" s="261">
        <f ca="1">'表2-折旧摊销表'!AL32</f>
        <v>26206.607596074</v>
      </c>
      <c r="AM19" s="261">
        <f ca="1">'表2-折旧摊销表'!AM32</f>
        <v>26206.607596074</v>
      </c>
      <c r="AN19" s="261">
        <f ca="1">'表2-折旧摊销表'!AN32</f>
        <v>26206.607596074</v>
      </c>
      <c r="AO19" s="261">
        <f ca="1">'表2-折旧摊销表'!AO32</f>
        <v>26206.607596074</v>
      </c>
      <c r="AP19" s="261">
        <f ca="1">'表2-折旧摊销表'!AP32</f>
        <v>15287.1877643765</v>
      </c>
      <c r="AQ19" s="261">
        <f ca="1">'表2-折旧摊销表'!AQ32</f>
        <v>0</v>
      </c>
      <c r="AR19" s="261">
        <f ca="1">'表2-折旧摊销表'!AR32</f>
        <v>0</v>
      </c>
      <c r="AS19" s="261">
        <f ca="1">'表2-折旧摊销表'!AS32</f>
        <v>0</v>
      </c>
      <c r="AT19" s="261">
        <f ca="1">'表2-折旧摊销表'!AT32</f>
        <v>0</v>
      </c>
      <c r="AU19" s="261">
        <f ca="1">'表2-折旧摊销表'!AU32</f>
        <v>0</v>
      </c>
      <c r="AV19" s="261">
        <f ca="1">'表2-折旧摊销表'!AV32</f>
        <v>0</v>
      </c>
      <c r="AW19" s="261">
        <f ca="1">'表2-折旧摊销表'!AW32</f>
        <v>0</v>
      </c>
      <c r="AX19" s="261">
        <f ca="1">'表2-折旧摊销表'!AX32</f>
        <v>0</v>
      </c>
      <c r="AY19" s="261">
        <f ca="1">'表2-折旧摊销表'!AY32</f>
        <v>0</v>
      </c>
      <c r="AZ19" s="261">
        <f ca="1">'表2-折旧摊销表'!AZ32</f>
        <v>0</v>
      </c>
      <c r="BA19" s="263">
        <f ca="1">'表2-折旧摊销表'!BA32</f>
        <v>0</v>
      </c>
    </row>
    <row r="20" spans="2:53">
      <c r="B20" s="270"/>
      <c r="C20" s="271" t="s">
        <v>766</v>
      </c>
      <c r="D20" s="272">
        <f t="shared" si="5"/>
        <v>6480</v>
      </c>
      <c r="E20" s="273" t="s">
        <v>130</v>
      </c>
      <c r="F20" s="272">
        <f>'表2-折旧摊销表'!F43</f>
        <v>0</v>
      </c>
      <c r="G20" s="272">
        <f>'表2-折旧摊销表'!G43</f>
        <v>0</v>
      </c>
      <c r="H20" s="272">
        <f>'表2-折旧摊销表'!H43</f>
        <v>0</v>
      </c>
      <c r="I20" s="272">
        <f>'表2-折旧摊销表'!I43</f>
        <v>0</v>
      </c>
      <c r="J20" s="272">
        <f>'表2-折旧摊销表'!J43</f>
        <v>0</v>
      </c>
      <c r="K20" s="272">
        <f>'表2-折旧摊销表'!K43</f>
        <v>0</v>
      </c>
      <c r="L20" s="272">
        <f>'表2-折旧摊销表'!L43</f>
        <v>0</v>
      </c>
      <c r="M20" s="272">
        <f>'表2-折旧摊销表'!M43</f>
        <v>0</v>
      </c>
      <c r="N20" s="272">
        <f>'表2-折旧摊销表'!N43</f>
        <v>765</v>
      </c>
      <c r="O20" s="272">
        <f>'表2-折旧摊销表'!O43</f>
        <v>540</v>
      </c>
      <c r="P20" s="272">
        <f>'表2-折旧摊销表'!P43</f>
        <v>540</v>
      </c>
      <c r="Q20" s="272">
        <f>'表2-折旧摊销表'!Q43</f>
        <v>540</v>
      </c>
      <c r="R20" s="272">
        <f>'表2-折旧摊销表'!R43</f>
        <v>540</v>
      </c>
      <c r="S20" s="272">
        <f>'表2-折旧摊销表'!S43</f>
        <v>540</v>
      </c>
      <c r="T20" s="272">
        <f>'表2-折旧摊销表'!T43</f>
        <v>540</v>
      </c>
      <c r="U20" s="272">
        <f>'表2-折旧摊销表'!U43</f>
        <v>540</v>
      </c>
      <c r="V20" s="272">
        <f>'表2-折旧摊销表'!V43</f>
        <v>540</v>
      </c>
      <c r="W20" s="272">
        <f>'表2-折旧摊销表'!W43</f>
        <v>540</v>
      </c>
      <c r="X20" s="272">
        <f>'表2-折旧摊销表'!X43</f>
        <v>540</v>
      </c>
      <c r="Y20" s="272">
        <f>'表2-折旧摊销表'!Y43</f>
        <v>315</v>
      </c>
      <c r="Z20" s="272">
        <f>'表2-折旧摊销表'!Z43</f>
        <v>0</v>
      </c>
      <c r="AA20" s="272">
        <f>'表2-折旧摊销表'!AA43</f>
        <v>0</v>
      </c>
      <c r="AB20" s="272">
        <f>'表2-折旧摊销表'!AB43</f>
        <v>0</v>
      </c>
      <c r="AC20" s="272">
        <f>'表2-折旧摊销表'!AC43</f>
        <v>0</v>
      </c>
      <c r="AD20" s="272">
        <f>'表2-折旧摊销表'!AD43</f>
        <v>0</v>
      </c>
      <c r="AE20" s="272">
        <f>'表2-折旧摊销表'!AE43</f>
        <v>0</v>
      </c>
      <c r="AF20" s="272">
        <f>'表2-折旧摊销表'!AF43</f>
        <v>0</v>
      </c>
      <c r="AG20" s="272">
        <f>'表2-折旧摊销表'!AG43</f>
        <v>0</v>
      </c>
      <c r="AH20" s="272">
        <f>'表2-折旧摊销表'!AH43</f>
        <v>0</v>
      </c>
      <c r="AI20" s="272">
        <f>'表2-折旧摊销表'!AI43</f>
        <v>0</v>
      </c>
      <c r="AJ20" s="272">
        <f>'表2-折旧摊销表'!AJ43</f>
        <v>0</v>
      </c>
      <c r="AK20" s="272">
        <f>'表2-折旧摊销表'!AK43</f>
        <v>0</v>
      </c>
      <c r="AL20" s="272">
        <f>'表2-折旧摊销表'!AL43</f>
        <v>0</v>
      </c>
      <c r="AM20" s="272">
        <f>'表2-折旧摊销表'!AM43</f>
        <v>0</v>
      </c>
      <c r="AN20" s="272">
        <f>'表2-折旧摊销表'!AN43</f>
        <v>0</v>
      </c>
      <c r="AO20" s="272">
        <f>'表2-折旧摊销表'!AO43</f>
        <v>0</v>
      </c>
      <c r="AP20" s="272">
        <f>'表2-折旧摊销表'!AP43</f>
        <v>0</v>
      </c>
      <c r="AQ20" s="272">
        <f>'表2-折旧摊销表'!AQ43</f>
        <v>0</v>
      </c>
      <c r="AR20" s="272">
        <f>'表2-折旧摊销表'!AR43</f>
        <v>0</v>
      </c>
      <c r="AS20" s="272">
        <f>'表2-折旧摊销表'!AS43</f>
        <v>0</v>
      </c>
      <c r="AT20" s="272">
        <f>'表2-折旧摊销表'!AT43</f>
        <v>0</v>
      </c>
      <c r="AU20" s="272">
        <f>'表2-折旧摊销表'!AU43</f>
        <v>0</v>
      </c>
      <c r="AV20" s="272">
        <f>'表2-折旧摊销表'!AV43</f>
        <v>0</v>
      </c>
      <c r="AW20" s="272">
        <f>'表2-折旧摊销表'!AW43</f>
        <v>0</v>
      </c>
      <c r="AX20" s="272">
        <f>'表2-折旧摊销表'!AX43</f>
        <v>0</v>
      </c>
      <c r="AY20" s="272">
        <f>'表2-折旧摊销表'!AY43</f>
        <v>0</v>
      </c>
      <c r="AZ20" s="272">
        <f>'表2-折旧摊销表'!AZ43</f>
        <v>0</v>
      </c>
      <c r="BA20" s="274">
        <f>'表2-折旧摊销表'!BA43</f>
        <v>0</v>
      </c>
    </row>
    <row r="21" spans="2:53">
      <c r="B21" s="270"/>
      <c r="C21" s="271" t="s">
        <v>767</v>
      </c>
      <c r="D21" s="272">
        <f t="shared" si="5"/>
        <v>11400</v>
      </c>
      <c r="E21" s="273" t="s">
        <v>130</v>
      </c>
      <c r="F21" s="272">
        <f>'表2-折旧摊销表'!F54</f>
        <v>0</v>
      </c>
      <c r="G21" s="272">
        <f>'表2-折旧摊销表'!G54</f>
        <v>0</v>
      </c>
      <c r="H21" s="272">
        <f>'表2-折旧摊销表'!H54</f>
        <v>0</v>
      </c>
      <c r="I21" s="272">
        <f>'表2-折旧摊销表'!I54</f>
        <v>0</v>
      </c>
      <c r="J21" s="272">
        <f>'表2-折旧摊销表'!J54</f>
        <v>0</v>
      </c>
      <c r="K21" s="272">
        <f>'表2-折旧摊销表'!K54</f>
        <v>0</v>
      </c>
      <c r="L21" s="272">
        <f>'表2-折旧摊销表'!L54</f>
        <v>0</v>
      </c>
      <c r="M21" s="272">
        <f>'表2-折旧摊销表'!M54</f>
        <v>0</v>
      </c>
      <c r="N21" s="272">
        <f>'表2-折旧摊销表'!N54</f>
        <v>807.5</v>
      </c>
      <c r="O21" s="272">
        <f>'表2-折旧摊销表'!O54</f>
        <v>570</v>
      </c>
      <c r="P21" s="272">
        <f>'表2-折旧摊销表'!P54</f>
        <v>570</v>
      </c>
      <c r="Q21" s="272">
        <f>'表2-折旧摊销表'!Q54</f>
        <v>570</v>
      </c>
      <c r="R21" s="272">
        <f>'表2-折旧摊销表'!R54</f>
        <v>570</v>
      </c>
      <c r="S21" s="272">
        <f>'表2-折旧摊销表'!S54</f>
        <v>570</v>
      </c>
      <c r="T21" s="272">
        <f>'表2-折旧摊销表'!T54</f>
        <v>570</v>
      </c>
      <c r="U21" s="272">
        <f>'表2-折旧摊销表'!U54</f>
        <v>570</v>
      </c>
      <c r="V21" s="272">
        <f>'表2-折旧摊销表'!V54</f>
        <v>570</v>
      </c>
      <c r="W21" s="272">
        <f>'表2-折旧摊销表'!W54</f>
        <v>570</v>
      </c>
      <c r="X21" s="272">
        <f>'表2-折旧摊销表'!X54</f>
        <v>570</v>
      </c>
      <c r="Y21" s="272">
        <f>'表2-折旧摊销表'!Y54</f>
        <v>570</v>
      </c>
      <c r="Z21" s="272">
        <f>'表2-折旧摊销表'!Z54</f>
        <v>570</v>
      </c>
      <c r="AA21" s="272">
        <f>'表2-折旧摊销表'!AA54</f>
        <v>570</v>
      </c>
      <c r="AB21" s="272">
        <f>'表2-折旧摊销表'!AB54</f>
        <v>570</v>
      </c>
      <c r="AC21" s="272">
        <f>'表2-折旧摊销表'!AC54</f>
        <v>570</v>
      </c>
      <c r="AD21" s="272">
        <f>'表2-折旧摊销表'!AD54</f>
        <v>570</v>
      </c>
      <c r="AE21" s="272">
        <f>'表2-折旧摊销表'!AE54</f>
        <v>570</v>
      </c>
      <c r="AF21" s="272">
        <f>'表2-折旧摊销表'!AF54</f>
        <v>570</v>
      </c>
      <c r="AG21" s="272">
        <f>'表2-折旧摊销表'!AG54</f>
        <v>332.5</v>
      </c>
      <c r="AH21" s="272">
        <f>'表2-折旧摊销表'!AH54</f>
        <v>0</v>
      </c>
      <c r="AI21" s="272">
        <f>'表2-折旧摊销表'!AI54</f>
        <v>0</v>
      </c>
      <c r="AJ21" s="272">
        <f>'表2-折旧摊销表'!AJ54</f>
        <v>0</v>
      </c>
      <c r="AK21" s="272">
        <f>'表2-折旧摊销表'!AK54</f>
        <v>0</v>
      </c>
      <c r="AL21" s="272">
        <f>'表2-折旧摊销表'!AL54</f>
        <v>0</v>
      </c>
      <c r="AM21" s="272">
        <f>'表2-折旧摊销表'!AM54</f>
        <v>0</v>
      </c>
      <c r="AN21" s="272">
        <f>'表2-折旧摊销表'!AN54</f>
        <v>0</v>
      </c>
      <c r="AO21" s="272">
        <f>'表2-折旧摊销表'!AO54</f>
        <v>0</v>
      </c>
      <c r="AP21" s="272">
        <f>'表2-折旧摊销表'!AP54</f>
        <v>0</v>
      </c>
      <c r="AQ21" s="272">
        <f>'表2-折旧摊销表'!AQ54</f>
        <v>0</v>
      </c>
      <c r="AR21" s="272">
        <f>'表2-折旧摊销表'!AR54</f>
        <v>0</v>
      </c>
      <c r="AS21" s="272">
        <f>'表2-折旧摊销表'!AS54</f>
        <v>0</v>
      </c>
      <c r="AT21" s="272">
        <f>'表2-折旧摊销表'!AT54</f>
        <v>0</v>
      </c>
      <c r="AU21" s="272">
        <f>'表2-折旧摊销表'!AU54</f>
        <v>0</v>
      </c>
      <c r="AV21" s="272">
        <f>'表2-折旧摊销表'!AV54</f>
        <v>0</v>
      </c>
      <c r="AW21" s="272">
        <f>'表2-折旧摊销表'!AW54</f>
        <v>0</v>
      </c>
      <c r="AX21" s="272">
        <f>'表2-折旧摊销表'!AX54</f>
        <v>0</v>
      </c>
      <c r="AY21" s="272">
        <f>'表2-折旧摊销表'!AY54</f>
        <v>0</v>
      </c>
      <c r="AZ21" s="272">
        <f>'表2-折旧摊销表'!AZ54</f>
        <v>0</v>
      </c>
      <c r="BA21" s="274">
        <f>'表2-折旧摊销表'!BA54</f>
        <v>0</v>
      </c>
    </row>
    <row r="22" spans="2:53">
      <c r="B22" s="267"/>
      <c r="C22" s="268" t="s">
        <v>320</v>
      </c>
      <c r="D22" s="261">
        <f ca="1" t="shared" si="5"/>
        <v>76000</v>
      </c>
      <c r="E22" s="269" t="s">
        <v>130</v>
      </c>
      <c r="F22" s="261">
        <f ca="1">'表2-折旧摊销表'!F117</f>
        <v>0</v>
      </c>
      <c r="G22" s="261">
        <f ca="1">'表2-折旧摊销表'!G117</f>
        <v>0</v>
      </c>
      <c r="H22" s="261">
        <f ca="1">'表2-折旧摊销表'!H117</f>
        <v>0</v>
      </c>
      <c r="I22" s="261">
        <f ca="1">'表2-折旧摊销表'!I117</f>
        <v>0</v>
      </c>
      <c r="J22" s="261">
        <f ca="1">'表2-折旧摊销表'!J117</f>
        <v>0</v>
      </c>
      <c r="K22" s="261">
        <f ca="1">'表2-折旧摊销表'!K117</f>
        <v>0</v>
      </c>
      <c r="L22" s="261">
        <f ca="1">'表2-折旧摊销表'!L117</f>
        <v>0</v>
      </c>
      <c r="M22" s="261">
        <f ca="1">'表2-折旧摊销表'!M117</f>
        <v>1759.25925925926</v>
      </c>
      <c r="N22" s="261">
        <f ca="1">'表2-折旧摊销表'!N117</f>
        <v>4222.22222222222</v>
      </c>
      <c r="O22" s="261">
        <f ca="1">'表2-折旧摊销表'!O117</f>
        <v>4222.22222222222</v>
      </c>
      <c r="P22" s="261">
        <f ca="1">'表2-折旧摊销表'!P117</f>
        <v>4222.22222222222</v>
      </c>
      <c r="Q22" s="261">
        <f ca="1">'表2-折旧摊销表'!Q117</f>
        <v>4222.22222222222</v>
      </c>
      <c r="R22" s="261">
        <f ca="1">'表2-折旧摊销表'!R117</f>
        <v>4222.22222222222</v>
      </c>
      <c r="S22" s="261">
        <f ca="1">'表2-折旧摊销表'!S117</f>
        <v>4222.22222222222</v>
      </c>
      <c r="T22" s="261">
        <f ca="1">'表2-折旧摊销表'!T117</f>
        <v>4222.22222222222</v>
      </c>
      <c r="U22" s="261">
        <f ca="1">'表2-折旧摊销表'!U117</f>
        <v>4222.22222222222</v>
      </c>
      <c r="V22" s="261">
        <f ca="1">'表2-折旧摊销表'!V117</f>
        <v>4222.22222222222</v>
      </c>
      <c r="W22" s="261">
        <f ca="1">'表2-折旧摊销表'!W117</f>
        <v>4222.22222222222</v>
      </c>
      <c r="X22" s="261">
        <f ca="1">'表2-折旧摊销表'!X117</f>
        <v>4222.22222222222</v>
      </c>
      <c r="Y22" s="261">
        <f ca="1">'表2-折旧摊销表'!Y117</f>
        <v>4222.22222222222</v>
      </c>
      <c r="Z22" s="261">
        <f ca="1">'表2-折旧摊销表'!Z117</f>
        <v>4222.22222222222</v>
      </c>
      <c r="AA22" s="261">
        <f ca="1">'表2-折旧摊销表'!AA117</f>
        <v>4222.22222222222</v>
      </c>
      <c r="AB22" s="261">
        <f ca="1">'表2-折旧摊销表'!AB117</f>
        <v>4222.22222222222</v>
      </c>
      <c r="AC22" s="261">
        <f ca="1">'表2-折旧摊销表'!AC117</f>
        <v>4222.22222222222</v>
      </c>
      <c r="AD22" s="261">
        <f ca="1">'表2-折旧摊销表'!AD117</f>
        <v>4222.22222222222</v>
      </c>
      <c r="AE22" s="261">
        <f ca="1">'表2-折旧摊销表'!AE117</f>
        <v>2462.96296296296</v>
      </c>
      <c r="AF22" s="261">
        <f ca="1">'表2-折旧摊销表'!AF117</f>
        <v>0</v>
      </c>
      <c r="AG22" s="261">
        <f ca="1">'表2-折旧摊销表'!AG117</f>
        <v>0</v>
      </c>
      <c r="AH22" s="261">
        <f ca="1">'表2-折旧摊销表'!AH117</f>
        <v>0</v>
      </c>
      <c r="AI22" s="261">
        <f ca="1">'表2-折旧摊销表'!AI117</f>
        <v>0</v>
      </c>
      <c r="AJ22" s="261">
        <f ca="1">'表2-折旧摊销表'!AJ117</f>
        <v>0</v>
      </c>
      <c r="AK22" s="261">
        <f ca="1">'表2-折旧摊销表'!AK117</f>
        <v>0</v>
      </c>
      <c r="AL22" s="261">
        <f ca="1">'表2-折旧摊销表'!AL117</f>
        <v>0</v>
      </c>
      <c r="AM22" s="261">
        <f ca="1">'表2-折旧摊销表'!AM117</f>
        <v>0</v>
      </c>
      <c r="AN22" s="261">
        <f ca="1">'表2-折旧摊销表'!AN117</f>
        <v>0</v>
      </c>
      <c r="AO22" s="261">
        <f ca="1">'表2-折旧摊销表'!AO117</f>
        <v>0</v>
      </c>
      <c r="AP22" s="261">
        <f ca="1">'表2-折旧摊销表'!AP117</f>
        <v>0</v>
      </c>
      <c r="AQ22" s="261">
        <f ca="1">'表2-折旧摊销表'!AQ117</f>
        <v>0</v>
      </c>
      <c r="AR22" s="261">
        <f ca="1">'表2-折旧摊销表'!AR117</f>
        <v>0</v>
      </c>
      <c r="AS22" s="261">
        <f ca="1">'表2-折旧摊销表'!AS117</f>
        <v>0</v>
      </c>
      <c r="AT22" s="261">
        <f ca="1">'表2-折旧摊销表'!AT117</f>
        <v>0</v>
      </c>
      <c r="AU22" s="261">
        <f ca="1">'表2-折旧摊销表'!AU117</f>
        <v>0</v>
      </c>
      <c r="AV22" s="261">
        <f ca="1">'表2-折旧摊销表'!AV117</f>
        <v>0</v>
      </c>
      <c r="AW22" s="261">
        <f ca="1">'表2-折旧摊销表'!AW117</f>
        <v>0</v>
      </c>
      <c r="AX22" s="261">
        <f ca="1">'表2-折旧摊销表'!AX117</f>
        <v>0</v>
      </c>
      <c r="AY22" s="261">
        <f ca="1">'表2-折旧摊销表'!AY117</f>
        <v>0</v>
      </c>
      <c r="AZ22" s="261">
        <f ca="1">'表2-折旧摊销表'!AZ117</f>
        <v>0</v>
      </c>
      <c r="BA22" s="263">
        <f ca="1">'表2-折旧摊销表'!BA117</f>
        <v>0</v>
      </c>
    </row>
    <row r="23" spans="2:53">
      <c r="B23" s="267"/>
      <c r="C23" s="268" t="s">
        <v>768</v>
      </c>
      <c r="D23" s="261">
        <f t="shared" si="5"/>
        <v>55045.871559633</v>
      </c>
      <c r="E23" s="269" t="s">
        <v>130</v>
      </c>
      <c r="F23" s="261">
        <f>'表2-折旧摊销表'!F126</f>
        <v>0</v>
      </c>
      <c r="G23" s="261">
        <f>'表2-折旧摊销表'!G126</f>
        <v>0</v>
      </c>
      <c r="H23" s="261">
        <f>'表2-折旧摊销表'!H126</f>
        <v>0</v>
      </c>
      <c r="I23" s="261">
        <f>'表2-折旧摊销表'!I126</f>
        <v>0</v>
      </c>
      <c r="J23" s="261">
        <f>'表2-折旧摊销表'!J126</f>
        <v>0</v>
      </c>
      <c r="K23" s="261">
        <f>'表2-折旧摊销表'!K126</f>
        <v>0</v>
      </c>
      <c r="L23" s="261">
        <f>'表2-折旧摊销表'!L126</f>
        <v>0</v>
      </c>
      <c r="M23" s="261">
        <f>'表2-折旧摊销表'!M126</f>
        <v>0</v>
      </c>
      <c r="N23" s="261">
        <f>'表2-折旧摊销表'!N126</f>
        <v>0</v>
      </c>
      <c r="O23" s="261">
        <f>'表2-折旧摊销表'!O126</f>
        <v>0</v>
      </c>
      <c r="P23" s="261">
        <f>'表2-折旧摊销表'!P126</f>
        <v>0</v>
      </c>
      <c r="Q23" s="261">
        <f>'表2-折旧摊销表'!Q126</f>
        <v>0</v>
      </c>
      <c r="R23" s="261">
        <f>'表2-折旧摊销表'!R126</f>
        <v>0</v>
      </c>
      <c r="S23" s="261">
        <f>'表2-折旧摊销表'!S126</f>
        <v>0</v>
      </c>
      <c r="T23" s="261">
        <f>'表2-折旧摊销表'!T126</f>
        <v>0</v>
      </c>
      <c r="U23" s="261">
        <f>'表2-折旧摊销表'!U126</f>
        <v>0</v>
      </c>
      <c r="V23" s="261">
        <f>'表2-折旧摊销表'!V126</f>
        <v>0</v>
      </c>
      <c r="W23" s="261">
        <f>'表2-折旧摊销表'!W126</f>
        <v>0</v>
      </c>
      <c r="X23" s="261">
        <f>'表2-折旧摊销表'!X126</f>
        <v>0</v>
      </c>
      <c r="Y23" s="261">
        <f>'表2-折旧摊销表'!Y126</f>
        <v>1834.8623853211</v>
      </c>
      <c r="Z23" s="261">
        <f>'表2-折旧摊销表'!Z126</f>
        <v>1834.8623853211</v>
      </c>
      <c r="AA23" s="261">
        <f>'表2-折旧摊销表'!AA126</f>
        <v>1834.8623853211</v>
      </c>
      <c r="AB23" s="261">
        <f>'表2-折旧摊销表'!AB126</f>
        <v>1834.8623853211</v>
      </c>
      <c r="AC23" s="261">
        <f>'表2-折旧摊销表'!AC126</f>
        <v>1834.8623853211</v>
      </c>
      <c r="AD23" s="261">
        <f>'表2-折旧摊销表'!AD126</f>
        <v>1834.8623853211</v>
      </c>
      <c r="AE23" s="261">
        <f>'表2-折旧摊销表'!AE126</f>
        <v>1834.8623853211</v>
      </c>
      <c r="AF23" s="261">
        <f>'表2-折旧摊销表'!AF126</f>
        <v>1834.8623853211</v>
      </c>
      <c r="AG23" s="261">
        <f>'表2-折旧摊销表'!AG126</f>
        <v>1834.8623853211</v>
      </c>
      <c r="AH23" s="261">
        <f>'表2-折旧摊销表'!AH126</f>
        <v>1834.8623853211</v>
      </c>
      <c r="AI23" s="261">
        <f>'表2-折旧摊销表'!AI126</f>
        <v>1834.8623853211</v>
      </c>
      <c r="AJ23" s="261">
        <f>'表2-折旧摊销表'!AJ126</f>
        <v>1834.8623853211</v>
      </c>
      <c r="AK23" s="261">
        <f>'表2-折旧摊销表'!AK126</f>
        <v>1834.8623853211</v>
      </c>
      <c r="AL23" s="261">
        <f>'表2-折旧摊销表'!AL126</f>
        <v>1834.8623853211</v>
      </c>
      <c r="AM23" s="261">
        <f>'表2-折旧摊销表'!AM126</f>
        <v>1834.8623853211</v>
      </c>
      <c r="AN23" s="261">
        <f>'表2-折旧摊销表'!AN126</f>
        <v>1834.8623853211</v>
      </c>
      <c r="AO23" s="261">
        <f>'表2-折旧摊销表'!AO126</f>
        <v>1834.8623853211</v>
      </c>
      <c r="AP23" s="261">
        <f>'表2-折旧摊销表'!AP126</f>
        <v>1834.8623853211</v>
      </c>
      <c r="AQ23" s="261">
        <f>'表2-折旧摊销表'!AQ126</f>
        <v>1834.8623853211</v>
      </c>
      <c r="AR23" s="261">
        <f>'表2-折旧摊销表'!AR126</f>
        <v>1834.8623853211</v>
      </c>
      <c r="AS23" s="261">
        <f>'表2-折旧摊销表'!AS126</f>
        <v>2038.73598369011</v>
      </c>
      <c r="AT23" s="261">
        <f>'表2-折旧摊销表'!AT126</f>
        <v>2038.73598369011</v>
      </c>
      <c r="AU23" s="261">
        <f>'表2-折旧摊销表'!AU126</f>
        <v>2038.73598369011</v>
      </c>
      <c r="AV23" s="261">
        <f>'表2-折旧摊销表'!AV126</f>
        <v>2038.73598369011</v>
      </c>
      <c r="AW23" s="261">
        <f>'表2-折旧摊销表'!AW126</f>
        <v>2038.73598369011</v>
      </c>
      <c r="AX23" s="261">
        <f>'表2-折旧摊销表'!AX126</f>
        <v>2038.73598369011</v>
      </c>
      <c r="AY23" s="261">
        <f>'表2-折旧摊销表'!AY126</f>
        <v>2038.73598369011</v>
      </c>
      <c r="AZ23" s="261">
        <f>'表2-折旧摊销表'!AZ126</f>
        <v>2038.73598369011</v>
      </c>
      <c r="BA23" s="263">
        <f>'表2-折旧摊销表'!BA126</f>
        <v>2038.73598369011</v>
      </c>
    </row>
    <row r="24" spans="2:53">
      <c r="B24" s="267"/>
      <c r="C24" s="268" t="s">
        <v>769</v>
      </c>
      <c r="D24" s="261">
        <f t="shared" si="5"/>
        <v>5309.73451327434</v>
      </c>
      <c r="E24" s="269" t="s">
        <v>130</v>
      </c>
      <c r="F24" s="261">
        <f>'表2-折旧摊销表'!F179</f>
        <v>0</v>
      </c>
      <c r="G24" s="261">
        <f>'表2-折旧摊销表'!G179</f>
        <v>0</v>
      </c>
      <c r="H24" s="261">
        <f>'表2-折旧摊销表'!H179</f>
        <v>0</v>
      </c>
      <c r="I24" s="261">
        <f>'表2-折旧摊销表'!I179</f>
        <v>0</v>
      </c>
      <c r="J24" s="261">
        <f>'表2-折旧摊销表'!J179</f>
        <v>0</v>
      </c>
      <c r="K24" s="261">
        <f>'表2-折旧摊销表'!K179</f>
        <v>0</v>
      </c>
      <c r="L24" s="261">
        <f>'表2-折旧摊销表'!L179</f>
        <v>0</v>
      </c>
      <c r="M24" s="261">
        <f>'表2-折旧摊销表'!M179</f>
        <v>0</v>
      </c>
      <c r="N24" s="261">
        <f>'表2-折旧摊销表'!N179</f>
        <v>0</v>
      </c>
      <c r="O24" s="261">
        <f>'表2-折旧摊销表'!O179</f>
        <v>0</v>
      </c>
      <c r="P24" s="261">
        <f>'表2-折旧摊销表'!P179</f>
        <v>0</v>
      </c>
      <c r="Q24" s="261">
        <f>'表2-折旧摊销表'!Q179</f>
        <v>0</v>
      </c>
      <c r="R24" s="261">
        <f>'表2-折旧摊销表'!R179</f>
        <v>0</v>
      </c>
      <c r="S24" s="261">
        <f>'表2-折旧摊销表'!S179</f>
        <v>0</v>
      </c>
      <c r="T24" s="261">
        <f>'表2-折旧摊销表'!T179</f>
        <v>0</v>
      </c>
      <c r="U24" s="261">
        <f>'表2-折旧摊销表'!U179</f>
        <v>0</v>
      </c>
      <c r="V24" s="261">
        <f>'表2-折旧摊销表'!V179</f>
        <v>0</v>
      </c>
      <c r="W24" s="261">
        <f>'表2-折旧摊销表'!W179</f>
        <v>0</v>
      </c>
      <c r="X24" s="261">
        <f>'表2-折旧摊销表'!X179</f>
        <v>165.929203539823</v>
      </c>
      <c r="Y24" s="261">
        <f>'表2-折旧摊销表'!Y179</f>
        <v>165.929203539823</v>
      </c>
      <c r="Z24" s="261">
        <f>'表2-折旧摊销表'!Z179</f>
        <v>165.929203539823</v>
      </c>
      <c r="AA24" s="261">
        <f>'表2-折旧摊销表'!AA179</f>
        <v>165.929203539823</v>
      </c>
      <c r="AB24" s="261">
        <f>'表2-折旧摊销表'!AB179</f>
        <v>165.929203539823</v>
      </c>
      <c r="AC24" s="261">
        <f>'表2-折旧摊销表'!AC179</f>
        <v>165.929203539823</v>
      </c>
      <c r="AD24" s="261">
        <f>'表2-折旧摊销表'!AD179</f>
        <v>165.929203539823</v>
      </c>
      <c r="AE24" s="261">
        <f>'表2-折旧摊销表'!AE179</f>
        <v>165.929203539823</v>
      </c>
      <c r="AF24" s="261">
        <f>'表2-折旧摊销表'!AF179</f>
        <v>165.929203539823</v>
      </c>
      <c r="AG24" s="261">
        <f>'表2-折旧摊销表'!AG179</f>
        <v>165.929203539823</v>
      </c>
      <c r="AH24" s="261">
        <f>'表2-折旧摊销表'!AH179</f>
        <v>165.929203539823</v>
      </c>
      <c r="AI24" s="261">
        <f>'表2-折旧摊销表'!AI179</f>
        <v>165.929203539823</v>
      </c>
      <c r="AJ24" s="261">
        <f>'表2-折旧摊销表'!AJ179</f>
        <v>165.929203539823</v>
      </c>
      <c r="AK24" s="261">
        <f>'表2-折旧摊销表'!AK179</f>
        <v>165.929203539823</v>
      </c>
      <c r="AL24" s="261">
        <f>'表2-折旧摊销表'!AL179</f>
        <v>165.929203539823</v>
      </c>
      <c r="AM24" s="261">
        <f>'表2-折旧摊销表'!AM179</f>
        <v>165.929203539823</v>
      </c>
      <c r="AN24" s="261">
        <f>'表2-折旧摊销表'!AN179</f>
        <v>165.929203539823</v>
      </c>
      <c r="AO24" s="261">
        <f>'表2-折旧摊销表'!AO179</f>
        <v>165.929203539823</v>
      </c>
      <c r="AP24" s="261">
        <f>'表2-折旧摊销表'!AP179</f>
        <v>165.929203539823</v>
      </c>
      <c r="AQ24" s="261">
        <f>'表2-折旧摊销表'!AQ179</f>
        <v>165.929203539823</v>
      </c>
      <c r="AR24" s="261">
        <f>'表2-折旧摊销表'!AR179</f>
        <v>165.929203539823</v>
      </c>
      <c r="AS24" s="261">
        <f>'表2-折旧摊销表'!AS179</f>
        <v>165.929203539823</v>
      </c>
      <c r="AT24" s="261">
        <f>'表2-折旧摊销表'!AT179</f>
        <v>165.929203539823</v>
      </c>
      <c r="AU24" s="261">
        <f>'表2-折旧摊销表'!AU179</f>
        <v>165.929203539823</v>
      </c>
      <c r="AV24" s="261">
        <f>'表2-折旧摊销表'!AV179</f>
        <v>221.238938053097</v>
      </c>
      <c r="AW24" s="261">
        <f>'表2-折旧摊销表'!AW179</f>
        <v>221.238938053097</v>
      </c>
      <c r="AX24" s="261">
        <f>'表2-折旧摊销表'!AX179</f>
        <v>221.238938053097</v>
      </c>
      <c r="AY24" s="261">
        <f>'表2-折旧摊销表'!AY179</f>
        <v>221.238938053097</v>
      </c>
      <c r="AZ24" s="261">
        <f>'表2-折旧摊销表'!AZ179</f>
        <v>221.238938053097</v>
      </c>
      <c r="BA24" s="263">
        <f>'表2-折旧摊销表'!BA179</f>
        <v>221.238938053097</v>
      </c>
    </row>
    <row r="25" spans="2:53">
      <c r="B25" s="257" t="s">
        <v>770</v>
      </c>
      <c r="C25" s="54" t="s">
        <v>771</v>
      </c>
      <c r="D25" s="42">
        <f t="shared" ref="D25" si="7">SUM(F25:BA25)</f>
        <v>52830.1886792453</v>
      </c>
      <c r="E25" s="256" t="s">
        <v>130</v>
      </c>
      <c r="F25" s="42">
        <f>参数输入表!$I$615*参数输入表!$I$616/(1+参数输入表!$I$617)*F5</f>
        <v>0</v>
      </c>
      <c r="G25" s="42">
        <f>参数输入表!$I$615*参数输入表!$I$616/(1+参数输入表!$I$617)*G5</f>
        <v>0</v>
      </c>
      <c r="H25" s="42">
        <f>参数输入表!$I$615*参数输入表!$I$616/(1+参数输入表!$I$617)*H5</f>
        <v>0</v>
      </c>
      <c r="I25" s="42">
        <f>参数输入表!$I$615*参数输入表!$I$616/(1+参数输入表!$I$617)*I5</f>
        <v>0</v>
      </c>
      <c r="J25" s="42">
        <f>参数输入表!$I$615*参数输入表!$I$616/(1+参数输入表!$I$617)*J5</f>
        <v>0</v>
      </c>
      <c r="K25" s="42">
        <f>参数输入表!$I$615*参数输入表!$I$616/(1+参数输入表!$I$617)*K5</f>
        <v>0</v>
      </c>
      <c r="L25" s="42">
        <f>参数输入表!$I$615*参数输入表!$I$616/(1+参数输入表!$I$617)*L5</f>
        <v>0</v>
      </c>
      <c r="M25" s="42">
        <f>参数输入表!$I$615*参数输入表!$I$616/(1+参数输入表!$I$617)*M5</f>
        <v>550.314465408805</v>
      </c>
      <c r="N25" s="42">
        <f>参数输入表!$I$615*参数输入表!$I$616/(1+参数输入表!$I$617)*N5</f>
        <v>1320.75471698113</v>
      </c>
      <c r="O25" s="42">
        <f>参数输入表!$I$615*参数输入表!$I$616/(1+参数输入表!$I$617)*O5</f>
        <v>1320.75471698113</v>
      </c>
      <c r="P25" s="42">
        <f>参数输入表!$I$615*参数输入表!$I$616/(1+参数输入表!$I$617)*P5</f>
        <v>1320.75471698113</v>
      </c>
      <c r="Q25" s="42">
        <f>参数输入表!$I$615*参数输入表!$I$616/(1+参数输入表!$I$617)*Q5</f>
        <v>1320.75471698113</v>
      </c>
      <c r="R25" s="42">
        <f>参数输入表!$I$615*参数输入表!$I$616/(1+参数输入表!$I$617)*R5</f>
        <v>1320.75471698113</v>
      </c>
      <c r="S25" s="42">
        <f>参数输入表!$I$615*参数输入表!$I$616/(1+参数输入表!$I$617)*S5</f>
        <v>1320.75471698113</v>
      </c>
      <c r="T25" s="42">
        <f>参数输入表!$I$615*参数输入表!$I$616/(1+参数输入表!$I$617)*T5</f>
        <v>1320.75471698113</v>
      </c>
      <c r="U25" s="42">
        <f>参数输入表!$I$615*参数输入表!$I$616/(1+参数输入表!$I$617)*U5</f>
        <v>1320.75471698113</v>
      </c>
      <c r="V25" s="42">
        <f>参数输入表!$I$615*参数输入表!$I$616/(1+参数输入表!$I$617)*V5</f>
        <v>1320.75471698113</v>
      </c>
      <c r="W25" s="42">
        <f>参数输入表!$I$615*参数输入表!$I$616/(1+参数输入表!$I$617)*W5</f>
        <v>1320.75471698113</v>
      </c>
      <c r="X25" s="42">
        <f>参数输入表!$I$615*参数输入表!$I$616/(1+参数输入表!$I$617)*X5</f>
        <v>1320.75471698113</v>
      </c>
      <c r="Y25" s="42">
        <f>参数输入表!$I$615*参数输入表!$I$616/(1+参数输入表!$I$617)*Y5</f>
        <v>1320.75471698113</v>
      </c>
      <c r="Z25" s="42">
        <f>参数输入表!$I$615*参数输入表!$I$616/(1+参数输入表!$I$617)*Z5</f>
        <v>1320.75471698113</v>
      </c>
      <c r="AA25" s="42">
        <f>参数输入表!$I$615*参数输入表!$I$616/(1+参数输入表!$I$617)*AA5</f>
        <v>1320.75471698113</v>
      </c>
      <c r="AB25" s="42">
        <f>参数输入表!$I$615*参数输入表!$I$616/(1+参数输入表!$I$617)*AB5</f>
        <v>1320.75471698113</v>
      </c>
      <c r="AC25" s="42">
        <f>参数输入表!$I$615*参数输入表!$I$616/(1+参数输入表!$I$617)*AC5</f>
        <v>1320.75471698113</v>
      </c>
      <c r="AD25" s="42">
        <f>参数输入表!$I$615*参数输入表!$I$616/(1+参数输入表!$I$617)*AD5</f>
        <v>1320.75471698113</v>
      </c>
      <c r="AE25" s="42">
        <f>参数输入表!$I$615*参数输入表!$I$616/(1+参数输入表!$I$617)*AE5</f>
        <v>1320.75471698113</v>
      </c>
      <c r="AF25" s="42">
        <f>参数输入表!$I$615*参数输入表!$I$616/(1+参数输入表!$I$617)*AF5</f>
        <v>1320.75471698113</v>
      </c>
      <c r="AG25" s="42">
        <f>参数输入表!$I$615*参数输入表!$I$616/(1+参数输入表!$I$617)*AG5</f>
        <v>1320.75471698113</v>
      </c>
      <c r="AH25" s="42">
        <f>参数输入表!$I$615*参数输入表!$I$616/(1+参数输入表!$I$617)*AH5</f>
        <v>1320.75471698113</v>
      </c>
      <c r="AI25" s="42">
        <f>参数输入表!$I$615*参数输入表!$I$616/(1+参数输入表!$I$617)*AI5</f>
        <v>1320.75471698113</v>
      </c>
      <c r="AJ25" s="42">
        <f>参数输入表!$I$615*参数输入表!$I$616/(1+参数输入表!$I$617)*AJ5</f>
        <v>1320.75471698113</v>
      </c>
      <c r="AK25" s="42">
        <f>参数输入表!$I$615*参数输入表!$I$616/(1+参数输入表!$I$617)*AK5</f>
        <v>1320.75471698113</v>
      </c>
      <c r="AL25" s="42">
        <f>参数输入表!$I$615*参数输入表!$I$616/(1+参数输入表!$I$617)*AL5</f>
        <v>1320.75471698113</v>
      </c>
      <c r="AM25" s="42">
        <f>参数输入表!$I$615*参数输入表!$I$616/(1+参数输入表!$I$617)*AM5</f>
        <v>1320.75471698113</v>
      </c>
      <c r="AN25" s="42">
        <f>参数输入表!$I$615*参数输入表!$I$616/(1+参数输入表!$I$617)*AN5</f>
        <v>1320.75471698113</v>
      </c>
      <c r="AO25" s="42">
        <f>参数输入表!$I$615*参数输入表!$I$616/(1+参数输入表!$I$617)*AO5</f>
        <v>1320.75471698113</v>
      </c>
      <c r="AP25" s="42">
        <f>参数输入表!$I$615*参数输入表!$I$616/(1+参数输入表!$I$617)*AP5</f>
        <v>1320.75471698113</v>
      </c>
      <c r="AQ25" s="42">
        <f>参数输入表!$I$615*参数输入表!$I$616/(1+参数输入表!$I$617)*AQ5</f>
        <v>1320.75471698113</v>
      </c>
      <c r="AR25" s="42">
        <f>参数输入表!$I$615*参数输入表!$I$616/(1+参数输入表!$I$617)*AR5</f>
        <v>1320.75471698113</v>
      </c>
      <c r="AS25" s="42">
        <f>参数输入表!$I$615*参数输入表!$I$616/(1+参数输入表!$I$617)*AS5</f>
        <v>1320.75471698113</v>
      </c>
      <c r="AT25" s="42">
        <f>参数输入表!$I$615*参数输入表!$I$616/(1+参数输入表!$I$617)*AT5</f>
        <v>1320.75471698113</v>
      </c>
      <c r="AU25" s="42">
        <f>参数输入表!$I$615*参数输入表!$I$616/(1+参数输入表!$I$617)*AU5</f>
        <v>1320.75471698113</v>
      </c>
      <c r="AV25" s="42">
        <f>参数输入表!$I$615*参数输入表!$I$616/(1+参数输入表!$I$617)*AV5</f>
        <v>1320.75471698113</v>
      </c>
      <c r="AW25" s="42">
        <f>参数输入表!$I$615*参数输入表!$I$616/(1+参数输入表!$I$617)*AW5</f>
        <v>1320.75471698113</v>
      </c>
      <c r="AX25" s="42">
        <f>参数输入表!$I$615*参数输入表!$I$616/(1+参数输入表!$I$617)*AX5</f>
        <v>1320.75471698113</v>
      </c>
      <c r="AY25" s="42">
        <f>参数输入表!$I$615*参数输入表!$I$616/(1+参数输入表!$I$617)*AY5</f>
        <v>1320.75471698113</v>
      </c>
      <c r="AZ25" s="42">
        <f>参数输入表!$I$615*参数输入表!$I$616/(1+参数输入表!$I$617)*AZ5</f>
        <v>1320.75471698113</v>
      </c>
      <c r="BA25" s="43">
        <f>参数输入表!$I$615*参数输入表!$I$616/(1+参数输入表!$I$617)*BA5</f>
        <v>770.440251572327</v>
      </c>
    </row>
    <row r="26" spans="2:53">
      <c r="B26" s="257" t="s">
        <v>772</v>
      </c>
      <c r="C26" s="54" t="s">
        <v>296</v>
      </c>
      <c r="D26" s="42">
        <f t="shared" ref="D22:D35" si="8">SUM(F26:BA26)</f>
        <v>67200</v>
      </c>
      <c r="E26" s="256" t="s">
        <v>130</v>
      </c>
      <c r="F26" s="42">
        <f>参数输入表!$I$611*参数输入表!$I$612/(1+参数输入表!$I$613)*F5</f>
        <v>0</v>
      </c>
      <c r="G26" s="42">
        <f>参数输入表!$I$611*参数输入表!$I$612/(1+参数输入表!$I$613)*G5</f>
        <v>0</v>
      </c>
      <c r="H26" s="42">
        <f>参数输入表!$I$611*参数输入表!$I$612/(1+参数输入表!$I$613)*H5</f>
        <v>0</v>
      </c>
      <c r="I26" s="42">
        <f>参数输入表!$I$611*参数输入表!$I$612/(1+参数输入表!$I$613)*I5</f>
        <v>0</v>
      </c>
      <c r="J26" s="42">
        <f>参数输入表!$I$611*参数输入表!$I$612/(1+参数输入表!$I$613)*J5</f>
        <v>0</v>
      </c>
      <c r="K26" s="42">
        <f>参数输入表!$I$611*参数输入表!$I$612/(1+参数输入表!$I$613)*K5</f>
        <v>0</v>
      </c>
      <c r="L26" s="42">
        <f>参数输入表!$I$611*参数输入表!$I$612/(1+参数输入表!$I$613)*L5</f>
        <v>0</v>
      </c>
      <c r="M26" s="42">
        <f>参数输入表!$I$611*参数输入表!$I$612/(1+参数输入表!$I$613)*M5</f>
        <v>700</v>
      </c>
      <c r="N26" s="42">
        <f>参数输入表!$I$611*参数输入表!$I$612/(1+参数输入表!$I$613)*N5</f>
        <v>1680</v>
      </c>
      <c r="O26" s="42">
        <f>参数输入表!$I$611*参数输入表!$I$612/(1+参数输入表!$I$613)*O5</f>
        <v>1680</v>
      </c>
      <c r="P26" s="42">
        <f>参数输入表!$I$611*参数输入表!$I$612/(1+参数输入表!$I$613)*P5</f>
        <v>1680</v>
      </c>
      <c r="Q26" s="42">
        <f>参数输入表!$I$611*参数输入表!$I$612/(1+参数输入表!$I$613)*Q5</f>
        <v>1680</v>
      </c>
      <c r="R26" s="42">
        <f>参数输入表!$I$611*参数输入表!$I$612/(1+参数输入表!$I$613)*R5</f>
        <v>1680</v>
      </c>
      <c r="S26" s="42">
        <f>参数输入表!$I$611*参数输入表!$I$612/(1+参数输入表!$I$613)*S5</f>
        <v>1680</v>
      </c>
      <c r="T26" s="42">
        <f>参数输入表!$I$611*参数输入表!$I$612/(1+参数输入表!$I$613)*T5</f>
        <v>1680</v>
      </c>
      <c r="U26" s="42">
        <f>参数输入表!$I$611*参数输入表!$I$612/(1+参数输入表!$I$613)*U5</f>
        <v>1680</v>
      </c>
      <c r="V26" s="42">
        <f>参数输入表!$I$611*参数输入表!$I$612/(1+参数输入表!$I$613)*V5</f>
        <v>1680</v>
      </c>
      <c r="W26" s="42">
        <f>参数输入表!$I$611*参数输入表!$I$612/(1+参数输入表!$I$613)*W5</f>
        <v>1680</v>
      </c>
      <c r="X26" s="42">
        <f>参数输入表!$I$611*参数输入表!$I$612/(1+参数输入表!$I$613)*X5</f>
        <v>1680</v>
      </c>
      <c r="Y26" s="42">
        <f>参数输入表!$I$611*参数输入表!$I$612/(1+参数输入表!$I$613)*Y5</f>
        <v>1680</v>
      </c>
      <c r="Z26" s="42">
        <f>参数输入表!$I$611*参数输入表!$I$612/(1+参数输入表!$I$613)*Z5</f>
        <v>1680</v>
      </c>
      <c r="AA26" s="42">
        <f>参数输入表!$I$611*参数输入表!$I$612/(1+参数输入表!$I$613)*AA5</f>
        <v>1680</v>
      </c>
      <c r="AB26" s="42">
        <f>参数输入表!$I$611*参数输入表!$I$612/(1+参数输入表!$I$613)*AB5</f>
        <v>1680</v>
      </c>
      <c r="AC26" s="42">
        <f>参数输入表!$I$611*参数输入表!$I$612/(1+参数输入表!$I$613)*AC5</f>
        <v>1680</v>
      </c>
      <c r="AD26" s="42">
        <f>参数输入表!$I$611*参数输入表!$I$612/(1+参数输入表!$I$613)*AD5</f>
        <v>1680</v>
      </c>
      <c r="AE26" s="42">
        <f>参数输入表!$I$611*参数输入表!$I$612/(1+参数输入表!$I$613)*AE5</f>
        <v>1680</v>
      </c>
      <c r="AF26" s="42">
        <f>参数输入表!$I$611*参数输入表!$I$612/(1+参数输入表!$I$613)*AF5</f>
        <v>1680</v>
      </c>
      <c r="AG26" s="42">
        <f>参数输入表!$I$611*参数输入表!$I$612/(1+参数输入表!$I$613)*AG5</f>
        <v>1680</v>
      </c>
      <c r="AH26" s="42">
        <f>参数输入表!$I$611*参数输入表!$I$612/(1+参数输入表!$I$613)*AH5</f>
        <v>1680</v>
      </c>
      <c r="AI26" s="42">
        <f>参数输入表!$I$611*参数输入表!$I$612/(1+参数输入表!$I$613)*AI5</f>
        <v>1680</v>
      </c>
      <c r="AJ26" s="42">
        <f>参数输入表!$I$611*参数输入表!$I$612/(1+参数输入表!$I$613)*AJ5</f>
        <v>1680</v>
      </c>
      <c r="AK26" s="42">
        <f>参数输入表!$I$611*参数输入表!$I$612/(1+参数输入表!$I$613)*AK5</f>
        <v>1680</v>
      </c>
      <c r="AL26" s="42">
        <f>参数输入表!$I$611*参数输入表!$I$612/(1+参数输入表!$I$613)*AL5</f>
        <v>1680</v>
      </c>
      <c r="AM26" s="42">
        <f>参数输入表!$I$611*参数输入表!$I$612/(1+参数输入表!$I$613)*AM5</f>
        <v>1680</v>
      </c>
      <c r="AN26" s="42">
        <f>参数输入表!$I$611*参数输入表!$I$612/(1+参数输入表!$I$613)*AN5</f>
        <v>1680</v>
      </c>
      <c r="AO26" s="42">
        <f>参数输入表!$I$611*参数输入表!$I$612/(1+参数输入表!$I$613)*AO5</f>
        <v>1680</v>
      </c>
      <c r="AP26" s="42">
        <f>参数输入表!$I$611*参数输入表!$I$612/(1+参数输入表!$I$613)*AP5</f>
        <v>1680</v>
      </c>
      <c r="AQ26" s="42">
        <f>参数输入表!$I$611*参数输入表!$I$612/(1+参数输入表!$I$613)*AQ5</f>
        <v>1680</v>
      </c>
      <c r="AR26" s="42">
        <f>参数输入表!$I$611*参数输入表!$I$612/(1+参数输入表!$I$613)*AR5</f>
        <v>1680</v>
      </c>
      <c r="AS26" s="42">
        <f>参数输入表!$I$611*参数输入表!$I$612/(1+参数输入表!$I$613)*AS5</f>
        <v>1680</v>
      </c>
      <c r="AT26" s="42">
        <f>参数输入表!$I$611*参数输入表!$I$612/(1+参数输入表!$I$613)*AT5</f>
        <v>1680</v>
      </c>
      <c r="AU26" s="42">
        <f>参数输入表!$I$611*参数输入表!$I$612/(1+参数输入表!$I$613)*AU5</f>
        <v>1680</v>
      </c>
      <c r="AV26" s="42">
        <f>参数输入表!$I$611*参数输入表!$I$612/(1+参数输入表!$I$613)*AV5</f>
        <v>1680</v>
      </c>
      <c r="AW26" s="42">
        <f>参数输入表!$I$611*参数输入表!$I$612/(1+参数输入表!$I$613)*AW5</f>
        <v>1680</v>
      </c>
      <c r="AX26" s="42">
        <f>参数输入表!$I$611*参数输入表!$I$612/(1+参数输入表!$I$613)*AX5</f>
        <v>1680</v>
      </c>
      <c r="AY26" s="42">
        <f>参数输入表!$I$611*参数输入表!$I$612/(1+参数输入表!$I$613)*AY5</f>
        <v>1680</v>
      </c>
      <c r="AZ26" s="42">
        <f>参数输入表!$I$611*参数输入表!$I$612/(1+参数输入表!$I$613)*AZ5</f>
        <v>1680</v>
      </c>
      <c r="BA26" s="43">
        <f>参数输入表!$I$611*参数输入表!$I$612/(1+参数输入表!$I$613)*BA5</f>
        <v>980</v>
      </c>
    </row>
    <row r="27" ht="21" customHeight="1" spans="2:53">
      <c r="B27" s="217">
        <v>2</v>
      </c>
      <c r="C27" s="218" t="s">
        <v>773</v>
      </c>
      <c r="D27" s="134">
        <f t="shared" si="8"/>
        <v>0</v>
      </c>
      <c r="E27" s="256" t="s">
        <v>130</v>
      </c>
      <c r="F27" s="119">
        <v>0</v>
      </c>
      <c r="G27" s="119">
        <v>0</v>
      </c>
      <c r="H27" s="119">
        <v>0</v>
      </c>
      <c r="I27" s="119">
        <v>0</v>
      </c>
      <c r="J27" s="119">
        <v>0</v>
      </c>
      <c r="K27" s="119">
        <v>0</v>
      </c>
      <c r="L27" s="119">
        <v>0</v>
      </c>
      <c r="M27" s="119">
        <v>0</v>
      </c>
      <c r="N27" s="134">
        <v>0</v>
      </c>
      <c r="O27" s="134">
        <v>0</v>
      </c>
      <c r="P27" s="134">
        <v>0</v>
      </c>
      <c r="Q27" s="134">
        <v>0</v>
      </c>
      <c r="R27" s="134">
        <v>0</v>
      </c>
      <c r="S27" s="134">
        <v>0</v>
      </c>
      <c r="T27" s="134">
        <v>0</v>
      </c>
      <c r="U27" s="134">
        <v>0</v>
      </c>
      <c r="V27" s="134">
        <v>0</v>
      </c>
      <c r="W27" s="134">
        <v>0</v>
      </c>
      <c r="X27" s="134">
        <v>0</v>
      </c>
      <c r="Y27" s="134">
        <v>0</v>
      </c>
      <c r="Z27" s="134">
        <v>0</v>
      </c>
      <c r="AA27" s="134">
        <v>0</v>
      </c>
      <c r="AB27" s="134">
        <v>0</v>
      </c>
      <c r="AC27" s="134">
        <v>0</v>
      </c>
      <c r="AD27" s="134">
        <v>0</v>
      </c>
      <c r="AE27" s="134">
        <v>0</v>
      </c>
      <c r="AF27" s="134">
        <v>0</v>
      </c>
      <c r="AG27" s="134">
        <v>0</v>
      </c>
      <c r="AH27" s="134">
        <v>0</v>
      </c>
      <c r="AI27" s="134">
        <v>0</v>
      </c>
      <c r="AJ27" s="134">
        <v>0</v>
      </c>
      <c r="AK27" s="134">
        <v>0</v>
      </c>
      <c r="AL27" s="134">
        <v>0</v>
      </c>
      <c r="AM27" s="134">
        <v>0</v>
      </c>
      <c r="AN27" s="134">
        <v>0</v>
      </c>
      <c r="AO27" s="134">
        <v>0</v>
      </c>
      <c r="AP27" s="134">
        <v>0</v>
      </c>
      <c r="AQ27" s="134">
        <v>0</v>
      </c>
      <c r="AR27" s="134">
        <v>0</v>
      </c>
      <c r="AS27" s="134">
        <v>0</v>
      </c>
      <c r="AT27" s="134">
        <v>0</v>
      </c>
      <c r="AU27" s="134">
        <v>0</v>
      </c>
      <c r="AV27" s="134">
        <v>0</v>
      </c>
      <c r="AW27" s="134">
        <v>0</v>
      </c>
      <c r="AX27" s="134">
        <v>0</v>
      </c>
      <c r="AY27" s="134">
        <v>0</v>
      </c>
      <c r="AZ27" s="134">
        <v>0</v>
      </c>
      <c r="BA27" s="143">
        <v>0</v>
      </c>
    </row>
    <row r="28" ht="21" customHeight="1" spans="2:53">
      <c r="B28" s="217">
        <v>3</v>
      </c>
      <c r="C28" s="218" t="s">
        <v>265</v>
      </c>
      <c r="D28" s="134">
        <f t="shared" si="8"/>
        <v>72221.944502392</v>
      </c>
      <c r="E28" s="256" t="s">
        <v>130</v>
      </c>
      <c r="F28" s="134">
        <f>SUM(F29:F29)</f>
        <v>0</v>
      </c>
      <c r="G28" s="134">
        <f t="shared" ref="G28:P28" si="9">SUM(G29:G29)</f>
        <v>0</v>
      </c>
      <c r="H28" s="134">
        <f t="shared" si="9"/>
        <v>0</v>
      </c>
      <c r="I28" s="134">
        <f t="shared" si="9"/>
        <v>0</v>
      </c>
      <c r="J28" s="134">
        <f t="shared" si="9"/>
        <v>0</v>
      </c>
      <c r="K28" s="134">
        <f t="shared" si="9"/>
        <v>0</v>
      </c>
      <c r="L28" s="134">
        <f t="shared" si="9"/>
        <v>0</v>
      </c>
      <c r="M28" s="134">
        <f t="shared" si="9"/>
        <v>752.311921899917</v>
      </c>
      <c r="N28" s="134">
        <f t="shared" si="9"/>
        <v>1805.5486125598</v>
      </c>
      <c r="O28" s="134">
        <f t="shared" si="9"/>
        <v>1805.5486125598</v>
      </c>
      <c r="P28" s="134">
        <f t="shared" si="9"/>
        <v>1805.5486125598</v>
      </c>
      <c r="Q28" s="134">
        <f t="shared" ref="Q28:AL28" si="10">SUM(Q29:Q29)</f>
        <v>1805.5486125598</v>
      </c>
      <c r="R28" s="134">
        <f t="shared" si="10"/>
        <v>1805.5486125598</v>
      </c>
      <c r="S28" s="134">
        <f t="shared" si="10"/>
        <v>1805.5486125598</v>
      </c>
      <c r="T28" s="134">
        <f t="shared" si="10"/>
        <v>1805.5486125598</v>
      </c>
      <c r="U28" s="134">
        <f t="shared" si="10"/>
        <v>1805.5486125598</v>
      </c>
      <c r="V28" s="134">
        <f t="shared" si="10"/>
        <v>1805.5486125598</v>
      </c>
      <c r="W28" s="134">
        <f t="shared" si="10"/>
        <v>1805.5486125598</v>
      </c>
      <c r="X28" s="134">
        <f t="shared" si="10"/>
        <v>1805.5486125598</v>
      </c>
      <c r="Y28" s="134">
        <f t="shared" si="10"/>
        <v>1805.5486125598</v>
      </c>
      <c r="Z28" s="134">
        <f t="shared" si="10"/>
        <v>1805.5486125598</v>
      </c>
      <c r="AA28" s="134">
        <f t="shared" si="10"/>
        <v>1805.5486125598</v>
      </c>
      <c r="AB28" s="134">
        <f t="shared" si="10"/>
        <v>1805.5486125598</v>
      </c>
      <c r="AC28" s="134">
        <f t="shared" si="10"/>
        <v>1805.5486125598</v>
      </c>
      <c r="AD28" s="134">
        <f t="shared" si="10"/>
        <v>1805.5486125598</v>
      </c>
      <c r="AE28" s="134">
        <f t="shared" si="10"/>
        <v>1805.5486125598</v>
      </c>
      <c r="AF28" s="134">
        <f t="shared" si="10"/>
        <v>1805.5486125598</v>
      </c>
      <c r="AG28" s="134">
        <f t="shared" si="10"/>
        <v>1805.5486125598</v>
      </c>
      <c r="AH28" s="134">
        <f t="shared" si="10"/>
        <v>1805.5486125598</v>
      </c>
      <c r="AI28" s="134">
        <f t="shared" si="10"/>
        <v>1805.5486125598</v>
      </c>
      <c r="AJ28" s="134">
        <f t="shared" si="10"/>
        <v>1805.5486125598</v>
      </c>
      <c r="AK28" s="134">
        <f t="shared" si="10"/>
        <v>1805.5486125598</v>
      </c>
      <c r="AL28" s="134">
        <f t="shared" si="10"/>
        <v>1805.5486125598</v>
      </c>
      <c r="AM28" s="134">
        <f t="shared" ref="AM28:BA28" si="11">SUM(AM29:AM29)</f>
        <v>1805.5486125598</v>
      </c>
      <c r="AN28" s="134">
        <f t="shared" si="11"/>
        <v>1805.5486125598</v>
      </c>
      <c r="AO28" s="134">
        <f t="shared" si="11"/>
        <v>1805.5486125598</v>
      </c>
      <c r="AP28" s="134">
        <f t="shared" si="11"/>
        <v>1805.5486125598</v>
      </c>
      <c r="AQ28" s="134">
        <f t="shared" si="11"/>
        <v>1805.5486125598</v>
      </c>
      <c r="AR28" s="134">
        <f t="shared" si="11"/>
        <v>1805.5486125598</v>
      </c>
      <c r="AS28" s="134">
        <f t="shared" si="11"/>
        <v>1805.5486125598</v>
      </c>
      <c r="AT28" s="134">
        <f t="shared" si="11"/>
        <v>1805.5486125598</v>
      </c>
      <c r="AU28" s="134">
        <f t="shared" si="11"/>
        <v>1805.5486125598</v>
      </c>
      <c r="AV28" s="134">
        <f t="shared" si="11"/>
        <v>1805.5486125598</v>
      </c>
      <c r="AW28" s="134">
        <f t="shared" si="11"/>
        <v>1805.5486125598</v>
      </c>
      <c r="AX28" s="134">
        <f t="shared" si="11"/>
        <v>1805.5486125598</v>
      </c>
      <c r="AY28" s="134">
        <f t="shared" si="11"/>
        <v>1805.5486125598</v>
      </c>
      <c r="AZ28" s="134">
        <f t="shared" si="11"/>
        <v>1805.5486125598</v>
      </c>
      <c r="BA28" s="143">
        <f t="shared" si="11"/>
        <v>1053.23669065988</v>
      </c>
    </row>
    <row r="29" ht="21" customHeight="1" spans="2:53">
      <c r="B29" s="48">
        <v>3.1</v>
      </c>
      <c r="C29" s="54" t="s">
        <v>774</v>
      </c>
      <c r="D29" s="42">
        <f t="shared" si="8"/>
        <v>72221.944502392</v>
      </c>
      <c r="E29" s="256" t="s">
        <v>130</v>
      </c>
      <c r="F29" s="124">
        <f>参数输入表!$I$439*参数输入表!$I$488/(1+参数输入表!$I$489)</f>
        <v>0</v>
      </c>
      <c r="G29" s="124">
        <f>参数输入表!$I$440*参数输入表!$I$488/(1+参数输入表!$I$489)</f>
        <v>0</v>
      </c>
      <c r="H29" s="124">
        <f>参数输入表!$I$441*参数输入表!$I$488/(1+参数输入表!$I$489)</f>
        <v>0</v>
      </c>
      <c r="I29" s="124">
        <f>参数输入表!$I$442*参数输入表!$I$488/(1+参数输入表!$I$489)</f>
        <v>0</v>
      </c>
      <c r="J29" s="124">
        <f>参数输入表!$I$443*参数输入表!$I$488/(1+参数输入表!$I$489)</f>
        <v>0</v>
      </c>
      <c r="K29" s="124">
        <f>参数输入表!$I$444*参数输入表!$I$488/(1+参数输入表!$I$489)</f>
        <v>0</v>
      </c>
      <c r="L29" s="124">
        <f>参数输入表!$I$445*参数输入表!$I$488/(1+参数输入表!$I$489)</f>
        <v>0</v>
      </c>
      <c r="M29" s="124">
        <f>参数输入表!$I$446*参数输入表!$I$488/(1+参数输入表!$I$489)</f>
        <v>752.311921899917</v>
      </c>
      <c r="N29" s="124">
        <f>参数输入表!$I$447*参数输入表!$I$488/(1+参数输入表!$I$489)</f>
        <v>1805.5486125598</v>
      </c>
      <c r="O29" s="124">
        <f>参数输入表!$I$448*参数输入表!$I$488/(1+参数输入表!$I$489)</f>
        <v>1805.5486125598</v>
      </c>
      <c r="P29" s="124">
        <f>参数输入表!$I$449*参数输入表!$I$488/(1+参数输入表!$I$489)</f>
        <v>1805.5486125598</v>
      </c>
      <c r="Q29" s="124">
        <f>参数输入表!$I$450*参数输入表!$I$488/(1+参数输入表!$I$489)</f>
        <v>1805.5486125598</v>
      </c>
      <c r="R29" s="124">
        <f>参数输入表!$I$451*参数输入表!$I$488/(1+参数输入表!$I$489)</f>
        <v>1805.5486125598</v>
      </c>
      <c r="S29" s="124">
        <f>参数输入表!$I$452*参数输入表!$I$488/(1+参数输入表!$I$489)</f>
        <v>1805.5486125598</v>
      </c>
      <c r="T29" s="124">
        <f>参数输入表!$I$453*参数输入表!$I$488/(1+参数输入表!$I$489)</f>
        <v>1805.5486125598</v>
      </c>
      <c r="U29" s="124">
        <f>参数输入表!$I$454*参数输入表!$I$488/(1+参数输入表!$I$489)</f>
        <v>1805.5486125598</v>
      </c>
      <c r="V29" s="124">
        <f>参数输入表!$I$455*参数输入表!$I$488/(1+参数输入表!$I$489)</f>
        <v>1805.5486125598</v>
      </c>
      <c r="W29" s="124">
        <f>参数输入表!$I$456*参数输入表!$I$488/(1+参数输入表!$I$489)</f>
        <v>1805.5486125598</v>
      </c>
      <c r="X29" s="124">
        <f>参数输入表!$I$457*参数输入表!$I$488/(1+参数输入表!$I$489)</f>
        <v>1805.5486125598</v>
      </c>
      <c r="Y29" s="124">
        <f>参数输入表!$I$458*参数输入表!$I$488/(1+参数输入表!$I$489)</f>
        <v>1805.5486125598</v>
      </c>
      <c r="Z29" s="124">
        <f>参数输入表!$I$459*参数输入表!$I$488/(1+参数输入表!$I$489)</f>
        <v>1805.5486125598</v>
      </c>
      <c r="AA29" s="124">
        <f>参数输入表!$I$460*参数输入表!$I$488/(1+参数输入表!$I$489)</f>
        <v>1805.5486125598</v>
      </c>
      <c r="AB29" s="124">
        <f>参数输入表!$I$461*参数输入表!$I$488/(1+参数输入表!$I$489)</f>
        <v>1805.5486125598</v>
      </c>
      <c r="AC29" s="124">
        <f>参数输入表!$I$462*参数输入表!$I$488/(1+参数输入表!$I$489)</f>
        <v>1805.5486125598</v>
      </c>
      <c r="AD29" s="124">
        <f>参数输入表!$I$463*参数输入表!$I$488/(1+参数输入表!$I$489)</f>
        <v>1805.5486125598</v>
      </c>
      <c r="AE29" s="124">
        <f>参数输入表!$I$464*参数输入表!$I$488/(1+参数输入表!$I$489)</f>
        <v>1805.5486125598</v>
      </c>
      <c r="AF29" s="124">
        <f>参数输入表!$I$465*参数输入表!$I$488/(1+参数输入表!$I$489)</f>
        <v>1805.5486125598</v>
      </c>
      <c r="AG29" s="124">
        <f>参数输入表!$I$466*参数输入表!$I$488/(1+参数输入表!$I$489)</f>
        <v>1805.5486125598</v>
      </c>
      <c r="AH29" s="124">
        <f>参数输入表!$I$467*参数输入表!$I$488/(1+参数输入表!$I$489)</f>
        <v>1805.5486125598</v>
      </c>
      <c r="AI29" s="124">
        <f>参数输入表!$I$468*参数输入表!$I$488/(1+参数输入表!$I$489)</f>
        <v>1805.5486125598</v>
      </c>
      <c r="AJ29" s="124">
        <f>参数输入表!$I$469*参数输入表!$I$488/(1+参数输入表!$I$489)</f>
        <v>1805.5486125598</v>
      </c>
      <c r="AK29" s="124">
        <f>参数输入表!$I$470*参数输入表!$I$488/(1+参数输入表!$I$489)</f>
        <v>1805.5486125598</v>
      </c>
      <c r="AL29" s="124">
        <f>参数输入表!$I$471*参数输入表!$I$488/(1+参数输入表!$I$489)</f>
        <v>1805.5486125598</v>
      </c>
      <c r="AM29" s="124">
        <f>参数输入表!$I$472*参数输入表!$I$488/(1+参数输入表!$I$489)</f>
        <v>1805.5486125598</v>
      </c>
      <c r="AN29" s="124">
        <f>参数输入表!$I$473*参数输入表!$I$488/(1+参数输入表!$I$489)</f>
        <v>1805.5486125598</v>
      </c>
      <c r="AO29" s="124">
        <f>参数输入表!$I$474*参数输入表!$I$488/(1+参数输入表!$I$489)</f>
        <v>1805.5486125598</v>
      </c>
      <c r="AP29" s="124">
        <f>参数输入表!$I$475*参数输入表!$I$488/(1+参数输入表!$I$489)</f>
        <v>1805.5486125598</v>
      </c>
      <c r="AQ29" s="124">
        <f>参数输入表!$I$476*参数输入表!$I$488/(1+参数输入表!$I$489)</f>
        <v>1805.5486125598</v>
      </c>
      <c r="AR29" s="124">
        <f>参数输入表!$I$477*参数输入表!$I$488/(1+参数输入表!$I$489)</f>
        <v>1805.5486125598</v>
      </c>
      <c r="AS29" s="124">
        <f>参数输入表!$I$478*参数输入表!$I$488/(1+参数输入表!$I$489)</f>
        <v>1805.5486125598</v>
      </c>
      <c r="AT29" s="124">
        <f>参数输入表!$I$479*参数输入表!$I$488/(1+参数输入表!$I$489)</f>
        <v>1805.5486125598</v>
      </c>
      <c r="AU29" s="124">
        <f>参数输入表!$I$480*参数输入表!$I$488/(1+参数输入表!$I$489)</f>
        <v>1805.5486125598</v>
      </c>
      <c r="AV29" s="124">
        <f>参数输入表!$I$481*参数输入表!$I$488/(1+参数输入表!$I$489)</f>
        <v>1805.5486125598</v>
      </c>
      <c r="AW29" s="124">
        <f>参数输入表!$I$482*参数输入表!$I$488/(1+参数输入表!$I$489)</f>
        <v>1805.5486125598</v>
      </c>
      <c r="AX29" s="124">
        <f>参数输入表!$I$483*参数输入表!$I$488/(1+参数输入表!$I$489)</f>
        <v>1805.5486125598</v>
      </c>
      <c r="AY29" s="124">
        <f>参数输入表!$I$484*参数输入表!$I$488/(1+参数输入表!$I$489)</f>
        <v>1805.5486125598</v>
      </c>
      <c r="AZ29" s="124">
        <f>参数输入表!$I$485*参数输入表!$I$488/(1+参数输入表!$I$489)</f>
        <v>1805.5486125598</v>
      </c>
      <c r="BA29" s="125">
        <f>参数输入表!$I$486*参数输入表!$I$488/(1+参数输入表!$I$489)</f>
        <v>1053.23669065988</v>
      </c>
    </row>
    <row r="30" ht="21" customHeight="1" spans="2:53">
      <c r="B30" s="217">
        <v>4</v>
      </c>
      <c r="C30" s="218" t="s">
        <v>775</v>
      </c>
      <c r="D30" s="134">
        <f t="shared" si="8"/>
        <v>0</v>
      </c>
      <c r="E30" s="256" t="s">
        <v>130</v>
      </c>
      <c r="F30" s="134">
        <v>0</v>
      </c>
      <c r="G30" s="134">
        <v>0</v>
      </c>
      <c r="H30" s="134">
        <v>0</v>
      </c>
      <c r="I30" s="134">
        <v>0</v>
      </c>
      <c r="J30" s="134">
        <v>0</v>
      </c>
      <c r="K30" s="134">
        <v>0</v>
      </c>
      <c r="L30" s="134">
        <v>0</v>
      </c>
      <c r="M30" s="134">
        <v>0</v>
      </c>
      <c r="N30" s="134">
        <v>0</v>
      </c>
      <c r="O30" s="134">
        <v>0</v>
      </c>
      <c r="P30" s="134">
        <v>0</v>
      </c>
      <c r="Q30" s="134">
        <v>0</v>
      </c>
      <c r="R30" s="134">
        <v>0</v>
      </c>
      <c r="S30" s="134">
        <v>0</v>
      </c>
      <c r="T30" s="134">
        <v>0</v>
      </c>
      <c r="U30" s="134">
        <v>0</v>
      </c>
      <c r="V30" s="134">
        <v>0</v>
      </c>
      <c r="W30" s="134">
        <v>0</v>
      </c>
      <c r="X30" s="134">
        <v>0</v>
      </c>
      <c r="Y30" s="134">
        <v>0</v>
      </c>
      <c r="Z30" s="134">
        <v>0</v>
      </c>
      <c r="AA30" s="134">
        <v>0</v>
      </c>
      <c r="AB30" s="134">
        <v>0</v>
      </c>
      <c r="AC30" s="134">
        <v>0</v>
      </c>
      <c r="AD30" s="134">
        <v>0</v>
      </c>
      <c r="AE30" s="134">
        <v>0</v>
      </c>
      <c r="AF30" s="134">
        <v>0</v>
      </c>
      <c r="AG30" s="134">
        <v>0</v>
      </c>
      <c r="AH30" s="134">
        <v>0</v>
      </c>
      <c r="AI30" s="134">
        <v>0</v>
      </c>
      <c r="AJ30" s="134">
        <v>0</v>
      </c>
      <c r="AK30" s="134">
        <v>0</v>
      </c>
      <c r="AL30" s="134">
        <v>0</v>
      </c>
      <c r="AM30" s="134">
        <v>0</v>
      </c>
      <c r="AN30" s="134">
        <v>0</v>
      </c>
      <c r="AO30" s="134">
        <v>0</v>
      </c>
      <c r="AP30" s="134">
        <v>0</v>
      </c>
      <c r="AQ30" s="134">
        <v>0</v>
      </c>
      <c r="AR30" s="134">
        <v>0</v>
      </c>
      <c r="AS30" s="134">
        <v>0</v>
      </c>
      <c r="AT30" s="134">
        <v>0</v>
      </c>
      <c r="AU30" s="134">
        <v>0</v>
      </c>
      <c r="AV30" s="134">
        <v>0</v>
      </c>
      <c r="AW30" s="134">
        <v>0</v>
      </c>
      <c r="AX30" s="134">
        <v>0</v>
      </c>
      <c r="AY30" s="134">
        <v>0</v>
      </c>
      <c r="AZ30" s="134">
        <v>0</v>
      </c>
      <c r="BA30" s="143">
        <v>0</v>
      </c>
    </row>
    <row r="31" ht="21" customHeight="1" spans="2:53">
      <c r="B31" s="71">
        <v>5</v>
      </c>
      <c r="C31" s="275" t="s">
        <v>776</v>
      </c>
      <c r="D31" s="134">
        <f ca="1" t="shared" si="8"/>
        <v>370682.655127073</v>
      </c>
      <c r="E31" s="256" t="s">
        <v>130</v>
      </c>
      <c r="F31" s="134">
        <f ca="1">SUM(F32:F34)</f>
        <v>0</v>
      </c>
      <c r="G31" s="134">
        <f ca="1" t="shared" ref="G31:Q31" si="12">SUM(G32:G34)</f>
        <v>0</v>
      </c>
      <c r="H31" s="134">
        <f ca="1" t="shared" si="12"/>
        <v>0</v>
      </c>
      <c r="I31" s="134">
        <f ca="1" t="shared" si="12"/>
        <v>0</v>
      </c>
      <c r="J31" s="134">
        <f ca="1" t="shared" si="12"/>
        <v>0</v>
      </c>
      <c r="K31" s="134">
        <f ca="1" t="shared" si="12"/>
        <v>0</v>
      </c>
      <c r="L31" s="134">
        <f ca="1" t="shared" si="12"/>
        <v>0</v>
      </c>
      <c r="M31" s="134">
        <f ca="1" t="shared" si="12"/>
        <v>10675.2809851337</v>
      </c>
      <c r="N31" s="134">
        <f ca="1" t="shared" si="12"/>
        <v>31002.0024854438</v>
      </c>
      <c r="O31" s="134">
        <f ca="1" t="shared" si="12"/>
        <v>29716.1037344006</v>
      </c>
      <c r="P31" s="134">
        <f ca="1" t="shared" si="12"/>
        <v>27741.8691550155</v>
      </c>
      <c r="Q31" s="134">
        <f ca="1" t="shared" si="12"/>
        <v>25821.8765921267</v>
      </c>
      <c r="R31" s="134">
        <f ca="1" t="shared" ref="R31:AL31" si="13">SUM(R32:R34)</f>
        <v>24012.6348267633</v>
      </c>
      <c r="S31" s="134">
        <f ca="1" t="shared" si="13"/>
        <v>22376.9003165086</v>
      </c>
      <c r="T31" s="134">
        <f ca="1" t="shared" si="13"/>
        <v>21182.7303096789</v>
      </c>
      <c r="U31" s="134">
        <f ca="1" t="shared" si="13"/>
        <v>20250.9306236042</v>
      </c>
      <c r="V31" s="134">
        <f ca="1" t="shared" si="13"/>
        <v>19304.1225946216</v>
      </c>
      <c r="W31" s="134">
        <f ca="1" t="shared" si="13"/>
        <v>18348.9547395898</v>
      </c>
      <c r="X31" s="134">
        <f ca="1" t="shared" si="13"/>
        <v>17437.8454055595</v>
      </c>
      <c r="Y31" s="134">
        <f ca="1" t="shared" si="13"/>
        <v>17146.3611154738</v>
      </c>
      <c r="Z31" s="134">
        <f ca="1" t="shared" si="13"/>
        <v>16747.7172022741</v>
      </c>
      <c r="AA31" s="134">
        <f ca="1" t="shared" si="13"/>
        <v>15671.297520341</v>
      </c>
      <c r="AB31" s="134">
        <f ca="1" t="shared" si="13"/>
        <v>14133.0096988433</v>
      </c>
      <c r="AC31" s="134">
        <f ca="1" t="shared" si="13"/>
        <v>12124.6229272481</v>
      </c>
      <c r="AD31" s="134">
        <f ca="1" t="shared" si="13"/>
        <v>9548.2719559663</v>
      </c>
      <c r="AE31" s="134">
        <f ca="1" t="shared" si="13"/>
        <v>6978.95574543632</v>
      </c>
      <c r="AF31" s="134">
        <f ca="1" t="shared" si="13"/>
        <v>4562.4366409291</v>
      </c>
      <c r="AG31" s="134">
        <f ca="1" t="shared" si="13"/>
        <v>2233.36967476118</v>
      </c>
      <c r="AH31" s="134">
        <f ca="1" t="shared" si="13"/>
        <v>609.480099600724</v>
      </c>
      <c r="AI31" s="134">
        <f ca="1" t="shared" si="13"/>
        <v>164.442014946359</v>
      </c>
      <c r="AJ31" s="134">
        <f ca="1" t="shared" si="13"/>
        <v>164.442014946359</v>
      </c>
      <c r="AK31" s="134">
        <f ca="1" t="shared" si="13"/>
        <v>164.442014946359</v>
      </c>
      <c r="AL31" s="134">
        <f ca="1" t="shared" si="13"/>
        <v>164.442014946359</v>
      </c>
      <c r="AM31" s="134">
        <f ca="1" t="shared" ref="AM31:BA31" si="14">SUM(AM32:AM34)</f>
        <v>164.442014946359</v>
      </c>
      <c r="AN31" s="134">
        <f ca="1" t="shared" si="14"/>
        <v>164.442014946359</v>
      </c>
      <c r="AO31" s="134">
        <f ca="1" t="shared" si="14"/>
        <v>164.442014946359</v>
      </c>
      <c r="AP31" s="134">
        <f ca="1" t="shared" si="14"/>
        <v>164.442014946359</v>
      </c>
      <c r="AQ31" s="134">
        <f ca="1" t="shared" si="14"/>
        <v>164.442014946359</v>
      </c>
      <c r="AR31" s="134">
        <f ca="1" t="shared" si="14"/>
        <v>164.442014946359</v>
      </c>
      <c r="AS31" s="134">
        <f ca="1" t="shared" si="14"/>
        <v>164.442014946359</v>
      </c>
      <c r="AT31" s="134">
        <f ca="1" t="shared" si="14"/>
        <v>164.442014946359</v>
      </c>
      <c r="AU31" s="134">
        <f ca="1" t="shared" si="14"/>
        <v>164.442014946359</v>
      </c>
      <c r="AV31" s="134">
        <f ca="1" t="shared" si="14"/>
        <v>164.442014946359</v>
      </c>
      <c r="AW31" s="134">
        <f ca="1" t="shared" si="14"/>
        <v>164.442014946359</v>
      </c>
      <c r="AX31" s="134">
        <f ca="1" t="shared" si="14"/>
        <v>164.442014946359</v>
      </c>
      <c r="AY31" s="134">
        <f ca="1" t="shared" si="14"/>
        <v>164.442014946359</v>
      </c>
      <c r="AZ31" s="134">
        <f ca="1" t="shared" si="14"/>
        <v>164.442014946359</v>
      </c>
      <c r="BA31" s="143">
        <f ca="1" t="shared" si="14"/>
        <v>95.9245087187097</v>
      </c>
    </row>
    <row r="32" s="105" customFormat="1" ht="21" customHeight="1" spans="2:53">
      <c r="B32" s="48">
        <v>5.1</v>
      </c>
      <c r="C32" s="54" t="s">
        <v>777</v>
      </c>
      <c r="D32" s="124">
        <f ca="1" t="shared" si="8"/>
        <v>241194.778687723</v>
      </c>
      <c r="E32" s="266" t="s">
        <v>130</v>
      </c>
      <c r="F32" s="124">
        <f ca="1">'表1-资金筹措及还本付息表'!F169+'表1-资金筹措及还本付息表'!G169</f>
        <v>0</v>
      </c>
      <c r="G32" s="124">
        <f ca="1">'表1-资金筹措及还本付息表'!H169</f>
        <v>0</v>
      </c>
      <c r="H32" s="124">
        <f ca="1">'表1-资金筹措及还本付息表'!I169</f>
        <v>0</v>
      </c>
      <c r="I32" s="124">
        <f ca="1">'表1-资金筹措及还本付息表'!J169</f>
        <v>0</v>
      </c>
      <c r="J32" s="124">
        <f ca="1">'表1-资金筹措及还本付息表'!K169</f>
        <v>0</v>
      </c>
      <c r="K32" s="124">
        <f ca="1">'表1-资金筹措及还本付息表'!L169</f>
        <v>0</v>
      </c>
      <c r="L32" s="124">
        <f ca="1">'表1-资金筹措及还本付息表'!M169+'表1-资金筹措及还本付息表'!N169</f>
        <v>0</v>
      </c>
      <c r="M32" s="177">
        <f ca="1">'表1-资金筹措及还本付息表'!O169+'表1-资金筹措及还本付息表'!P169+'表1-资金筹措及还本付息表'!Q169</f>
        <v>10394.6661054151</v>
      </c>
      <c r="N32" s="124">
        <f ca="1">'表1-资金筹措及还本付息表'!R169</f>
        <v>29884.6650530683</v>
      </c>
      <c r="O32" s="124">
        <f ca="1">'表1-资金筹措及还本付息表'!S169</f>
        <v>27805.7318319853</v>
      </c>
      <c r="P32" s="124">
        <f ca="1">'表1-资金筹措及还本付息表'!T169</f>
        <v>25823.0486109023</v>
      </c>
      <c r="Q32" s="124">
        <f ca="1">'表1-资金筹措及还本付息表'!U169</f>
        <v>23822.3185148193</v>
      </c>
      <c r="R32" s="124">
        <f ca="1">'表1-资金筹措及还本付息表'!V169</f>
        <v>21719.3227937362</v>
      </c>
      <c r="S32" s="124">
        <f ca="1">'表1-资金筹措及还本付息表'!W169</f>
        <v>19616.3270726532</v>
      </c>
      <c r="T32" s="124">
        <f ca="1">'表1-资金筹措及还本付息表'!X169</f>
        <v>17513.3313515702</v>
      </c>
      <c r="U32" s="124">
        <f ca="1">'表1-资金筹措及还本付息表'!Y169</f>
        <v>15410.3356304872</v>
      </c>
      <c r="V32" s="124">
        <f ca="1">'表1-资金筹措及还本付息表'!Z169</f>
        <v>13307.3399094042</v>
      </c>
      <c r="W32" s="124">
        <f ca="1">'表1-资金筹措及还本付息表'!AA169</f>
        <v>11204.3441883212</v>
      </c>
      <c r="X32" s="124">
        <f ca="1">'表1-资金筹措及还本付息表'!AB169</f>
        <v>9101.34846723819</v>
      </c>
      <c r="Y32" s="124">
        <f ca="1">'表1-资金筹措及还本付息表'!AC169</f>
        <v>7016.39962115518</v>
      </c>
      <c r="Z32" s="124">
        <f ca="1">'表1-资金筹措及还本付息表'!AD169</f>
        <v>4937.46640007217</v>
      </c>
      <c r="AA32" s="124">
        <f ca="1">'表1-资金筹措及还本付息表'!AE169</f>
        <v>2858.53317898916</v>
      </c>
      <c r="AB32" s="124">
        <f ca="1">'表1-资金筹措及还本付息表'!AF169</f>
        <v>779.599957906143</v>
      </c>
      <c r="AC32" s="124">
        <f ca="1">'表1-资金筹措及还本付息表'!AG169</f>
        <v>0</v>
      </c>
      <c r="AD32" s="124">
        <f ca="1">'表1-资金筹措及还本付息表'!AH169</f>
        <v>0</v>
      </c>
      <c r="AE32" s="124">
        <f ca="1">'表1-资金筹措及还本付息表'!AI169</f>
        <v>0</v>
      </c>
      <c r="AF32" s="124">
        <f ca="1">'表1-资金筹措及还本付息表'!AJ169</f>
        <v>0</v>
      </c>
      <c r="AG32" s="124">
        <f ca="1">'表1-资金筹措及还本付息表'!AK169</f>
        <v>0</v>
      </c>
      <c r="AH32" s="124">
        <f ca="1">'表1-资金筹措及还本付息表'!AL169</f>
        <v>0</v>
      </c>
      <c r="AI32" s="124">
        <f ca="1">'表1-资金筹措及还本付息表'!AM169</f>
        <v>0</v>
      </c>
      <c r="AJ32" s="124">
        <f ca="1">'表1-资金筹措及还本付息表'!AN169</f>
        <v>0</v>
      </c>
      <c r="AK32" s="124">
        <f ca="1">'表1-资金筹措及还本付息表'!AO169</f>
        <v>0</v>
      </c>
      <c r="AL32" s="124">
        <f ca="1">'表1-资金筹措及还本付息表'!AP169</f>
        <v>0</v>
      </c>
      <c r="AM32" s="124">
        <f ca="1">'表1-资金筹措及还本付息表'!AQ169</f>
        <v>0</v>
      </c>
      <c r="AN32" s="124">
        <f ca="1">'表1-资金筹措及还本付息表'!AR169</f>
        <v>0</v>
      </c>
      <c r="AO32" s="124">
        <f ca="1">'表1-资金筹措及还本付息表'!AS169</f>
        <v>0</v>
      </c>
      <c r="AP32" s="124">
        <f ca="1">'表1-资金筹措及还本付息表'!AT169</f>
        <v>0</v>
      </c>
      <c r="AQ32" s="124">
        <f ca="1">'表1-资金筹措及还本付息表'!AU169</f>
        <v>0</v>
      </c>
      <c r="AR32" s="124">
        <f ca="1">'表1-资金筹措及还本付息表'!AV169</f>
        <v>0</v>
      </c>
      <c r="AS32" s="124">
        <f ca="1">'表1-资金筹措及还本付息表'!AW169</f>
        <v>0</v>
      </c>
      <c r="AT32" s="124">
        <f ca="1">'表1-资金筹措及还本付息表'!AX169</f>
        <v>0</v>
      </c>
      <c r="AU32" s="124">
        <f ca="1">'表1-资金筹措及还本付息表'!AY169</f>
        <v>0</v>
      </c>
      <c r="AV32" s="124">
        <f ca="1">'表1-资金筹措及还本付息表'!AZ169</f>
        <v>0</v>
      </c>
      <c r="AW32" s="124">
        <f ca="1">'表1-资金筹措及还本付息表'!BA169</f>
        <v>0</v>
      </c>
      <c r="AX32" s="124">
        <f ca="1">'表1-资金筹措及还本付息表'!BB169</f>
        <v>0</v>
      </c>
      <c r="AY32" s="124">
        <f ca="1">'表1-资金筹措及还本付息表'!BC169</f>
        <v>0</v>
      </c>
      <c r="AZ32" s="124">
        <f ca="1">'表1-资金筹措及还本付息表'!BD169</f>
        <v>0</v>
      </c>
      <c r="BA32" s="125">
        <f ca="1">'表1-资金筹措及还本付息表'!BE169</f>
        <v>0</v>
      </c>
    </row>
    <row r="33" s="105" customFormat="1" ht="21" customHeight="1" spans="2:53">
      <c r="B33" s="48">
        <v>5.2</v>
      </c>
      <c r="C33" s="54" t="s">
        <v>778</v>
      </c>
      <c r="D33" s="124">
        <f t="shared" si="8"/>
        <v>6673.60510657309</v>
      </c>
      <c r="E33" s="266" t="s">
        <v>130</v>
      </c>
      <c r="F33" s="124">
        <f>'表1-资金筹措及还本付息表'!F277+'表1-资金筹措及还本付息表'!G277</f>
        <v>0</v>
      </c>
      <c r="G33" s="124">
        <f>'表1-资金筹措及还本付息表'!H277</f>
        <v>0</v>
      </c>
      <c r="H33" s="124">
        <f>'表1-资金筹措及还本付息表'!I277</f>
        <v>0</v>
      </c>
      <c r="I33" s="124">
        <f>'表1-资金筹措及还本付息表'!J277</f>
        <v>0</v>
      </c>
      <c r="J33" s="124">
        <f>'表1-资金筹措及还本付息表'!K277</f>
        <v>0</v>
      </c>
      <c r="K33" s="124">
        <f>'表1-资金筹措及还本付息表'!L277</f>
        <v>0</v>
      </c>
      <c r="L33" s="124">
        <f>'表1-资金筹措及还本付息表'!M277+'表1-资金筹措及还本付息表'!N277</f>
        <v>0</v>
      </c>
      <c r="M33" s="177">
        <f>'表1-资金筹措及还本付息表'!O277+'表1-资金筹措及还本付息表'!P277+'表1-资金筹措及还本付息表'!Q277</f>
        <v>164.44201494636</v>
      </c>
      <c r="N33" s="124">
        <f>'表1-资金筹措及还本付息表'!R277</f>
        <v>164.44201494636</v>
      </c>
      <c r="O33" s="124">
        <f>'表1-资金筹措及还本付息表'!S277</f>
        <v>164.44201494636</v>
      </c>
      <c r="P33" s="124">
        <f>'表1-资金筹措及还本付息表'!T277</f>
        <v>164.44201494636</v>
      </c>
      <c r="Q33" s="124">
        <f>'表1-资金筹措及还本付息表'!U277</f>
        <v>164.44201494636</v>
      </c>
      <c r="R33" s="124">
        <f>'表1-资金筹措及还本付息表'!V277</f>
        <v>164.44201494636</v>
      </c>
      <c r="S33" s="124">
        <f>'表1-资金筹措及还本付息表'!W277</f>
        <v>164.44201494636</v>
      </c>
      <c r="T33" s="124">
        <f>'表1-资金筹措及还本付息表'!X277</f>
        <v>164.44201494636</v>
      </c>
      <c r="U33" s="124">
        <f>'表1-资金筹措及还本付息表'!Y277</f>
        <v>164.44201494636</v>
      </c>
      <c r="V33" s="124">
        <f>'表1-资金筹措及还本付息表'!Z277</f>
        <v>164.44201494636</v>
      </c>
      <c r="W33" s="124">
        <f>'表1-资金筹措及还本付息表'!AA277</f>
        <v>164.44201494636</v>
      </c>
      <c r="X33" s="124">
        <f>'表1-资金筹措及还本付息表'!AB277</f>
        <v>164.44201494636</v>
      </c>
      <c r="Y33" s="124">
        <f>'表1-资金筹措及还本付息表'!AC277</f>
        <v>164.44201494636</v>
      </c>
      <c r="Z33" s="124">
        <f>'表1-资金筹措及还本付息表'!AD277</f>
        <v>164.44201494636</v>
      </c>
      <c r="AA33" s="124">
        <f>'表1-资金筹措及还本付息表'!AE277</f>
        <v>164.44201494636</v>
      </c>
      <c r="AB33" s="124">
        <f>'表1-资金筹措及还本付息表'!AF277</f>
        <v>164.44201494636</v>
      </c>
      <c r="AC33" s="124">
        <f>'表1-资金筹措及还本付息表'!AG277</f>
        <v>164.44201494636</v>
      </c>
      <c r="AD33" s="124">
        <f>'表1-资金筹措及还本付息表'!AH277</f>
        <v>164.44201494636</v>
      </c>
      <c r="AE33" s="124">
        <f>'表1-资金筹措及还本付息表'!AI277</f>
        <v>164.44201494636</v>
      </c>
      <c r="AF33" s="124">
        <f>'表1-资金筹措及还本付息表'!AJ277</f>
        <v>164.44201494636</v>
      </c>
      <c r="AG33" s="124">
        <f>'表1-资金筹措及还本付息表'!AK277</f>
        <v>164.44201494636</v>
      </c>
      <c r="AH33" s="124">
        <f>'表1-资金筹措及还本付息表'!AL277</f>
        <v>164.44201494636</v>
      </c>
      <c r="AI33" s="124">
        <f>'表1-资金筹措及还本付息表'!AM277</f>
        <v>164.44201494636</v>
      </c>
      <c r="AJ33" s="124">
        <f>'表1-资金筹措及还本付息表'!AN277</f>
        <v>164.44201494636</v>
      </c>
      <c r="AK33" s="124">
        <f>'表1-资金筹措及还本付息表'!AO277</f>
        <v>164.44201494636</v>
      </c>
      <c r="AL33" s="124">
        <f>'表1-资金筹措及还本付息表'!AP277</f>
        <v>164.44201494636</v>
      </c>
      <c r="AM33" s="124">
        <f>'表1-资金筹措及还本付息表'!AQ277</f>
        <v>164.44201494636</v>
      </c>
      <c r="AN33" s="124">
        <f>'表1-资金筹措及还本付息表'!AR277</f>
        <v>164.44201494636</v>
      </c>
      <c r="AO33" s="124">
        <f>'表1-资金筹措及还本付息表'!AS277</f>
        <v>164.44201494636</v>
      </c>
      <c r="AP33" s="124">
        <f>'表1-资金筹措及还本付息表'!AT277</f>
        <v>164.44201494636</v>
      </c>
      <c r="AQ33" s="124">
        <f>'表1-资金筹措及还本付息表'!AU277</f>
        <v>164.44201494636</v>
      </c>
      <c r="AR33" s="124">
        <f>'表1-资金筹措及还本付息表'!AV277</f>
        <v>164.44201494636</v>
      </c>
      <c r="AS33" s="124">
        <f>'表1-资金筹措及还本付息表'!AW277</f>
        <v>164.44201494636</v>
      </c>
      <c r="AT33" s="124">
        <f>'表1-资金筹措及还本付息表'!AX277</f>
        <v>164.44201494636</v>
      </c>
      <c r="AU33" s="124">
        <f>'表1-资金筹措及还本付息表'!AY277</f>
        <v>164.44201494636</v>
      </c>
      <c r="AV33" s="124">
        <f>'表1-资金筹措及还本付息表'!AZ277</f>
        <v>164.44201494636</v>
      </c>
      <c r="AW33" s="124">
        <f>'表1-资金筹措及还本付息表'!BA277</f>
        <v>164.44201494636</v>
      </c>
      <c r="AX33" s="124">
        <f>'表1-资金筹措及还本付息表'!BB277</f>
        <v>164.44201494636</v>
      </c>
      <c r="AY33" s="124">
        <f>'表1-资金筹措及还本付息表'!BC277</f>
        <v>164.44201494636</v>
      </c>
      <c r="AZ33" s="124">
        <f>'表1-资金筹措及还本付息表'!BD277</f>
        <v>164.44201494636</v>
      </c>
      <c r="BA33" s="125">
        <f>'表1-资金筹措及还本付息表'!BE277</f>
        <v>95.9245087187097</v>
      </c>
    </row>
    <row r="34" s="105" customFormat="1" ht="21" customHeight="1" spans="2:53">
      <c r="B34" s="48">
        <v>5.3</v>
      </c>
      <c r="C34" s="54" t="s">
        <v>779</v>
      </c>
      <c r="D34" s="124">
        <f ca="1" t="shared" si="8"/>
        <v>122814.271332777</v>
      </c>
      <c r="E34" s="266" t="s">
        <v>130</v>
      </c>
      <c r="F34" s="124">
        <f ca="1">'表1-资金筹措及还本付息表'!F287+'表1-资金筹措及还本付息表'!G287</f>
        <v>0</v>
      </c>
      <c r="G34" s="124">
        <f ca="1">'表1-资金筹措及还本付息表'!H287</f>
        <v>0</v>
      </c>
      <c r="H34" s="124">
        <f ca="1">'表1-资金筹措及还本付息表'!I287</f>
        <v>0</v>
      </c>
      <c r="I34" s="124">
        <f ca="1">'表1-资金筹措及还本付息表'!J287</f>
        <v>0</v>
      </c>
      <c r="J34" s="124">
        <f ca="1">'表1-资金筹措及还本付息表'!K287</f>
        <v>0</v>
      </c>
      <c r="K34" s="124">
        <f ca="1">'表1-资金筹措及还本付息表'!L287</f>
        <v>0</v>
      </c>
      <c r="L34" s="124">
        <f ca="1">'表1-资金筹措及还本付息表'!M287+'表1-资金筹措及还本付息表'!N287</f>
        <v>0</v>
      </c>
      <c r="M34" s="177">
        <f ca="1">'表1-资金筹措及还本付息表'!O287+'表1-资金筹措及还本付息表'!P287+'表1-资金筹措及还本付息表'!Q287</f>
        <v>116.172864772261</v>
      </c>
      <c r="N34" s="124">
        <f ca="1">'表1-资金筹措及还本付息表'!R287</f>
        <v>952.895417429166</v>
      </c>
      <c r="O34" s="124">
        <f ca="1">'表1-资金筹措及还本付息表'!S287</f>
        <v>1745.92988746894</v>
      </c>
      <c r="P34" s="124">
        <f ca="1">'表1-资金筹措及还本付息表'!T287</f>
        <v>1754.37852916686</v>
      </c>
      <c r="Q34" s="124">
        <f ca="1">'表1-资金筹措及还本付息表'!U287</f>
        <v>1835.11606236109</v>
      </c>
      <c r="R34" s="124">
        <f ca="1">'表1-资金筹措及还本付息表'!V287</f>
        <v>2128.87001808066</v>
      </c>
      <c r="S34" s="124">
        <f ca="1">'表1-资金筹措及还本付息表'!W287</f>
        <v>2596.13122890898</v>
      </c>
      <c r="T34" s="124">
        <f ca="1">'表1-资金筹措及还本付息表'!X287</f>
        <v>3504.95694316232</v>
      </c>
      <c r="U34" s="124">
        <f ca="1">'表1-资金筹措及还本付息表'!Y287</f>
        <v>4676.15297817065</v>
      </c>
      <c r="V34" s="124">
        <f ca="1">'表1-资金筹措及还本付息表'!Z287</f>
        <v>5832.34067027107</v>
      </c>
      <c r="W34" s="124">
        <f ca="1">'表1-资金筹措及还本付息表'!AA287</f>
        <v>6980.16853632225</v>
      </c>
      <c r="X34" s="124">
        <f ca="1">'表1-资金筹措及还本付息表'!AB287</f>
        <v>8172.05492337494</v>
      </c>
      <c r="Y34" s="124">
        <f ca="1">'表1-资金筹措及还本付息表'!AC287</f>
        <v>9965.51947937225</v>
      </c>
      <c r="Z34" s="124">
        <f ca="1">'表1-资金筹措及还本付息表'!AD287</f>
        <v>11645.8087872556</v>
      </c>
      <c r="AA34" s="124">
        <f ca="1">'表1-资金筹措及还本付息表'!AE287</f>
        <v>12648.3223264055</v>
      </c>
      <c r="AB34" s="124">
        <f ca="1">'表1-资金筹措及还本付息表'!AF287</f>
        <v>13188.9677259908</v>
      </c>
      <c r="AC34" s="124">
        <f ca="1">'表1-资金筹措及还本付息表'!AG287</f>
        <v>11960.1809123018</v>
      </c>
      <c r="AD34" s="124">
        <f ca="1">'表1-资金筹措及还本付息表'!AH287</f>
        <v>9383.82994101994</v>
      </c>
      <c r="AE34" s="124">
        <f ca="1">'表1-资金筹措及还本付息表'!AI287</f>
        <v>6814.51373048996</v>
      </c>
      <c r="AF34" s="124">
        <f ca="1">'表1-资金筹措及还本付息表'!AJ287</f>
        <v>4397.99462598274</v>
      </c>
      <c r="AG34" s="124">
        <f ca="1">'表1-资金筹措及还本付息表'!AK287</f>
        <v>2068.92765981482</v>
      </c>
      <c r="AH34" s="124">
        <f ca="1">'表1-资金筹措及还本付息表'!AL287</f>
        <v>445.038084654365</v>
      </c>
      <c r="AI34" s="124">
        <f ca="1">'表1-资金筹措及还本付息表'!AM287</f>
        <v>0</v>
      </c>
      <c r="AJ34" s="124">
        <f ca="1">'表1-资金筹措及还本付息表'!AN287</f>
        <v>0</v>
      </c>
      <c r="AK34" s="124">
        <f ca="1">'表1-资金筹措及还本付息表'!AO287</f>
        <v>0</v>
      </c>
      <c r="AL34" s="124">
        <f ca="1">'表1-资金筹措及还本付息表'!AP287</f>
        <v>0</v>
      </c>
      <c r="AM34" s="124">
        <f ca="1">'表1-资金筹措及还本付息表'!AQ287</f>
        <v>0</v>
      </c>
      <c r="AN34" s="124">
        <f ca="1">'表1-资金筹措及还本付息表'!AR287</f>
        <v>0</v>
      </c>
      <c r="AO34" s="124">
        <f ca="1">'表1-资金筹措及还本付息表'!AS287</f>
        <v>0</v>
      </c>
      <c r="AP34" s="124">
        <f ca="1">'表1-资金筹措及还本付息表'!AT287</f>
        <v>0</v>
      </c>
      <c r="AQ34" s="124">
        <f ca="1">'表1-资金筹措及还本付息表'!AU287</f>
        <v>0</v>
      </c>
      <c r="AR34" s="124">
        <f ca="1">'表1-资金筹措及还本付息表'!AV287</f>
        <v>0</v>
      </c>
      <c r="AS34" s="124">
        <f ca="1">'表1-资金筹措及还本付息表'!AW287</f>
        <v>0</v>
      </c>
      <c r="AT34" s="124">
        <f ca="1">'表1-资金筹措及还本付息表'!AX287</f>
        <v>0</v>
      </c>
      <c r="AU34" s="124">
        <f ca="1">'表1-资金筹措及还本付息表'!AY287</f>
        <v>0</v>
      </c>
      <c r="AV34" s="124">
        <f ca="1">'表1-资金筹措及还本付息表'!AZ287</f>
        <v>0</v>
      </c>
      <c r="AW34" s="124">
        <f ca="1">'表1-资金筹措及还本付息表'!BA287</f>
        <v>0</v>
      </c>
      <c r="AX34" s="124">
        <f ca="1">'表1-资金筹措及还本付息表'!BB287</f>
        <v>0</v>
      </c>
      <c r="AY34" s="124">
        <f ca="1">'表1-资金筹措及还本付息表'!BC287</f>
        <v>0</v>
      </c>
      <c r="AZ34" s="124">
        <f ca="1">'表1-资金筹措及还本付息表'!BD287</f>
        <v>0</v>
      </c>
      <c r="BA34" s="125">
        <f ca="1">'表1-资金筹措及还本付息表'!BE287</f>
        <v>0</v>
      </c>
    </row>
    <row r="35" ht="21" customHeight="1" spans="2:53">
      <c r="B35" s="87" t="s">
        <v>678</v>
      </c>
      <c r="C35" s="276" t="s">
        <v>341</v>
      </c>
      <c r="D35" s="188">
        <f t="shared" si="8"/>
        <v>0</v>
      </c>
      <c r="E35" s="277" t="s">
        <v>130</v>
      </c>
      <c r="F35" s="129">
        <f>参数输入表!$I$802/(1+参数输入表!$I$850)</f>
        <v>0</v>
      </c>
      <c r="G35" s="129">
        <f>参数输入表!$I$803/(1+参数输入表!$I$850)</f>
        <v>0</v>
      </c>
      <c r="H35" s="129">
        <f>参数输入表!$I$804/(1+参数输入表!$I$850)</f>
        <v>0</v>
      </c>
      <c r="I35" s="129">
        <f>参数输入表!$I$805/(1+参数输入表!$I$850)</f>
        <v>0</v>
      </c>
      <c r="J35" s="129">
        <f>参数输入表!$I$806/(1+参数输入表!$I$850)</f>
        <v>0</v>
      </c>
      <c r="K35" s="129">
        <f>参数输入表!$I$807/(1+参数输入表!$I$850)</f>
        <v>0</v>
      </c>
      <c r="L35" s="129">
        <f>参数输入表!$I$808/(1+参数输入表!$I$850)</f>
        <v>0</v>
      </c>
      <c r="M35" s="129">
        <f>参数输入表!$I$809/(1+参数输入表!$I$850)</f>
        <v>0</v>
      </c>
      <c r="N35" s="129">
        <f>参数输入表!$I$810/(1+参数输入表!$I$850)</f>
        <v>0</v>
      </c>
      <c r="O35" s="129">
        <f>参数输入表!$I$811/(1+参数输入表!$I$850)</f>
        <v>0</v>
      </c>
      <c r="P35" s="188">
        <f>参数输入表!$I$812/(1+参数输入表!$I$850)</f>
        <v>0</v>
      </c>
      <c r="Q35" s="188">
        <f>参数输入表!$I$813/(1+参数输入表!$I$850)</f>
        <v>0</v>
      </c>
      <c r="R35" s="188">
        <f>参数输入表!$I$814/(1+参数输入表!$I$850)</f>
        <v>0</v>
      </c>
      <c r="S35" s="188">
        <f>参数输入表!$I$815/(1+参数输入表!$I$850)</f>
        <v>0</v>
      </c>
      <c r="T35" s="188">
        <f>参数输入表!$I$816/(1+参数输入表!$I$850)</f>
        <v>0</v>
      </c>
      <c r="U35" s="188">
        <f>参数输入表!$I$817/(1+参数输入表!$I$850)</f>
        <v>0</v>
      </c>
      <c r="V35" s="188">
        <f>参数输入表!$I$818/(1+参数输入表!$I$850)</f>
        <v>0</v>
      </c>
      <c r="W35" s="188">
        <f>参数输入表!$I$819/(1+参数输入表!$I$850)</f>
        <v>0</v>
      </c>
      <c r="X35" s="188">
        <f>参数输入表!$I$820/(1+参数输入表!$I$850)</f>
        <v>0</v>
      </c>
      <c r="Y35" s="188">
        <f>参数输入表!$I$821/(1+参数输入表!$I$850)</f>
        <v>0</v>
      </c>
      <c r="Z35" s="188">
        <f>参数输入表!$I$822/(1+参数输入表!$I$850)</f>
        <v>0</v>
      </c>
      <c r="AA35" s="188">
        <f>参数输入表!$I$823/(1+参数输入表!$I$850)</f>
        <v>0</v>
      </c>
      <c r="AB35" s="188">
        <f>参数输入表!$I$824/(1+参数输入表!$I$850)</f>
        <v>0</v>
      </c>
      <c r="AC35" s="188">
        <f>参数输入表!$I$825/(1+参数输入表!$I$850)</f>
        <v>0</v>
      </c>
      <c r="AD35" s="188">
        <f>参数输入表!$I$826/(1+参数输入表!$I$850)</f>
        <v>0</v>
      </c>
      <c r="AE35" s="188">
        <f>参数输入表!$I$827/(1+参数输入表!$I$850)</f>
        <v>0</v>
      </c>
      <c r="AF35" s="188">
        <f>参数输入表!$I$828/(1+参数输入表!$I$850)</f>
        <v>0</v>
      </c>
      <c r="AG35" s="188">
        <f>参数输入表!$I$829/(1+参数输入表!$I$850)</f>
        <v>0</v>
      </c>
      <c r="AH35" s="188">
        <f>参数输入表!$I$830/(1+参数输入表!$I$850)</f>
        <v>0</v>
      </c>
      <c r="AI35" s="188">
        <f>参数输入表!$I$831/(1+参数输入表!$I$850)</f>
        <v>0</v>
      </c>
      <c r="AJ35" s="188">
        <f>参数输入表!$I$832/(1+参数输入表!$I$850)</f>
        <v>0</v>
      </c>
      <c r="AK35" s="188">
        <f>参数输入表!$I$833/(1+参数输入表!$I$850)</f>
        <v>0</v>
      </c>
      <c r="AL35" s="188">
        <f>参数输入表!$I$834/(1+参数输入表!$I$850)</f>
        <v>0</v>
      </c>
      <c r="AM35" s="188">
        <f>参数输入表!$I$835/(1+参数输入表!$I$850)</f>
        <v>0</v>
      </c>
      <c r="AN35" s="188">
        <f>参数输入表!$I$836/(1+参数输入表!$I$850)</f>
        <v>0</v>
      </c>
      <c r="AO35" s="188">
        <f>参数输入表!$I$837/(1+参数输入表!$I$850)</f>
        <v>0</v>
      </c>
      <c r="AP35" s="188">
        <f>参数输入表!$I$838/(1+参数输入表!$I$850)</f>
        <v>0</v>
      </c>
      <c r="AQ35" s="188">
        <f>参数输入表!$I$839/(1+参数输入表!$I$850)</f>
        <v>0</v>
      </c>
      <c r="AR35" s="188">
        <f>参数输入表!$I$840/(1+参数输入表!$I$850)</f>
        <v>0</v>
      </c>
      <c r="AS35" s="188">
        <f>参数输入表!$I$841/(1+参数输入表!$I$850)</f>
        <v>0</v>
      </c>
      <c r="AT35" s="188">
        <f>参数输入表!$I$842/(1+参数输入表!$I$850)</f>
        <v>0</v>
      </c>
      <c r="AU35" s="188">
        <f>参数输入表!$I$843/(1+参数输入表!$I$850)</f>
        <v>0</v>
      </c>
      <c r="AV35" s="188">
        <f>参数输入表!$I$844/(1+参数输入表!$I$850)</f>
        <v>0</v>
      </c>
      <c r="AW35" s="188">
        <f>参数输入表!$I$845/(1+参数输入表!$I$850)</f>
        <v>0</v>
      </c>
      <c r="AX35" s="188">
        <f>参数输入表!$I$846/(1+参数输入表!$I$850)</f>
        <v>0</v>
      </c>
      <c r="AY35" s="188">
        <f>参数输入表!$I$847/(1+参数输入表!$I$850)</f>
        <v>0</v>
      </c>
      <c r="AZ35" s="188">
        <f>参数输入表!$I$848/(1+参数输入表!$I$850)</f>
        <v>0</v>
      </c>
      <c r="BA35" s="189">
        <f>参数输入表!$I$849/(1+参数输入表!$I$850)</f>
        <v>0</v>
      </c>
    </row>
    <row r="36" s="105" customFormat="1" ht="21" customHeight="1" spans="2:53">
      <c r="B36" s="278"/>
      <c r="C36" s="279"/>
      <c r="D36" s="280"/>
      <c r="E36" s="281"/>
      <c r="F36" s="281"/>
      <c r="G36" s="281"/>
      <c r="H36" s="281"/>
      <c r="I36" s="281"/>
      <c r="J36" s="281"/>
      <c r="K36" s="281"/>
      <c r="L36" s="281"/>
      <c r="M36" s="281"/>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c r="BA36" s="280"/>
    </row>
    <row r="37" s="105" customFormat="1" ht="21" customHeight="1" spans="2:53">
      <c r="B37" s="107" t="s">
        <v>780</v>
      </c>
      <c r="C37" s="279"/>
      <c r="D37" s="280"/>
      <c r="E37" s="281"/>
      <c r="F37" s="281"/>
      <c r="G37" s="281"/>
      <c r="H37" s="281"/>
      <c r="I37" s="281"/>
      <c r="J37" s="281"/>
      <c r="K37" s="281"/>
      <c r="L37" s="281"/>
      <c r="M37" s="281"/>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c r="BA37" s="280"/>
    </row>
    <row r="38" s="105" customFormat="1" ht="21" customHeight="1" spans="2:53">
      <c r="B38" s="108" t="s">
        <v>2</v>
      </c>
      <c r="C38" s="10" t="s">
        <v>430</v>
      </c>
      <c r="D38" s="10" t="s">
        <v>491</v>
      </c>
      <c r="E38" s="10" t="s">
        <v>9</v>
      </c>
      <c r="F38" s="11">
        <v>2023</v>
      </c>
      <c r="G38" s="11">
        <v>2024</v>
      </c>
      <c r="H38" s="11">
        <v>2025</v>
      </c>
      <c r="I38" s="11">
        <v>2026</v>
      </c>
      <c r="J38" s="11">
        <v>2027</v>
      </c>
      <c r="K38" s="11">
        <v>2028</v>
      </c>
      <c r="L38" s="11">
        <v>2029</v>
      </c>
      <c r="M38" s="11">
        <v>2030</v>
      </c>
      <c r="N38" s="13">
        <v>2031</v>
      </c>
      <c r="O38" s="13">
        <v>2032</v>
      </c>
      <c r="P38" s="13">
        <v>2033</v>
      </c>
      <c r="Q38" s="13">
        <v>2034</v>
      </c>
      <c r="R38" s="13">
        <v>2035</v>
      </c>
      <c r="S38" s="13">
        <v>2036</v>
      </c>
      <c r="T38" s="13">
        <v>2037</v>
      </c>
      <c r="U38" s="13">
        <v>2038</v>
      </c>
      <c r="V38" s="13">
        <v>2039</v>
      </c>
      <c r="W38" s="13">
        <v>2040</v>
      </c>
      <c r="X38" s="13">
        <v>2041</v>
      </c>
      <c r="Y38" s="13">
        <v>2042</v>
      </c>
      <c r="Z38" s="13">
        <v>2043</v>
      </c>
      <c r="AA38" s="13">
        <v>2044</v>
      </c>
      <c r="AB38" s="13">
        <v>2045</v>
      </c>
      <c r="AC38" s="13">
        <v>2046</v>
      </c>
      <c r="AD38" s="13">
        <v>2047</v>
      </c>
      <c r="AE38" s="13">
        <v>2048</v>
      </c>
      <c r="AF38" s="13">
        <v>2049</v>
      </c>
      <c r="AG38" s="13">
        <v>2050</v>
      </c>
      <c r="AH38" s="13">
        <v>2051</v>
      </c>
      <c r="AI38" s="13">
        <v>2052</v>
      </c>
      <c r="AJ38" s="13">
        <v>2053</v>
      </c>
      <c r="AK38" s="13">
        <v>2054</v>
      </c>
      <c r="AL38" s="13">
        <v>2055</v>
      </c>
      <c r="AM38" s="13">
        <v>2056</v>
      </c>
      <c r="AN38" s="13">
        <v>2057</v>
      </c>
      <c r="AO38" s="13">
        <v>2058</v>
      </c>
      <c r="AP38" s="13">
        <v>2059</v>
      </c>
      <c r="AQ38" s="13">
        <v>2060</v>
      </c>
      <c r="AR38" s="13">
        <v>2061</v>
      </c>
      <c r="AS38" s="13">
        <v>2062</v>
      </c>
      <c r="AT38" s="13">
        <v>2063</v>
      </c>
      <c r="AU38" s="13">
        <v>2064</v>
      </c>
      <c r="AV38" s="13">
        <v>2065</v>
      </c>
      <c r="AW38" s="13">
        <v>2066</v>
      </c>
      <c r="AX38" s="13">
        <v>2067</v>
      </c>
      <c r="AY38" s="13">
        <v>2068</v>
      </c>
      <c r="AZ38" s="13">
        <v>2069</v>
      </c>
      <c r="BA38" s="14">
        <v>2070</v>
      </c>
    </row>
    <row r="39" s="105" customFormat="1" ht="21" customHeight="1" spans="2:53">
      <c r="B39" s="115"/>
      <c r="C39" s="17"/>
      <c r="D39" s="17"/>
      <c r="E39" s="17"/>
      <c r="F39" s="18">
        <v>1</v>
      </c>
      <c r="G39" s="18">
        <v>2</v>
      </c>
      <c r="H39" s="18">
        <v>3</v>
      </c>
      <c r="I39" s="18">
        <v>4</v>
      </c>
      <c r="J39" s="18">
        <v>5</v>
      </c>
      <c r="K39" s="18">
        <v>6</v>
      </c>
      <c r="L39" s="18">
        <v>7</v>
      </c>
      <c r="M39" s="18">
        <v>8</v>
      </c>
      <c r="N39" s="20">
        <v>9</v>
      </c>
      <c r="O39" s="20">
        <v>10</v>
      </c>
      <c r="P39" s="20">
        <v>11</v>
      </c>
      <c r="Q39" s="20">
        <v>12</v>
      </c>
      <c r="R39" s="20">
        <v>13</v>
      </c>
      <c r="S39" s="20">
        <v>14</v>
      </c>
      <c r="T39" s="20">
        <v>15</v>
      </c>
      <c r="U39" s="20">
        <v>16</v>
      </c>
      <c r="V39" s="20">
        <v>17</v>
      </c>
      <c r="W39" s="20">
        <v>18</v>
      </c>
      <c r="X39" s="20">
        <v>19</v>
      </c>
      <c r="Y39" s="20">
        <v>20</v>
      </c>
      <c r="Z39" s="20">
        <v>21</v>
      </c>
      <c r="AA39" s="20">
        <v>22</v>
      </c>
      <c r="AB39" s="20">
        <v>23</v>
      </c>
      <c r="AC39" s="20">
        <v>24</v>
      </c>
      <c r="AD39" s="20">
        <v>25</v>
      </c>
      <c r="AE39" s="20">
        <v>26</v>
      </c>
      <c r="AF39" s="20">
        <v>27</v>
      </c>
      <c r="AG39" s="20">
        <v>28</v>
      </c>
      <c r="AH39" s="20">
        <v>29</v>
      </c>
      <c r="AI39" s="20">
        <v>30</v>
      </c>
      <c r="AJ39" s="20">
        <v>31</v>
      </c>
      <c r="AK39" s="20">
        <v>32</v>
      </c>
      <c r="AL39" s="20">
        <v>33</v>
      </c>
      <c r="AM39" s="20">
        <v>34</v>
      </c>
      <c r="AN39" s="20">
        <v>35</v>
      </c>
      <c r="AO39" s="20">
        <v>36</v>
      </c>
      <c r="AP39" s="20">
        <v>37</v>
      </c>
      <c r="AQ39" s="20">
        <v>38</v>
      </c>
      <c r="AR39" s="20">
        <v>39</v>
      </c>
      <c r="AS39" s="20">
        <v>40</v>
      </c>
      <c r="AT39" s="20">
        <v>41</v>
      </c>
      <c r="AU39" s="20">
        <v>42</v>
      </c>
      <c r="AV39" s="20">
        <v>43</v>
      </c>
      <c r="AW39" s="20">
        <v>44</v>
      </c>
      <c r="AX39" s="20">
        <v>45</v>
      </c>
      <c r="AY39" s="20">
        <v>46</v>
      </c>
      <c r="AZ39" s="20">
        <v>47</v>
      </c>
      <c r="BA39" s="21">
        <v>48</v>
      </c>
    </row>
    <row r="40" s="105" customFormat="1" ht="21" customHeight="1" spans="2:53">
      <c r="B40" s="213"/>
      <c r="C40" s="214" t="s">
        <v>349</v>
      </c>
      <c r="D40" s="214"/>
      <c r="E40" s="214"/>
      <c r="F40" s="215">
        <f>参数输入表!$I$47</f>
        <v>0</v>
      </c>
      <c r="G40" s="215">
        <f>参数输入表!$I$48</f>
        <v>0</v>
      </c>
      <c r="H40" s="215">
        <f>参数输入表!$I$49</f>
        <v>0</v>
      </c>
      <c r="I40" s="215">
        <f>参数输入表!$I$50</f>
        <v>0</v>
      </c>
      <c r="J40" s="215">
        <f>参数输入表!$I$51</f>
        <v>0</v>
      </c>
      <c r="K40" s="215">
        <f>参数输入表!$I$52</f>
        <v>0</v>
      </c>
      <c r="L40" s="215">
        <f>参数输入表!$I$53</f>
        <v>0</v>
      </c>
      <c r="M40" s="215">
        <f>参数输入表!$I$54</f>
        <v>0.416666666666667</v>
      </c>
      <c r="N40" s="215">
        <f>参数输入表!$I$55</f>
        <v>1</v>
      </c>
      <c r="O40" s="215">
        <f>参数输入表!$I$56</f>
        <v>1</v>
      </c>
      <c r="P40" s="215">
        <f>参数输入表!$I$57</f>
        <v>1</v>
      </c>
      <c r="Q40" s="215">
        <f>参数输入表!$I$58</f>
        <v>1</v>
      </c>
      <c r="R40" s="215">
        <f>参数输入表!$I$59</f>
        <v>1</v>
      </c>
      <c r="S40" s="215">
        <f>参数输入表!$I$60</f>
        <v>1</v>
      </c>
      <c r="T40" s="215">
        <f>参数输入表!$I$61</f>
        <v>1</v>
      </c>
      <c r="U40" s="215">
        <f>参数输入表!$I$62</f>
        <v>1</v>
      </c>
      <c r="V40" s="215">
        <f>参数输入表!$I$63</f>
        <v>1</v>
      </c>
      <c r="W40" s="215">
        <f>参数输入表!$I$64</f>
        <v>1</v>
      </c>
      <c r="X40" s="215">
        <f>参数输入表!$I$65</f>
        <v>1</v>
      </c>
      <c r="Y40" s="215">
        <f>参数输入表!$I$66</f>
        <v>1</v>
      </c>
      <c r="Z40" s="215">
        <f>参数输入表!$I$67</f>
        <v>1</v>
      </c>
      <c r="AA40" s="215">
        <f>参数输入表!$I$68</f>
        <v>1</v>
      </c>
      <c r="AB40" s="215">
        <f>参数输入表!$I$69</f>
        <v>1</v>
      </c>
      <c r="AC40" s="215">
        <f>参数输入表!$I$70</f>
        <v>1</v>
      </c>
      <c r="AD40" s="215">
        <f>参数输入表!$I$71</f>
        <v>1</v>
      </c>
      <c r="AE40" s="215">
        <f>参数输入表!$I$72</f>
        <v>1</v>
      </c>
      <c r="AF40" s="215">
        <f>参数输入表!$I$73</f>
        <v>1</v>
      </c>
      <c r="AG40" s="215">
        <f>参数输入表!$I$74</f>
        <v>1</v>
      </c>
      <c r="AH40" s="215">
        <f>参数输入表!$I$75</f>
        <v>1</v>
      </c>
      <c r="AI40" s="215">
        <f>参数输入表!$I$76</f>
        <v>1</v>
      </c>
      <c r="AJ40" s="215">
        <f>参数输入表!$I$77</f>
        <v>1</v>
      </c>
      <c r="AK40" s="215">
        <f>参数输入表!$I$78</f>
        <v>1</v>
      </c>
      <c r="AL40" s="215">
        <f>参数输入表!$I$79</f>
        <v>1</v>
      </c>
      <c r="AM40" s="215">
        <f>参数输入表!$I$80</f>
        <v>1</v>
      </c>
      <c r="AN40" s="215">
        <f>参数输入表!$I$81</f>
        <v>1</v>
      </c>
      <c r="AO40" s="215">
        <f>参数输入表!$I$82</f>
        <v>1</v>
      </c>
      <c r="AP40" s="215">
        <f>参数输入表!$I$83</f>
        <v>1</v>
      </c>
      <c r="AQ40" s="215">
        <f>参数输入表!$I$84</f>
        <v>1</v>
      </c>
      <c r="AR40" s="215">
        <f>参数输入表!$I$85</f>
        <v>1</v>
      </c>
      <c r="AS40" s="215">
        <f>参数输入表!$I$86</f>
        <v>1</v>
      </c>
      <c r="AT40" s="215">
        <f>参数输入表!$I$87</f>
        <v>1</v>
      </c>
      <c r="AU40" s="215">
        <f>参数输入表!$I$88</f>
        <v>1</v>
      </c>
      <c r="AV40" s="215">
        <f>参数输入表!$I$89</f>
        <v>1</v>
      </c>
      <c r="AW40" s="215">
        <f>参数输入表!$I$90</f>
        <v>1</v>
      </c>
      <c r="AX40" s="215">
        <f>参数输入表!$I$91</f>
        <v>1</v>
      </c>
      <c r="AY40" s="215">
        <f>参数输入表!$I$92</f>
        <v>1</v>
      </c>
      <c r="AZ40" s="215">
        <f>参数输入表!$I$93</f>
        <v>1</v>
      </c>
      <c r="BA40" s="216">
        <f>参数输入表!$I$94</f>
        <v>0.583333333333333</v>
      </c>
    </row>
    <row r="41" s="255" customFormat="1" ht="21" customHeight="1" spans="2:53">
      <c r="B41" s="217" t="s">
        <v>675</v>
      </c>
      <c r="C41" s="218" t="s">
        <v>781</v>
      </c>
      <c r="D41" s="134">
        <f ca="1" t="shared" ref="D41:D45" si="15">SUM(F41:BA41)</f>
        <v>3324792.21216221</v>
      </c>
      <c r="E41" s="256" t="s">
        <v>130</v>
      </c>
      <c r="F41" s="134">
        <f ca="1">F42+F62+F63+F65</f>
        <v>0</v>
      </c>
      <c r="G41" s="134">
        <f ca="1" t="shared" ref="G41:N41" si="16">G42+G62+G63+G65</f>
        <v>0</v>
      </c>
      <c r="H41" s="134">
        <f ca="1" t="shared" si="16"/>
        <v>0</v>
      </c>
      <c r="I41" s="134">
        <f ca="1" t="shared" si="16"/>
        <v>0</v>
      </c>
      <c r="J41" s="134">
        <f ca="1" t="shared" si="16"/>
        <v>0</v>
      </c>
      <c r="K41" s="134">
        <f ca="1" t="shared" si="16"/>
        <v>0</v>
      </c>
      <c r="L41" s="134">
        <f ca="1" t="shared" si="16"/>
        <v>0</v>
      </c>
      <c r="M41" s="134">
        <f ca="1" t="shared" si="16"/>
        <v>37202.1398281503</v>
      </c>
      <c r="N41" s="134">
        <f ca="1" t="shared" si="16"/>
        <v>91290.3187953224</v>
      </c>
      <c r="O41" s="134">
        <f ca="1" t="shared" ref="O41:AL41" si="17">O42+O62+O63+O65</f>
        <v>90827.8187953224</v>
      </c>
      <c r="P41" s="134">
        <f ca="1" t="shared" si="17"/>
        <v>90827.8187953224</v>
      </c>
      <c r="Q41" s="134">
        <f ca="1" t="shared" si="17"/>
        <v>90827.8187953224</v>
      </c>
      <c r="R41" s="134">
        <f ca="1" t="shared" si="17"/>
        <v>90827.8187953224</v>
      </c>
      <c r="S41" s="134">
        <f ca="1" t="shared" si="17"/>
        <v>90827.8187953224</v>
      </c>
      <c r="T41" s="134">
        <f ca="1" t="shared" si="17"/>
        <v>90827.8187953224</v>
      </c>
      <c r="U41" s="134">
        <f ca="1" t="shared" si="17"/>
        <v>90827.8187953224</v>
      </c>
      <c r="V41" s="134">
        <f ca="1" t="shared" si="17"/>
        <v>90827.8187953224</v>
      </c>
      <c r="W41" s="134">
        <f ca="1" t="shared" si="17"/>
        <v>90827.8187953224</v>
      </c>
      <c r="X41" s="134">
        <f ca="1" t="shared" si="17"/>
        <v>90993.7479988622</v>
      </c>
      <c r="Y41" s="134">
        <f ca="1" t="shared" si="17"/>
        <v>92603.6103841833</v>
      </c>
      <c r="Z41" s="134">
        <f ca="1" t="shared" si="17"/>
        <v>92288.6103841833</v>
      </c>
      <c r="AA41" s="134">
        <f ca="1" t="shared" si="17"/>
        <v>92288.6103841833</v>
      </c>
      <c r="AB41" s="134">
        <f ca="1" t="shared" si="17"/>
        <v>92288.6103841833</v>
      </c>
      <c r="AC41" s="134">
        <f ca="1" t="shared" si="17"/>
        <v>92288.6103841833</v>
      </c>
      <c r="AD41" s="134">
        <f ca="1" t="shared" si="17"/>
        <v>92288.6103841833</v>
      </c>
      <c r="AE41" s="134">
        <f ca="1" t="shared" si="17"/>
        <v>90529.351124924</v>
      </c>
      <c r="AF41" s="134">
        <f ca="1" t="shared" si="17"/>
        <v>88066.3881619611</v>
      </c>
      <c r="AG41" s="134">
        <f ca="1" t="shared" si="17"/>
        <v>87828.8881619611</v>
      </c>
      <c r="AH41" s="134">
        <f ca="1" t="shared" si="17"/>
        <v>87496.3881619611</v>
      </c>
      <c r="AI41" s="134">
        <f ca="1" t="shared" si="17"/>
        <v>87496.3881619611</v>
      </c>
      <c r="AJ41" s="134">
        <f ca="1" t="shared" si="17"/>
        <v>87496.3881619611</v>
      </c>
      <c r="AK41" s="134">
        <f ca="1" t="shared" si="17"/>
        <v>87496.3881619611</v>
      </c>
      <c r="AL41" s="134">
        <f ca="1" t="shared" si="17"/>
        <v>87496.3881619611</v>
      </c>
      <c r="AM41" s="134">
        <f ca="1" t="shared" ref="AM41:BA41" si="18">AM42+AM62+AM63+AM65</f>
        <v>87496.3881619611</v>
      </c>
      <c r="AN41" s="134">
        <f ca="1" t="shared" si="18"/>
        <v>87496.3881619611</v>
      </c>
      <c r="AO41" s="134">
        <f ca="1" t="shared" si="18"/>
        <v>87496.3881619611</v>
      </c>
      <c r="AP41" s="134">
        <f ca="1" t="shared" si="18"/>
        <v>78037.071024422</v>
      </c>
      <c r="AQ41" s="134">
        <f ca="1" t="shared" si="18"/>
        <v>64794.0270318672</v>
      </c>
      <c r="AR41" s="134">
        <f ca="1" t="shared" si="18"/>
        <v>64794.0270318672</v>
      </c>
      <c r="AS41" s="134">
        <f ca="1" t="shared" si="18"/>
        <v>64997.9006302362</v>
      </c>
      <c r="AT41" s="134">
        <f ca="1" t="shared" si="18"/>
        <v>64997.9006302362</v>
      </c>
      <c r="AU41" s="134">
        <f ca="1" t="shared" si="18"/>
        <v>64997.9006302362</v>
      </c>
      <c r="AV41" s="134">
        <f ca="1" t="shared" si="18"/>
        <v>65053.2103647495</v>
      </c>
      <c r="AW41" s="134">
        <f ca="1" t="shared" si="18"/>
        <v>65053.2103647495</v>
      </c>
      <c r="AX41" s="134">
        <f ca="1" t="shared" si="18"/>
        <v>65053.2103647495</v>
      </c>
      <c r="AY41" s="134">
        <f ca="1" t="shared" si="18"/>
        <v>65206.1155635262</v>
      </c>
      <c r="AZ41" s="134">
        <f ca="1" t="shared" si="18"/>
        <v>65206.1155635262</v>
      </c>
      <c r="BA41" s="143">
        <f ca="1" t="shared" si="18"/>
        <v>39222.5521321743</v>
      </c>
    </row>
    <row r="42" ht="26.4" customHeight="1" spans="2:53">
      <c r="B42" s="217">
        <v>1</v>
      </c>
      <c r="C42" s="218" t="s">
        <v>244</v>
      </c>
      <c r="D42" s="134">
        <f ca="1" t="shared" si="15"/>
        <v>3252570.26765982</v>
      </c>
      <c r="E42" s="256" t="s">
        <v>130</v>
      </c>
      <c r="F42" s="134">
        <f ca="1">SUM(F43:F44)+SUM(F47:F53)+SUM(F60:F61)</f>
        <v>0</v>
      </c>
      <c r="G42" s="134">
        <f ca="1" t="shared" ref="G42:BA42" si="19">SUM(G43:G44)+SUM(G47:G53)+SUM(G60:G61)</f>
        <v>0</v>
      </c>
      <c r="H42" s="134">
        <f ca="1" t="shared" si="19"/>
        <v>0</v>
      </c>
      <c r="I42" s="134">
        <f ca="1" t="shared" si="19"/>
        <v>0</v>
      </c>
      <c r="J42" s="134">
        <f ca="1" t="shared" si="19"/>
        <v>0</v>
      </c>
      <c r="K42" s="134">
        <f ca="1" t="shared" si="19"/>
        <v>0</v>
      </c>
      <c r="L42" s="134">
        <f ca="1" t="shared" si="19"/>
        <v>0</v>
      </c>
      <c r="M42" s="134">
        <f ca="1" t="shared" si="19"/>
        <v>36449.8279062504</v>
      </c>
      <c r="N42" s="134">
        <f ca="1" t="shared" si="19"/>
        <v>89484.7701827626</v>
      </c>
      <c r="O42" s="134">
        <f ca="1" t="shared" si="19"/>
        <v>89022.2701827626</v>
      </c>
      <c r="P42" s="134">
        <f ca="1" t="shared" si="19"/>
        <v>89022.2701827626</v>
      </c>
      <c r="Q42" s="134">
        <f ca="1" t="shared" si="19"/>
        <v>89022.2701827626</v>
      </c>
      <c r="R42" s="134">
        <f ca="1" t="shared" si="19"/>
        <v>89022.2701827626</v>
      </c>
      <c r="S42" s="134">
        <f ca="1" t="shared" si="19"/>
        <v>89022.2701827626</v>
      </c>
      <c r="T42" s="134">
        <f ca="1" t="shared" si="19"/>
        <v>89022.2701827626</v>
      </c>
      <c r="U42" s="134">
        <f ca="1" t="shared" si="19"/>
        <v>89022.2701827626</v>
      </c>
      <c r="V42" s="134">
        <f ca="1" t="shared" si="19"/>
        <v>89022.2701827626</v>
      </c>
      <c r="W42" s="134">
        <f ca="1" t="shared" si="19"/>
        <v>89022.2701827626</v>
      </c>
      <c r="X42" s="134">
        <f ca="1" t="shared" si="19"/>
        <v>89188.1993863024</v>
      </c>
      <c r="Y42" s="134">
        <f ca="1" t="shared" si="19"/>
        <v>90798.0617716235</v>
      </c>
      <c r="Z42" s="134">
        <f ca="1" t="shared" si="19"/>
        <v>90483.0617716235</v>
      </c>
      <c r="AA42" s="134">
        <f ca="1" t="shared" si="19"/>
        <v>90483.0617716235</v>
      </c>
      <c r="AB42" s="134">
        <f ca="1" t="shared" si="19"/>
        <v>90483.0617716235</v>
      </c>
      <c r="AC42" s="134">
        <f ca="1" t="shared" si="19"/>
        <v>90483.0617716235</v>
      </c>
      <c r="AD42" s="134">
        <f ca="1" t="shared" si="19"/>
        <v>90483.0617716235</v>
      </c>
      <c r="AE42" s="134">
        <f ca="1" t="shared" si="19"/>
        <v>88723.8025123642</v>
      </c>
      <c r="AF42" s="134">
        <f ca="1" t="shared" si="19"/>
        <v>86260.8395494013</v>
      </c>
      <c r="AG42" s="134">
        <f ca="1" t="shared" si="19"/>
        <v>86023.3395494013</v>
      </c>
      <c r="AH42" s="134">
        <f ca="1" t="shared" si="19"/>
        <v>85690.8395494013</v>
      </c>
      <c r="AI42" s="134">
        <f ca="1" t="shared" si="19"/>
        <v>85690.8395494013</v>
      </c>
      <c r="AJ42" s="134">
        <f ca="1" t="shared" si="19"/>
        <v>85690.8395494013</v>
      </c>
      <c r="AK42" s="134">
        <f ca="1" t="shared" si="19"/>
        <v>85690.8395494013</v>
      </c>
      <c r="AL42" s="134">
        <f ca="1" t="shared" si="19"/>
        <v>85690.8395494013</v>
      </c>
      <c r="AM42" s="134">
        <f ca="1" t="shared" si="19"/>
        <v>85690.8395494013</v>
      </c>
      <c r="AN42" s="134">
        <f ca="1" t="shared" si="19"/>
        <v>85690.8395494013</v>
      </c>
      <c r="AO42" s="134">
        <f ca="1" t="shared" si="19"/>
        <v>85690.8395494013</v>
      </c>
      <c r="AP42" s="134">
        <f ca="1" t="shared" si="19"/>
        <v>76231.5224118622</v>
      </c>
      <c r="AQ42" s="134">
        <f ca="1" t="shared" si="19"/>
        <v>62988.4784193074</v>
      </c>
      <c r="AR42" s="134">
        <f ca="1" t="shared" si="19"/>
        <v>62988.4784193074</v>
      </c>
      <c r="AS42" s="134">
        <f ca="1" t="shared" si="19"/>
        <v>63192.3520176764</v>
      </c>
      <c r="AT42" s="134">
        <f ca="1" t="shared" si="19"/>
        <v>63192.3520176764</v>
      </c>
      <c r="AU42" s="134">
        <f ca="1" t="shared" si="19"/>
        <v>63192.3520176764</v>
      </c>
      <c r="AV42" s="134">
        <f ca="1" t="shared" si="19"/>
        <v>63247.6617521897</v>
      </c>
      <c r="AW42" s="134">
        <f ca="1" t="shared" si="19"/>
        <v>63247.6617521897</v>
      </c>
      <c r="AX42" s="134">
        <f ca="1" t="shared" si="19"/>
        <v>63247.6617521897</v>
      </c>
      <c r="AY42" s="134">
        <f ca="1" t="shared" si="19"/>
        <v>63400.5669509664</v>
      </c>
      <c r="AZ42" s="134">
        <f ca="1" t="shared" si="19"/>
        <v>63400.5669509664</v>
      </c>
      <c r="BA42" s="143">
        <f ca="1" t="shared" si="19"/>
        <v>38169.3154415144</v>
      </c>
    </row>
    <row r="43" s="105" customFormat="1" ht="19.95" customHeight="1" spans="2:53">
      <c r="B43" s="257">
        <v>1.1</v>
      </c>
      <c r="C43" s="258" t="s">
        <v>241</v>
      </c>
      <c r="D43" s="42">
        <f t="shared" si="15"/>
        <v>9911.50442477876</v>
      </c>
      <c r="E43" s="256" t="s">
        <v>130</v>
      </c>
      <c r="F43" s="42">
        <f>参数输入表!$I$380*参数输入表!$I$382/(1+参数输入表!$I$383)*F40</f>
        <v>0</v>
      </c>
      <c r="G43" s="42">
        <f>参数输入表!$I$380*参数输入表!$I$382/(1+参数输入表!$I$383)*G40</f>
        <v>0</v>
      </c>
      <c r="H43" s="42">
        <f>参数输入表!$I$380*参数输入表!$I$382/(1+参数输入表!$I$383)*H40</f>
        <v>0</v>
      </c>
      <c r="I43" s="42">
        <f>参数输入表!$I$380*参数输入表!$I$382/(1+参数输入表!$I$383)*I40</f>
        <v>0</v>
      </c>
      <c r="J43" s="42">
        <f>参数输入表!$I$380*参数输入表!$I$382/(1+参数输入表!$I$383)*J40</f>
        <v>0</v>
      </c>
      <c r="K43" s="42">
        <f>参数输入表!$I$380*参数输入表!$I$382/(1+参数输入表!$I$383)*K40</f>
        <v>0</v>
      </c>
      <c r="L43" s="42">
        <f>参数输入表!$I$380*参数输入表!$I$382/(1+参数输入表!$I$383)*L40</f>
        <v>0</v>
      </c>
      <c r="M43" s="42">
        <f>参数输入表!$I$380*参数输入表!$I$382/(1+参数输入表!$I$383)*M40</f>
        <v>103.244837758112</v>
      </c>
      <c r="N43" s="42">
        <f>参数输入表!$I$380*参数输入表!$I$382/(1+参数输入表!$I$383)*N40</f>
        <v>247.787610619469</v>
      </c>
      <c r="O43" s="42">
        <f>参数输入表!$I$380*参数输入表!$I$382/(1+参数输入表!$I$383)*O40</f>
        <v>247.787610619469</v>
      </c>
      <c r="P43" s="42">
        <f>参数输入表!$I$380*参数输入表!$I$382/(1+参数输入表!$I$383)*P40</f>
        <v>247.787610619469</v>
      </c>
      <c r="Q43" s="42">
        <f>参数输入表!$I$380*参数输入表!$I$382/(1+参数输入表!$I$383)*Q40</f>
        <v>247.787610619469</v>
      </c>
      <c r="R43" s="42">
        <f>参数输入表!$I$380*参数输入表!$I$382/(1+参数输入表!$I$383)*R40</f>
        <v>247.787610619469</v>
      </c>
      <c r="S43" s="42">
        <f>参数输入表!$I$380*参数输入表!$I$382/(1+参数输入表!$I$383)*S40</f>
        <v>247.787610619469</v>
      </c>
      <c r="T43" s="42">
        <f>参数输入表!$I$380*参数输入表!$I$382/(1+参数输入表!$I$383)*T40</f>
        <v>247.787610619469</v>
      </c>
      <c r="U43" s="42">
        <f>参数输入表!$I$380*参数输入表!$I$382/(1+参数输入表!$I$383)*U40</f>
        <v>247.787610619469</v>
      </c>
      <c r="V43" s="42">
        <f>参数输入表!$I$380*参数输入表!$I$382/(1+参数输入表!$I$383)*V40</f>
        <v>247.787610619469</v>
      </c>
      <c r="W43" s="42">
        <f>参数输入表!$I$380*参数输入表!$I$382/(1+参数输入表!$I$383)*W40</f>
        <v>247.787610619469</v>
      </c>
      <c r="X43" s="42">
        <f>参数输入表!$I$380*参数输入表!$I$382/(1+参数输入表!$I$383)*X40</f>
        <v>247.787610619469</v>
      </c>
      <c r="Y43" s="42">
        <f>参数输入表!$I$380*参数输入表!$I$382/(1+参数输入表!$I$383)*Y40</f>
        <v>247.787610619469</v>
      </c>
      <c r="Z43" s="42">
        <f>参数输入表!$I$380*参数输入表!$I$382/(1+参数输入表!$I$383)*Z40</f>
        <v>247.787610619469</v>
      </c>
      <c r="AA43" s="42">
        <f>参数输入表!$I$380*参数输入表!$I$382/(1+参数输入表!$I$383)*AA40</f>
        <v>247.787610619469</v>
      </c>
      <c r="AB43" s="42">
        <f>参数输入表!$I$380*参数输入表!$I$382/(1+参数输入表!$I$383)*AB40</f>
        <v>247.787610619469</v>
      </c>
      <c r="AC43" s="42">
        <f>参数输入表!$I$380*参数输入表!$I$382/(1+参数输入表!$I$383)*AC40</f>
        <v>247.787610619469</v>
      </c>
      <c r="AD43" s="42">
        <f>参数输入表!$I$380*参数输入表!$I$382/(1+参数输入表!$I$383)*AD40</f>
        <v>247.787610619469</v>
      </c>
      <c r="AE43" s="42">
        <f>参数输入表!$I$380*参数输入表!$I$382/(1+参数输入表!$I$383)*AE40</f>
        <v>247.787610619469</v>
      </c>
      <c r="AF43" s="42">
        <f>参数输入表!$I$380*参数输入表!$I$382/(1+参数输入表!$I$383)*AF40</f>
        <v>247.787610619469</v>
      </c>
      <c r="AG43" s="42">
        <f>参数输入表!$I$380*参数输入表!$I$382/(1+参数输入表!$I$383)*AG40</f>
        <v>247.787610619469</v>
      </c>
      <c r="AH43" s="42">
        <f>参数输入表!$I$380*参数输入表!$I$382/(1+参数输入表!$I$383)*AH40</f>
        <v>247.787610619469</v>
      </c>
      <c r="AI43" s="42">
        <f>参数输入表!$I$380*参数输入表!$I$382/(1+参数输入表!$I$383)*AI40</f>
        <v>247.787610619469</v>
      </c>
      <c r="AJ43" s="42">
        <f>参数输入表!$I$380*参数输入表!$I$382/(1+参数输入表!$I$383)*AJ40</f>
        <v>247.787610619469</v>
      </c>
      <c r="AK43" s="42">
        <f>参数输入表!$I$380*参数输入表!$I$382/(1+参数输入表!$I$383)*AK40</f>
        <v>247.787610619469</v>
      </c>
      <c r="AL43" s="42">
        <f>参数输入表!$I$380*参数输入表!$I$382/(1+参数输入表!$I$383)*AL40</f>
        <v>247.787610619469</v>
      </c>
      <c r="AM43" s="42">
        <f>参数输入表!$I$380*参数输入表!$I$382/(1+参数输入表!$I$383)*AM40</f>
        <v>247.787610619469</v>
      </c>
      <c r="AN43" s="42">
        <f>参数输入表!$I$380*参数输入表!$I$382/(1+参数输入表!$I$383)*AN40</f>
        <v>247.787610619469</v>
      </c>
      <c r="AO43" s="42">
        <f>参数输入表!$I$380*参数输入表!$I$382/(1+参数输入表!$I$383)*AO40</f>
        <v>247.787610619469</v>
      </c>
      <c r="AP43" s="42">
        <f>参数输入表!$I$380*参数输入表!$I$382/(1+参数输入表!$I$383)*AP40</f>
        <v>247.787610619469</v>
      </c>
      <c r="AQ43" s="42">
        <f>参数输入表!$I$380*参数输入表!$I$382/(1+参数输入表!$I$383)*AQ40</f>
        <v>247.787610619469</v>
      </c>
      <c r="AR43" s="42">
        <f>参数输入表!$I$380*参数输入表!$I$382/(1+参数输入表!$I$383)*AR40</f>
        <v>247.787610619469</v>
      </c>
      <c r="AS43" s="42">
        <f>参数输入表!$I$380*参数输入表!$I$382/(1+参数输入表!$I$383)*AS40</f>
        <v>247.787610619469</v>
      </c>
      <c r="AT43" s="42">
        <f>参数输入表!$I$380*参数输入表!$I$382/(1+参数输入表!$I$383)*AT40</f>
        <v>247.787610619469</v>
      </c>
      <c r="AU43" s="42">
        <f>参数输入表!$I$380*参数输入表!$I$382/(1+参数输入表!$I$383)*AU40</f>
        <v>247.787610619469</v>
      </c>
      <c r="AV43" s="42">
        <f>参数输入表!$I$380*参数输入表!$I$382/(1+参数输入表!$I$383)*AV40</f>
        <v>247.787610619469</v>
      </c>
      <c r="AW43" s="42">
        <f>参数输入表!$I$380*参数输入表!$I$382/(1+参数输入表!$I$383)*AW40</f>
        <v>247.787610619469</v>
      </c>
      <c r="AX43" s="42">
        <f>参数输入表!$I$380*参数输入表!$I$382/(1+参数输入表!$I$383)*AX40</f>
        <v>247.787610619469</v>
      </c>
      <c r="AY43" s="42">
        <f>参数输入表!$I$380*参数输入表!$I$382/(1+参数输入表!$I$383)*AY40</f>
        <v>247.787610619469</v>
      </c>
      <c r="AZ43" s="42">
        <f>参数输入表!$I$380*参数输入表!$I$382/(1+参数输入表!$I$383)*AZ40</f>
        <v>247.787610619469</v>
      </c>
      <c r="BA43" s="43">
        <f>参数输入表!$I$380*参数输入表!$I$382/(1+参数输入表!$I$383)*BA40</f>
        <v>144.542772861357</v>
      </c>
    </row>
    <row r="44" s="105" customFormat="1" ht="19.95" customHeight="1" spans="2:53">
      <c r="B44" s="257">
        <v>1.2</v>
      </c>
      <c r="C44" s="258" t="s">
        <v>282</v>
      </c>
      <c r="D44" s="42">
        <f t="shared" si="15"/>
        <v>1783605.66371681</v>
      </c>
      <c r="E44" s="256" t="s">
        <v>130</v>
      </c>
      <c r="F44" s="42">
        <f>F45*F46/(1+参数输入表!$I$600)</f>
        <v>0</v>
      </c>
      <c r="G44" s="42">
        <f>G45*G46/(1+参数输入表!$I$600)</f>
        <v>0</v>
      </c>
      <c r="H44" s="42">
        <f>H45*H46/(1+参数输入表!$I$600)</f>
        <v>0</v>
      </c>
      <c r="I44" s="42">
        <f>I45*I46/(1+参数输入表!$I$600)</f>
        <v>0</v>
      </c>
      <c r="J44" s="42">
        <f>J45*J46/(1+参数输入表!$I$600)</f>
        <v>0</v>
      </c>
      <c r="K44" s="42">
        <f>K45*K46/(1+参数输入表!$I$600)</f>
        <v>0</v>
      </c>
      <c r="L44" s="42">
        <f>L45*L46/(1+参数输入表!$I$600)</f>
        <v>0</v>
      </c>
      <c r="M44" s="42">
        <f>M45*M46/(1+参数输入表!$I$600)</f>
        <v>18579.2256637167</v>
      </c>
      <c r="N44" s="42">
        <f>N45*N46/(1+参数输入表!$I$600)</f>
        <v>44590.1415929202</v>
      </c>
      <c r="O44" s="42">
        <f>O45*O46/(1+参数输入表!$I$600)</f>
        <v>44590.1415929202</v>
      </c>
      <c r="P44" s="42">
        <f>P45*P46/(1+参数输入表!$I$600)</f>
        <v>44590.1415929202</v>
      </c>
      <c r="Q44" s="42">
        <f>Q45*Q46/(1+参数输入表!$I$600)</f>
        <v>44590.1415929202</v>
      </c>
      <c r="R44" s="42">
        <f>R45*R46/(1+参数输入表!$I$600)</f>
        <v>44590.1415929202</v>
      </c>
      <c r="S44" s="42">
        <f>S45*S46/(1+参数输入表!$I$600)</f>
        <v>44590.1415929202</v>
      </c>
      <c r="T44" s="42">
        <f>T45*T46/(1+参数输入表!$I$600)</f>
        <v>44590.1415929202</v>
      </c>
      <c r="U44" s="42">
        <f>U45*U46/(1+参数输入表!$I$600)</f>
        <v>44590.1415929202</v>
      </c>
      <c r="V44" s="42">
        <f>V45*V46/(1+参数输入表!$I$600)</f>
        <v>44590.1415929202</v>
      </c>
      <c r="W44" s="42">
        <f>W45*W46/(1+参数输入表!$I$600)</f>
        <v>44590.1415929202</v>
      </c>
      <c r="X44" s="42">
        <f>X45*X46/(1+参数输入表!$I$600)</f>
        <v>44590.1415929202</v>
      </c>
      <c r="Y44" s="42">
        <f>Y45*Y46/(1+参数输入表!$I$600)</f>
        <v>44590.1415929202</v>
      </c>
      <c r="Z44" s="42">
        <f>Z45*Z46/(1+参数输入表!$I$600)</f>
        <v>44590.1415929202</v>
      </c>
      <c r="AA44" s="42">
        <f>AA45*AA46/(1+参数输入表!$I$600)</f>
        <v>44590.1415929202</v>
      </c>
      <c r="AB44" s="42">
        <f>AB45*AB46/(1+参数输入表!$I$600)</f>
        <v>44590.1415929202</v>
      </c>
      <c r="AC44" s="42">
        <f>AC45*AC46/(1+参数输入表!$I$600)</f>
        <v>44590.1415929202</v>
      </c>
      <c r="AD44" s="42">
        <f>AD45*AD46/(1+参数输入表!$I$600)</f>
        <v>44590.1415929202</v>
      </c>
      <c r="AE44" s="42">
        <f>AE45*AE46/(1+参数输入表!$I$600)</f>
        <v>44590.1415929202</v>
      </c>
      <c r="AF44" s="42">
        <f>AF45*AF46/(1+参数输入表!$I$600)</f>
        <v>44590.1415929202</v>
      </c>
      <c r="AG44" s="42">
        <f>AG45*AG46/(1+参数输入表!$I$600)</f>
        <v>44590.1415929202</v>
      </c>
      <c r="AH44" s="42">
        <f>AH45*AH46/(1+参数输入表!$I$600)</f>
        <v>44590.1415929202</v>
      </c>
      <c r="AI44" s="42">
        <f>AI45*AI46/(1+参数输入表!$I$600)</f>
        <v>44590.1415929202</v>
      </c>
      <c r="AJ44" s="42">
        <f>AJ45*AJ46/(1+参数输入表!$I$600)</f>
        <v>44590.1415929202</v>
      </c>
      <c r="AK44" s="42">
        <f>AK45*AK46/(1+参数输入表!$I$600)</f>
        <v>44590.1415929202</v>
      </c>
      <c r="AL44" s="42">
        <f>AL45*AL46/(1+参数输入表!$I$600)</f>
        <v>44590.1415929202</v>
      </c>
      <c r="AM44" s="42">
        <f>AM45*AM46/(1+参数输入表!$I$600)</f>
        <v>44590.1415929202</v>
      </c>
      <c r="AN44" s="42">
        <f>AN45*AN46/(1+参数输入表!$I$600)</f>
        <v>44590.1415929202</v>
      </c>
      <c r="AO44" s="42">
        <f>AO45*AO46/(1+参数输入表!$I$600)</f>
        <v>44590.1415929202</v>
      </c>
      <c r="AP44" s="42">
        <f>AP45*AP46/(1+参数输入表!$I$600)</f>
        <v>44590.1415929202</v>
      </c>
      <c r="AQ44" s="42">
        <f>AQ45*AQ46/(1+参数输入表!$I$600)</f>
        <v>44590.1415929202</v>
      </c>
      <c r="AR44" s="42">
        <f>AR45*AR46/(1+参数输入表!$I$600)</f>
        <v>44590.1415929202</v>
      </c>
      <c r="AS44" s="42">
        <f>AS45*AS46/(1+参数输入表!$I$600)</f>
        <v>44590.1415929202</v>
      </c>
      <c r="AT44" s="42">
        <f>AT45*AT46/(1+参数输入表!$I$600)</f>
        <v>44590.1415929202</v>
      </c>
      <c r="AU44" s="42">
        <f>AU45*AU46/(1+参数输入表!$I$600)</f>
        <v>44590.1415929202</v>
      </c>
      <c r="AV44" s="42">
        <f>AV45*AV46/(1+参数输入表!$I$600)</f>
        <v>44590.1415929202</v>
      </c>
      <c r="AW44" s="42">
        <f>AW45*AW46/(1+参数输入表!$I$600)</f>
        <v>44590.1415929202</v>
      </c>
      <c r="AX44" s="42">
        <f>AX45*AX46/(1+参数输入表!$I$600)</f>
        <v>44590.1415929202</v>
      </c>
      <c r="AY44" s="42">
        <f>AY45*AY46/(1+参数输入表!$I$600)</f>
        <v>44590.1415929202</v>
      </c>
      <c r="AZ44" s="42">
        <f>AZ45*AZ46/(1+参数输入表!$I$600)</f>
        <v>44590.1415929202</v>
      </c>
      <c r="BA44" s="43">
        <f>BA45*BA46/(1+参数输入表!$I$600)</f>
        <v>26010.9159292034</v>
      </c>
    </row>
    <row r="45" s="105" customFormat="1" ht="19.95" customHeight="1" spans="2:53">
      <c r="B45" s="259"/>
      <c r="C45" s="260" t="s">
        <v>286</v>
      </c>
      <c r="D45" s="261">
        <f t="shared" si="15"/>
        <v>8730666.66666664</v>
      </c>
      <c r="E45" s="262" t="s">
        <v>758</v>
      </c>
      <c r="F45" s="261">
        <f>参数输入表!$I$503*1000/10000</f>
        <v>0</v>
      </c>
      <c r="G45" s="261">
        <f>参数输入表!$I$504*1000/10000</f>
        <v>0</v>
      </c>
      <c r="H45" s="261">
        <f>参数输入表!$I$505*1000/10000</f>
        <v>0</v>
      </c>
      <c r="I45" s="261">
        <f>参数输入表!$I$506*1000/10000</f>
        <v>0</v>
      </c>
      <c r="J45" s="261">
        <f>参数输入表!$I$507*1000/10000</f>
        <v>0</v>
      </c>
      <c r="K45" s="261">
        <f>参数输入表!$I$508*1000/10000</f>
        <v>0</v>
      </c>
      <c r="L45" s="261">
        <f>参数输入表!$I$509*1000/10000</f>
        <v>0</v>
      </c>
      <c r="M45" s="261">
        <f>参数输入表!$I$510*1000/10000</f>
        <v>90944.4444444441</v>
      </c>
      <c r="N45" s="261">
        <f>参数输入表!$I$511*1000/10000</f>
        <v>218266.666666666</v>
      </c>
      <c r="O45" s="261">
        <f>参数输入表!$I$512*1000/10000</f>
        <v>218266.666666666</v>
      </c>
      <c r="P45" s="261">
        <f>参数输入表!$I$513*1000/10000</f>
        <v>218266.666666666</v>
      </c>
      <c r="Q45" s="261">
        <f>参数输入表!$I$514*1000/10000</f>
        <v>218266.666666666</v>
      </c>
      <c r="R45" s="261">
        <f>参数输入表!$I$515*1000/10000</f>
        <v>218266.666666666</v>
      </c>
      <c r="S45" s="261">
        <f>参数输入表!$I$516*1000/10000</f>
        <v>218266.666666666</v>
      </c>
      <c r="T45" s="261">
        <f>参数输入表!$I$517*1000/10000</f>
        <v>218266.666666666</v>
      </c>
      <c r="U45" s="261">
        <f>参数输入表!$I$518*1000/10000</f>
        <v>218266.666666666</v>
      </c>
      <c r="V45" s="261">
        <f>参数输入表!$I$519*1000/10000</f>
        <v>218266.666666666</v>
      </c>
      <c r="W45" s="261">
        <f>参数输入表!$I$520*1000/10000</f>
        <v>218266.666666666</v>
      </c>
      <c r="X45" s="261">
        <f>参数输入表!$I$521*1000/10000</f>
        <v>218266.666666666</v>
      </c>
      <c r="Y45" s="261">
        <f>参数输入表!$I$522*1000/10000</f>
        <v>218266.666666666</v>
      </c>
      <c r="Z45" s="261">
        <f>参数输入表!$I$523*1000/10000</f>
        <v>218266.666666666</v>
      </c>
      <c r="AA45" s="261">
        <f>参数输入表!$I$524*1000/10000</f>
        <v>218266.666666666</v>
      </c>
      <c r="AB45" s="261">
        <f>参数输入表!$I$525*1000/10000</f>
        <v>218266.666666666</v>
      </c>
      <c r="AC45" s="261">
        <f>参数输入表!$I$526*1000/10000</f>
        <v>218266.666666666</v>
      </c>
      <c r="AD45" s="261">
        <f>参数输入表!$I$527*1000/10000</f>
        <v>218266.666666666</v>
      </c>
      <c r="AE45" s="261">
        <f>参数输入表!$I$528*1000/10000</f>
        <v>218266.666666666</v>
      </c>
      <c r="AF45" s="261">
        <f>参数输入表!$I$529*1000/10000</f>
        <v>218266.666666666</v>
      </c>
      <c r="AG45" s="261">
        <f>参数输入表!$I$530*1000/10000</f>
        <v>218266.666666666</v>
      </c>
      <c r="AH45" s="261">
        <f>参数输入表!$I$531*1000/10000</f>
        <v>218266.666666666</v>
      </c>
      <c r="AI45" s="261">
        <f>参数输入表!$I$532*1000/10000</f>
        <v>218266.666666666</v>
      </c>
      <c r="AJ45" s="261">
        <f>参数输入表!$I$533*1000/10000</f>
        <v>218266.666666666</v>
      </c>
      <c r="AK45" s="261">
        <f>参数输入表!$I$534*1000/10000</f>
        <v>218266.666666666</v>
      </c>
      <c r="AL45" s="261">
        <f>参数输入表!$I$535*1000/10000</f>
        <v>218266.666666666</v>
      </c>
      <c r="AM45" s="261">
        <f>参数输入表!$I$536*1000/10000</f>
        <v>218266.666666666</v>
      </c>
      <c r="AN45" s="261">
        <f>参数输入表!$I$537*1000/10000</f>
        <v>218266.666666666</v>
      </c>
      <c r="AO45" s="261">
        <f>参数输入表!$I$538*1000/10000</f>
        <v>218266.666666666</v>
      </c>
      <c r="AP45" s="261">
        <f>参数输入表!$I$539*1000/10000</f>
        <v>218266.666666666</v>
      </c>
      <c r="AQ45" s="261">
        <f>参数输入表!$I$540*1000/10000</f>
        <v>218266.666666666</v>
      </c>
      <c r="AR45" s="261">
        <f>参数输入表!$I$541*1000/10000</f>
        <v>218266.666666666</v>
      </c>
      <c r="AS45" s="261">
        <f>参数输入表!$I$542*1000/10000</f>
        <v>218266.666666666</v>
      </c>
      <c r="AT45" s="261">
        <f>参数输入表!$I$543*1000/10000</f>
        <v>218266.666666666</v>
      </c>
      <c r="AU45" s="261">
        <f>参数输入表!$I$544*1000/10000</f>
        <v>218266.666666666</v>
      </c>
      <c r="AV45" s="261">
        <f>参数输入表!$I$545*1000/10000</f>
        <v>218266.666666666</v>
      </c>
      <c r="AW45" s="261">
        <f>参数输入表!$I$546*1000/10000</f>
        <v>218266.666666666</v>
      </c>
      <c r="AX45" s="261">
        <f>参数输入表!$I$547*1000/10000</f>
        <v>218266.666666666</v>
      </c>
      <c r="AY45" s="261">
        <f>参数输入表!$I$548*1000/10000</f>
        <v>218266.666666666</v>
      </c>
      <c r="AZ45" s="261">
        <f>参数输入表!$I$549*1000/10000</f>
        <v>218266.666666666</v>
      </c>
      <c r="BA45" s="263">
        <f>参数输入表!$I$550*1000/10000</f>
        <v>127322.222222222</v>
      </c>
    </row>
    <row r="46" s="105" customFormat="1" ht="19.95" customHeight="1" spans="2:53">
      <c r="B46" s="259"/>
      <c r="C46" s="260" t="s">
        <v>287</v>
      </c>
      <c r="D46" s="261"/>
      <c r="E46" s="262" t="s">
        <v>127</v>
      </c>
      <c r="F46" s="264">
        <f>参数输入表!$I$552</f>
        <v>0.23085</v>
      </c>
      <c r="G46" s="264">
        <f>参数输入表!$I$553</f>
        <v>0.23085</v>
      </c>
      <c r="H46" s="264">
        <f>参数输入表!$I$554</f>
        <v>0.23085</v>
      </c>
      <c r="I46" s="264">
        <f>参数输入表!$I$555</f>
        <v>0.23085</v>
      </c>
      <c r="J46" s="264">
        <f>参数输入表!$I$556</f>
        <v>0.23085</v>
      </c>
      <c r="K46" s="264">
        <f>参数输入表!$I$557</f>
        <v>0.23085</v>
      </c>
      <c r="L46" s="264">
        <f>参数输入表!$I$558</f>
        <v>0.23085</v>
      </c>
      <c r="M46" s="264">
        <f>参数输入表!$I$559</f>
        <v>0.23085</v>
      </c>
      <c r="N46" s="264">
        <f>参数输入表!$I$560</f>
        <v>0.23085</v>
      </c>
      <c r="O46" s="264">
        <f>参数输入表!$I$561</f>
        <v>0.23085</v>
      </c>
      <c r="P46" s="264">
        <f>参数输入表!$I$562</f>
        <v>0.23085</v>
      </c>
      <c r="Q46" s="264">
        <f>参数输入表!$I$563</f>
        <v>0.23085</v>
      </c>
      <c r="R46" s="264">
        <f>参数输入表!$I$564</f>
        <v>0.23085</v>
      </c>
      <c r="S46" s="264">
        <f>参数输入表!$I$565</f>
        <v>0.23085</v>
      </c>
      <c r="T46" s="264">
        <f>参数输入表!$I$566</f>
        <v>0.23085</v>
      </c>
      <c r="U46" s="264">
        <f>参数输入表!$I$567</f>
        <v>0.23085</v>
      </c>
      <c r="V46" s="264">
        <f>参数输入表!$I$568</f>
        <v>0.23085</v>
      </c>
      <c r="W46" s="264">
        <f>参数输入表!$I$569</f>
        <v>0.23085</v>
      </c>
      <c r="X46" s="264">
        <f>参数输入表!$I$570</f>
        <v>0.23085</v>
      </c>
      <c r="Y46" s="264">
        <f>参数输入表!$I$571</f>
        <v>0.23085</v>
      </c>
      <c r="Z46" s="264">
        <f>参数输入表!$I$572</f>
        <v>0.23085</v>
      </c>
      <c r="AA46" s="264">
        <f>参数输入表!$I$573</f>
        <v>0.23085</v>
      </c>
      <c r="AB46" s="264">
        <f>参数输入表!$I$574</f>
        <v>0.23085</v>
      </c>
      <c r="AC46" s="264">
        <f>参数输入表!$I$575</f>
        <v>0.23085</v>
      </c>
      <c r="AD46" s="264">
        <f>参数输入表!$I$576</f>
        <v>0.23085</v>
      </c>
      <c r="AE46" s="264">
        <f>参数输入表!$I$577</f>
        <v>0.23085</v>
      </c>
      <c r="AF46" s="264">
        <f>参数输入表!$I$578</f>
        <v>0.23085</v>
      </c>
      <c r="AG46" s="264">
        <f>参数输入表!$I$579</f>
        <v>0.23085</v>
      </c>
      <c r="AH46" s="264">
        <f>参数输入表!$I$580</f>
        <v>0.23085</v>
      </c>
      <c r="AI46" s="264">
        <f>参数输入表!$I$581</f>
        <v>0.23085</v>
      </c>
      <c r="AJ46" s="264">
        <f>参数输入表!$I$582</f>
        <v>0.23085</v>
      </c>
      <c r="AK46" s="264">
        <f>参数输入表!$I$583</f>
        <v>0.23085</v>
      </c>
      <c r="AL46" s="264">
        <f>参数输入表!$I$584</f>
        <v>0.23085</v>
      </c>
      <c r="AM46" s="264">
        <f>参数输入表!$I$585</f>
        <v>0.23085</v>
      </c>
      <c r="AN46" s="264">
        <f>参数输入表!$I$586</f>
        <v>0.23085</v>
      </c>
      <c r="AO46" s="264">
        <f>参数输入表!$I$587</f>
        <v>0.23085</v>
      </c>
      <c r="AP46" s="264">
        <f>参数输入表!$I$588</f>
        <v>0.23085</v>
      </c>
      <c r="AQ46" s="264">
        <f>参数输入表!$I$589</f>
        <v>0.23085</v>
      </c>
      <c r="AR46" s="264">
        <f>参数输入表!$I$590</f>
        <v>0.23085</v>
      </c>
      <c r="AS46" s="264">
        <f>参数输入表!$I$591</f>
        <v>0.23085</v>
      </c>
      <c r="AT46" s="264">
        <f>参数输入表!$I$592</f>
        <v>0.23085</v>
      </c>
      <c r="AU46" s="264">
        <f>参数输入表!$I$593</f>
        <v>0.23085</v>
      </c>
      <c r="AV46" s="264">
        <f>参数输入表!$I$594</f>
        <v>0.23085</v>
      </c>
      <c r="AW46" s="264">
        <f>参数输入表!$I$595</f>
        <v>0.23085</v>
      </c>
      <c r="AX46" s="264">
        <f>参数输入表!$I$596</f>
        <v>0.23085</v>
      </c>
      <c r="AY46" s="264">
        <f>参数输入表!$I$597</f>
        <v>0.23085</v>
      </c>
      <c r="AZ46" s="264">
        <f>参数输入表!$I$598</f>
        <v>0.23085</v>
      </c>
      <c r="BA46" s="265">
        <f>参数输入表!$I$599</f>
        <v>0.23085</v>
      </c>
    </row>
    <row r="47" s="105" customFormat="1" ht="19.95" customHeight="1" spans="2:53">
      <c r="B47" s="257">
        <v>1.3</v>
      </c>
      <c r="C47" s="258" t="s">
        <v>288</v>
      </c>
      <c r="D47" s="124">
        <f t="shared" ref="D47:D59" si="20">SUM(F47:BA47)</f>
        <v>11668.4</v>
      </c>
      <c r="E47" s="266" t="s">
        <v>130</v>
      </c>
      <c r="F47" s="124">
        <f>IF(F39-参数输入表!$I$4&gt;0,参数输入表!$I$602/(1+参数输入表!$I$603),0)</f>
        <v>0</v>
      </c>
      <c r="G47" s="124">
        <f>IF(G39-参数输入表!$I$4&gt;0,参数输入表!$I$602/(1+参数输入表!$I$603),0)</f>
        <v>0</v>
      </c>
      <c r="H47" s="124">
        <f>IF(H39-参数输入表!$I$4&gt;0,参数输入表!$I$602/(1+参数输入表!$I$603),0)</f>
        <v>0</v>
      </c>
      <c r="I47" s="124">
        <f>IF(I39-参数输入表!$I$4&gt;0,参数输入表!$I$602/(1+参数输入表!$I$603),0)</f>
        <v>0</v>
      </c>
      <c r="J47" s="124">
        <f>IF(J39-参数输入表!$I$4&gt;0,参数输入表!$I$602/(1+参数输入表!$I$603),0)</f>
        <v>0</v>
      </c>
      <c r="K47" s="124">
        <f>IF(K39-参数输入表!$I$4&gt;0,参数输入表!$I$602/(1+参数输入表!$I$603),0)</f>
        <v>0</v>
      </c>
      <c r="L47" s="124">
        <f>IF(L39-参数输入表!$I$4&gt;0,参数输入表!$I$602/(1+参数输入表!$I$603),0)</f>
        <v>0</v>
      </c>
      <c r="M47" s="124">
        <f>IF(M39-参数输入表!$I$4&gt;0,参数输入表!$I$602/(1+参数输入表!$I$603),0)</f>
        <v>0</v>
      </c>
      <c r="N47" s="124">
        <f>IF(N39-参数输入表!$I$4&gt;0,参数输入表!$I$602/(1+参数输入表!$I$603),0)</f>
        <v>291.71</v>
      </c>
      <c r="O47" s="124">
        <f>IF(O39-参数输入表!$I$4&gt;0,参数输入表!$I$602/(1+参数输入表!$I$603),0)</f>
        <v>291.71</v>
      </c>
      <c r="P47" s="124">
        <f>IF(P39-参数输入表!$I$4&gt;0,参数输入表!$I$602/(1+参数输入表!$I$603),0)</f>
        <v>291.71</v>
      </c>
      <c r="Q47" s="124">
        <f>IF(Q39-参数输入表!$I$4&gt;0,参数输入表!$I$602/(1+参数输入表!$I$603),0)</f>
        <v>291.71</v>
      </c>
      <c r="R47" s="124">
        <f>IF(R39-参数输入表!$I$4&gt;0,参数输入表!$I$602/(1+参数输入表!$I$603),0)</f>
        <v>291.71</v>
      </c>
      <c r="S47" s="124">
        <f>IF(S39-参数输入表!$I$4&gt;0,参数输入表!$I$602/(1+参数输入表!$I$603),0)</f>
        <v>291.71</v>
      </c>
      <c r="T47" s="124">
        <f>IF(T39-参数输入表!$I$4&gt;0,参数输入表!$I$602/(1+参数输入表!$I$603),0)</f>
        <v>291.71</v>
      </c>
      <c r="U47" s="124">
        <f>IF(U39-参数输入表!$I$4&gt;0,参数输入表!$I$602/(1+参数输入表!$I$603),0)</f>
        <v>291.71</v>
      </c>
      <c r="V47" s="124">
        <f>IF(V39-参数输入表!$I$4&gt;0,参数输入表!$I$602/(1+参数输入表!$I$603),0)</f>
        <v>291.71</v>
      </c>
      <c r="W47" s="124">
        <f>IF(W39-参数输入表!$I$4&gt;0,参数输入表!$I$602/(1+参数输入表!$I$603),0)</f>
        <v>291.71</v>
      </c>
      <c r="X47" s="124">
        <f>IF(X39-参数输入表!$I$4&gt;0,参数输入表!$I$602/(1+参数输入表!$I$603),0)</f>
        <v>291.71</v>
      </c>
      <c r="Y47" s="124">
        <f>IF(Y39-参数输入表!$I$4&gt;0,参数输入表!$I$602/(1+参数输入表!$I$603),0)</f>
        <v>291.71</v>
      </c>
      <c r="Z47" s="124">
        <f>IF(Z39-参数输入表!$I$4&gt;0,参数输入表!$I$602/(1+参数输入表!$I$603),0)</f>
        <v>291.71</v>
      </c>
      <c r="AA47" s="124">
        <f>IF(AA39-参数输入表!$I$4&gt;0,参数输入表!$I$602/(1+参数输入表!$I$603),0)</f>
        <v>291.71</v>
      </c>
      <c r="AB47" s="124">
        <f>IF(AB39-参数输入表!$I$4&gt;0,参数输入表!$I$602/(1+参数输入表!$I$603),0)</f>
        <v>291.71</v>
      </c>
      <c r="AC47" s="124">
        <f>IF(AC39-参数输入表!$I$4&gt;0,参数输入表!$I$602/(1+参数输入表!$I$603),0)</f>
        <v>291.71</v>
      </c>
      <c r="AD47" s="124">
        <f>IF(AD39-参数输入表!$I$4&gt;0,参数输入表!$I$602/(1+参数输入表!$I$603),0)</f>
        <v>291.71</v>
      </c>
      <c r="AE47" s="124">
        <f>IF(AE39-参数输入表!$I$4&gt;0,参数输入表!$I$602/(1+参数输入表!$I$603),0)</f>
        <v>291.71</v>
      </c>
      <c r="AF47" s="124">
        <f>IF(AF39-参数输入表!$I$4&gt;0,参数输入表!$I$602/(1+参数输入表!$I$603),0)</f>
        <v>291.71</v>
      </c>
      <c r="AG47" s="124">
        <f>IF(AG39-参数输入表!$I$4&gt;0,参数输入表!$I$602/(1+参数输入表!$I$603),0)</f>
        <v>291.71</v>
      </c>
      <c r="AH47" s="124">
        <f>IF(AH39-参数输入表!$I$4&gt;0,参数输入表!$I$602/(1+参数输入表!$I$603),0)</f>
        <v>291.71</v>
      </c>
      <c r="AI47" s="124">
        <f>IF(AI39-参数输入表!$I$4&gt;0,参数输入表!$I$602/(1+参数输入表!$I$603),0)</f>
        <v>291.71</v>
      </c>
      <c r="AJ47" s="124">
        <f>IF(AJ39-参数输入表!$I$4&gt;0,参数输入表!$I$602/(1+参数输入表!$I$603),0)</f>
        <v>291.71</v>
      </c>
      <c r="AK47" s="124">
        <f>IF(AK39-参数输入表!$I$4&gt;0,参数输入表!$I$602/(1+参数输入表!$I$603),0)</f>
        <v>291.71</v>
      </c>
      <c r="AL47" s="124">
        <f>IF(AL39-参数输入表!$I$4&gt;0,参数输入表!$I$602/(1+参数输入表!$I$603),0)</f>
        <v>291.71</v>
      </c>
      <c r="AM47" s="124">
        <f>IF(AM39-参数输入表!$I$4&gt;0,参数输入表!$I$602/(1+参数输入表!$I$603),0)</f>
        <v>291.71</v>
      </c>
      <c r="AN47" s="124">
        <f>IF(AN39-参数输入表!$I$4&gt;0,参数输入表!$I$602/(1+参数输入表!$I$603),0)</f>
        <v>291.71</v>
      </c>
      <c r="AO47" s="124">
        <f>IF(AO39-参数输入表!$I$4&gt;0,参数输入表!$I$602/(1+参数输入表!$I$603),0)</f>
        <v>291.71</v>
      </c>
      <c r="AP47" s="124">
        <f>IF(AP39-参数输入表!$I$4&gt;0,参数输入表!$I$602/(1+参数输入表!$I$603),0)</f>
        <v>291.71</v>
      </c>
      <c r="AQ47" s="124">
        <f>IF(AQ39-参数输入表!$I$4&gt;0,参数输入表!$I$602/(1+参数输入表!$I$603),0)</f>
        <v>291.71</v>
      </c>
      <c r="AR47" s="124">
        <f>IF(AR39-参数输入表!$I$4&gt;0,参数输入表!$I$602/(1+参数输入表!$I$603),0)</f>
        <v>291.71</v>
      </c>
      <c r="AS47" s="124">
        <f>IF(AS39-参数输入表!$I$4&gt;0,参数输入表!$I$602/(1+参数输入表!$I$603),0)</f>
        <v>291.71</v>
      </c>
      <c r="AT47" s="124">
        <f>IF(AT39-参数输入表!$I$4&gt;0,参数输入表!$I$602/(1+参数输入表!$I$603),0)</f>
        <v>291.71</v>
      </c>
      <c r="AU47" s="124">
        <f>IF(AU39-参数输入表!$I$4&gt;0,参数输入表!$I$602/(1+参数输入表!$I$603),0)</f>
        <v>291.71</v>
      </c>
      <c r="AV47" s="124">
        <f>IF(AV39-参数输入表!$I$4&gt;0,参数输入表!$I$602/(1+参数输入表!$I$603),0)</f>
        <v>291.71</v>
      </c>
      <c r="AW47" s="124">
        <f>IF(AW39-参数输入表!$I$4&gt;0,参数输入表!$I$602/(1+参数输入表!$I$603),0)</f>
        <v>291.71</v>
      </c>
      <c r="AX47" s="124">
        <f>IF(AX39-参数输入表!$I$4&gt;0,参数输入表!$I$602/(1+参数输入表!$I$603),0)</f>
        <v>291.71</v>
      </c>
      <c r="AY47" s="124">
        <f>IF(AY39-参数输入表!$I$4&gt;0,参数输入表!$I$602/(1+参数输入表!$I$603),0)</f>
        <v>291.71</v>
      </c>
      <c r="AZ47" s="124">
        <f>IF(AZ39-参数输入表!$I$4&gt;0,参数输入表!$I$602/(1+参数输入表!$I$603),0)</f>
        <v>291.71</v>
      </c>
      <c r="BA47" s="125">
        <f>IF(BA39-参数输入表!$I$4&gt;0,参数输入表!$I$602/(1+参数输入表!$I$603),0)</f>
        <v>291.71</v>
      </c>
    </row>
    <row r="48" s="105" customFormat="1" ht="19.95" customHeight="1" spans="2:53">
      <c r="B48" s="257">
        <v>1.4</v>
      </c>
      <c r="C48" s="54" t="s">
        <v>759</v>
      </c>
      <c r="D48" s="124">
        <f t="shared" si="20"/>
        <v>407.787610619469</v>
      </c>
      <c r="E48" s="266" t="s">
        <v>130</v>
      </c>
      <c r="F48" s="124">
        <f>IF(F39-参数输入表!$I$4&gt;0,参数输入表!$I$605/(1+参数输入表!$I$606),0)</f>
        <v>0</v>
      </c>
      <c r="G48" s="124">
        <f>IF(G39-参数输入表!$I$4&gt;0,参数输入表!$I$605/(1+参数输入表!$I$606),0)</f>
        <v>0</v>
      </c>
      <c r="H48" s="124">
        <f>IF(H39-参数输入表!$I$4&gt;0,参数输入表!$I$605/(1+参数输入表!$I$606),0)</f>
        <v>0</v>
      </c>
      <c r="I48" s="124">
        <f>IF(I39-参数输入表!$I$4&gt;0,参数输入表!$I$605/(1+参数输入表!$I$606),0)</f>
        <v>0</v>
      </c>
      <c r="J48" s="124">
        <f>IF(J39-参数输入表!$I$4&gt;0,参数输入表!$I$605/(1+参数输入表!$I$606),0)</f>
        <v>0</v>
      </c>
      <c r="K48" s="124">
        <f>IF(K39-参数输入表!$I$4&gt;0,参数输入表!$I$605/(1+参数输入表!$I$606),0)</f>
        <v>0</v>
      </c>
      <c r="L48" s="124">
        <f>IF(L39-参数输入表!$I$4&gt;0,参数输入表!$I$605/(1+参数输入表!$I$606),0)</f>
        <v>0</v>
      </c>
      <c r="M48" s="124">
        <f>IF(M39-参数输入表!$I$4&gt;0,参数输入表!$I$605/(1+参数输入表!$I$606),0)</f>
        <v>0</v>
      </c>
      <c r="N48" s="124">
        <f>IF(N39-参数输入表!$I$4&gt;0,参数输入表!$I$605/(1+参数输入表!$I$606),0)</f>
        <v>10.1946902654867</v>
      </c>
      <c r="O48" s="124">
        <f>IF(O39-参数输入表!$I$4&gt;0,参数输入表!$I$605/(1+参数输入表!$I$606),0)</f>
        <v>10.1946902654867</v>
      </c>
      <c r="P48" s="124">
        <f>IF(P39-参数输入表!$I$4&gt;0,参数输入表!$I$605/(1+参数输入表!$I$606),0)</f>
        <v>10.1946902654867</v>
      </c>
      <c r="Q48" s="124">
        <f>IF(Q39-参数输入表!$I$4&gt;0,参数输入表!$I$605/(1+参数输入表!$I$606),0)</f>
        <v>10.1946902654867</v>
      </c>
      <c r="R48" s="124">
        <f>IF(R39-参数输入表!$I$4&gt;0,参数输入表!$I$605/(1+参数输入表!$I$606),0)</f>
        <v>10.1946902654867</v>
      </c>
      <c r="S48" s="124">
        <f>IF(S39-参数输入表!$I$4&gt;0,参数输入表!$I$605/(1+参数输入表!$I$606),0)</f>
        <v>10.1946902654867</v>
      </c>
      <c r="T48" s="124">
        <f>IF(T39-参数输入表!$I$4&gt;0,参数输入表!$I$605/(1+参数输入表!$I$606),0)</f>
        <v>10.1946902654867</v>
      </c>
      <c r="U48" s="124">
        <f>IF(U39-参数输入表!$I$4&gt;0,参数输入表!$I$605/(1+参数输入表!$I$606),0)</f>
        <v>10.1946902654867</v>
      </c>
      <c r="V48" s="124">
        <f>IF(V39-参数输入表!$I$4&gt;0,参数输入表!$I$605/(1+参数输入表!$I$606),0)</f>
        <v>10.1946902654867</v>
      </c>
      <c r="W48" s="124">
        <f>IF(W39-参数输入表!$I$4&gt;0,参数输入表!$I$605/(1+参数输入表!$I$606),0)</f>
        <v>10.1946902654867</v>
      </c>
      <c r="X48" s="124">
        <f>IF(X39-参数输入表!$I$4&gt;0,参数输入表!$I$605/(1+参数输入表!$I$606),0)</f>
        <v>10.1946902654867</v>
      </c>
      <c r="Y48" s="124">
        <f>IF(Y39-参数输入表!$I$4&gt;0,参数输入表!$I$605/(1+参数输入表!$I$606),0)</f>
        <v>10.1946902654867</v>
      </c>
      <c r="Z48" s="124">
        <f>IF(Z39-参数输入表!$I$4&gt;0,参数输入表!$I$605/(1+参数输入表!$I$606),0)</f>
        <v>10.1946902654867</v>
      </c>
      <c r="AA48" s="124">
        <f>IF(AA39-参数输入表!$I$4&gt;0,参数输入表!$I$605/(1+参数输入表!$I$606),0)</f>
        <v>10.1946902654867</v>
      </c>
      <c r="AB48" s="124">
        <f>IF(AB39-参数输入表!$I$4&gt;0,参数输入表!$I$605/(1+参数输入表!$I$606),0)</f>
        <v>10.1946902654867</v>
      </c>
      <c r="AC48" s="124">
        <f>IF(AC39-参数输入表!$I$4&gt;0,参数输入表!$I$605/(1+参数输入表!$I$606),0)</f>
        <v>10.1946902654867</v>
      </c>
      <c r="AD48" s="124">
        <f>IF(AD39-参数输入表!$I$4&gt;0,参数输入表!$I$605/(1+参数输入表!$I$606),0)</f>
        <v>10.1946902654867</v>
      </c>
      <c r="AE48" s="124">
        <f>IF(AE39-参数输入表!$I$4&gt;0,参数输入表!$I$605/(1+参数输入表!$I$606),0)</f>
        <v>10.1946902654867</v>
      </c>
      <c r="AF48" s="124">
        <f>IF(AF39-参数输入表!$I$4&gt;0,参数输入表!$I$605/(1+参数输入表!$I$606),0)</f>
        <v>10.1946902654867</v>
      </c>
      <c r="AG48" s="124">
        <f>IF(AG39-参数输入表!$I$4&gt;0,参数输入表!$I$605/(1+参数输入表!$I$606),0)</f>
        <v>10.1946902654867</v>
      </c>
      <c r="AH48" s="124">
        <f>IF(AH39-参数输入表!$I$4&gt;0,参数输入表!$I$605/(1+参数输入表!$I$606),0)</f>
        <v>10.1946902654867</v>
      </c>
      <c r="AI48" s="124">
        <f>IF(AI39-参数输入表!$I$4&gt;0,参数输入表!$I$605/(1+参数输入表!$I$606),0)</f>
        <v>10.1946902654867</v>
      </c>
      <c r="AJ48" s="124">
        <f>IF(AJ39-参数输入表!$I$4&gt;0,参数输入表!$I$605/(1+参数输入表!$I$606),0)</f>
        <v>10.1946902654867</v>
      </c>
      <c r="AK48" s="124">
        <f>IF(AK39-参数输入表!$I$4&gt;0,参数输入表!$I$605/(1+参数输入表!$I$606),0)</f>
        <v>10.1946902654867</v>
      </c>
      <c r="AL48" s="124">
        <f>IF(AL39-参数输入表!$I$4&gt;0,参数输入表!$I$605/(1+参数输入表!$I$606),0)</f>
        <v>10.1946902654867</v>
      </c>
      <c r="AM48" s="124">
        <f>IF(AM39-参数输入表!$I$4&gt;0,参数输入表!$I$605/(1+参数输入表!$I$606),0)</f>
        <v>10.1946902654867</v>
      </c>
      <c r="AN48" s="124">
        <f>IF(AN39-参数输入表!$I$4&gt;0,参数输入表!$I$605/(1+参数输入表!$I$606),0)</f>
        <v>10.1946902654867</v>
      </c>
      <c r="AO48" s="124">
        <f>IF(AO39-参数输入表!$I$4&gt;0,参数输入表!$I$605/(1+参数输入表!$I$606),0)</f>
        <v>10.1946902654867</v>
      </c>
      <c r="AP48" s="124">
        <f>IF(AP39-参数输入表!$I$4&gt;0,参数输入表!$I$605/(1+参数输入表!$I$606),0)</f>
        <v>10.1946902654867</v>
      </c>
      <c r="AQ48" s="124">
        <f>IF(AQ39-参数输入表!$I$4&gt;0,参数输入表!$I$605/(1+参数输入表!$I$606),0)</f>
        <v>10.1946902654867</v>
      </c>
      <c r="AR48" s="124">
        <f>IF(AR39-参数输入表!$I$4&gt;0,参数输入表!$I$605/(1+参数输入表!$I$606),0)</f>
        <v>10.1946902654867</v>
      </c>
      <c r="AS48" s="124">
        <f>IF(AS39-参数输入表!$I$4&gt;0,参数输入表!$I$605/(1+参数输入表!$I$606),0)</f>
        <v>10.1946902654867</v>
      </c>
      <c r="AT48" s="124">
        <f>IF(AT39-参数输入表!$I$4&gt;0,参数输入表!$I$605/(1+参数输入表!$I$606),0)</f>
        <v>10.1946902654867</v>
      </c>
      <c r="AU48" s="124">
        <f>IF(AU39-参数输入表!$I$4&gt;0,参数输入表!$I$605/(1+参数输入表!$I$606),0)</f>
        <v>10.1946902654867</v>
      </c>
      <c r="AV48" s="124">
        <f>IF(AV39-参数输入表!$I$4&gt;0,参数输入表!$I$605/(1+参数输入表!$I$606),0)</f>
        <v>10.1946902654867</v>
      </c>
      <c r="AW48" s="124">
        <f>IF(AW39-参数输入表!$I$4&gt;0,参数输入表!$I$605/(1+参数输入表!$I$606),0)</f>
        <v>10.1946902654867</v>
      </c>
      <c r="AX48" s="124">
        <f>IF(AX39-参数输入表!$I$4&gt;0,参数输入表!$I$605/(1+参数输入表!$I$606),0)</f>
        <v>10.1946902654867</v>
      </c>
      <c r="AY48" s="124">
        <f>IF(AY39-参数输入表!$I$4&gt;0,参数输入表!$I$605/(1+参数输入表!$I$606),0)</f>
        <v>10.1946902654867</v>
      </c>
      <c r="AZ48" s="124">
        <f>IF(AZ39-参数输入表!$I$4&gt;0,参数输入表!$I$605/(1+参数输入表!$I$606),0)</f>
        <v>10.1946902654867</v>
      </c>
      <c r="BA48" s="125">
        <f>IF(BA39-参数输入表!$I$4&gt;0,参数输入表!$I$605/(1+参数输入表!$I$606),0)</f>
        <v>10.1946902654867</v>
      </c>
    </row>
    <row r="49" s="105" customFormat="1" ht="19.95" customHeight="1" spans="2:53">
      <c r="B49" s="257">
        <v>1.5</v>
      </c>
      <c r="C49" s="54" t="s">
        <v>294</v>
      </c>
      <c r="D49" s="124">
        <f t="shared" si="20"/>
        <v>1561.41592920354</v>
      </c>
      <c r="E49" s="266" t="s">
        <v>130</v>
      </c>
      <c r="F49" s="124">
        <f>IF(F39-参数输入表!$I$4&gt;0,参数输入表!$I$608/(1+参数输入表!$I$609),0)</f>
        <v>0</v>
      </c>
      <c r="G49" s="124">
        <f>IF(G39-参数输入表!$I$4&gt;0,参数输入表!$I$608/(1+参数输入表!$I$609),0)</f>
        <v>0</v>
      </c>
      <c r="H49" s="124">
        <f>IF(H39-参数输入表!$I$4&gt;0,参数输入表!$I$608/(1+参数输入表!$I$609),0)</f>
        <v>0</v>
      </c>
      <c r="I49" s="124">
        <f>IF(I39-参数输入表!$I$4&gt;0,参数输入表!$I$608/(1+参数输入表!$I$609),0)</f>
        <v>0</v>
      </c>
      <c r="J49" s="124">
        <f>IF(J39-参数输入表!$I$4&gt;0,参数输入表!$I$608/(1+参数输入表!$I$609),0)</f>
        <v>0</v>
      </c>
      <c r="K49" s="124">
        <f>IF(K39-参数输入表!$I$4&gt;0,参数输入表!$I$608/(1+参数输入表!$I$609),0)</f>
        <v>0</v>
      </c>
      <c r="L49" s="124">
        <f>IF(L39-参数输入表!$I$4&gt;0,参数输入表!$I$608/(1+参数输入表!$I$609),0)</f>
        <v>0</v>
      </c>
      <c r="M49" s="124">
        <f>IF(M39-参数输入表!$I$4&gt;0,参数输入表!$I$608/(1+参数输入表!$I$609),0)</f>
        <v>0</v>
      </c>
      <c r="N49" s="124">
        <f>IF(N39-参数输入表!$I$4&gt;0,参数输入表!$I$608/(1+参数输入表!$I$609),0)</f>
        <v>39.0353982300885</v>
      </c>
      <c r="O49" s="124">
        <f>IF(O39-参数输入表!$I$4&gt;0,参数输入表!$I$608/(1+参数输入表!$I$609),0)</f>
        <v>39.0353982300885</v>
      </c>
      <c r="P49" s="124">
        <f>IF(P39-参数输入表!$I$4&gt;0,参数输入表!$I$608/(1+参数输入表!$I$609),0)</f>
        <v>39.0353982300885</v>
      </c>
      <c r="Q49" s="124">
        <f>IF(Q39-参数输入表!$I$4&gt;0,参数输入表!$I$608/(1+参数输入表!$I$609),0)</f>
        <v>39.0353982300885</v>
      </c>
      <c r="R49" s="124">
        <f>IF(R39-参数输入表!$I$4&gt;0,参数输入表!$I$608/(1+参数输入表!$I$609),0)</f>
        <v>39.0353982300885</v>
      </c>
      <c r="S49" s="124">
        <f>IF(S39-参数输入表!$I$4&gt;0,参数输入表!$I$608/(1+参数输入表!$I$609),0)</f>
        <v>39.0353982300885</v>
      </c>
      <c r="T49" s="124">
        <f>IF(T39-参数输入表!$I$4&gt;0,参数输入表!$I$608/(1+参数输入表!$I$609),0)</f>
        <v>39.0353982300885</v>
      </c>
      <c r="U49" s="124">
        <f>IF(U39-参数输入表!$I$4&gt;0,参数输入表!$I$608/(1+参数输入表!$I$609),0)</f>
        <v>39.0353982300885</v>
      </c>
      <c r="V49" s="124">
        <f>IF(V39-参数输入表!$I$4&gt;0,参数输入表!$I$608/(1+参数输入表!$I$609),0)</f>
        <v>39.0353982300885</v>
      </c>
      <c r="W49" s="124">
        <f>IF(W39-参数输入表!$I$4&gt;0,参数输入表!$I$608/(1+参数输入表!$I$609),0)</f>
        <v>39.0353982300885</v>
      </c>
      <c r="X49" s="124">
        <f>IF(X39-参数输入表!$I$4&gt;0,参数输入表!$I$608/(1+参数输入表!$I$609),0)</f>
        <v>39.0353982300885</v>
      </c>
      <c r="Y49" s="124">
        <f>IF(Y39-参数输入表!$I$4&gt;0,参数输入表!$I$608/(1+参数输入表!$I$609),0)</f>
        <v>39.0353982300885</v>
      </c>
      <c r="Z49" s="124">
        <f>IF(Z39-参数输入表!$I$4&gt;0,参数输入表!$I$608/(1+参数输入表!$I$609),0)</f>
        <v>39.0353982300885</v>
      </c>
      <c r="AA49" s="124">
        <f>IF(AA39-参数输入表!$I$4&gt;0,参数输入表!$I$608/(1+参数输入表!$I$609),0)</f>
        <v>39.0353982300885</v>
      </c>
      <c r="AB49" s="124">
        <f>IF(AB39-参数输入表!$I$4&gt;0,参数输入表!$I$608/(1+参数输入表!$I$609),0)</f>
        <v>39.0353982300885</v>
      </c>
      <c r="AC49" s="124">
        <f>IF(AC39-参数输入表!$I$4&gt;0,参数输入表!$I$608/(1+参数输入表!$I$609),0)</f>
        <v>39.0353982300885</v>
      </c>
      <c r="AD49" s="124">
        <f>IF(AD39-参数输入表!$I$4&gt;0,参数输入表!$I$608/(1+参数输入表!$I$609),0)</f>
        <v>39.0353982300885</v>
      </c>
      <c r="AE49" s="124">
        <f>IF(AE39-参数输入表!$I$4&gt;0,参数输入表!$I$608/(1+参数输入表!$I$609),0)</f>
        <v>39.0353982300885</v>
      </c>
      <c r="AF49" s="124">
        <f>IF(AF39-参数输入表!$I$4&gt;0,参数输入表!$I$608/(1+参数输入表!$I$609),0)</f>
        <v>39.0353982300885</v>
      </c>
      <c r="AG49" s="124">
        <f>IF(AG39-参数输入表!$I$4&gt;0,参数输入表!$I$608/(1+参数输入表!$I$609),0)</f>
        <v>39.0353982300885</v>
      </c>
      <c r="AH49" s="124">
        <f>IF(AH39-参数输入表!$I$4&gt;0,参数输入表!$I$608/(1+参数输入表!$I$609),0)</f>
        <v>39.0353982300885</v>
      </c>
      <c r="AI49" s="124">
        <f>IF(AI39-参数输入表!$I$4&gt;0,参数输入表!$I$608/(1+参数输入表!$I$609),0)</f>
        <v>39.0353982300885</v>
      </c>
      <c r="AJ49" s="124">
        <f>IF(AJ39-参数输入表!$I$4&gt;0,参数输入表!$I$608/(1+参数输入表!$I$609),0)</f>
        <v>39.0353982300885</v>
      </c>
      <c r="AK49" s="124">
        <f>IF(AK39-参数输入表!$I$4&gt;0,参数输入表!$I$608/(1+参数输入表!$I$609),0)</f>
        <v>39.0353982300885</v>
      </c>
      <c r="AL49" s="124">
        <f>IF(AL39-参数输入表!$I$4&gt;0,参数输入表!$I$608/(1+参数输入表!$I$609),0)</f>
        <v>39.0353982300885</v>
      </c>
      <c r="AM49" s="124">
        <f>IF(AM39-参数输入表!$I$4&gt;0,参数输入表!$I$608/(1+参数输入表!$I$609),0)</f>
        <v>39.0353982300885</v>
      </c>
      <c r="AN49" s="124">
        <f>IF(AN39-参数输入表!$I$4&gt;0,参数输入表!$I$608/(1+参数输入表!$I$609),0)</f>
        <v>39.0353982300885</v>
      </c>
      <c r="AO49" s="124">
        <f>IF(AO39-参数输入表!$I$4&gt;0,参数输入表!$I$608/(1+参数输入表!$I$609),0)</f>
        <v>39.0353982300885</v>
      </c>
      <c r="AP49" s="124">
        <f>IF(AP39-参数输入表!$I$4&gt;0,参数输入表!$I$608/(1+参数输入表!$I$609),0)</f>
        <v>39.0353982300885</v>
      </c>
      <c r="AQ49" s="124">
        <f>IF(AQ39-参数输入表!$I$4&gt;0,参数输入表!$I$608/(1+参数输入表!$I$609),0)</f>
        <v>39.0353982300885</v>
      </c>
      <c r="AR49" s="124">
        <f>IF(AR39-参数输入表!$I$4&gt;0,参数输入表!$I$608/(1+参数输入表!$I$609),0)</f>
        <v>39.0353982300885</v>
      </c>
      <c r="AS49" s="124">
        <f>IF(AS39-参数输入表!$I$4&gt;0,参数输入表!$I$608/(1+参数输入表!$I$609),0)</f>
        <v>39.0353982300885</v>
      </c>
      <c r="AT49" s="124">
        <f>IF(AT39-参数输入表!$I$4&gt;0,参数输入表!$I$608/(1+参数输入表!$I$609),0)</f>
        <v>39.0353982300885</v>
      </c>
      <c r="AU49" s="124">
        <f>IF(AU39-参数输入表!$I$4&gt;0,参数输入表!$I$608/(1+参数输入表!$I$609),0)</f>
        <v>39.0353982300885</v>
      </c>
      <c r="AV49" s="124">
        <f>IF(AV39-参数输入表!$I$4&gt;0,参数输入表!$I$608/(1+参数输入表!$I$609),0)</f>
        <v>39.0353982300885</v>
      </c>
      <c r="AW49" s="124">
        <f>IF(AW39-参数输入表!$I$4&gt;0,参数输入表!$I$608/(1+参数输入表!$I$609),0)</f>
        <v>39.0353982300885</v>
      </c>
      <c r="AX49" s="124">
        <f>IF(AX39-参数输入表!$I$4&gt;0,参数输入表!$I$608/(1+参数输入表!$I$609),0)</f>
        <v>39.0353982300885</v>
      </c>
      <c r="AY49" s="124">
        <f>IF(AY39-参数输入表!$I$4&gt;0,参数输入表!$I$608/(1+参数输入表!$I$609),0)</f>
        <v>39.0353982300885</v>
      </c>
      <c r="AZ49" s="124">
        <f>IF(AZ39-参数输入表!$I$4&gt;0,参数输入表!$I$608/(1+参数输入表!$I$609),0)</f>
        <v>39.0353982300885</v>
      </c>
      <c r="BA49" s="125">
        <f>IF(BA39-参数输入表!$I$4&gt;0,参数输入表!$I$608/(1+参数输入表!$I$609),0)</f>
        <v>39.0353982300885</v>
      </c>
    </row>
    <row r="50" ht="21" customHeight="1" spans="2:53">
      <c r="B50" s="257" t="s">
        <v>760</v>
      </c>
      <c r="C50" s="258" t="s">
        <v>255</v>
      </c>
      <c r="D50" s="42">
        <f t="shared" si="20"/>
        <v>397551.988086561</v>
      </c>
      <c r="E50" s="256" t="s">
        <v>130</v>
      </c>
      <c r="F50" s="42">
        <f>参数输入表!$I$386*参数输入表!$I$435/(1+参数输入表!$I$436)</f>
        <v>0</v>
      </c>
      <c r="G50" s="42">
        <f>参数输入表!$I$387*参数输入表!$I$435/(1+参数输入表!$I$436)</f>
        <v>0</v>
      </c>
      <c r="H50" s="42">
        <f>参数输入表!$I$388*参数输入表!$I$435/(1+参数输入表!$I$436)</f>
        <v>0</v>
      </c>
      <c r="I50" s="42">
        <f>参数输入表!$I$389*参数输入表!$I$435/(1+参数输入表!$I$436)</f>
        <v>0</v>
      </c>
      <c r="J50" s="42">
        <f>参数输入表!$I$390*参数输入表!$I$435/(1+参数输入表!$I$436)</f>
        <v>0</v>
      </c>
      <c r="K50" s="42">
        <f>参数输入表!$I$391*参数输入表!$I$435/(1+参数输入表!$I$436)</f>
        <v>0</v>
      </c>
      <c r="L50" s="42">
        <f>参数输入表!$I$392*参数输入表!$I$435/(1+参数输入表!$I$436)</f>
        <v>0</v>
      </c>
      <c r="M50" s="42">
        <f>参数输入表!$I$393*参数输入表!$I$435/(1+参数输入表!$I$436)</f>
        <v>4141.16654256835</v>
      </c>
      <c r="N50" s="42">
        <f>参数输入表!$I$394*参数输入表!$I$435/(1+参数输入表!$I$436)</f>
        <v>9938.79970216403</v>
      </c>
      <c r="O50" s="42">
        <f>参数输入表!$I$395*参数输入表!$I$435/(1+参数输入表!$I$436)</f>
        <v>9938.79970216403</v>
      </c>
      <c r="P50" s="42">
        <f>参数输入表!$I$396*参数输入表!$I$435/(1+参数输入表!$I$436)</f>
        <v>9938.79970216403</v>
      </c>
      <c r="Q50" s="42">
        <f>参数输入表!$I$397*参数输入表!$I$435/(1+参数输入表!$I$436)</f>
        <v>9938.79970216403</v>
      </c>
      <c r="R50" s="42">
        <f>参数输入表!$I$398*参数输入表!$I$435/(1+参数输入表!$I$436)</f>
        <v>9938.79970216403</v>
      </c>
      <c r="S50" s="42">
        <f>参数输入表!$I$399*参数输入表!$I$435/(1+参数输入表!$I$436)</f>
        <v>9938.79970216403</v>
      </c>
      <c r="T50" s="42">
        <f>参数输入表!$I$400*参数输入表!$I$435/(1+参数输入表!$I$436)</f>
        <v>9938.79970216403</v>
      </c>
      <c r="U50" s="42">
        <f>参数输入表!$I$401*参数输入表!$I$435/(1+参数输入表!$I$436)</f>
        <v>9938.79970216403</v>
      </c>
      <c r="V50" s="42">
        <f>参数输入表!$I$402*参数输入表!$I$435/(1+参数输入表!$I$436)</f>
        <v>9938.79970216403</v>
      </c>
      <c r="W50" s="42">
        <f>参数输入表!$I$403*参数输入表!$I$435/(1+参数输入表!$I$436)</f>
        <v>9938.79970216403</v>
      </c>
      <c r="X50" s="42">
        <f>参数输入表!$I$404*参数输入表!$I$435/(1+参数输入表!$I$436)</f>
        <v>9938.79970216403</v>
      </c>
      <c r="Y50" s="42">
        <f>参数输入表!$I$405*参数输入表!$I$435/(1+参数输入表!$I$436)</f>
        <v>9938.79970216403</v>
      </c>
      <c r="Z50" s="42">
        <f>参数输入表!$I$406*参数输入表!$I$435/(1+参数输入表!$I$436)</f>
        <v>9938.79970216403</v>
      </c>
      <c r="AA50" s="42">
        <f>参数输入表!$I$407*参数输入表!$I$435/(1+参数输入表!$I$436)</f>
        <v>9938.79970216403</v>
      </c>
      <c r="AB50" s="42">
        <f>参数输入表!$I$408*参数输入表!$I$435/(1+参数输入表!$I$436)</f>
        <v>9938.79970216403</v>
      </c>
      <c r="AC50" s="42">
        <f>参数输入表!$I$409*参数输入表!$I$435/(1+参数输入表!$I$436)</f>
        <v>9938.79970216403</v>
      </c>
      <c r="AD50" s="42">
        <f>参数输入表!$I$410*参数输入表!$I$435/(1+参数输入表!$I$436)</f>
        <v>9938.79970216403</v>
      </c>
      <c r="AE50" s="42">
        <f>参数输入表!$I$411*参数输入表!$I$435/(1+参数输入表!$I$436)</f>
        <v>9938.79970216403</v>
      </c>
      <c r="AF50" s="42">
        <f>参数输入表!$I$412*参数输入表!$I$435/(1+参数输入表!$I$436)</f>
        <v>9938.79970216403</v>
      </c>
      <c r="AG50" s="42">
        <f>参数输入表!$I$413*参数输入表!$I$435/(1+参数输入表!$I$436)</f>
        <v>9938.79970216403</v>
      </c>
      <c r="AH50" s="42">
        <f>参数输入表!$I$414*参数输入表!$I$435/(1+参数输入表!$I$436)</f>
        <v>9938.79970216403</v>
      </c>
      <c r="AI50" s="42">
        <f>参数输入表!$I$415*参数输入表!$I$435/(1+参数输入表!$I$436)</f>
        <v>9938.79970216403</v>
      </c>
      <c r="AJ50" s="42">
        <f>参数输入表!$I$416*参数输入表!$I$435/(1+参数输入表!$I$436)</f>
        <v>9938.79970216403</v>
      </c>
      <c r="AK50" s="42">
        <f>参数输入表!$I$417*参数输入表!$I$435/(1+参数输入表!$I$436)</f>
        <v>9938.79970216403</v>
      </c>
      <c r="AL50" s="42">
        <f>参数输入表!$I$418*参数输入表!$I$435/(1+参数输入表!$I$436)</f>
        <v>9938.79970216403</v>
      </c>
      <c r="AM50" s="42">
        <f>参数输入表!$I$419*参数输入表!$I$435/(1+参数输入表!$I$436)</f>
        <v>9938.79970216403</v>
      </c>
      <c r="AN50" s="42">
        <f>参数输入表!$I$420*参数输入表!$I$435/(1+参数输入表!$I$436)</f>
        <v>9938.79970216403</v>
      </c>
      <c r="AO50" s="42">
        <f>参数输入表!$I$421*参数输入表!$I$435/(1+参数输入表!$I$436)</f>
        <v>9938.79970216403</v>
      </c>
      <c r="AP50" s="42">
        <f>参数输入表!$I$422*参数输入表!$I$435/(1+参数输入表!$I$436)</f>
        <v>9938.79970216403</v>
      </c>
      <c r="AQ50" s="42">
        <f>参数输入表!$I$423*参数输入表!$I$435/(1+参数输入表!$I$436)</f>
        <v>9938.79970216403</v>
      </c>
      <c r="AR50" s="42">
        <f>参数输入表!$I$424*参数输入表!$I$435/(1+参数输入表!$I$436)</f>
        <v>9938.79970216403</v>
      </c>
      <c r="AS50" s="42">
        <f>参数输入表!$I$425*参数输入表!$I$435/(1+参数输入表!$I$436)</f>
        <v>9938.79970216403</v>
      </c>
      <c r="AT50" s="42">
        <f>参数输入表!$I$426*参数输入表!$I$435/(1+参数输入表!$I$436)</f>
        <v>9938.79970216403</v>
      </c>
      <c r="AU50" s="42">
        <f>参数输入表!$I$427*参数输入表!$I$435/(1+参数输入表!$I$436)</f>
        <v>9938.79970216403</v>
      </c>
      <c r="AV50" s="42">
        <f>参数输入表!$I$428*参数输入表!$I$435/(1+参数输入表!$I$436)</f>
        <v>9938.79970216403</v>
      </c>
      <c r="AW50" s="42">
        <f>参数输入表!$I$429*参数输入表!$I$435/(1+参数输入表!$I$436)</f>
        <v>9938.79970216403</v>
      </c>
      <c r="AX50" s="42">
        <f>参数输入表!$I$430*参数输入表!$I$435/(1+参数输入表!$I$436)</f>
        <v>9938.79970216403</v>
      </c>
      <c r="AY50" s="42">
        <f>参数输入表!$I$431*参数输入表!$I$435/(1+参数输入表!$I$436)</f>
        <v>9938.79970216403</v>
      </c>
      <c r="AZ50" s="42">
        <f>参数输入表!$I$432*参数输入表!$I$435/(1+参数输入表!$I$436)</f>
        <v>9938.79970216403</v>
      </c>
      <c r="BA50" s="43">
        <f>参数输入表!$I$433*参数输入表!$I$435/(1+参数输入表!$I$436)</f>
        <v>5797.63315959569</v>
      </c>
    </row>
    <row r="51" ht="21" customHeight="1" spans="2:53">
      <c r="B51" s="257" t="s">
        <v>761</v>
      </c>
      <c r="C51" s="54" t="s">
        <v>269</v>
      </c>
      <c r="D51" s="42">
        <f t="shared" si="20"/>
        <v>111100.8</v>
      </c>
      <c r="E51" s="256" t="s">
        <v>130</v>
      </c>
      <c r="F51" s="42">
        <f>(参数输入表!$I$492*参数输入表!$I$495+参数输入表!$I$493*参数输入表!$I$496)*(1+参数输入表!$I$497)*(1+参数输入表!$I$498*(F39-参数输入表!$I$25))/(1+参数输入表!$I$499)*F40</f>
        <v>0</v>
      </c>
      <c r="G51" s="42">
        <f>(参数输入表!$I$492*参数输入表!$I$495+参数输入表!$I$493*参数输入表!$I$496)*(1+参数输入表!$I$497)*(1+参数输入表!$I$498*(G39-参数输入表!$I$25))/(1+参数输入表!$I$499)*G40</f>
        <v>0</v>
      </c>
      <c r="H51" s="42">
        <f>(参数输入表!$I$492*参数输入表!$I$495+参数输入表!$I$493*参数输入表!$I$496)*(1+参数输入表!$I$497)*(1+参数输入表!$I$498*(H39-参数输入表!$I$25))/(1+参数输入表!$I$499)*H40</f>
        <v>0</v>
      </c>
      <c r="I51" s="42">
        <f>(参数输入表!$I$492*参数输入表!$I$495+参数输入表!$I$493*参数输入表!$I$496)*(1+参数输入表!$I$497)*(1+参数输入表!$I$498*(I39-参数输入表!$I$25))/(1+参数输入表!$I$499)*I40</f>
        <v>0</v>
      </c>
      <c r="J51" s="42">
        <f>(参数输入表!$I$492*参数输入表!$I$495+参数输入表!$I$493*参数输入表!$I$496)*(1+参数输入表!$I$497)*(1+参数输入表!$I$498*(J39-参数输入表!$I$25))/(1+参数输入表!$I$499)*J40</f>
        <v>0</v>
      </c>
      <c r="K51" s="42">
        <f>(参数输入表!$I$492*参数输入表!$I$495+参数输入表!$I$493*参数输入表!$I$496)*(1+参数输入表!$I$497)*(1+参数输入表!$I$498*(K39-参数输入表!$I$25))/(1+参数输入表!$I$499)*K40</f>
        <v>0</v>
      </c>
      <c r="L51" s="42">
        <f>(参数输入表!$I$492*参数输入表!$I$495+参数输入表!$I$493*参数输入表!$I$496)*(1+参数输入表!$I$497)*(1+参数输入表!$I$498*(L39-参数输入表!$I$25))/(1+参数输入表!$I$499)*L40</f>
        <v>0</v>
      </c>
      <c r="M51" s="42">
        <f>(参数输入表!$I$492*参数输入表!$I$495+参数输入表!$I$493*参数输入表!$I$496)*(1+参数输入表!$I$497)*(1+参数输入表!$I$498*(M39-参数输入表!$I$25))/(1+参数输入表!$I$499)*M40</f>
        <v>1157.3</v>
      </c>
      <c r="N51" s="42">
        <f>(参数输入表!$I$492*参数输入表!$I$495+参数输入表!$I$493*参数输入表!$I$496)*(1+参数输入表!$I$497)*(1+参数输入表!$I$498*(N39-参数输入表!$I$25))/(1+参数输入表!$I$499)*N40</f>
        <v>2777.52</v>
      </c>
      <c r="O51" s="42">
        <f>(参数输入表!$I$492*参数输入表!$I$495+参数输入表!$I$493*参数输入表!$I$496)*(1+参数输入表!$I$497)*(1+参数输入表!$I$498*(O39-参数输入表!$I$25))/(1+参数输入表!$I$499)*O40</f>
        <v>2777.52</v>
      </c>
      <c r="P51" s="42">
        <f>(参数输入表!$I$492*参数输入表!$I$495+参数输入表!$I$493*参数输入表!$I$496)*(1+参数输入表!$I$497)*(1+参数输入表!$I$498*(P39-参数输入表!$I$25))/(1+参数输入表!$I$499)*P40</f>
        <v>2777.52</v>
      </c>
      <c r="Q51" s="42">
        <f>(参数输入表!$I$492*参数输入表!$I$495+参数输入表!$I$493*参数输入表!$I$496)*(1+参数输入表!$I$497)*(1+参数输入表!$I$498*(Q39-参数输入表!$I$25))/(1+参数输入表!$I$499)*Q40</f>
        <v>2777.52</v>
      </c>
      <c r="R51" s="42">
        <f>(参数输入表!$I$492*参数输入表!$I$495+参数输入表!$I$493*参数输入表!$I$496)*(1+参数输入表!$I$497)*(1+参数输入表!$I$498*(R39-参数输入表!$I$25))/(1+参数输入表!$I$499)*R40</f>
        <v>2777.52</v>
      </c>
      <c r="S51" s="42">
        <f>(参数输入表!$I$492*参数输入表!$I$495+参数输入表!$I$493*参数输入表!$I$496)*(1+参数输入表!$I$497)*(1+参数输入表!$I$498*(S39-参数输入表!$I$25))/(1+参数输入表!$I$499)*S40</f>
        <v>2777.52</v>
      </c>
      <c r="T51" s="42">
        <f>(参数输入表!$I$492*参数输入表!$I$495+参数输入表!$I$493*参数输入表!$I$496)*(1+参数输入表!$I$497)*(1+参数输入表!$I$498*(T39-参数输入表!$I$25))/(1+参数输入表!$I$499)*T40</f>
        <v>2777.52</v>
      </c>
      <c r="U51" s="42">
        <f>(参数输入表!$I$492*参数输入表!$I$495+参数输入表!$I$493*参数输入表!$I$496)*(1+参数输入表!$I$497)*(1+参数输入表!$I$498*(U39-参数输入表!$I$25))/(1+参数输入表!$I$499)*U40</f>
        <v>2777.52</v>
      </c>
      <c r="V51" s="42">
        <f>(参数输入表!$I$492*参数输入表!$I$495+参数输入表!$I$493*参数输入表!$I$496)*(1+参数输入表!$I$497)*(1+参数输入表!$I$498*(V39-参数输入表!$I$25))/(1+参数输入表!$I$499)*V40</f>
        <v>2777.52</v>
      </c>
      <c r="W51" s="42">
        <f>(参数输入表!$I$492*参数输入表!$I$495+参数输入表!$I$493*参数输入表!$I$496)*(1+参数输入表!$I$497)*(1+参数输入表!$I$498*(W39-参数输入表!$I$25))/(1+参数输入表!$I$499)*W40</f>
        <v>2777.52</v>
      </c>
      <c r="X51" s="42">
        <f>(参数输入表!$I$492*参数输入表!$I$495+参数输入表!$I$493*参数输入表!$I$496)*(1+参数输入表!$I$497)*(1+参数输入表!$I$498*(X39-参数输入表!$I$25))/(1+参数输入表!$I$499)*X40</f>
        <v>2777.52</v>
      </c>
      <c r="Y51" s="42">
        <f>(参数输入表!$I$492*参数输入表!$I$495+参数输入表!$I$493*参数输入表!$I$496)*(1+参数输入表!$I$497)*(1+参数输入表!$I$498*(Y39-参数输入表!$I$25))/(1+参数输入表!$I$499)*Y40</f>
        <v>2777.52</v>
      </c>
      <c r="Z51" s="42">
        <f>(参数输入表!$I$492*参数输入表!$I$495+参数输入表!$I$493*参数输入表!$I$496)*(1+参数输入表!$I$497)*(1+参数输入表!$I$498*(Z39-参数输入表!$I$25))/(1+参数输入表!$I$499)*Z40</f>
        <v>2777.52</v>
      </c>
      <c r="AA51" s="42">
        <f>(参数输入表!$I$492*参数输入表!$I$495+参数输入表!$I$493*参数输入表!$I$496)*(1+参数输入表!$I$497)*(1+参数输入表!$I$498*(AA39-参数输入表!$I$25))/(1+参数输入表!$I$499)*AA40</f>
        <v>2777.52</v>
      </c>
      <c r="AB51" s="42">
        <f>(参数输入表!$I$492*参数输入表!$I$495+参数输入表!$I$493*参数输入表!$I$496)*(1+参数输入表!$I$497)*(1+参数输入表!$I$498*(AB39-参数输入表!$I$25))/(1+参数输入表!$I$499)*AB40</f>
        <v>2777.52</v>
      </c>
      <c r="AC51" s="42">
        <f>(参数输入表!$I$492*参数输入表!$I$495+参数输入表!$I$493*参数输入表!$I$496)*(1+参数输入表!$I$497)*(1+参数输入表!$I$498*(AC39-参数输入表!$I$25))/(1+参数输入表!$I$499)*AC40</f>
        <v>2777.52</v>
      </c>
      <c r="AD51" s="42">
        <f>(参数输入表!$I$492*参数输入表!$I$495+参数输入表!$I$493*参数输入表!$I$496)*(1+参数输入表!$I$497)*(1+参数输入表!$I$498*(AD39-参数输入表!$I$25))/(1+参数输入表!$I$499)*AD40</f>
        <v>2777.52</v>
      </c>
      <c r="AE51" s="42">
        <f>(参数输入表!$I$492*参数输入表!$I$495+参数输入表!$I$493*参数输入表!$I$496)*(1+参数输入表!$I$497)*(1+参数输入表!$I$498*(AE39-参数输入表!$I$25))/(1+参数输入表!$I$499)*AE40</f>
        <v>2777.52</v>
      </c>
      <c r="AF51" s="42">
        <f>(参数输入表!$I$492*参数输入表!$I$495+参数输入表!$I$493*参数输入表!$I$496)*(1+参数输入表!$I$497)*(1+参数输入表!$I$498*(AF39-参数输入表!$I$25))/(1+参数输入表!$I$499)*AF40</f>
        <v>2777.52</v>
      </c>
      <c r="AG51" s="42">
        <f>(参数输入表!$I$492*参数输入表!$I$495+参数输入表!$I$493*参数输入表!$I$496)*(1+参数输入表!$I$497)*(1+参数输入表!$I$498*(AG39-参数输入表!$I$25))/(1+参数输入表!$I$499)*AG40</f>
        <v>2777.52</v>
      </c>
      <c r="AH51" s="42">
        <f>(参数输入表!$I$492*参数输入表!$I$495+参数输入表!$I$493*参数输入表!$I$496)*(1+参数输入表!$I$497)*(1+参数输入表!$I$498*(AH39-参数输入表!$I$25))/(1+参数输入表!$I$499)*AH40</f>
        <v>2777.52</v>
      </c>
      <c r="AI51" s="42">
        <f>(参数输入表!$I$492*参数输入表!$I$495+参数输入表!$I$493*参数输入表!$I$496)*(1+参数输入表!$I$497)*(1+参数输入表!$I$498*(AI39-参数输入表!$I$25))/(1+参数输入表!$I$499)*AI40</f>
        <v>2777.52</v>
      </c>
      <c r="AJ51" s="42">
        <f>(参数输入表!$I$492*参数输入表!$I$495+参数输入表!$I$493*参数输入表!$I$496)*(1+参数输入表!$I$497)*(1+参数输入表!$I$498*(AJ39-参数输入表!$I$25))/(1+参数输入表!$I$499)*AJ40</f>
        <v>2777.52</v>
      </c>
      <c r="AK51" s="42">
        <f>(参数输入表!$I$492*参数输入表!$I$495+参数输入表!$I$493*参数输入表!$I$496)*(1+参数输入表!$I$497)*(1+参数输入表!$I$498*(AK39-参数输入表!$I$25))/(1+参数输入表!$I$499)*AK40</f>
        <v>2777.52</v>
      </c>
      <c r="AL51" s="42">
        <f>(参数输入表!$I$492*参数输入表!$I$495+参数输入表!$I$493*参数输入表!$I$496)*(1+参数输入表!$I$497)*(1+参数输入表!$I$498*(AL39-参数输入表!$I$25))/(1+参数输入表!$I$499)*AL40</f>
        <v>2777.52</v>
      </c>
      <c r="AM51" s="42">
        <f>(参数输入表!$I$492*参数输入表!$I$495+参数输入表!$I$493*参数输入表!$I$496)*(1+参数输入表!$I$497)*(1+参数输入表!$I$498*(AM39-参数输入表!$I$25))/(1+参数输入表!$I$499)*AM40</f>
        <v>2777.52</v>
      </c>
      <c r="AN51" s="42">
        <f>(参数输入表!$I$492*参数输入表!$I$495+参数输入表!$I$493*参数输入表!$I$496)*(1+参数输入表!$I$497)*(1+参数输入表!$I$498*(AN39-参数输入表!$I$25))/(1+参数输入表!$I$499)*AN40</f>
        <v>2777.52</v>
      </c>
      <c r="AO51" s="42">
        <f>(参数输入表!$I$492*参数输入表!$I$495+参数输入表!$I$493*参数输入表!$I$496)*(1+参数输入表!$I$497)*(1+参数输入表!$I$498*(AO39-参数输入表!$I$25))/(1+参数输入表!$I$499)*AO40</f>
        <v>2777.52</v>
      </c>
      <c r="AP51" s="42">
        <f>(参数输入表!$I$492*参数输入表!$I$495+参数输入表!$I$493*参数输入表!$I$496)*(1+参数输入表!$I$497)*(1+参数输入表!$I$498*(AP39-参数输入表!$I$25))/(1+参数输入表!$I$499)*AP40</f>
        <v>2777.52</v>
      </c>
      <c r="AQ51" s="42">
        <f>(参数输入表!$I$492*参数输入表!$I$495+参数输入表!$I$493*参数输入表!$I$496)*(1+参数输入表!$I$497)*(1+参数输入表!$I$498*(AQ39-参数输入表!$I$25))/(1+参数输入表!$I$499)*AQ40</f>
        <v>2777.52</v>
      </c>
      <c r="AR51" s="42">
        <f>(参数输入表!$I$492*参数输入表!$I$495+参数输入表!$I$493*参数输入表!$I$496)*(1+参数输入表!$I$497)*(1+参数输入表!$I$498*(AR39-参数输入表!$I$25))/(1+参数输入表!$I$499)*AR40</f>
        <v>2777.52</v>
      </c>
      <c r="AS51" s="42">
        <f>(参数输入表!$I$492*参数输入表!$I$495+参数输入表!$I$493*参数输入表!$I$496)*(1+参数输入表!$I$497)*(1+参数输入表!$I$498*(AS39-参数输入表!$I$25))/(1+参数输入表!$I$499)*AS40</f>
        <v>2777.52</v>
      </c>
      <c r="AT51" s="42">
        <f>(参数输入表!$I$492*参数输入表!$I$495+参数输入表!$I$493*参数输入表!$I$496)*(1+参数输入表!$I$497)*(1+参数输入表!$I$498*(AT39-参数输入表!$I$25))/(1+参数输入表!$I$499)*AT40</f>
        <v>2777.52</v>
      </c>
      <c r="AU51" s="42">
        <f>(参数输入表!$I$492*参数输入表!$I$495+参数输入表!$I$493*参数输入表!$I$496)*(1+参数输入表!$I$497)*(1+参数输入表!$I$498*(AU39-参数输入表!$I$25))/(1+参数输入表!$I$499)*AU40</f>
        <v>2777.52</v>
      </c>
      <c r="AV51" s="42">
        <f>(参数输入表!$I$492*参数输入表!$I$495+参数输入表!$I$493*参数输入表!$I$496)*(1+参数输入表!$I$497)*(1+参数输入表!$I$498*(AV39-参数输入表!$I$25))/(1+参数输入表!$I$499)*AV40</f>
        <v>2777.52</v>
      </c>
      <c r="AW51" s="42">
        <f>(参数输入表!$I$492*参数输入表!$I$495+参数输入表!$I$493*参数输入表!$I$496)*(1+参数输入表!$I$497)*(1+参数输入表!$I$498*(AW39-参数输入表!$I$25))/(1+参数输入表!$I$499)*AW40</f>
        <v>2777.52</v>
      </c>
      <c r="AX51" s="42">
        <f>(参数输入表!$I$492*参数输入表!$I$495+参数输入表!$I$493*参数输入表!$I$496)*(1+参数输入表!$I$497)*(1+参数输入表!$I$498*(AX39-参数输入表!$I$25))/(1+参数输入表!$I$499)*AX40</f>
        <v>2777.52</v>
      </c>
      <c r="AY51" s="42">
        <f>(参数输入表!$I$492*参数输入表!$I$495+参数输入表!$I$493*参数输入表!$I$496)*(1+参数输入表!$I$497)*(1+参数输入表!$I$498*(AY39-参数输入表!$I$25))/(1+参数输入表!$I$499)*AY40</f>
        <v>2777.52</v>
      </c>
      <c r="AZ51" s="42">
        <f>(参数输入表!$I$492*参数输入表!$I$495+参数输入表!$I$493*参数输入表!$I$496)*(1+参数输入表!$I$497)*(1+参数输入表!$I$498*(AZ39-参数输入表!$I$25))/(1+参数输入表!$I$499)*AZ40</f>
        <v>2777.52</v>
      </c>
      <c r="BA51" s="43">
        <f>(参数输入表!$I$492*参数输入表!$I$495+参数输入表!$I$493*参数输入表!$I$496)*(1+参数输入表!$I$497)*(1+参数输入表!$I$498*(BA39-参数输入表!$I$25))/(1+参数输入表!$I$499)*BA40</f>
        <v>1620.22</v>
      </c>
    </row>
    <row r="52" ht="21" customHeight="1" spans="2:53">
      <c r="B52" s="257" t="s">
        <v>762</v>
      </c>
      <c r="C52" s="54" t="s">
        <v>763</v>
      </c>
      <c r="D52" s="42">
        <f t="shared" si="20"/>
        <v>4128.44036697248</v>
      </c>
      <c r="E52" s="256" t="s">
        <v>130</v>
      </c>
      <c r="F52" s="42">
        <f>'表2-折旧摊销表'!F63</f>
        <v>0</v>
      </c>
      <c r="G52" s="42">
        <f>'表2-折旧摊销表'!G63</f>
        <v>0</v>
      </c>
      <c r="H52" s="42">
        <f>'表2-折旧摊销表'!H63</f>
        <v>0</v>
      </c>
      <c r="I52" s="42">
        <f>'表2-折旧摊销表'!I63</f>
        <v>0</v>
      </c>
      <c r="J52" s="42">
        <f>'表2-折旧摊销表'!J63</f>
        <v>0</v>
      </c>
      <c r="K52" s="42">
        <f>'表2-折旧摊销表'!K63</f>
        <v>0</v>
      </c>
      <c r="L52" s="42">
        <f>'表2-折旧摊销表'!L63</f>
        <v>0</v>
      </c>
      <c r="M52" s="42">
        <f>'表2-折旧摊销表'!M63</f>
        <v>0</v>
      </c>
      <c r="N52" s="42">
        <f>'表2-折旧摊销表'!N63</f>
        <v>91.743119266055</v>
      </c>
      <c r="O52" s="42">
        <f>'表2-折旧摊销表'!O63</f>
        <v>91.743119266055</v>
      </c>
      <c r="P52" s="42">
        <f>'表2-折旧摊销表'!P63</f>
        <v>91.743119266055</v>
      </c>
      <c r="Q52" s="42">
        <f>'表2-折旧摊销表'!Q63</f>
        <v>91.743119266055</v>
      </c>
      <c r="R52" s="42">
        <f>'表2-折旧摊销表'!R63</f>
        <v>91.743119266055</v>
      </c>
      <c r="S52" s="42">
        <f>'表2-折旧摊销表'!S63</f>
        <v>91.743119266055</v>
      </c>
      <c r="T52" s="42">
        <f>'表2-折旧摊销表'!T63</f>
        <v>91.743119266055</v>
      </c>
      <c r="U52" s="42">
        <f>'表2-折旧摊销表'!U63</f>
        <v>91.743119266055</v>
      </c>
      <c r="V52" s="42">
        <f>'表2-折旧摊销表'!V63</f>
        <v>91.743119266055</v>
      </c>
      <c r="W52" s="42">
        <f>'表2-折旧摊销表'!W63</f>
        <v>91.743119266055</v>
      </c>
      <c r="X52" s="42">
        <f>'表2-折旧摊销表'!X63</f>
        <v>91.743119266055</v>
      </c>
      <c r="Y52" s="42">
        <f>'表2-折旧摊销表'!Y63</f>
        <v>91.743119266055</v>
      </c>
      <c r="Z52" s="42">
        <f>'表2-折旧摊销表'!Z63</f>
        <v>91.743119266055</v>
      </c>
      <c r="AA52" s="42">
        <f>'表2-折旧摊销表'!AA63</f>
        <v>91.743119266055</v>
      </c>
      <c r="AB52" s="42">
        <f>'表2-折旧摊销表'!AB63</f>
        <v>91.743119266055</v>
      </c>
      <c r="AC52" s="42">
        <f>'表2-折旧摊销表'!AC63</f>
        <v>91.743119266055</v>
      </c>
      <c r="AD52" s="42">
        <f>'表2-折旧摊销表'!AD63</f>
        <v>91.743119266055</v>
      </c>
      <c r="AE52" s="42">
        <f>'表2-折旧摊销表'!AE63</f>
        <v>91.743119266055</v>
      </c>
      <c r="AF52" s="42">
        <f>'表2-折旧摊销表'!AF63</f>
        <v>91.743119266055</v>
      </c>
      <c r="AG52" s="42">
        <f>'表2-折旧摊销表'!AG63</f>
        <v>91.743119266055</v>
      </c>
      <c r="AH52" s="42">
        <f>'表2-折旧摊销表'!AH63</f>
        <v>91.743119266055</v>
      </c>
      <c r="AI52" s="42">
        <f>'表2-折旧摊销表'!AI63</f>
        <v>91.743119266055</v>
      </c>
      <c r="AJ52" s="42">
        <f>'表2-折旧摊销表'!AJ63</f>
        <v>91.743119266055</v>
      </c>
      <c r="AK52" s="42">
        <f>'表2-折旧摊销表'!AK63</f>
        <v>91.743119266055</v>
      </c>
      <c r="AL52" s="42">
        <f>'表2-折旧摊销表'!AL63</f>
        <v>91.743119266055</v>
      </c>
      <c r="AM52" s="42">
        <f>'表2-折旧摊销表'!AM63</f>
        <v>91.743119266055</v>
      </c>
      <c r="AN52" s="42">
        <f>'表2-折旧摊销表'!AN63</f>
        <v>91.743119266055</v>
      </c>
      <c r="AO52" s="42">
        <f>'表2-折旧摊销表'!AO63</f>
        <v>91.743119266055</v>
      </c>
      <c r="AP52" s="42">
        <f>'表2-折旧摊销表'!AP63</f>
        <v>91.743119266055</v>
      </c>
      <c r="AQ52" s="42">
        <f>'表2-折旧摊销表'!AQ63</f>
        <v>91.743119266055</v>
      </c>
      <c r="AR52" s="42">
        <f>'表2-折旧摊销表'!AR63</f>
        <v>91.743119266055</v>
      </c>
      <c r="AS52" s="42">
        <f>'表2-折旧摊销表'!AS63</f>
        <v>91.743119266055</v>
      </c>
      <c r="AT52" s="42">
        <f>'表2-折旧摊销表'!AT63</f>
        <v>91.743119266055</v>
      </c>
      <c r="AU52" s="42">
        <f>'表2-折旧摊销表'!AU63</f>
        <v>91.743119266055</v>
      </c>
      <c r="AV52" s="42">
        <f>'表2-折旧摊销表'!AV63</f>
        <v>91.743119266055</v>
      </c>
      <c r="AW52" s="42">
        <f>'表2-折旧摊销表'!AW63</f>
        <v>91.743119266055</v>
      </c>
      <c r="AX52" s="42">
        <f>'表2-折旧摊销表'!AX63</f>
        <v>91.743119266055</v>
      </c>
      <c r="AY52" s="42">
        <f>'表2-折旧摊销表'!AY63</f>
        <v>244.648318042813</v>
      </c>
      <c r="AZ52" s="42">
        <f>'表2-折旧摊销表'!AZ63</f>
        <v>244.648318042813</v>
      </c>
      <c r="BA52" s="43">
        <f>'表2-折旧摊销表'!BA63</f>
        <v>244.648318042813</v>
      </c>
    </row>
    <row r="53" ht="21" customHeight="1" spans="2:53">
      <c r="B53" s="257" t="s">
        <v>764</v>
      </c>
      <c r="C53" s="54" t="s">
        <v>782</v>
      </c>
      <c r="D53" s="42">
        <f ca="1" t="shared" si="20"/>
        <v>812604.07884563</v>
      </c>
      <c r="E53" s="256" t="s">
        <v>130</v>
      </c>
      <c r="F53" s="42">
        <f ca="1">SUM(F54:F59)</f>
        <v>0</v>
      </c>
      <c r="G53" s="42">
        <f ca="1" t="shared" ref="G53:BA53" si="21">SUM(G54:G59)</f>
        <v>0</v>
      </c>
      <c r="H53" s="42">
        <f ca="1" t="shared" si="21"/>
        <v>0</v>
      </c>
      <c r="I53" s="42">
        <f ca="1" t="shared" si="21"/>
        <v>0</v>
      </c>
      <c r="J53" s="42">
        <f ca="1" t="shared" si="21"/>
        <v>0</v>
      </c>
      <c r="K53" s="42">
        <f ca="1" t="shared" si="21"/>
        <v>0</v>
      </c>
      <c r="L53" s="42">
        <f ca="1" t="shared" si="21"/>
        <v>0</v>
      </c>
      <c r="M53" s="42">
        <f ca="1" t="shared" si="21"/>
        <v>11218.5763967984</v>
      </c>
      <c r="N53" s="42">
        <f ca="1" t="shared" si="21"/>
        <v>28497.0833523161</v>
      </c>
      <c r="O53" s="42">
        <f ca="1" t="shared" si="21"/>
        <v>28034.5833523161</v>
      </c>
      <c r="P53" s="42">
        <f ca="1" t="shared" si="21"/>
        <v>28034.5833523161</v>
      </c>
      <c r="Q53" s="42">
        <f ca="1" t="shared" si="21"/>
        <v>28034.5833523161</v>
      </c>
      <c r="R53" s="42">
        <f ca="1" t="shared" si="21"/>
        <v>28034.5833523161</v>
      </c>
      <c r="S53" s="42">
        <f ca="1" t="shared" si="21"/>
        <v>28034.5833523161</v>
      </c>
      <c r="T53" s="42">
        <f ca="1" t="shared" si="21"/>
        <v>28034.5833523161</v>
      </c>
      <c r="U53" s="42">
        <f ca="1" t="shared" si="21"/>
        <v>28034.5833523161</v>
      </c>
      <c r="V53" s="42">
        <f ca="1" t="shared" si="21"/>
        <v>28034.5833523161</v>
      </c>
      <c r="W53" s="42">
        <f ca="1" t="shared" si="21"/>
        <v>28034.5833523161</v>
      </c>
      <c r="X53" s="42">
        <f ca="1" t="shared" si="21"/>
        <v>28200.5125558559</v>
      </c>
      <c r="Y53" s="42">
        <f ca="1" t="shared" si="21"/>
        <v>29810.374941177</v>
      </c>
      <c r="Z53" s="42">
        <f ca="1" t="shared" si="21"/>
        <v>29495.374941177</v>
      </c>
      <c r="AA53" s="42">
        <f ca="1" t="shared" si="21"/>
        <v>29495.374941177</v>
      </c>
      <c r="AB53" s="42">
        <f ca="1" t="shared" si="21"/>
        <v>29495.374941177</v>
      </c>
      <c r="AC53" s="42">
        <f ca="1" t="shared" si="21"/>
        <v>29495.374941177</v>
      </c>
      <c r="AD53" s="42">
        <f ca="1" t="shared" si="21"/>
        <v>29495.374941177</v>
      </c>
      <c r="AE53" s="42">
        <f ca="1" t="shared" si="21"/>
        <v>27736.1156819178</v>
      </c>
      <c r="AF53" s="42">
        <f ca="1" t="shared" si="21"/>
        <v>25273.1527189548</v>
      </c>
      <c r="AG53" s="42">
        <f ca="1" t="shared" si="21"/>
        <v>25035.6527189548</v>
      </c>
      <c r="AH53" s="42">
        <f ca="1" t="shared" si="21"/>
        <v>24703.1527189548</v>
      </c>
      <c r="AI53" s="42">
        <f ca="1" t="shared" si="21"/>
        <v>24703.1527189548</v>
      </c>
      <c r="AJ53" s="42">
        <f ca="1" t="shared" si="21"/>
        <v>24703.1527189548</v>
      </c>
      <c r="AK53" s="42">
        <f ca="1" t="shared" si="21"/>
        <v>24703.1527189548</v>
      </c>
      <c r="AL53" s="42">
        <f ca="1" t="shared" si="21"/>
        <v>24703.1527189548</v>
      </c>
      <c r="AM53" s="42">
        <f ca="1" t="shared" si="21"/>
        <v>24703.1527189548</v>
      </c>
      <c r="AN53" s="42">
        <f ca="1" t="shared" si="21"/>
        <v>24703.1527189548</v>
      </c>
      <c r="AO53" s="42">
        <f ca="1" t="shared" si="21"/>
        <v>24703.1527189548</v>
      </c>
      <c r="AP53" s="42">
        <f ca="1" t="shared" si="21"/>
        <v>15243.8355814157</v>
      </c>
      <c r="AQ53" s="42">
        <f ca="1" t="shared" si="21"/>
        <v>2000.79158886092</v>
      </c>
      <c r="AR53" s="42">
        <f ca="1" t="shared" si="21"/>
        <v>2000.79158886092</v>
      </c>
      <c r="AS53" s="42">
        <f ca="1" t="shared" si="21"/>
        <v>2204.66518722993</v>
      </c>
      <c r="AT53" s="42">
        <f ca="1" t="shared" si="21"/>
        <v>2204.66518722993</v>
      </c>
      <c r="AU53" s="42">
        <f ca="1" t="shared" si="21"/>
        <v>2204.66518722993</v>
      </c>
      <c r="AV53" s="42">
        <f ca="1" t="shared" si="21"/>
        <v>2259.97492174321</v>
      </c>
      <c r="AW53" s="42">
        <f ca="1" t="shared" si="21"/>
        <v>2259.97492174321</v>
      </c>
      <c r="AX53" s="42">
        <f ca="1" t="shared" si="21"/>
        <v>2259.97492174321</v>
      </c>
      <c r="AY53" s="42">
        <f ca="1" t="shared" si="21"/>
        <v>2259.97492174321</v>
      </c>
      <c r="AZ53" s="42">
        <f ca="1" t="shared" si="21"/>
        <v>2259.97492174321</v>
      </c>
      <c r="BA53" s="43">
        <f ca="1" t="shared" si="21"/>
        <v>2259.97492174321</v>
      </c>
    </row>
    <row r="54" ht="21" customHeight="1" spans="2:53">
      <c r="B54" s="267"/>
      <c r="C54" s="268" t="s">
        <v>306</v>
      </c>
      <c r="D54" s="261">
        <f ca="1" t="shared" si="20"/>
        <v>658368.472772723</v>
      </c>
      <c r="E54" s="269" t="s">
        <v>130</v>
      </c>
      <c r="F54" s="282">
        <f ca="1">IF(参数输入表!$I$358="含建设期利息",'表2-折旧摊销表'!F32,'表2-折旧摊销表'!F251)</f>
        <v>0</v>
      </c>
      <c r="G54" s="282">
        <f ca="1">IF(参数输入表!$I$358="含建设期利息",'表2-折旧摊销表'!G32,'表2-折旧摊销表'!G251)</f>
        <v>0</v>
      </c>
      <c r="H54" s="282">
        <f ca="1">IF(参数输入表!$I$358="含建设期利息",'表2-折旧摊销表'!H32,'表2-折旧摊销表'!H251)</f>
        <v>0</v>
      </c>
      <c r="I54" s="282">
        <f ca="1">IF(参数输入表!$I$358="含建设期利息",'表2-折旧摊销表'!I32,'表2-折旧摊销表'!I251)</f>
        <v>0</v>
      </c>
      <c r="J54" s="282">
        <f ca="1">IF(参数输入表!$I$358="含建设期利息",'表2-折旧摊销表'!J32,'表2-折旧摊销表'!J251)</f>
        <v>0</v>
      </c>
      <c r="K54" s="282">
        <f ca="1">IF(参数输入表!$I$358="含建设期利息",'表2-折旧摊销表'!K32,'表2-折旧摊销表'!K251)</f>
        <v>0</v>
      </c>
      <c r="L54" s="282">
        <f ca="1">IF(参数输入表!$I$358="含建设期利息",'表2-折旧摊销表'!L32,'表2-折旧摊销表'!L251)</f>
        <v>0</v>
      </c>
      <c r="M54" s="282">
        <f ca="1">IF(参数输入表!$I$358="含建设期利息",'表2-折旧摊销表'!M32,'表2-折旧摊销表'!M251)</f>
        <v>9459.31713753914</v>
      </c>
      <c r="N54" s="282">
        <f ca="1">IF(参数输入表!$I$358="含建设期利息",'表2-折旧摊销表'!N32,'表2-折旧摊销表'!N251)</f>
        <v>22702.3611300939</v>
      </c>
      <c r="O54" s="282">
        <f ca="1">IF(参数输入表!$I$358="含建设期利息",'表2-折旧摊销表'!O32,'表2-折旧摊销表'!O251)</f>
        <v>22702.3611300939</v>
      </c>
      <c r="P54" s="282">
        <f ca="1">IF(参数输入表!$I$358="含建设期利息",'表2-折旧摊销表'!P32,'表2-折旧摊销表'!P251)</f>
        <v>22702.3611300939</v>
      </c>
      <c r="Q54" s="282">
        <f ca="1">IF(参数输入表!$I$358="含建设期利息",'表2-折旧摊销表'!Q32,'表2-折旧摊销表'!Q251)</f>
        <v>22702.3611300939</v>
      </c>
      <c r="R54" s="282">
        <f ca="1">IF(参数输入表!$I$358="含建设期利息",'表2-折旧摊销表'!R32,'表2-折旧摊销表'!R251)</f>
        <v>22702.3611300939</v>
      </c>
      <c r="S54" s="282">
        <f ca="1">IF(参数输入表!$I$358="含建设期利息",'表2-折旧摊销表'!S32,'表2-折旧摊销表'!S251)</f>
        <v>22702.3611300939</v>
      </c>
      <c r="T54" s="282">
        <f ca="1">IF(参数输入表!$I$358="含建设期利息",'表2-折旧摊销表'!T32,'表2-折旧摊销表'!T251)</f>
        <v>22702.3611300939</v>
      </c>
      <c r="U54" s="282">
        <f ca="1">IF(参数输入表!$I$358="含建设期利息",'表2-折旧摊销表'!U32,'表2-折旧摊销表'!U251)</f>
        <v>22702.3611300939</v>
      </c>
      <c r="V54" s="282">
        <f ca="1">IF(参数输入表!$I$358="含建设期利息",'表2-折旧摊销表'!V32,'表2-折旧摊销表'!V251)</f>
        <v>22702.3611300939</v>
      </c>
      <c r="W54" s="282">
        <f ca="1">IF(参数输入表!$I$358="含建设期利息",'表2-折旧摊销表'!W32,'表2-折旧摊销表'!W251)</f>
        <v>22702.3611300939</v>
      </c>
      <c r="X54" s="282">
        <f ca="1">IF(参数输入表!$I$358="含建设期利息",'表2-折旧摊销表'!X32,'表2-折旧摊销表'!X251)</f>
        <v>22702.3611300939</v>
      </c>
      <c r="Y54" s="282">
        <f ca="1">IF(参数输入表!$I$358="含建设期利息",'表2-折旧摊销表'!Y32,'表2-折旧摊销表'!Y251)</f>
        <v>22702.3611300939</v>
      </c>
      <c r="Z54" s="282">
        <f ca="1">IF(参数输入表!$I$358="含建设期利息",'表2-折旧摊销表'!Z32,'表2-折旧摊销表'!Z251)</f>
        <v>22702.3611300939</v>
      </c>
      <c r="AA54" s="282">
        <f ca="1">IF(参数输入表!$I$358="含建设期利息",'表2-折旧摊销表'!AA32,'表2-折旧摊销表'!AA251)</f>
        <v>22702.3611300939</v>
      </c>
      <c r="AB54" s="282">
        <f ca="1">IF(参数输入表!$I$358="含建设期利息",'表2-折旧摊销表'!AB32,'表2-折旧摊销表'!AB251)</f>
        <v>22702.3611300939</v>
      </c>
      <c r="AC54" s="282">
        <f ca="1">IF(参数输入表!$I$358="含建设期利息",'表2-折旧摊销表'!AC32,'表2-折旧摊销表'!AC251)</f>
        <v>22702.3611300939</v>
      </c>
      <c r="AD54" s="282">
        <f ca="1">IF(参数输入表!$I$358="含建设期利息",'表2-折旧摊销表'!AD32,'表2-折旧摊销表'!AD251)</f>
        <v>22702.3611300939</v>
      </c>
      <c r="AE54" s="282">
        <f ca="1">IF(参数输入表!$I$358="含建设期利息",'表2-折旧摊销表'!AE32,'表2-折旧摊销表'!AE251)</f>
        <v>22702.3611300939</v>
      </c>
      <c r="AF54" s="282">
        <f ca="1">IF(参数输入表!$I$358="含建设期利息",'表2-折旧摊销表'!AF32,'表2-折旧摊销表'!AF251)</f>
        <v>22702.3611300939</v>
      </c>
      <c r="AG54" s="282">
        <f ca="1">IF(参数输入表!$I$358="含建设期利息",'表2-折旧摊销表'!AG32,'表2-折旧摊销表'!AG251)</f>
        <v>22702.3611300939</v>
      </c>
      <c r="AH54" s="282">
        <f ca="1">IF(参数输入表!$I$358="含建设期利息",'表2-折旧摊销表'!AH32,'表2-折旧摊销表'!AH251)</f>
        <v>22702.3611300939</v>
      </c>
      <c r="AI54" s="282">
        <f ca="1">IF(参数输入表!$I$358="含建设期利息",'表2-折旧摊销表'!AI32,'表2-折旧摊销表'!AI251)</f>
        <v>22702.3611300939</v>
      </c>
      <c r="AJ54" s="282">
        <f ca="1">IF(参数输入表!$I$358="含建设期利息",'表2-折旧摊销表'!AJ32,'表2-折旧摊销表'!AJ251)</f>
        <v>22702.3611300939</v>
      </c>
      <c r="AK54" s="282">
        <f ca="1">IF(参数输入表!$I$358="含建设期利息",'表2-折旧摊销表'!AK32,'表2-折旧摊销表'!AK251)</f>
        <v>22702.3611300939</v>
      </c>
      <c r="AL54" s="282">
        <f ca="1">IF(参数输入表!$I$358="含建设期利息",'表2-折旧摊销表'!AL32,'表2-折旧摊销表'!AL251)</f>
        <v>22702.3611300939</v>
      </c>
      <c r="AM54" s="282">
        <f ca="1">IF(参数输入表!$I$358="含建设期利息",'表2-折旧摊销表'!AM32,'表2-折旧摊销表'!AM251)</f>
        <v>22702.3611300939</v>
      </c>
      <c r="AN54" s="282">
        <f ca="1">IF(参数输入表!$I$358="含建设期利息",'表2-折旧摊销表'!AN32,'表2-折旧摊销表'!AN251)</f>
        <v>22702.3611300939</v>
      </c>
      <c r="AO54" s="282">
        <f ca="1">IF(参数输入表!$I$358="含建设期利息",'表2-折旧摊销表'!AO32,'表2-折旧摊销表'!AO251)</f>
        <v>22702.3611300939</v>
      </c>
      <c r="AP54" s="282">
        <f ca="1">IF(参数输入表!$I$358="含建设期利息",'表2-折旧摊销表'!AP32,'表2-折旧摊销表'!AP251)</f>
        <v>13243.0439925548</v>
      </c>
      <c r="AQ54" s="282">
        <f ca="1">IF(参数输入表!$I$358="含建设期利息",'表2-折旧摊销表'!AQ32,'表2-折旧摊销表'!AQ251)</f>
        <v>0</v>
      </c>
      <c r="AR54" s="282">
        <f ca="1">IF(参数输入表!$I$358="含建设期利息",'表2-折旧摊销表'!AR32,'表2-折旧摊销表'!AR251)</f>
        <v>0</v>
      </c>
      <c r="AS54" s="282">
        <f ca="1">IF(参数输入表!$I$358="含建设期利息",'表2-折旧摊销表'!AS32,'表2-折旧摊销表'!AS251)</f>
        <v>0</v>
      </c>
      <c r="AT54" s="282">
        <f ca="1">IF(参数输入表!$I$358="含建设期利息",'表2-折旧摊销表'!AT32,'表2-折旧摊销表'!AT251)</f>
        <v>0</v>
      </c>
      <c r="AU54" s="282">
        <f ca="1">IF(参数输入表!$I$358="含建设期利息",'表2-折旧摊销表'!AU32,'表2-折旧摊销表'!AU251)</f>
        <v>0</v>
      </c>
      <c r="AV54" s="282">
        <f ca="1">IF(参数输入表!$I$358="含建设期利息",'表2-折旧摊销表'!AV32,'表2-折旧摊销表'!AV251)</f>
        <v>0</v>
      </c>
      <c r="AW54" s="282">
        <f ca="1">IF(参数输入表!$I$358="含建设期利息",'表2-折旧摊销表'!AW32,'表2-折旧摊销表'!AW251)</f>
        <v>0</v>
      </c>
      <c r="AX54" s="282">
        <f ca="1">IF(参数输入表!$I$358="含建设期利息",'表2-折旧摊销表'!AX32,'表2-折旧摊销表'!AX251)</f>
        <v>0</v>
      </c>
      <c r="AY54" s="282">
        <f ca="1">IF(参数输入表!$I$358="含建设期利息",'表2-折旧摊销表'!AY32,'表2-折旧摊销表'!AY251)</f>
        <v>0</v>
      </c>
      <c r="AZ54" s="282">
        <f ca="1">IF(参数输入表!$I$358="含建设期利息",'表2-折旧摊销表'!AZ32,'表2-折旧摊销表'!AZ251)</f>
        <v>0</v>
      </c>
      <c r="BA54" s="283">
        <f ca="1">IF(参数输入表!$I$358="含建设期利息",'表2-折旧摊销表'!BA32,'表2-折旧摊销表'!BA251)</f>
        <v>0</v>
      </c>
    </row>
    <row r="55" ht="21" customHeight="1" spans="2:53">
      <c r="B55" s="267"/>
      <c r="C55" s="271" t="s">
        <v>766</v>
      </c>
      <c r="D55" s="261">
        <f t="shared" si="20"/>
        <v>6480</v>
      </c>
      <c r="E55" s="269" t="s">
        <v>130</v>
      </c>
      <c r="F55" s="282">
        <f>IF(参数输入表!$I$358="含建设期利息",'表2-折旧摊销表'!F43,'表2-折旧摊销表'!F262)</f>
        <v>0</v>
      </c>
      <c r="G55" s="282">
        <f>IF(参数输入表!$I$358="含建设期利息",'表2-折旧摊销表'!G43,'表2-折旧摊销表'!G262)</f>
        <v>0</v>
      </c>
      <c r="H55" s="282">
        <f>IF(参数输入表!$I$358="含建设期利息",'表2-折旧摊销表'!H43,'表2-折旧摊销表'!H262)</f>
        <v>0</v>
      </c>
      <c r="I55" s="282">
        <f>IF(参数输入表!$I$358="含建设期利息",'表2-折旧摊销表'!I43,'表2-折旧摊销表'!I262)</f>
        <v>0</v>
      </c>
      <c r="J55" s="282">
        <f>IF(参数输入表!$I$358="含建设期利息",'表2-折旧摊销表'!J43,'表2-折旧摊销表'!J262)</f>
        <v>0</v>
      </c>
      <c r="K55" s="282">
        <f>IF(参数输入表!$I$358="含建设期利息",'表2-折旧摊销表'!K43,'表2-折旧摊销表'!K262)</f>
        <v>0</v>
      </c>
      <c r="L55" s="282">
        <f>IF(参数输入表!$I$358="含建设期利息",'表2-折旧摊销表'!L43,'表2-折旧摊销表'!L262)</f>
        <v>0</v>
      </c>
      <c r="M55" s="282">
        <f>IF(参数输入表!$I$358="含建设期利息",'表2-折旧摊销表'!M43,'表2-折旧摊销表'!M262)</f>
        <v>0</v>
      </c>
      <c r="N55" s="282">
        <f>IF(参数输入表!$I$358="含建设期利息",'表2-折旧摊销表'!N43,'表2-折旧摊销表'!N262)</f>
        <v>765</v>
      </c>
      <c r="O55" s="282">
        <f>IF(参数输入表!$I$358="含建设期利息",'表2-折旧摊销表'!O43,'表2-折旧摊销表'!O262)</f>
        <v>540</v>
      </c>
      <c r="P55" s="282">
        <f>IF(参数输入表!$I$358="含建设期利息",'表2-折旧摊销表'!P43,'表2-折旧摊销表'!P262)</f>
        <v>540</v>
      </c>
      <c r="Q55" s="282">
        <f>IF(参数输入表!$I$358="含建设期利息",'表2-折旧摊销表'!Q43,'表2-折旧摊销表'!Q262)</f>
        <v>540</v>
      </c>
      <c r="R55" s="282">
        <f>IF(参数输入表!$I$358="含建设期利息",'表2-折旧摊销表'!R43,'表2-折旧摊销表'!R262)</f>
        <v>540</v>
      </c>
      <c r="S55" s="282">
        <f>IF(参数输入表!$I$358="含建设期利息",'表2-折旧摊销表'!S43,'表2-折旧摊销表'!S262)</f>
        <v>540</v>
      </c>
      <c r="T55" s="282">
        <f>IF(参数输入表!$I$358="含建设期利息",'表2-折旧摊销表'!T43,'表2-折旧摊销表'!T262)</f>
        <v>540</v>
      </c>
      <c r="U55" s="282">
        <f>IF(参数输入表!$I$358="含建设期利息",'表2-折旧摊销表'!U43,'表2-折旧摊销表'!U262)</f>
        <v>540</v>
      </c>
      <c r="V55" s="282">
        <f>IF(参数输入表!$I$358="含建设期利息",'表2-折旧摊销表'!V43,'表2-折旧摊销表'!V262)</f>
        <v>540</v>
      </c>
      <c r="W55" s="282">
        <f>IF(参数输入表!$I$358="含建设期利息",'表2-折旧摊销表'!W43,'表2-折旧摊销表'!W262)</f>
        <v>540</v>
      </c>
      <c r="X55" s="282">
        <f>IF(参数输入表!$I$358="含建设期利息",'表2-折旧摊销表'!X43,'表2-折旧摊销表'!X262)</f>
        <v>540</v>
      </c>
      <c r="Y55" s="282">
        <f>IF(参数输入表!$I$358="含建设期利息",'表2-折旧摊销表'!Y43,'表2-折旧摊销表'!Y262)</f>
        <v>315</v>
      </c>
      <c r="Z55" s="282">
        <f>IF(参数输入表!$I$358="含建设期利息",'表2-折旧摊销表'!Z43,'表2-折旧摊销表'!Z262)</f>
        <v>0</v>
      </c>
      <c r="AA55" s="282">
        <f>IF(参数输入表!$I$358="含建设期利息",'表2-折旧摊销表'!AA43,'表2-折旧摊销表'!AA262)</f>
        <v>0</v>
      </c>
      <c r="AB55" s="282">
        <f>IF(参数输入表!$I$358="含建设期利息",'表2-折旧摊销表'!AB43,'表2-折旧摊销表'!AB262)</f>
        <v>0</v>
      </c>
      <c r="AC55" s="282">
        <f>IF(参数输入表!$I$358="含建设期利息",'表2-折旧摊销表'!AC43,'表2-折旧摊销表'!AC262)</f>
        <v>0</v>
      </c>
      <c r="AD55" s="282">
        <f>IF(参数输入表!$I$358="含建设期利息",'表2-折旧摊销表'!AD43,'表2-折旧摊销表'!AD262)</f>
        <v>0</v>
      </c>
      <c r="AE55" s="282">
        <f>IF(参数输入表!$I$358="含建设期利息",'表2-折旧摊销表'!AE43,'表2-折旧摊销表'!AE262)</f>
        <v>0</v>
      </c>
      <c r="AF55" s="282">
        <f>IF(参数输入表!$I$358="含建设期利息",'表2-折旧摊销表'!AF43,'表2-折旧摊销表'!AF262)</f>
        <v>0</v>
      </c>
      <c r="AG55" s="282">
        <f>IF(参数输入表!$I$358="含建设期利息",'表2-折旧摊销表'!AG43,'表2-折旧摊销表'!AG262)</f>
        <v>0</v>
      </c>
      <c r="AH55" s="282">
        <f>IF(参数输入表!$I$358="含建设期利息",'表2-折旧摊销表'!AH43,'表2-折旧摊销表'!AH262)</f>
        <v>0</v>
      </c>
      <c r="AI55" s="282">
        <f>IF(参数输入表!$I$358="含建设期利息",'表2-折旧摊销表'!AI43,'表2-折旧摊销表'!AI262)</f>
        <v>0</v>
      </c>
      <c r="AJ55" s="282">
        <f>IF(参数输入表!$I$358="含建设期利息",'表2-折旧摊销表'!AJ43,'表2-折旧摊销表'!AJ262)</f>
        <v>0</v>
      </c>
      <c r="AK55" s="282">
        <f>IF(参数输入表!$I$358="含建设期利息",'表2-折旧摊销表'!AK43,'表2-折旧摊销表'!AK262)</f>
        <v>0</v>
      </c>
      <c r="AL55" s="282">
        <f>IF(参数输入表!$I$358="含建设期利息",'表2-折旧摊销表'!AL43,'表2-折旧摊销表'!AL262)</f>
        <v>0</v>
      </c>
      <c r="AM55" s="282">
        <f>IF(参数输入表!$I$358="含建设期利息",'表2-折旧摊销表'!AM43,'表2-折旧摊销表'!AM262)</f>
        <v>0</v>
      </c>
      <c r="AN55" s="282">
        <f>IF(参数输入表!$I$358="含建设期利息",'表2-折旧摊销表'!AN43,'表2-折旧摊销表'!AN262)</f>
        <v>0</v>
      </c>
      <c r="AO55" s="282">
        <f>IF(参数输入表!$I$358="含建设期利息",'表2-折旧摊销表'!AO43,'表2-折旧摊销表'!AO262)</f>
        <v>0</v>
      </c>
      <c r="AP55" s="282">
        <f>IF(参数输入表!$I$358="含建设期利息",'表2-折旧摊销表'!AP43,'表2-折旧摊销表'!AP262)</f>
        <v>0</v>
      </c>
      <c r="AQ55" s="282">
        <f>IF(参数输入表!$I$358="含建设期利息",'表2-折旧摊销表'!AQ43,'表2-折旧摊销表'!AQ262)</f>
        <v>0</v>
      </c>
      <c r="AR55" s="282">
        <f>IF(参数输入表!$I$358="含建设期利息",'表2-折旧摊销表'!AR43,'表2-折旧摊销表'!AR262)</f>
        <v>0</v>
      </c>
      <c r="AS55" s="282">
        <f>IF(参数输入表!$I$358="含建设期利息",'表2-折旧摊销表'!AS43,'表2-折旧摊销表'!AS262)</f>
        <v>0</v>
      </c>
      <c r="AT55" s="282">
        <f>IF(参数输入表!$I$358="含建设期利息",'表2-折旧摊销表'!AT43,'表2-折旧摊销表'!AT262)</f>
        <v>0</v>
      </c>
      <c r="AU55" s="282">
        <f>IF(参数输入表!$I$358="含建设期利息",'表2-折旧摊销表'!AU43,'表2-折旧摊销表'!AU262)</f>
        <v>0</v>
      </c>
      <c r="AV55" s="282">
        <f>IF(参数输入表!$I$358="含建设期利息",'表2-折旧摊销表'!AV43,'表2-折旧摊销表'!AV262)</f>
        <v>0</v>
      </c>
      <c r="AW55" s="282">
        <f>IF(参数输入表!$I$358="含建设期利息",'表2-折旧摊销表'!AW43,'表2-折旧摊销表'!AW262)</f>
        <v>0</v>
      </c>
      <c r="AX55" s="282">
        <f>IF(参数输入表!$I$358="含建设期利息",'表2-折旧摊销表'!AX43,'表2-折旧摊销表'!AX262)</f>
        <v>0</v>
      </c>
      <c r="AY55" s="282">
        <f>IF(参数输入表!$I$358="含建设期利息",'表2-折旧摊销表'!AY43,'表2-折旧摊销表'!AY262)</f>
        <v>0</v>
      </c>
      <c r="AZ55" s="282">
        <f>IF(参数输入表!$I$358="含建设期利息",'表2-折旧摊销表'!AZ43,'表2-折旧摊销表'!AZ262)</f>
        <v>0</v>
      </c>
      <c r="BA55" s="283">
        <f>IF(参数输入表!$I$358="含建设期利息",'表2-折旧摊销表'!BA43,'表2-折旧摊销表'!BA262)</f>
        <v>0</v>
      </c>
    </row>
    <row r="56" ht="21" customHeight="1" spans="2:53">
      <c r="B56" s="267"/>
      <c r="C56" s="271" t="s">
        <v>767</v>
      </c>
      <c r="D56" s="261">
        <f t="shared" si="20"/>
        <v>11400</v>
      </c>
      <c r="E56" s="269" t="s">
        <v>130</v>
      </c>
      <c r="F56" s="282">
        <f>IF(参数输入表!$I$358="含建设期利息",'表2-折旧摊销表'!F54,'表2-折旧摊销表'!F273)</f>
        <v>0</v>
      </c>
      <c r="G56" s="282">
        <f>IF(参数输入表!$I$358="含建设期利息",'表2-折旧摊销表'!G54,'表2-折旧摊销表'!G273)</f>
        <v>0</v>
      </c>
      <c r="H56" s="282">
        <f>IF(参数输入表!$I$358="含建设期利息",'表2-折旧摊销表'!H54,'表2-折旧摊销表'!H273)</f>
        <v>0</v>
      </c>
      <c r="I56" s="282">
        <f>IF(参数输入表!$I$358="含建设期利息",'表2-折旧摊销表'!I54,'表2-折旧摊销表'!I273)</f>
        <v>0</v>
      </c>
      <c r="J56" s="282">
        <f>IF(参数输入表!$I$358="含建设期利息",'表2-折旧摊销表'!J54,'表2-折旧摊销表'!J273)</f>
        <v>0</v>
      </c>
      <c r="K56" s="282">
        <f>IF(参数输入表!$I$358="含建设期利息",'表2-折旧摊销表'!K54,'表2-折旧摊销表'!K273)</f>
        <v>0</v>
      </c>
      <c r="L56" s="282">
        <f>IF(参数输入表!$I$358="含建设期利息",'表2-折旧摊销表'!L54,'表2-折旧摊销表'!L273)</f>
        <v>0</v>
      </c>
      <c r="M56" s="282">
        <f>IF(参数输入表!$I$358="含建设期利息",'表2-折旧摊销表'!M54,'表2-折旧摊销表'!M273)</f>
        <v>0</v>
      </c>
      <c r="N56" s="282">
        <f>IF(参数输入表!$I$358="含建设期利息",'表2-折旧摊销表'!N54,'表2-折旧摊销表'!N273)</f>
        <v>807.5</v>
      </c>
      <c r="O56" s="282">
        <f>IF(参数输入表!$I$358="含建设期利息",'表2-折旧摊销表'!O54,'表2-折旧摊销表'!O273)</f>
        <v>570</v>
      </c>
      <c r="P56" s="282">
        <f>IF(参数输入表!$I$358="含建设期利息",'表2-折旧摊销表'!P54,'表2-折旧摊销表'!P273)</f>
        <v>570</v>
      </c>
      <c r="Q56" s="282">
        <f>IF(参数输入表!$I$358="含建设期利息",'表2-折旧摊销表'!Q54,'表2-折旧摊销表'!Q273)</f>
        <v>570</v>
      </c>
      <c r="R56" s="282">
        <f>IF(参数输入表!$I$358="含建设期利息",'表2-折旧摊销表'!R54,'表2-折旧摊销表'!R273)</f>
        <v>570</v>
      </c>
      <c r="S56" s="282">
        <f>IF(参数输入表!$I$358="含建设期利息",'表2-折旧摊销表'!S54,'表2-折旧摊销表'!S273)</f>
        <v>570</v>
      </c>
      <c r="T56" s="282">
        <f>IF(参数输入表!$I$358="含建设期利息",'表2-折旧摊销表'!T54,'表2-折旧摊销表'!T273)</f>
        <v>570</v>
      </c>
      <c r="U56" s="282">
        <f>IF(参数输入表!$I$358="含建设期利息",'表2-折旧摊销表'!U54,'表2-折旧摊销表'!U273)</f>
        <v>570</v>
      </c>
      <c r="V56" s="282">
        <f>IF(参数输入表!$I$358="含建设期利息",'表2-折旧摊销表'!V54,'表2-折旧摊销表'!V273)</f>
        <v>570</v>
      </c>
      <c r="W56" s="282">
        <f>IF(参数输入表!$I$358="含建设期利息",'表2-折旧摊销表'!W54,'表2-折旧摊销表'!W273)</f>
        <v>570</v>
      </c>
      <c r="X56" s="282">
        <f>IF(参数输入表!$I$358="含建设期利息",'表2-折旧摊销表'!X54,'表2-折旧摊销表'!X273)</f>
        <v>570</v>
      </c>
      <c r="Y56" s="282">
        <f>IF(参数输入表!$I$358="含建设期利息",'表2-折旧摊销表'!Y54,'表2-折旧摊销表'!Y273)</f>
        <v>570</v>
      </c>
      <c r="Z56" s="282">
        <f>IF(参数输入表!$I$358="含建设期利息",'表2-折旧摊销表'!Z54,'表2-折旧摊销表'!Z273)</f>
        <v>570</v>
      </c>
      <c r="AA56" s="282">
        <f>IF(参数输入表!$I$358="含建设期利息",'表2-折旧摊销表'!AA54,'表2-折旧摊销表'!AA273)</f>
        <v>570</v>
      </c>
      <c r="AB56" s="282">
        <f>IF(参数输入表!$I$358="含建设期利息",'表2-折旧摊销表'!AB54,'表2-折旧摊销表'!AB273)</f>
        <v>570</v>
      </c>
      <c r="AC56" s="282">
        <f>IF(参数输入表!$I$358="含建设期利息",'表2-折旧摊销表'!AC54,'表2-折旧摊销表'!AC273)</f>
        <v>570</v>
      </c>
      <c r="AD56" s="282">
        <f>IF(参数输入表!$I$358="含建设期利息",'表2-折旧摊销表'!AD54,'表2-折旧摊销表'!AD273)</f>
        <v>570</v>
      </c>
      <c r="AE56" s="282">
        <f>IF(参数输入表!$I$358="含建设期利息",'表2-折旧摊销表'!AE54,'表2-折旧摊销表'!AE273)</f>
        <v>570</v>
      </c>
      <c r="AF56" s="282">
        <f>IF(参数输入表!$I$358="含建设期利息",'表2-折旧摊销表'!AF54,'表2-折旧摊销表'!AF273)</f>
        <v>570</v>
      </c>
      <c r="AG56" s="282">
        <f>IF(参数输入表!$I$358="含建设期利息",'表2-折旧摊销表'!AG54,'表2-折旧摊销表'!AG273)</f>
        <v>332.5</v>
      </c>
      <c r="AH56" s="282">
        <f>IF(参数输入表!$I$358="含建设期利息",'表2-折旧摊销表'!AH54,'表2-折旧摊销表'!AH273)</f>
        <v>0</v>
      </c>
      <c r="AI56" s="282">
        <f>IF(参数输入表!$I$358="含建设期利息",'表2-折旧摊销表'!AI54,'表2-折旧摊销表'!AI273)</f>
        <v>0</v>
      </c>
      <c r="AJ56" s="282">
        <f>IF(参数输入表!$I$358="含建设期利息",'表2-折旧摊销表'!AJ54,'表2-折旧摊销表'!AJ273)</f>
        <v>0</v>
      </c>
      <c r="AK56" s="282">
        <f>IF(参数输入表!$I$358="含建设期利息",'表2-折旧摊销表'!AK54,'表2-折旧摊销表'!AK273)</f>
        <v>0</v>
      </c>
      <c r="AL56" s="282">
        <f>IF(参数输入表!$I$358="含建设期利息",'表2-折旧摊销表'!AL54,'表2-折旧摊销表'!AL273)</f>
        <v>0</v>
      </c>
      <c r="AM56" s="282">
        <f>IF(参数输入表!$I$358="含建设期利息",'表2-折旧摊销表'!AM54,'表2-折旧摊销表'!AM273)</f>
        <v>0</v>
      </c>
      <c r="AN56" s="282">
        <f>IF(参数输入表!$I$358="含建设期利息",'表2-折旧摊销表'!AN54,'表2-折旧摊销表'!AN273)</f>
        <v>0</v>
      </c>
      <c r="AO56" s="282">
        <f>IF(参数输入表!$I$358="含建设期利息",'表2-折旧摊销表'!AO54,'表2-折旧摊销表'!AO273)</f>
        <v>0</v>
      </c>
      <c r="AP56" s="282">
        <f>IF(参数输入表!$I$358="含建设期利息",'表2-折旧摊销表'!AP54,'表2-折旧摊销表'!AP273)</f>
        <v>0</v>
      </c>
      <c r="AQ56" s="282">
        <f>IF(参数输入表!$I$358="含建设期利息",'表2-折旧摊销表'!AQ54,'表2-折旧摊销表'!AQ273)</f>
        <v>0</v>
      </c>
      <c r="AR56" s="282">
        <f>IF(参数输入表!$I$358="含建设期利息",'表2-折旧摊销表'!AR54,'表2-折旧摊销表'!AR273)</f>
        <v>0</v>
      </c>
      <c r="AS56" s="282">
        <f>IF(参数输入表!$I$358="含建设期利息",'表2-折旧摊销表'!AS54,'表2-折旧摊销表'!AS273)</f>
        <v>0</v>
      </c>
      <c r="AT56" s="282">
        <f>IF(参数输入表!$I$358="含建设期利息",'表2-折旧摊销表'!AT54,'表2-折旧摊销表'!AT273)</f>
        <v>0</v>
      </c>
      <c r="AU56" s="282">
        <f>IF(参数输入表!$I$358="含建设期利息",'表2-折旧摊销表'!AU54,'表2-折旧摊销表'!AU273)</f>
        <v>0</v>
      </c>
      <c r="AV56" s="282">
        <f>IF(参数输入表!$I$358="含建设期利息",'表2-折旧摊销表'!AV54,'表2-折旧摊销表'!AV273)</f>
        <v>0</v>
      </c>
      <c r="AW56" s="282">
        <f>IF(参数输入表!$I$358="含建设期利息",'表2-折旧摊销表'!AW54,'表2-折旧摊销表'!AW273)</f>
        <v>0</v>
      </c>
      <c r="AX56" s="282">
        <f>IF(参数输入表!$I$358="含建设期利息",'表2-折旧摊销表'!AX54,'表2-折旧摊销表'!AX273)</f>
        <v>0</v>
      </c>
      <c r="AY56" s="282">
        <f>IF(参数输入表!$I$358="含建设期利息",'表2-折旧摊销表'!AY54,'表2-折旧摊销表'!AY273)</f>
        <v>0</v>
      </c>
      <c r="AZ56" s="282">
        <f>IF(参数输入表!$I$358="含建设期利息",'表2-折旧摊销表'!AZ54,'表2-折旧摊销表'!AZ273)</f>
        <v>0</v>
      </c>
      <c r="BA56" s="283">
        <f>IF(参数输入表!$I$358="含建设期利息",'表2-折旧摊销表'!BA54,'表2-折旧摊销表'!BA273)</f>
        <v>0</v>
      </c>
    </row>
    <row r="57" ht="21" customHeight="1" spans="2:53">
      <c r="B57" s="267"/>
      <c r="C57" s="268" t="s">
        <v>320</v>
      </c>
      <c r="D57" s="261">
        <f ca="1" t="shared" si="20"/>
        <v>76000</v>
      </c>
      <c r="E57" s="269" t="s">
        <v>130</v>
      </c>
      <c r="F57" s="282">
        <f ca="1">IF(参数输入表!$I$358="含建设期利息",'表2-折旧摊销表'!F117,'表2-折旧摊销表'!F288)</f>
        <v>0</v>
      </c>
      <c r="G57" s="282">
        <f ca="1">IF(参数输入表!$I$358="含建设期利息",'表2-折旧摊销表'!G117,'表2-折旧摊销表'!G288)</f>
        <v>0</v>
      </c>
      <c r="H57" s="282">
        <f ca="1">IF(参数输入表!$I$358="含建设期利息",'表2-折旧摊销表'!H117,'表2-折旧摊销表'!H288)</f>
        <v>0</v>
      </c>
      <c r="I57" s="282">
        <f ca="1">IF(参数输入表!$I$358="含建设期利息",'表2-折旧摊销表'!I117,'表2-折旧摊销表'!I288)</f>
        <v>0</v>
      </c>
      <c r="J57" s="282">
        <f ca="1">IF(参数输入表!$I$358="含建设期利息",'表2-折旧摊销表'!J117,'表2-折旧摊销表'!J288)</f>
        <v>0</v>
      </c>
      <c r="K57" s="282">
        <f ca="1">IF(参数输入表!$I$358="含建设期利息",'表2-折旧摊销表'!K117,'表2-折旧摊销表'!K288)</f>
        <v>0</v>
      </c>
      <c r="L57" s="282">
        <f ca="1">IF(参数输入表!$I$358="含建设期利息",'表2-折旧摊销表'!L117,'表2-折旧摊销表'!L288)</f>
        <v>0</v>
      </c>
      <c r="M57" s="282">
        <f ca="1">IF(参数输入表!$I$358="含建设期利息",'表2-折旧摊销表'!M117,'表2-折旧摊销表'!M288)</f>
        <v>1759.25925925926</v>
      </c>
      <c r="N57" s="282">
        <f ca="1">IF(参数输入表!$I$358="含建设期利息",'表2-折旧摊销表'!N117,'表2-折旧摊销表'!N288)</f>
        <v>4222.22222222222</v>
      </c>
      <c r="O57" s="282">
        <f ca="1">IF(参数输入表!$I$358="含建设期利息",'表2-折旧摊销表'!O117,'表2-折旧摊销表'!O288)</f>
        <v>4222.22222222222</v>
      </c>
      <c r="P57" s="282">
        <f ca="1">IF(参数输入表!$I$358="含建设期利息",'表2-折旧摊销表'!P117,'表2-折旧摊销表'!P288)</f>
        <v>4222.22222222222</v>
      </c>
      <c r="Q57" s="282">
        <f ca="1">IF(参数输入表!$I$358="含建设期利息",'表2-折旧摊销表'!Q117,'表2-折旧摊销表'!Q288)</f>
        <v>4222.22222222222</v>
      </c>
      <c r="R57" s="282">
        <f ca="1">IF(参数输入表!$I$358="含建设期利息",'表2-折旧摊销表'!R117,'表2-折旧摊销表'!R288)</f>
        <v>4222.22222222222</v>
      </c>
      <c r="S57" s="282">
        <f ca="1">IF(参数输入表!$I$358="含建设期利息",'表2-折旧摊销表'!S117,'表2-折旧摊销表'!S288)</f>
        <v>4222.22222222222</v>
      </c>
      <c r="T57" s="282">
        <f ca="1">IF(参数输入表!$I$358="含建设期利息",'表2-折旧摊销表'!T117,'表2-折旧摊销表'!T288)</f>
        <v>4222.22222222222</v>
      </c>
      <c r="U57" s="282">
        <f ca="1">IF(参数输入表!$I$358="含建设期利息",'表2-折旧摊销表'!U117,'表2-折旧摊销表'!U288)</f>
        <v>4222.22222222222</v>
      </c>
      <c r="V57" s="282">
        <f ca="1">IF(参数输入表!$I$358="含建设期利息",'表2-折旧摊销表'!V117,'表2-折旧摊销表'!V288)</f>
        <v>4222.22222222222</v>
      </c>
      <c r="W57" s="282">
        <f ca="1">IF(参数输入表!$I$358="含建设期利息",'表2-折旧摊销表'!W117,'表2-折旧摊销表'!W288)</f>
        <v>4222.22222222222</v>
      </c>
      <c r="X57" s="282">
        <f ca="1">IF(参数输入表!$I$358="含建设期利息",'表2-折旧摊销表'!X117,'表2-折旧摊销表'!X288)</f>
        <v>4222.22222222222</v>
      </c>
      <c r="Y57" s="282">
        <f ca="1">IF(参数输入表!$I$358="含建设期利息",'表2-折旧摊销表'!Y117,'表2-折旧摊销表'!Y288)</f>
        <v>4222.22222222222</v>
      </c>
      <c r="Z57" s="282">
        <f ca="1">IF(参数输入表!$I$358="含建设期利息",'表2-折旧摊销表'!Z117,'表2-折旧摊销表'!Z288)</f>
        <v>4222.22222222222</v>
      </c>
      <c r="AA57" s="282">
        <f ca="1">IF(参数输入表!$I$358="含建设期利息",'表2-折旧摊销表'!AA117,'表2-折旧摊销表'!AA288)</f>
        <v>4222.22222222222</v>
      </c>
      <c r="AB57" s="282">
        <f ca="1">IF(参数输入表!$I$358="含建设期利息",'表2-折旧摊销表'!AB117,'表2-折旧摊销表'!AB288)</f>
        <v>4222.22222222222</v>
      </c>
      <c r="AC57" s="282">
        <f ca="1">IF(参数输入表!$I$358="含建设期利息",'表2-折旧摊销表'!AC117,'表2-折旧摊销表'!AC288)</f>
        <v>4222.22222222222</v>
      </c>
      <c r="AD57" s="282">
        <f ca="1">IF(参数输入表!$I$358="含建设期利息",'表2-折旧摊销表'!AD117,'表2-折旧摊销表'!AD288)</f>
        <v>4222.22222222222</v>
      </c>
      <c r="AE57" s="282">
        <f ca="1">IF(参数输入表!$I$358="含建设期利息",'表2-折旧摊销表'!AE117,'表2-折旧摊销表'!AE288)</f>
        <v>2462.96296296296</v>
      </c>
      <c r="AF57" s="282">
        <f ca="1">IF(参数输入表!$I$358="含建设期利息",'表2-折旧摊销表'!AF117,'表2-折旧摊销表'!AF288)</f>
        <v>0</v>
      </c>
      <c r="AG57" s="282">
        <f ca="1">IF(参数输入表!$I$358="含建设期利息",'表2-折旧摊销表'!AG117,'表2-折旧摊销表'!AG288)</f>
        <v>0</v>
      </c>
      <c r="AH57" s="282">
        <f ca="1">IF(参数输入表!$I$358="含建设期利息",'表2-折旧摊销表'!AH117,'表2-折旧摊销表'!AH288)</f>
        <v>0</v>
      </c>
      <c r="AI57" s="282">
        <f ca="1">IF(参数输入表!$I$358="含建设期利息",'表2-折旧摊销表'!AI117,'表2-折旧摊销表'!AI288)</f>
        <v>0</v>
      </c>
      <c r="AJ57" s="282">
        <f ca="1">IF(参数输入表!$I$358="含建设期利息",'表2-折旧摊销表'!AJ117,'表2-折旧摊销表'!AJ288)</f>
        <v>0</v>
      </c>
      <c r="AK57" s="282">
        <f ca="1">IF(参数输入表!$I$358="含建设期利息",'表2-折旧摊销表'!AK117,'表2-折旧摊销表'!AK288)</f>
        <v>0</v>
      </c>
      <c r="AL57" s="282">
        <f ca="1">IF(参数输入表!$I$358="含建设期利息",'表2-折旧摊销表'!AL117,'表2-折旧摊销表'!AL288)</f>
        <v>0</v>
      </c>
      <c r="AM57" s="282">
        <f ca="1">IF(参数输入表!$I$358="含建设期利息",'表2-折旧摊销表'!AM117,'表2-折旧摊销表'!AM288)</f>
        <v>0</v>
      </c>
      <c r="AN57" s="282">
        <f ca="1">IF(参数输入表!$I$358="含建设期利息",'表2-折旧摊销表'!AN117,'表2-折旧摊销表'!AN288)</f>
        <v>0</v>
      </c>
      <c r="AO57" s="282">
        <f ca="1">IF(参数输入表!$I$358="含建设期利息",'表2-折旧摊销表'!AO117,'表2-折旧摊销表'!AO288)</f>
        <v>0</v>
      </c>
      <c r="AP57" s="282">
        <f ca="1">IF(参数输入表!$I$358="含建设期利息",'表2-折旧摊销表'!AP117,'表2-折旧摊销表'!AP288)</f>
        <v>0</v>
      </c>
      <c r="AQ57" s="282">
        <f ca="1">IF(参数输入表!$I$358="含建设期利息",'表2-折旧摊销表'!AQ117,'表2-折旧摊销表'!AQ288)</f>
        <v>0</v>
      </c>
      <c r="AR57" s="282">
        <f ca="1">IF(参数输入表!$I$358="含建设期利息",'表2-折旧摊销表'!AR117,'表2-折旧摊销表'!AR288)</f>
        <v>0</v>
      </c>
      <c r="AS57" s="282">
        <f ca="1">IF(参数输入表!$I$358="含建设期利息",'表2-折旧摊销表'!AS117,'表2-折旧摊销表'!AS288)</f>
        <v>0</v>
      </c>
      <c r="AT57" s="282">
        <f ca="1">IF(参数输入表!$I$358="含建设期利息",'表2-折旧摊销表'!AT117,'表2-折旧摊销表'!AT288)</f>
        <v>0</v>
      </c>
      <c r="AU57" s="282">
        <f ca="1">IF(参数输入表!$I$358="含建设期利息",'表2-折旧摊销表'!AU117,'表2-折旧摊销表'!AU288)</f>
        <v>0</v>
      </c>
      <c r="AV57" s="282">
        <f ca="1">IF(参数输入表!$I$358="含建设期利息",'表2-折旧摊销表'!AV117,'表2-折旧摊销表'!AV288)</f>
        <v>0</v>
      </c>
      <c r="AW57" s="282">
        <f ca="1">IF(参数输入表!$I$358="含建设期利息",'表2-折旧摊销表'!AW117,'表2-折旧摊销表'!AW288)</f>
        <v>0</v>
      </c>
      <c r="AX57" s="282">
        <f ca="1">IF(参数输入表!$I$358="含建设期利息",'表2-折旧摊销表'!AX117,'表2-折旧摊销表'!AX288)</f>
        <v>0</v>
      </c>
      <c r="AY57" s="282">
        <f ca="1">IF(参数输入表!$I$358="含建设期利息",'表2-折旧摊销表'!AY117,'表2-折旧摊销表'!AY288)</f>
        <v>0</v>
      </c>
      <c r="AZ57" s="282">
        <f ca="1">IF(参数输入表!$I$358="含建设期利息",'表2-折旧摊销表'!AZ117,'表2-折旧摊销表'!AZ288)</f>
        <v>0</v>
      </c>
      <c r="BA57" s="283">
        <f ca="1">IF(参数输入表!$I$358="含建设期利息",'表2-折旧摊销表'!BA117,'表2-折旧摊销表'!BA288)</f>
        <v>0</v>
      </c>
    </row>
    <row r="58" ht="21" customHeight="1" spans="2:53">
      <c r="B58" s="267"/>
      <c r="C58" s="268" t="s">
        <v>768</v>
      </c>
      <c r="D58" s="261">
        <f t="shared" si="20"/>
        <v>55045.871559633</v>
      </c>
      <c r="E58" s="269" t="s">
        <v>130</v>
      </c>
      <c r="F58" s="282">
        <f>IF(参数输入表!$I$358="含建设期利息",'表2-折旧摊销表'!F126,'表2-折旧摊销表'!F297)</f>
        <v>0</v>
      </c>
      <c r="G58" s="282">
        <f>IF(参数输入表!$I$358="含建设期利息",'表2-折旧摊销表'!G126,'表2-折旧摊销表'!G297)</f>
        <v>0</v>
      </c>
      <c r="H58" s="282">
        <f>IF(参数输入表!$I$358="含建设期利息",'表2-折旧摊销表'!H126,'表2-折旧摊销表'!H297)</f>
        <v>0</v>
      </c>
      <c r="I58" s="282">
        <f>IF(参数输入表!$I$358="含建设期利息",'表2-折旧摊销表'!I126,'表2-折旧摊销表'!I297)</f>
        <v>0</v>
      </c>
      <c r="J58" s="282">
        <f>IF(参数输入表!$I$358="含建设期利息",'表2-折旧摊销表'!J126,'表2-折旧摊销表'!J297)</f>
        <v>0</v>
      </c>
      <c r="K58" s="282">
        <f>IF(参数输入表!$I$358="含建设期利息",'表2-折旧摊销表'!K126,'表2-折旧摊销表'!K297)</f>
        <v>0</v>
      </c>
      <c r="L58" s="282">
        <f>IF(参数输入表!$I$358="含建设期利息",'表2-折旧摊销表'!L126,'表2-折旧摊销表'!L297)</f>
        <v>0</v>
      </c>
      <c r="M58" s="282">
        <f>IF(参数输入表!$I$358="含建设期利息",'表2-折旧摊销表'!M126,'表2-折旧摊销表'!M297)</f>
        <v>0</v>
      </c>
      <c r="N58" s="282">
        <f>IF(参数输入表!$I$358="含建设期利息",'表2-折旧摊销表'!N126,'表2-折旧摊销表'!N297)</f>
        <v>0</v>
      </c>
      <c r="O58" s="282">
        <f>IF(参数输入表!$I$358="含建设期利息",'表2-折旧摊销表'!O126,'表2-折旧摊销表'!O297)</f>
        <v>0</v>
      </c>
      <c r="P58" s="282">
        <f>IF(参数输入表!$I$358="含建设期利息",'表2-折旧摊销表'!P126,'表2-折旧摊销表'!P297)</f>
        <v>0</v>
      </c>
      <c r="Q58" s="282">
        <f>IF(参数输入表!$I$358="含建设期利息",'表2-折旧摊销表'!Q126,'表2-折旧摊销表'!Q297)</f>
        <v>0</v>
      </c>
      <c r="R58" s="282">
        <f>IF(参数输入表!$I$358="含建设期利息",'表2-折旧摊销表'!R126,'表2-折旧摊销表'!R297)</f>
        <v>0</v>
      </c>
      <c r="S58" s="282">
        <f>IF(参数输入表!$I$358="含建设期利息",'表2-折旧摊销表'!S126,'表2-折旧摊销表'!S297)</f>
        <v>0</v>
      </c>
      <c r="T58" s="282">
        <f>IF(参数输入表!$I$358="含建设期利息",'表2-折旧摊销表'!T126,'表2-折旧摊销表'!T297)</f>
        <v>0</v>
      </c>
      <c r="U58" s="282">
        <f>IF(参数输入表!$I$358="含建设期利息",'表2-折旧摊销表'!U126,'表2-折旧摊销表'!U297)</f>
        <v>0</v>
      </c>
      <c r="V58" s="282">
        <f>IF(参数输入表!$I$358="含建设期利息",'表2-折旧摊销表'!V126,'表2-折旧摊销表'!V297)</f>
        <v>0</v>
      </c>
      <c r="W58" s="282">
        <f>IF(参数输入表!$I$358="含建设期利息",'表2-折旧摊销表'!W126,'表2-折旧摊销表'!W297)</f>
        <v>0</v>
      </c>
      <c r="X58" s="282">
        <f>IF(参数输入表!$I$358="含建设期利息",'表2-折旧摊销表'!X126,'表2-折旧摊销表'!X297)</f>
        <v>0</v>
      </c>
      <c r="Y58" s="282">
        <f>IF(参数输入表!$I$358="含建设期利息",'表2-折旧摊销表'!Y126,'表2-折旧摊销表'!Y297)</f>
        <v>1834.8623853211</v>
      </c>
      <c r="Z58" s="282">
        <f>IF(参数输入表!$I$358="含建设期利息",'表2-折旧摊销表'!Z126,'表2-折旧摊销表'!Z297)</f>
        <v>1834.8623853211</v>
      </c>
      <c r="AA58" s="282">
        <f>IF(参数输入表!$I$358="含建设期利息",'表2-折旧摊销表'!AA126,'表2-折旧摊销表'!AA297)</f>
        <v>1834.8623853211</v>
      </c>
      <c r="AB58" s="282">
        <f>IF(参数输入表!$I$358="含建设期利息",'表2-折旧摊销表'!AB126,'表2-折旧摊销表'!AB297)</f>
        <v>1834.8623853211</v>
      </c>
      <c r="AC58" s="282">
        <f>IF(参数输入表!$I$358="含建设期利息",'表2-折旧摊销表'!AC126,'表2-折旧摊销表'!AC297)</f>
        <v>1834.8623853211</v>
      </c>
      <c r="AD58" s="282">
        <f>IF(参数输入表!$I$358="含建设期利息",'表2-折旧摊销表'!AD126,'表2-折旧摊销表'!AD297)</f>
        <v>1834.8623853211</v>
      </c>
      <c r="AE58" s="282">
        <f>IF(参数输入表!$I$358="含建设期利息",'表2-折旧摊销表'!AE126,'表2-折旧摊销表'!AE297)</f>
        <v>1834.8623853211</v>
      </c>
      <c r="AF58" s="282">
        <f>IF(参数输入表!$I$358="含建设期利息",'表2-折旧摊销表'!AF126,'表2-折旧摊销表'!AF297)</f>
        <v>1834.8623853211</v>
      </c>
      <c r="AG58" s="282">
        <f>IF(参数输入表!$I$358="含建设期利息",'表2-折旧摊销表'!AG126,'表2-折旧摊销表'!AG297)</f>
        <v>1834.8623853211</v>
      </c>
      <c r="AH58" s="282">
        <f>IF(参数输入表!$I$358="含建设期利息",'表2-折旧摊销表'!AH126,'表2-折旧摊销表'!AH297)</f>
        <v>1834.8623853211</v>
      </c>
      <c r="AI58" s="282">
        <f>IF(参数输入表!$I$358="含建设期利息",'表2-折旧摊销表'!AI126,'表2-折旧摊销表'!AI297)</f>
        <v>1834.8623853211</v>
      </c>
      <c r="AJ58" s="282">
        <f>IF(参数输入表!$I$358="含建设期利息",'表2-折旧摊销表'!AJ126,'表2-折旧摊销表'!AJ297)</f>
        <v>1834.8623853211</v>
      </c>
      <c r="AK58" s="282">
        <f>IF(参数输入表!$I$358="含建设期利息",'表2-折旧摊销表'!AK126,'表2-折旧摊销表'!AK297)</f>
        <v>1834.8623853211</v>
      </c>
      <c r="AL58" s="282">
        <f>IF(参数输入表!$I$358="含建设期利息",'表2-折旧摊销表'!AL126,'表2-折旧摊销表'!AL297)</f>
        <v>1834.8623853211</v>
      </c>
      <c r="AM58" s="282">
        <f>IF(参数输入表!$I$358="含建设期利息",'表2-折旧摊销表'!AM126,'表2-折旧摊销表'!AM297)</f>
        <v>1834.8623853211</v>
      </c>
      <c r="AN58" s="282">
        <f>IF(参数输入表!$I$358="含建设期利息",'表2-折旧摊销表'!AN126,'表2-折旧摊销表'!AN297)</f>
        <v>1834.8623853211</v>
      </c>
      <c r="AO58" s="282">
        <f>IF(参数输入表!$I$358="含建设期利息",'表2-折旧摊销表'!AO126,'表2-折旧摊销表'!AO297)</f>
        <v>1834.8623853211</v>
      </c>
      <c r="AP58" s="282">
        <f>IF(参数输入表!$I$358="含建设期利息",'表2-折旧摊销表'!AP126,'表2-折旧摊销表'!AP297)</f>
        <v>1834.8623853211</v>
      </c>
      <c r="AQ58" s="282">
        <f>IF(参数输入表!$I$358="含建设期利息",'表2-折旧摊销表'!AQ126,'表2-折旧摊销表'!AQ297)</f>
        <v>1834.8623853211</v>
      </c>
      <c r="AR58" s="282">
        <f>IF(参数输入表!$I$358="含建设期利息",'表2-折旧摊销表'!AR126,'表2-折旧摊销表'!AR297)</f>
        <v>1834.8623853211</v>
      </c>
      <c r="AS58" s="282">
        <f>IF(参数输入表!$I$358="含建设期利息",'表2-折旧摊销表'!AS126,'表2-折旧摊销表'!AS297)</f>
        <v>2038.73598369011</v>
      </c>
      <c r="AT58" s="282">
        <f>IF(参数输入表!$I$358="含建设期利息",'表2-折旧摊销表'!AT126,'表2-折旧摊销表'!AT297)</f>
        <v>2038.73598369011</v>
      </c>
      <c r="AU58" s="282">
        <f>IF(参数输入表!$I$358="含建设期利息",'表2-折旧摊销表'!AU126,'表2-折旧摊销表'!AU297)</f>
        <v>2038.73598369011</v>
      </c>
      <c r="AV58" s="282">
        <f>IF(参数输入表!$I$358="含建设期利息",'表2-折旧摊销表'!AV126,'表2-折旧摊销表'!AV297)</f>
        <v>2038.73598369011</v>
      </c>
      <c r="AW58" s="282">
        <f>IF(参数输入表!$I$358="含建设期利息",'表2-折旧摊销表'!AW126,'表2-折旧摊销表'!AW297)</f>
        <v>2038.73598369011</v>
      </c>
      <c r="AX58" s="282">
        <f>IF(参数输入表!$I$358="含建设期利息",'表2-折旧摊销表'!AX126,'表2-折旧摊销表'!AX297)</f>
        <v>2038.73598369011</v>
      </c>
      <c r="AY58" s="282">
        <f>IF(参数输入表!$I$358="含建设期利息",'表2-折旧摊销表'!AY126,'表2-折旧摊销表'!AY297)</f>
        <v>2038.73598369011</v>
      </c>
      <c r="AZ58" s="282">
        <f>IF(参数输入表!$I$358="含建设期利息",'表2-折旧摊销表'!AZ126,'表2-折旧摊销表'!AZ297)</f>
        <v>2038.73598369011</v>
      </c>
      <c r="BA58" s="283">
        <f>IF(参数输入表!$I$358="含建设期利息",'表2-折旧摊销表'!BA126,'表2-折旧摊销表'!BA297)</f>
        <v>2038.73598369011</v>
      </c>
    </row>
    <row r="59" ht="21" customHeight="1" spans="2:53">
      <c r="B59" s="267"/>
      <c r="C59" s="268" t="s">
        <v>783</v>
      </c>
      <c r="D59" s="261">
        <f t="shared" si="20"/>
        <v>5309.73451327434</v>
      </c>
      <c r="E59" s="269" t="s">
        <v>130</v>
      </c>
      <c r="F59" s="282">
        <f>IF(参数输入表!$I$358="含建设期利息",'表2-折旧摊销表'!F179,'表2-折旧摊销表'!F301)</f>
        <v>0</v>
      </c>
      <c r="G59" s="282">
        <f>IF(参数输入表!$I$358="含建设期利息",'表2-折旧摊销表'!G179,'表2-折旧摊销表'!G301)</f>
        <v>0</v>
      </c>
      <c r="H59" s="282">
        <f>IF(参数输入表!$I$358="含建设期利息",'表2-折旧摊销表'!H179,'表2-折旧摊销表'!H301)</f>
        <v>0</v>
      </c>
      <c r="I59" s="282">
        <f>IF(参数输入表!$I$358="含建设期利息",'表2-折旧摊销表'!I179,'表2-折旧摊销表'!I301)</f>
        <v>0</v>
      </c>
      <c r="J59" s="282">
        <f>IF(参数输入表!$I$358="含建设期利息",'表2-折旧摊销表'!J179,'表2-折旧摊销表'!J301)</f>
        <v>0</v>
      </c>
      <c r="K59" s="282">
        <f>IF(参数输入表!$I$358="含建设期利息",'表2-折旧摊销表'!K179,'表2-折旧摊销表'!K301)</f>
        <v>0</v>
      </c>
      <c r="L59" s="282">
        <f>IF(参数输入表!$I$358="含建设期利息",'表2-折旧摊销表'!L179,'表2-折旧摊销表'!L301)</f>
        <v>0</v>
      </c>
      <c r="M59" s="282">
        <f>IF(参数输入表!$I$358="含建设期利息",'表2-折旧摊销表'!M179,'表2-折旧摊销表'!M301)</f>
        <v>0</v>
      </c>
      <c r="N59" s="282">
        <f>IF(参数输入表!$I$358="含建设期利息",'表2-折旧摊销表'!N179,'表2-折旧摊销表'!N301)</f>
        <v>0</v>
      </c>
      <c r="O59" s="282">
        <f>IF(参数输入表!$I$358="含建设期利息",'表2-折旧摊销表'!O179,'表2-折旧摊销表'!O301)</f>
        <v>0</v>
      </c>
      <c r="P59" s="282">
        <f>IF(参数输入表!$I$358="含建设期利息",'表2-折旧摊销表'!P179,'表2-折旧摊销表'!P301)</f>
        <v>0</v>
      </c>
      <c r="Q59" s="282">
        <f>IF(参数输入表!$I$358="含建设期利息",'表2-折旧摊销表'!Q179,'表2-折旧摊销表'!Q301)</f>
        <v>0</v>
      </c>
      <c r="R59" s="282">
        <f>IF(参数输入表!$I$358="含建设期利息",'表2-折旧摊销表'!R179,'表2-折旧摊销表'!R301)</f>
        <v>0</v>
      </c>
      <c r="S59" s="282">
        <f>IF(参数输入表!$I$358="含建设期利息",'表2-折旧摊销表'!S179,'表2-折旧摊销表'!S301)</f>
        <v>0</v>
      </c>
      <c r="T59" s="282">
        <f>IF(参数输入表!$I$358="含建设期利息",'表2-折旧摊销表'!T179,'表2-折旧摊销表'!T301)</f>
        <v>0</v>
      </c>
      <c r="U59" s="282">
        <f>IF(参数输入表!$I$358="含建设期利息",'表2-折旧摊销表'!U179,'表2-折旧摊销表'!U301)</f>
        <v>0</v>
      </c>
      <c r="V59" s="282">
        <f>IF(参数输入表!$I$358="含建设期利息",'表2-折旧摊销表'!V179,'表2-折旧摊销表'!V301)</f>
        <v>0</v>
      </c>
      <c r="W59" s="282">
        <f>IF(参数输入表!$I$358="含建设期利息",'表2-折旧摊销表'!W179,'表2-折旧摊销表'!W301)</f>
        <v>0</v>
      </c>
      <c r="X59" s="282">
        <f>IF(参数输入表!$I$358="含建设期利息",'表2-折旧摊销表'!X179,'表2-折旧摊销表'!X301)</f>
        <v>165.929203539823</v>
      </c>
      <c r="Y59" s="282">
        <f>IF(参数输入表!$I$358="含建设期利息",'表2-折旧摊销表'!Y179,'表2-折旧摊销表'!Y301)</f>
        <v>165.929203539823</v>
      </c>
      <c r="Z59" s="282">
        <f>IF(参数输入表!$I$358="含建设期利息",'表2-折旧摊销表'!Z179,'表2-折旧摊销表'!Z301)</f>
        <v>165.929203539823</v>
      </c>
      <c r="AA59" s="282">
        <f>IF(参数输入表!$I$358="含建设期利息",'表2-折旧摊销表'!AA179,'表2-折旧摊销表'!AA301)</f>
        <v>165.929203539823</v>
      </c>
      <c r="AB59" s="282">
        <f>IF(参数输入表!$I$358="含建设期利息",'表2-折旧摊销表'!AB179,'表2-折旧摊销表'!AB301)</f>
        <v>165.929203539823</v>
      </c>
      <c r="AC59" s="282">
        <f>IF(参数输入表!$I$358="含建设期利息",'表2-折旧摊销表'!AC179,'表2-折旧摊销表'!AC301)</f>
        <v>165.929203539823</v>
      </c>
      <c r="AD59" s="282">
        <f>IF(参数输入表!$I$358="含建设期利息",'表2-折旧摊销表'!AD179,'表2-折旧摊销表'!AD301)</f>
        <v>165.929203539823</v>
      </c>
      <c r="AE59" s="282">
        <f>IF(参数输入表!$I$358="含建设期利息",'表2-折旧摊销表'!AE179,'表2-折旧摊销表'!AE301)</f>
        <v>165.929203539823</v>
      </c>
      <c r="AF59" s="282">
        <f>IF(参数输入表!$I$358="含建设期利息",'表2-折旧摊销表'!AF179,'表2-折旧摊销表'!AF301)</f>
        <v>165.929203539823</v>
      </c>
      <c r="AG59" s="282">
        <f>IF(参数输入表!$I$358="含建设期利息",'表2-折旧摊销表'!AG179,'表2-折旧摊销表'!AG301)</f>
        <v>165.929203539823</v>
      </c>
      <c r="AH59" s="282">
        <f>IF(参数输入表!$I$358="含建设期利息",'表2-折旧摊销表'!AH179,'表2-折旧摊销表'!AH301)</f>
        <v>165.929203539823</v>
      </c>
      <c r="AI59" s="282">
        <f>IF(参数输入表!$I$358="含建设期利息",'表2-折旧摊销表'!AI179,'表2-折旧摊销表'!AI301)</f>
        <v>165.929203539823</v>
      </c>
      <c r="AJ59" s="282">
        <f>IF(参数输入表!$I$358="含建设期利息",'表2-折旧摊销表'!AJ179,'表2-折旧摊销表'!AJ301)</f>
        <v>165.929203539823</v>
      </c>
      <c r="AK59" s="282">
        <f>IF(参数输入表!$I$358="含建设期利息",'表2-折旧摊销表'!AK179,'表2-折旧摊销表'!AK301)</f>
        <v>165.929203539823</v>
      </c>
      <c r="AL59" s="282">
        <f>IF(参数输入表!$I$358="含建设期利息",'表2-折旧摊销表'!AL179,'表2-折旧摊销表'!AL301)</f>
        <v>165.929203539823</v>
      </c>
      <c r="AM59" s="282">
        <f>IF(参数输入表!$I$358="含建设期利息",'表2-折旧摊销表'!AM179,'表2-折旧摊销表'!AM301)</f>
        <v>165.929203539823</v>
      </c>
      <c r="AN59" s="282">
        <f>IF(参数输入表!$I$358="含建设期利息",'表2-折旧摊销表'!AN179,'表2-折旧摊销表'!AN301)</f>
        <v>165.929203539823</v>
      </c>
      <c r="AO59" s="282">
        <f>IF(参数输入表!$I$358="含建设期利息",'表2-折旧摊销表'!AO179,'表2-折旧摊销表'!AO301)</f>
        <v>165.929203539823</v>
      </c>
      <c r="AP59" s="282">
        <f>IF(参数输入表!$I$358="含建设期利息",'表2-折旧摊销表'!AP179,'表2-折旧摊销表'!AP301)</f>
        <v>165.929203539823</v>
      </c>
      <c r="AQ59" s="282">
        <f>IF(参数输入表!$I$358="含建设期利息",'表2-折旧摊销表'!AQ179,'表2-折旧摊销表'!AQ301)</f>
        <v>165.929203539823</v>
      </c>
      <c r="AR59" s="282">
        <f>IF(参数输入表!$I$358="含建设期利息",'表2-折旧摊销表'!AR179,'表2-折旧摊销表'!AR301)</f>
        <v>165.929203539823</v>
      </c>
      <c r="AS59" s="282">
        <f>IF(参数输入表!$I$358="含建设期利息",'表2-折旧摊销表'!AS179,'表2-折旧摊销表'!AS301)</f>
        <v>165.929203539823</v>
      </c>
      <c r="AT59" s="282">
        <f>IF(参数输入表!$I$358="含建设期利息",'表2-折旧摊销表'!AT179,'表2-折旧摊销表'!AT301)</f>
        <v>165.929203539823</v>
      </c>
      <c r="AU59" s="282">
        <f>IF(参数输入表!$I$358="含建设期利息",'表2-折旧摊销表'!AU179,'表2-折旧摊销表'!AU301)</f>
        <v>165.929203539823</v>
      </c>
      <c r="AV59" s="282">
        <f>IF(参数输入表!$I$358="含建设期利息",'表2-折旧摊销表'!AV179,'表2-折旧摊销表'!AV301)</f>
        <v>221.238938053097</v>
      </c>
      <c r="AW59" s="282">
        <f>IF(参数输入表!$I$358="含建设期利息",'表2-折旧摊销表'!AW179,'表2-折旧摊销表'!AW301)</f>
        <v>221.238938053097</v>
      </c>
      <c r="AX59" s="282">
        <f>IF(参数输入表!$I$358="含建设期利息",'表2-折旧摊销表'!AX179,'表2-折旧摊销表'!AX301)</f>
        <v>221.238938053097</v>
      </c>
      <c r="AY59" s="282">
        <f>IF(参数输入表!$I$358="含建设期利息",'表2-折旧摊销表'!AY179,'表2-折旧摊销表'!AY301)</f>
        <v>221.238938053097</v>
      </c>
      <c r="AZ59" s="282">
        <f>IF(参数输入表!$I$358="含建设期利息",'表2-折旧摊销表'!AZ179,'表2-折旧摊销表'!AZ301)</f>
        <v>221.238938053097</v>
      </c>
      <c r="BA59" s="283">
        <f>IF(参数输入表!$I$358="含建设期利息",'表2-折旧摊销表'!BA179,'表2-折旧摊销表'!BA301)</f>
        <v>221.238938053097</v>
      </c>
    </row>
    <row r="60" ht="21" customHeight="1" spans="2:53">
      <c r="B60" s="257" t="s">
        <v>770</v>
      </c>
      <c r="C60" s="54" t="s">
        <v>784</v>
      </c>
      <c r="D60" s="42">
        <f t="shared" ref="D60" si="22">SUM(F60:BA60)</f>
        <v>52830.1886792453</v>
      </c>
      <c r="E60" s="256" t="s">
        <v>130</v>
      </c>
      <c r="F60" s="42">
        <f>参数输入表!$I$615*参数输入表!$I$616/(1+参数输入表!$I$617)*F40</f>
        <v>0</v>
      </c>
      <c r="G60" s="42">
        <f>参数输入表!$I$615*参数输入表!$I$616/(1+参数输入表!$I$617)*G40</f>
        <v>0</v>
      </c>
      <c r="H60" s="42">
        <f>参数输入表!$I$615*参数输入表!$I$616/(1+参数输入表!$I$617)*H40</f>
        <v>0</v>
      </c>
      <c r="I60" s="42">
        <f>参数输入表!$I$615*参数输入表!$I$616/(1+参数输入表!$I$617)*I40</f>
        <v>0</v>
      </c>
      <c r="J60" s="42">
        <f>参数输入表!$I$615*参数输入表!$I$616/(1+参数输入表!$I$617)*J40</f>
        <v>0</v>
      </c>
      <c r="K60" s="42">
        <f>参数输入表!$I$615*参数输入表!$I$616/(1+参数输入表!$I$617)*K40</f>
        <v>0</v>
      </c>
      <c r="L60" s="42">
        <f>参数输入表!$I$615*参数输入表!$I$616/(1+参数输入表!$I$617)*L40</f>
        <v>0</v>
      </c>
      <c r="M60" s="42">
        <f>参数输入表!$I$615*参数输入表!$I$616/(1+参数输入表!$I$617)*M40</f>
        <v>550.314465408805</v>
      </c>
      <c r="N60" s="42">
        <f>参数输入表!$I$615*参数输入表!$I$616/(1+参数输入表!$I$617)*N40</f>
        <v>1320.75471698113</v>
      </c>
      <c r="O60" s="42">
        <f>参数输入表!$I$615*参数输入表!$I$616/(1+参数输入表!$I$617)*O40</f>
        <v>1320.75471698113</v>
      </c>
      <c r="P60" s="42">
        <f>参数输入表!$I$615*参数输入表!$I$616/(1+参数输入表!$I$617)*P40</f>
        <v>1320.75471698113</v>
      </c>
      <c r="Q60" s="42">
        <f>参数输入表!$I$615*参数输入表!$I$616/(1+参数输入表!$I$617)*Q40</f>
        <v>1320.75471698113</v>
      </c>
      <c r="R60" s="42">
        <f>参数输入表!$I$615*参数输入表!$I$616/(1+参数输入表!$I$617)*R40</f>
        <v>1320.75471698113</v>
      </c>
      <c r="S60" s="42">
        <f>参数输入表!$I$615*参数输入表!$I$616/(1+参数输入表!$I$617)*S40</f>
        <v>1320.75471698113</v>
      </c>
      <c r="T60" s="42">
        <f>参数输入表!$I$615*参数输入表!$I$616/(1+参数输入表!$I$617)*T40</f>
        <v>1320.75471698113</v>
      </c>
      <c r="U60" s="42">
        <f>参数输入表!$I$615*参数输入表!$I$616/(1+参数输入表!$I$617)*U40</f>
        <v>1320.75471698113</v>
      </c>
      <c r="V60" s="42">
        <f>参数输入表!$I$615*参数输入表!$I$616/(1+参数输入表!$I$617)*V40</f>
        <v>1320.75471698113</v>
      </c>
      <c r="W60" s="42">
        <f>参数输入表!$I$615*参数输入表!$I$616/(1+参数输入表!$I$617)*W40</f>
        <v>1320.75471698113</v>
      </c>
      <c r="X60" s="42">
        <f>参数输入表!$I$615*参数输入表!$I$616/(1+参数输入表!$I$617)*X40</f>
        <v>1320.75471698113</v>
      </c>
      <c r="Y60" s="42">
        <f>参数输入表!$I$615*参数输入表!$I$616/(1+参数输入表!$I$617)*Y40</f>
        <v>1320.75471698113</v>
      </c>
      <c r="Z60" s="42">
        <f>参数输入表!$I$615*参数输入表!$I$616/(1+参数输入表!$I$617)*Z40</f>
        <v>1320.75471698113</v>
      </c>
      <c r="AA60" s="42">
        <f>参数输入表!$I$615*参数输入表!$I$616/(1+参数输入表!$I$617)*AA40</f>
        <v>1320.75471698113</v>
      </c>
      <c r="AB60" s="42">
        <f>参数输入表!$I$615*参数输入表!$I$616/(1+参数输入表!$I$617)*AB40</f>
        <v>1320.75471698113</v>
      </c>
      <c r="AC60" s="42">
        <f>参数输入表!$I$615*参数输入表!$I$616/(1+参数输入表!$I$617)*AC40</f>
        <v>1320.75471698113</v>
      </c>
      <c r="AD60" s="42">
        <f>参数输入表!$I$615*参数输入表!$I$616/(1+参数输入表!$I$617)*AD40</f>
        <v>1320.75471698113</v>
      </c>
      <c r="AE60" s="42">
        <f>参数输入表!$I$615*参数输入表!$I$616/(1+参数输入表!$I$617)*AE40</f>
        <v>1320.75471698113</v>
      </c>
      <c r="AF60" s="42">
        <f>参数输入表!$I$615*参数输入表!$I$616/(1+参数输入表!$I$617)*AF40</f>
        <v>1320.75471698113</v>
      </c>
      <c r="AG60" s="42">
        <f>参数输入表!$I$615*参数输入表!$I$616/(1+参数输入表!$I$617)*AG40</f>
        <v>1320.75471698113</v>
      </c>
      <c r="AH60" s="42">
        <f>参数输入表!$I$615*参数输入表!$I$616/(1+参数输入表!$I$617)*AH40</f>
        <v>1320.75471698113</v>
      </c>
      <c r="AI60" s="42">
        <f>参数输入表!$I$615*参数输入表!$I$616/(1+参数输入表!$I$617)*AI40</f>
        <v>1320.75471698113</v>
      </c>
      <c r="AJ60" s="42">
        <f>参数输入表!$I$615*参数输入表!$I$616/(1+参数输入表!$I$617)*AJ40</f>
        <v>1320.75471698113</v>
      </c>
      <c r="AK60" s="42">
        <f>参数输入表!$I$615*参数输入表!$I$616/(1+参数输入表!$I$617)*AK40</f>
        <v>1320.75471698113</v>
      </c>
      <c r="AL60" s="42">
        <f>参数输入表!$I$615*参数输入表!$I$616/(1+参数输入表!$I$617)*AL40</f>
        <v>1320.75471698113</v>
      </c>
      <c r="AM60" s="42">
        <f>参数输入表!$I$615*参数输入表!$I$616/(1+参数输入表!$I$617)*AM40</f>
        <v>1320.75471698113</v>
      </c>
      <c r="AN60" s="42">
        <f>参数输入表!$I$615*参数输入表!$I$616/(1+参数输入表!$I$617)*AN40</f>
        <v>1320.75471698113</v>
      </c>
      <c r="AO60" s="42">
        <f>参数输入表!$I$615*参数输入表!$I$616/(1+参数输入表!$I$617)*AO40</f>
        <v>1320.75471698113</v>
      </c>
      <c r="AP60" s="42">
        <f>参数输入表!$I$615*参数输入表!$I$616/(1+参数输入表!$I$617)*AP40</f>
        <v>1320.75471698113</v>
      </c>
      <c r="AQ60" s="42">
        <f>参数输入表!$I$615*参数输入表!$I$616/(1+参数输入表!$I$617)*AQ40</f>
        <v>1320.75471698113</v>
      </c>
      <c r="AR60" s="42">
        <f>参数输入表!$I$615*参数输入表!$I$616/(1+参数输入表!$I$617)*AR40</f>
        <v>1320.75471698113</v>
      </c>
      <c r="AS60" s="42">
        <f>参数输入表!$I$615*参数输入表!$I$616/(1+参数输入表!$I$617)*AS40</f>
        <v>1320.75471698113</v>
      </c>
      <c r="AT60" s="42">
        <f>参数输入表!$I$615*参数输入表!$I$616/(1+参数输入表!$I$617)*AT40</f>
        <v>1320.75471698113</v>
      </c>
      <c r="AU60" s="42">
        <f>参数输入表!$I$615*参数输入表!$I$616/(1+参数输入表!$I$617)*AU40</f>
        <v>1320.75471698113</v>
      </c>
      <c r="AV60" s="42">
        <f>参数输入表!$I$615*参数输入表!$I$616/(1+参数输入表!$I$617)*AV40</f>
        <v>1320.75471698113</v>
      </c>
      <c r="AW60" s="42">
        <f>参数输入表!$I$615*参数输入表!$I$616/(1+参数输入表!$I$617)*AW40</f>
        <v>1320.75471698113</v>
      </c>
      <c r="AX60" s="42">
        <f>参数输入表!$I$615*参数输入表!$I$616/(1+参数输入表!$I$617)*AX40</f>
        <v>1320.75471698113</v>
      </c>
      <c r="AY60" s="42">
        <f>参数输入表!$I$615*参数输入表!$I$616/(1+参数输入表!$I$617)*AY40</f>
        <v>1320.75471698113</v>
      </c>
      <c r="AZ60" s="42">
        <f>参数输入表!$I$615*参数输入表!$I$616/(1+参数输入表!$I$617)*AZ40</f>
        <v>1320.75471698113</v>
      </c>
      <c r="BA60" s="43">
        <f>参数输入表!$I$615*参数输入表!$I$616/(1+参数输入表!$I$617)*BA40</f>
        <v>770.440251572327</v>
      </c>
    </row>
    <row r="61" ht="21" customHeight="1" spans="2:53">
      <c r="B61" s="257" t="s">
        <v>772</v>
      </c>
      <c r="C61" s="54" t="s">
        <v>296</v>
      </c>
      <c r="D61" s="42">
        <f t="shared" ref="D57:D66" si="23">SUM(F61:BA61)</f>
        <v>67200</v>
      </c>
      <c r="E61" s="256" t="s">
        <v>130</v>
      </c>
      <c r="F61" s="42">
        <f>参数输入表!$I$611*参数输入表!$I$612/(1+参数输入表!$I$613)*F40</f>
        <v>0</v>
      </c>
      <c r="G61" s="42">
        <f>参数输入表!$I$611*参数输入表!$I$612/(1+参数输入表!$I$613)*G40</f>
        <v>0</v>
      </c>
      <c r="H61" s="42">
        <f>参数输入表!$I$611*参数输入表!$I$612/(1+参数输入表!$I$613)*H40</f>
        <v>0</v>
      </c>
      <c r="I61" s="42">
        <f>参数输入表!$I$611*参数输入表!$I$612/(1+参数输入表!$I$613)*I40</f>
        <v>0</v>
      </c>
      <c r="J61" s="42">
        <f>参数输入表!$I$611*参数输入表!$I$612/(1+参数输入表!$I$613)*J40</f>
        <v>0</v>
      </c>
      <c r="K61" s="42">
        <f>参数输入表!$I$611*参数输入表!$I$612/(1+参数输入表!$I$613)*K40</f>
        <v>0</v>
      </c>
      <c r="L61" s="42">
        <f>参数输入表!$I$611*参数输入表!$I$612/(1+参数输入表!$I$613)*L40</f>
        <v>0</v>
      </c>
      <c r="M61" s="42">
        <f>参数输入表!$I$611*参数输入表!$I$612/(1+参数输入表!$I$613)*M40</f>
        <v>700</v>
      </c>
      <c r="N61" s="42">
        <f>参数输入表!$I$611*参数输入表!$I$612/(1+参数输入表!$I$613)*N40</f>
        <v>1680</v>
      </c>
      <c r="O61" s="42">
        <f>参数输入表!$I$611*参数输入表!$I$612/(1+参数输入表!$I$613)*O40</f>
        <v>1680</v>
      </c>
      <c r="P61" s="42">
        <f>参数输入表!$I$611*参数输入表!$I$612/(1+参数输入表!$I$613)*P40</f>
        <v>1680</v>
      </c>
      <c r="Q61" s="42">
        <f>参数输入表!$I$611*参数输入表!$I$612/(1+参数输入表!$I$613)*Q40</f>
        <v>1680</v>
      </c>
      <c r="R61" s="42">
        <f>参数输入表!$I$611*参数输入表!$I$612/(1+参数输入表!$I$613)*R40</f>
        <v>1680</v>
      </c>
      <c r="S61" s="42">
        <f>参数输入表!$I$611*参数输入表!$I$612/(1+参数输入表!$I$613)*S40</f>
        <v>1680</v>
      </c>
      <c r="T61" s="42">
        <f>参数输入表!$I$611*参数输入表!$I$612/(1+参数输入表!$I$613)*T40</f>
        <v>1680</v>
      </c>
      <c r="U61" s="42">
        <f>参数输入表!$I$611*参数输入表!$I$612/(1+参数输入表!$I$613)*U40</f>
        <v>1680</v>
      </c>
      <c r="V61" s="42">
        <f>参数输入表!$I$611*参数输入表!$I$612/(1+参数输入表!$I$613)*V40</f>
        <v>1680</v>
      </c>
      <c r="W61" s="42">
        <f>参数输入表!$I$611*参数输入表!$I$612/(1+参数输入表!$I$613)*W40</f>
        <v>1680</v>
      </c>
      <c r="X61" s="42">
        <f>参数输入表!$I$611*参数输入表!$I$612/(1+参数输入表!$I$613)*X40</f>
        <v>1680</v>
      </c>
      <c r="Y61" s="42">
        <f>参数输入表!$I$611*参数输入表!$I$612/(1+参数输入表!$I$613)*Y40</f>
        <v>1680</v>
      </c>
      <c r="Z61" s="42">
        <f>参数输入表!$I$611*参数输入表!$I$612/(1+参数输入表!$I$613)*Z40</f>
        <v>1680</v>
      </c>
      <c r="AA61" s="42">
        <f>参数输入表!$I$611*参数输入表!$I$612/(1+参数输入表!$I$613)*AA40</f>
        <v>1680</v>
      </c>
      <c r="AB61" s="42">
        <f>参数输入表!$I$611*参数输入表!$I$612/(1+参数输入表!$I$613)*AB40</f>
        <v>1680</v>
      </c>
      <c r="AC61" s="42">
        <f>参数输入表!$I$611*参数输入表!$I$612/(1+参数输入表!$I$613)*AC40</f>
        <v>1680</v>
      </c>
      <c r="AD61" s="42">
        <f>参数输入表!$I$611*参数输入表!$I$612/(1+参数输入表!$I$613)*AD40</f>
        <v>1680</v>
      </c>
      <c r="AE61" s="42">
        <f>参数输入表!$I$611*参数输入表!$I$612/(1+参数输入表!$I$613)*AE40</f>
        <v>1680</v>
      </c>
      <c r="AF61" s="42">
        <f>参数输入表!$I$611*参数输入表!$I$612/(1+参数输入表!$I$613)*AF40</f>
        <v>1680</v>
      </c>
      <c r="AG61" s="42">
        <f>参数输入表!$I$611*参数输入表!$I$612/(1+参数输入表!$I$613)*AG40</f>
        <v>1680</v>
      </c>
      <c r="AH61" s="42">
        <f>参数输入表!$I$611*参数输入表!$I$612/(1+参数输入表!$I$613)*AH40</f>
        <v>1680</v>
      </c>
      <c r="AI61" s="42">
        <f>参数输入表!$I$611*参数输入表!$I$612/(1+参数输入表!$I$613)*AI40</f>
        <v>1680</v>
      </c>
      <c r="AJ61" s="42">
        <f>参数输入表!$I$611*参数输入表!$I$612/(1+参数输入表!$I$613)*AJ40</f>
        <v>1680</v>
      </c>
      <c r="AK61" s="42">
        <f>参数输入表!$I$611*参数输入表!$I$612/(1+参数输入表!$I$613)*AK40</f>
        <v>1680</v>
      </c>
      <c r="AL61" s="42">
        <f>参数输入表!$I$611*参数输入表!$I$612/(1+参数输入表!$I$613)*AL40</f>
        <v>1680</v>
      </c>
      <c r="AM61" s="42">
        <f>参数输入表!$I$611*参数输入表!$I$612/(1+参数输入表!$I$613)*AM40</f>
        <v>1680</v>
      </c>
      <c r="AN61" s="42">
        <f>参数输入表!$I$611*参数输入表!$I$612/(1+参数输入表!$I$613)*AN40</f>
        <v>1680</v>
      </c>
      <c r="AO61" s="42">
        <f>参数输入表!$I$611*参数输入表!$I$612/(1+参数输入表!$I$613)*AO40</f>
        <v>1680</v>
      </c>
      <c r="AP61" s="42">
        <f>参数输入表!$I$611*参数输入表!$I$612/(1+参数输入表!$I$613)*AP40</f>
        <v>1680</v>
      </c>
      <c r="AQ61" s="42">
        <f>参数输入表!$I$611*参数输入表!$I$612/(1+参数输入表!$I$613)*AQ40</f>
        <v>1680</v>
      </c>
      <c r="AR61" s="42">
        <f>参数输入表!$I$611*参数输入表!$I$612/(1+参数输入表!$I$613)*AR40</f>
        <v>1680</v>
      </c>
      <c r="AS61" s="42">
        <f>参数输入表!$I$611*参数输入表!$I$612/(1+参数输入表!$I$613)*AS40</f>
        <v>1680</v>
      </c>
      <c r="AT61" s="42">
        <f>参数输入表!$I$611*参数输入表!$I$612/(1+参数输入表!$I$613)*AT40</f>
        <v>1680</v>
      </c>
      <c r="AU61" s="42">
        <f>参数输入表!$I$611*参数输入表!$I$612/(1+参数输入表!$I$613)*AU40</f>
        <v>1680</v>
      </c>
      <c r="AV61" s="42">
        <f>参数输入表!$I$611*参数输入表!$I$612/(1+参数输入表!$I$613)*AV40</f>
        <v>1680</v>
      </c>
      <c r="AW61" s="42">
        <f>参数输入表!$I$611*参数输入表!$I$612/(1+参数输入表!$I$613)*AW40</f>
        <v>1680</v>
      </c>
      <c r="AX61" s="42">
        <f>参数输入表!$I$611*参数输入表!$I$612/(1+参数输入表!$I$613)*AX40</f>
        <v>1680</v>
      </c>
      <c r="AY61" s="42">
        <f>参数输入表!$I$611*参数输入表!$I$612/(1+参数输入表!$I$613)*AY40</f>
        <v>1680</v>
      </c>
      <c r="AZ61" s="42">
        <f>参数输入表!$I$611*参数输入表!$I$612/(1+参数输入表!$I$613)*AZ40</f>
        <v>1680</v>
      </c>
      <c r="BA61" s="43">
        <f>参数输入表!$I$611*参数输入表!$I$612/(1+参数输入表!$I$613)*BA40</f>
        <v>980</v>
      </c>
    </row>
    <row r="62" ht="21" customHeight="1" spans="2:53">
      <c r="B62" s="217">
        <v>2</v>
      </c>
      <c r="C62" s="218" t="s">
        <v>773</v>
      </c>
      <c r="D62" s="134">
        <f t="shared" si="23"/>
        <v>0</v>
      </c>
      <c r="E62" s="256" t="s">
        <v>130</v>
      </c>
      <c r="F62" s="134">
        <v>0</v>
      </c>
      <c r="G62" s="134">
        <v>0</v>
      </c>
      <c r="H62" s="134">
        <v>0</v>
      </c>
      <c r="I62" s="134">
        <v>0</v>
      </c>
      <c r="J62" s="134">
        <v>0</v>
      </c>
      <c r="K62" s="134">
        <v>0</v>
      </c>
      <c r="L62" s="134">
        <v>0</v>
      </c>
      <c r="M62" s="134">
        <v>0</v>
      </c>
      <c r="N62" s="134">
        <v>0</v>
      </c>
      <c r="O62" s="134">
        <v>0</v>
      </c>
      <c r="P62" s="134">
        <v>0</v>
      </c>
      <c r="Q62" s="134">
        <v>0</v>
      </c>
      <c r="R62" s="134">
        <v>0</v>
      </c>
      <c r="S62" s="134">
        <v>0</v>
      </c>
      <c r="T62" s="134">
        <v>0</v>
      </c>
      <c r="U62" s="134">
        <v>0</v>
      </c>
      <c r="V62" s="134">
        <v>0</v>
      </c>
      <c r="W62" s="134">
        <v>0</v>
      </c>
      <c r="X62" s="134">
        <v>0</v>
      </c>
      <c r="Y62" s="134">
        <v>0</v>
      </c>
      <c r="Z62" s="134">
        <v>0</v>
      </c>
      <c r="AA62" s="134">
        <v>0</v>
      </c>
      <c r="AB62" s="134">
        <v>0</v>
      </c>
      <c r="AC62" s="134">
        <v>0</v>
      </c>
      <c r="AD62" s="134">
        <v>0</v>
      </c>
      <c r="AE62" s="134">
        <v>0</v>
      </c>
      <c r="AF62" s="134">
        <v>0</v>
      </c>
      <c r="AG62" s="134">
        <v>0</v>
      </c>
      <c r="AH62" s="134">
        <v>0</v>
      </c>
      <c r="AI62" s="134">
        <v>0</v>
      </c>
      <c r="AJ62" s="134">
        <v>0</v>
      </c>
      <c r="AK62" s="134">
        <v>0</v>
      </c>
      <c r="AL62" s="134">
        <v>0</v>
      </c>
      <c r="AM62" s="134">
        <v>0</v>
      </c>
      <c r="AN62" s="134">
        <v>0</v>
      </c>
      <c r="AO62" s="134">
        <v>0</v>
      </c>
      <c r="AP62" s="134">
        <v>0</v>
      </c>
      <c r="AQ62" s="134">
        <v>0</v>
      </c>
      <c r="AR62" s="134">
        <v>0</v>
      </c>
      <c r="AS62" s="134">
        <v>0</v>
      </c>
      <c r="AT62" s="134">
        <v>0</v>
      </c>
      <c r="AU62" s="134">
        <v>0</v>
      </c>
      <c r="AV62" s="134">
        <v>0</v>
      </c>
      <c r="AW62" s="134">
        <v>0</v>
      </c>
      <c r="AX62" s="134">
        <v>0</v>
      </c>
      <c r="AY62" s="134">
        <v>0</v>
      </c>
      <c r="AZ62" s="134">
        <v>0</v>
      </c>
      <c r="BA62" s="143">
        <v>0</v>
      </c>
    </row>
    <row r="63" ht="21" customHeight="1" spans="2:53">
      <c r="B63" s="217">
        <v>3</v>
      </c>
      <c r="C63" s="218" t="s">
        <v>265</v>
      </c>
      <c r="D63" s="134">
        <f t="shared" si="23"/>
        <v>72221.944502392</v>
      </c>
      <c r="E63" s="256" t="s">
        <v>130</v>
      </c>
      <c r="F63" s="134">
        <f t="shared" ref="F63:M63" si="24">SUM(F64:F64)</f>
        <v>0</v>
      </c>
      <c r="G63" s="134">
        <f t="shared" si="24"/>
        <v>0</v>
      </c>
      <c r="H63" s="134">
        <f t="shared" si="24"/>
        <v>0</v>
      </c>
      <c r="I63" s="134">
        <f t="shared" si="24"/>
        <v>0</v>
      </c>
      <c r="J63" s="134">
        <f t="shared" si="24"/>
        <v>0</v>
      </c>
      <c r="K63" s="134">
        <f t="shared" si="24"/>
        <v>0</v>
      </c>
      <c r="L63" s="134">
        <f t="shared" si="24"/>
        <v>0</v>
      </c>
      <c r="M63" s="134">
        <f t="shared" si="24"/>
        <v>752.311921899917</v>
      </c>
      <c r="N63" s="134">
        <f t="shared" ref="N63:AL63" si="25">SUM(N64:N64)</f>
        <v>1805.5486125598</v>
      </c>
      <c r="O63" s="134">
        <f t="shared" si="25"/>
        <v>1805.5486125598</v>
      </c>
      <c r="P63" s="134">
        <f t="shared" si="25"/>
        <v>1805.5486125598</v>
      </c>
      <c r="Q63" s="134">
        <f t="shared" si="25"/>
        <v>1805.5486125598</v>
      </c>
      <c r="R63" s="134">
        <f t="shared" si="25"/>
        <v>1805.5486125598</v>
      </c>
      <c r="S63" s="134">
        <f t="shared" si="25"/>
        <v>1805.5486125598</v>
      </c>
      <c r="T63" s="134">
        <f t="shared" si="25"/>
        <v>1805.5486125598</v>
      </c>
      <c r="U63" s="134">
        <f t="shared" si="25"/>
        <v>1805.5486125598</v>
      </c>
      <c r="V63" s="134">
        <f t="shared" si="25"/>
        <v>1805.5486125598</v>
      </c>
      <c r="W63" s="134">
        <f t="shared" si="25"/>
        <v>1805.5486125598</v>
      </c>
      <c r="X63" s="134">
        <f t="shared" si="25"/>
        <v>1805.5486125598</v>
      </c>
      <c r="Y63" s="134">
        <f t="shared" si="25"/>
        <v>1805.5486125598</v>
      </c>
      <c r="Z63" s="134">
        <f t="shared" si="25"/>
        <v>1805.5486125598</v>
      </c>
      <c r="AA63" s="134">
        <f t="shared" si="25"/>
        <v>1805.5486125598</v>
      </c>
      <c r="AB63" s="134">
        <f t="shared" si="25"/>
        <v>1805.5486125598</v>
      </c>
      <c r="AC63" s="134">
        <f t="shared" si="25"/>
        <v>1805.5486125598</v>
      </c>
      <c r="AD63" s="134">
        <f t="shared" si="25"/>
        <v>1805.5486125598</v>
      </c>
      <c r="AE63" s="134">
        <f t="shared" si="25"/>
        <v>1805.5486125598</v>
      </c>
      <c r="AF63" s="134">
        <f t="shared" si="25"/>
        <v>1805.5486125598</v>
      </c>
      <c r="AG63" s="134">
        <f t="shared" si="25"/>
        <v>1805.5486125598</v>
      </c>
      <c r="AH63" s="134">
        <f t="shared" si="25"/>
        <v>1805.5486125598</v>
      </c>
      <c r="AI63" s="134">
        <f t="shared" si="25"/>
        <v>1805.5486125598</v>
      </c>
      <c r="AJ63" s="134">
        <f t="shared" si="25"/>
        <v>1805.5486125598</v>
      </c>
      <c r="AK63" s="134">
        <f t="shared" si="25"/>
        <v>1805.5486125598</v>
      </c>
      <c r="AL63" s="134">
        <f t="shared" si="25"/>
        <v>1805.5486125598</v>
      </c>
      <c r="AM63" s="134">
        <f t="shared" ref="AM63:BA63" si="26">SUM(AM64:AM64)</f>
        <v>1805.5486125598</v>
      </c>
      <c r="AN63" s="134">
        <f t="shared" si="26"/>
        <v>1805.5486125598</v>
      </c>
      <c r="AO63" s="134">
        <f t="shared" si="26"/>
        <v>1805.5486125598</v>
      </c>
      <c r="AP63" s="134">
        <f t="shared" si="26"/>
        <v>1805.5486125598</v>
      </c>
      <c r="AQ63" s="134">
        <f t="shared" si="26"/>
        <v>1805.5486125598</v>
      </c>
      <c r="AR63" s="134">
        <f t="shared" si="26"/>
        <v>1805.5486125598</v>
      </c>
      <c r="AS63" s="134">
        <f t="shared" si="26"/>
        <v>1805.5486125598</v>
      </c>
      <c r="AT63" s="134">
        <f t="shared" si="26"/>
        <v>1805.5486125598</v>
      </c>
      <c r="AU63" s="134">
        <f t="shared" si="26"/>
        <v>1805.5486125598</v>
      </c>
      <c r="AV63" s="134">
        <f t="shared" si="26"/>
        <v>1805.5486125598</v>
      </c>
      <c r="AW63" s="134">
        <f t="shared" si="26"/>
        <v>1805.5486125598</v>
      </c>
      <c r="AX63" s="134">
        <f t="shared" si="26"/>
        <v>1805.5486125598</v>
      </c>
      <c r="AY63" s="134">
        <f t="shared" si="26"/>
        <v>1805.5486125598</v>
      </c>
      <c r="AZ63" s="134">
        <f t="shared" si="26"/>
        <v>1805.5486125598</v>
      </c>
      <c r="BA63" s="143">
        <f t="shared" si="26"/>
        <v>1053.23669065988</v>
      </c>
    </row>
    <row r="64" ht="21" customHeight="1" spans="2:53">
      <c r="B64" s="48">
        <v>3.1</v>
      </c>
      <c r="C64" s="54" t="s">
        <v>774</v>
      </c>
      <c r="D64" s="42">
        <f t="shared" si="23"/>
        <v>72221.944502392</v>
      </c>
      <c r="E64" s="256" t="s">
        <v>130</v>
      </c>
      <c r="F64" s="124">
        <f>参数输入表!$I$439*参数输入表!$I$488/(1+参数输入表!$I$489)</f>
        <v>0</v>
      </c>
      <c r="G64" s="124">
        <f>参数输入表!$I$440*参数输入表!$I$488/(1+参数输入表!$I$489)</f>
        <v>0</v>
      </c>
      <c r="H64" s="124">
        <f>参数输入表!$I$441*参数输入表!$I$488/(1+参数输入表!$I$489)</f>
        <v>0</v>
      </c>
      <c r="I64" s="124">
        <f>参数输入表!$I$442*参数输入表!$I$488/(1+参数输入表!$I$489)</f>
        <v>0</v>
      </c>
      <c r="J64" s="124">
        <f>参数输入表!$I$443*参数输入表!$I$488/(1+参数输入表!$I$489)</f>
        <v>0</v>
      </c>
      <c r="K64" s="124">
        <f>参数输入表!$I$444*参数输入表!$I$488/(1+参数输入表!$I$489)</f>
        <v>0</v>
      </c>
      <c r="L64" s="124">
        <f>参数输入表!$I$445*参数输入表!$I$488/(1+参数输入表!$I$489)</f>
        <v>0</v>
      </c>
      <c r="M64" s="124">
        <f>参数输入表!$I$446*参数输入表!$I$488/(1+参数输入表!$I$489)</f>
        <v>752.311921899917</v>
      </c>
      <c r="N64" s="124">
        <f>参数输入表!$I$447*参数输入表!$I$488/(1+参数输入表!$I$489)</f>
        <v>1805.5486125598</v>
      </c>
      <c r="O64" s="124">
        <f>参数输入表!$I$448*参数输入表!$I$488/(1+参数输入表!$I$489)</f>
        <v>1805.5486125598</v>
      </c>
      <c r="P64" s="124">
        <f>参数输入表!$I$449*参数输入表!$I$488/(1+参数输入表!$I$489)</f>
        <v>1805.5486125598</v>
      </c>
      <c r="Q64" s="124">
        <f>参数输入表!$I$450*参数输入表!$I$488/(1+参数输入表!$I$489)</f>
        <v>1805.5486125598</v>
      </c>
      <c r="R64" s="124">
        <f>参数输入表!$I$451*参数输入表!$I$488/(1+参数输入表!$I$489)</f>
        <v>1805.5486125598</v>
      </c>
      <c r="S64" s="124">
        <f>参数输入表!$I$452*参数输入表!$I$488/(1+参数输入表!$I$489)</f>
        <v>1805.5486125598</v>
      </c>
      <c r="T64" s="124">
        <f>参数输入表!$I$453*参数输入表!$I$488/(1+参数输入表!$I$489)</f>
        <v>1805.5486125598</v>
      </c>
      <c r="U64" s="124">
        <f>参数输入表!$I$454*参数输入表!$I$488/(1+参数输入表!$I$489)</f>
        <v>1805.5486125598</v>
      </c>
      <c r="V64" s="124">
        <f>参数输入表!$I$455*参数输入表!$I$488/(1+参数输入表!$I$489)</f>
        <v>1805.5486125598</v>
      </c>
      <c r="W64" s="124">
        <f>参数输入表!$I$456*参数输入表!$I$488/(1+参数输入表!$I$489)</f>
        <v>1805.5486125598</v>
      </c>
      <c r="X64" s="124">
        <f>参数输入表!$I$457*参数输入表!$I$488/(1+参数输入表!$I$489)</f>
        <v>1805.5486125598</v>
      </c>
      <c r="Y64" s="124">
        <f>参数输入表!$I$458*参数输入表!$I$488/(1+参数输入表!$I$489)</f>
        <v>1805.5486125598</v>
      </c>
      <c r="Z64" s="124">
        <f>参数输入表!$I$459*参数输入表!$I$488/(1+参数输入表!$I$489)</f>
        <v>1805.5486125598</v>
      </c>
      <c r="AA64" s="124">
        <f>参数输入表!$I$460*参数输入表!$I$488/(1+参数输入表!$I$489)</f>
        <v>1805.5486125598</v>
      </c>
      <c r="AB64" s="124">
        <f>参数输入表!$I$461*参数输入表!$I$488/(1+参数输入表!$I$489)</f>
        <v>1805.5486125598</v>
      </c>
      <c r="AC64" s="124">
        <f>参数输入表!$I$462*参数输入表!$I$488/(1+参数输入表!$I$489)</f>
        <v>1805.5486125598</v>
      </c>
      <c r="AD64" s="124">
        <f>参数输入表!$I$463*参数输入表!$I$488/(1+参数输入表!$I$489)</f>
        <v>1805.5486125598</v>
      </c>
      <c r="AE64" s="124">
        <f>参数输入表!$I$464*参数输入表!$I$488/(1+参数输入表!$I$489)</f>
        <v>1805.5486125598</v>
      </c>
      <c r="AF64" s="124">
        <f>参数输入表!$I$465*参数输入表!$I$488/(1+参数输入表!$I$489)</f>
        <v>1805.5486125598</v>
      </c>
      <c r="AG64" s="124">
        <f>参数输入表!$I$466*参数输入表!$I$488/(1+参数输入表!$I$489)</f>
        <v>1805.5486125598</v>
      </c>
      <c r="AH64" s="124">
        <f>参数输入表!$I$467*参数输入表!$I$488/(1+参数输入表!$I$489)</f>
        <v>1805.5486125598</v>
      </c>
      <c r="AI64" s="124">
        <f>参数输入表!$I$468*参数输入表!$I$488/(1+参数输入表!$I$489)</f>
        <v>1805.5486125598</v>
      </c>
      <c r="AJ64" s="124">
        <f>参数输入表!$I$469*参数输入表!$I$488/(1+参数输入表!$I$489)</f>
        <v>1805.5486125598</v>
      </c>
      <c r="AK64" s="124">
        <f>参数输入表!$I$470*参数输入表!$I$488/(1+参数输入表!$I$489)</f>
        <v>1805.5486125598</v>
      </c>
      <c r="AL64" s="124">
        <f>参数输入表!$I$471*参数输入表!$I$488/(1+参数输入表!$I$489)</f>
        <v>1805.5486125598</v>
      </c>
      <c r="AM64" s="124">
        <f>参数输入表!$I$472*参数输入表!$I$488/(1+参数输入表!$I$489)</f>
        <v>1805.5486125598</v>
      </c>
      <c r="AN64" s="124">
        <f>参数输入表!$I$473*参数输入表!$I$488/(1+参数输入表!$I$489)</f>
        <v>1805.5486125598</v>
      </c>
      <c r="AO64" s="124">
        <f>参数输入表!$I$474*参数输入表!$I$488/(1+参数输入表!$I$489)</f>
        <v>1805.5486125598</v>
      </c>
      <c r="AP64" s="124">
        <f>参数输入表!$I$475*参数输入表!$I$488/(1+参数输入表!$I$489)</f>
        <v>1805.5486125598</v>
      </c>
      <c r="AQ64" s="124">
        <f>参数输入表!$I$476*参数输入表!$I$488/(1+参数输入表!$I$489)</f>
        <v>1805.5486125598</v>
      </c>
      <c r="AR64" s="124">
        <f>参数输入表!$I$477*参数输入表!$I$488/(1+参数输入表!$I$489)</f>
        <v>1805.5486125598</v>
      </c>
      <c r="AS64" s="124">
        <f>参数输入表!$I$478*参数输入表!$I$488/(1+参数输入表!$I$489)</f>
        <v>1805.5486125598</v>
      </c>
      <c r="AT64" s="124">
        <f>参数输入表!$I$479*参数输入表!$I$488/(1+参数输入表!$I$489)</f>
        <v>1805.5486125598</v>
      </c>
      <c r="AU64" s="124">
        <f>参数输入表!$I$480*参数输入表!$I$488/(1+参数输入表!$I$489)</f>
        <v>1805.5486125598</v>
      </c>
      <c r="AV64" s="124">
        <f>参数输入表!$I$481*参数输入表!$I$488/(1+参数输入表!$I$489)</f>
        <v>1805.5486125598</v>
      </c>
      <c r="AW64" s="124">
        <f>参数输入表!$I$482*参数输入表!$I$488/(1+参数输入表!$I$489)</f>
        <v>1805.5486125598</v>
      </c>
      <c r="AX64" s="124">
        <f>参数输入表!$I$483*参数输入表!$I$488/(1+参数输入表!$I$489)</f>
        <v>1805.5486125598</v>
      </c>
      <c r="AY64" s="124">
        <f>参数输入表!$I$484*参数输入表!$I$488/(1+参数输入表!$I$489)</f>
        <v>1805.5486125598</v>
      </c>
      <c r="AZ64" s="124">
        <f>参数输入表!$I$485*参数输入表!$I$488/(1+参数输入表!$I$489)</f>
        <v>1805.5486125598</v>
      </c>
      <c r="BA64" s="125">
        <f>参数输入表!$I$486*参数输入表!$I$488/(1+参数输入表!$I$489)</f>
        <v>1053.23669065988</v>
      </c>
    </row>
    <row r="65" s="255" customFormat="1" ht="21" customHeight="1" spans="2:53">
      <c r="B65" s="217">
        <v>4</v>
      </c>
      <c r="C65" s="218" t="s">
        <v>775</v>
      </c>
      <c r="D65" s="134">
        <f t="shared" si="23"/>
        <v>0</v>
      </c>
      <c r="E65" s="256" t="s">
        <v>130</v>
      </c>
      <c r="F65" s="134">
        <v>0</v>
      </c>
      <c r="G65" s="134">
        <v>0</v>
      </c>
      <c r="H65" s="134">
        <v>0</v>
      </c>
      <c r="I65" s="134">
        <v>0</v>
      </c>
      <c r="J65" s="134">
        <v>0</v>
      </c>
      <c r="K65" s="134">
        <v>0</v>
      </c>
      <c r="L65" s="134">
        <v>0</v>
      </c>
      <c r="M65" s="134">
        <v>0</v>
      </c>
      <c r="N65" s="134">
        <v>0</v>
      </c>
      <c r="O65" s="134">
        <v>0</v>
      </c>
      <c r="P65" s="134">
        <v>0</v>
      </c>
      <c r="Q65" s="134">
        <v>0</v>
      </c>
      <c r="R65" s="134">
        <v>0</v>
      </c>
      <c r="S65" s="134">
        <v>0</v>
      </c>
      <c r="T65" s="134">
        <v>0</v>
      </c>
      <c r="U65" s="134">
        <v>0</v>
      </c>
      <c r="V65" s="134">
        <v>0</v>
      </c>
      <c r="W65" s="134">
        <v>0</v>
      </c>
      <c r="X65" s="134">
        <v>0</v>
      </c>
      <c r="Y65" s="134">
        <v>0</v>
      </c>
      <c r="Z65" s="134">
        <v>0</v>
      </c>
      <c r="AA65" s="134">
        <v>0</v>
      </c>
      <c r="AB65" s="134">
        <v>0</v>
      </c>
      <c r="AC65" s="134">
        <v>0</v>
      </c>
      <c r="AD65" s="134">
        <v>0</v>
      </c>
      <c r="AE65" s="134">
        <v>0</v>
      </c>
      <c r="AF65" s="134">
        <v>0</v>
      </c>
      <c r="AG65" s="134">
        <v>0</v>
      </c>
      <c r="AH65" s="134">
        <v>0</v>
      </c>
      <c r="AI65" s="134">
        <v>0</v>
      </c>
      <c r="AJ65" s="134">
        <v>0</v>
      </c>
      <c r="AK65" s="134">
        <v>0</v>
      </c>
      <c r="AL65" s="134">
        <v>0</v>
      </c>
      <c r="AM65" s="134">
        <v>0</v>
      </c>
      <c r="AN65" s="134">
        <v>0</v>
      </c>
      <c r="AO65" s="134">
        <v>0</v>
      </c>
      <c r="AP65" s="134">
        <v>0</v>
      </c>
      <c r="AQ65" s="134">
        <v>0</v>
      </c>
      <c r="AR65" s="134">
        <v>0</v>
      </c>
      <c r="AS65" s="134">
        <v>0</v>
      </c>
      <c r="AT65" s="134">
        <v>0</v>
      </c>
      <c r="AU65" s="134">
        <v>0</v>
      </c>
      <c r="AV65" s="134">
        <v>0</v>
      </c>
      <c r="AW65" s="134">
        <v>0</v>
      </c>
      <c r="AX65" s="134">
        <v>0</v>
      </c>
      <c r="AY65" s="134">
        <v>0</v>
      </c>
      <c r="AZ65" s="134">
        <v>0</v>
      </c>
      <c r="BA65" s="143">
        <v>0</v>
      </c>
    </row>
    <row r="66" ht="17.25" spans="2:53">
      <c r="B66" s="87" t="s">
        <v>678</v>
      </c>
      <c r="C66" s="276" t="s">
        <v>341</v>
      </c>
      <c r="D66" s="188">
        <f t="shared" si="23"/>
        <v>0</v>
      </c>
      <c r="E66" s="277" t="s">
        <v>130</v>
      </c>
      <c r="F66" s="129">
        <f>参数输入表!$I$802/(1+参数输入表!$I$850)</f>
        <v>0</v>
      </c>
      <c r="G66" s="129">
        <f>参数输入表!$I$803/(1+参数输入表!$I$850)</f>
        <v>0</v>
      </c>
      <c r="H66" s="129">
        <f>参数输入表!$I$804/(1+参数输入表!$I$850)</f>
        <v>0</v>
      </c>
      <c r="I66" s="129">
        <f>参数输入表!$I$805/(1+参数输入表!$I$850)</f>
        <v>0</v>
      </c>
      <c r="J66" s="129">
        <f>参数输入表!$I$806/(1+参数输入表!$I$850)</f>
        <v>0</v>
      </c>
      <c r="K66" s="129">
        <f>参数输入表!$I$807/(1+参数输入表!$I$850)</f>
        <v>0</v>
      </c>
      <c r="L66" s="129">
        <f>参数输入表!$I$808/(1+参数输入表!$I$850)</f>
        <v>0</v>
      </c>
      <c r="M66" s="129">
        <f>参数输入表!$I$809/(1+参数输入表!$I$850)</f>
        <v>0</v>
      </c>
      <c r="N66" s="129">
        <f>参数输入表!$I$810/(1+参数输入表!$I$850)</f>
        <v>0</v>
      </c>
      <c r="O66" s="129">
        <f>参数输入表!$I$811/(1+参数输入表!$I$850)</f>
        <v>0</v>
      </c>
      <c r="P66" s="188">
        <f>参数输入表!$I$812/(1+参数输入表!$I$850)</f>
        <v>0</v>
      </c>
      <c r="Q66" s="188">
        <f>参数输入表!$I$813/(1+参数输入表!$I$850)</f>
        <v>0</v>
      </c>
      <c r="R66" s="188">
        <f>参数输入表!$I$814/(1+参数输入表!$I$850)</f>
        <v>0</v>
      </c>
      <c r="S66" s="188">
        <f>参数输入表!$I$815/(1+参数输入表!$I$850)</f>
        <v>0</v>
      </c>
      <c r="T66" s="188">
        <f>参数输入表!$I$816/(1+参数输入表!$I$850)</f>
        <v>0</v>
      </c>
      <c r="U66" s="188">
        <f>参数输入表!$I$817/(1+参数输入表!$I$850)</f>
        <v>0</v>
      </c>
      <c r="V66" s="188">
        <f>参数输入表!$I$818/(1+参数输入表!$I$850)</f>
        <v>0</v>
      </c>
      <c r="W66" s="188">
        <f>参数输入表!$I$819/(1+参数输入表!$I$850)</f>
        <v>0</v>
      </c>
      <c r="X66" s="188">
        <f>参数输入表!$I$820/(1+参数输入表!$I$850)</f>
        <v>0</v>
      </c>
      <c r="Y66" s="188">
        <f>参数输入表!$I$821/(1+参数输入表!$I$850)</f>
        <v>0</v>
      </c>
      <c r="Z66" s="188">
        <f>参数输入表!$I$822/(1+参数输入表!$I$850)</f>
        <v>0</v>
      </c>
      <c r="AA66" s="188">
        <f>参数输入表!$I$823/(1+参数输入表!$I$850)</f>
        <v>0</v>
      </c>
      <c r="AB66" s="188">
        <f>参数输入表!$I$824/(1+参数输入表!$I$850)</f>
        <v>0</v>
      </c>
      <c r="AC66" s="188">
        <f>参数输入表!$I$825/(1+参数输入表!$I$850)</f>
        <v>0</v>
      </c>
      <c r="AD66" s="188">
        <f>参数输入表!$I$826/(1+参数输入表!$I$850)</f>
        <v>0</v>
      </c>
      <c r="AE66" s="188">
        <f>参数输入表!$I$827/(1+参数输入表!$I$850)</f>
        <v>0</v>
      </c>
      <c r="AF66" s="188">
        <f>参数输入表!$I$828/(1+参数输入表!$I$850)</f>
        <v>0</v>
      </c>
      <c r="AG66" s="188">
        <f>参数输入表!$I$829/(1+参数输入表!$I$850)</f>
        <v>0</v>
      </c>
      <c r="AH66" s="188">
        <f>参数输入表!$I$830/(1+参数输入表!$I$850)</f>
        <v>0</v>
      </c>
      <c r="AI66" s="188">
        <f>参数输入表!$I$831/(1+参数输入表!$I$850)</f>
        <v>0</v>
      </c>
      <c r="AJ66" s="188">
        <f>参数输入表!$I$832/(1+参数输入表!$I$850)</f>
        <v>0</v>
      </c>
      <c r="AK66" s="188">
        <f>参数输入表!$I$833/(1+参数输入表!$I$850)</f>
        <v>0</v>
      </c>
      <c r="AL66" s="188">
        <f>参数输入表!$I$834/(1+参数输入表!$I$850)</f>
        <v>0</v>
      </c>
      <c r="AM66" s="188">
        <f>参数输入表!$I$835/(1+参数输入表!$I$850)</f>
        <v>0</v>
      </c>
      <c r="AN66" s="188">
        <f>参数输入表!$I$836/(1+参数输入表!$I$850)</f>
        <v>0</v>
      </c>
      <c r="AO66" s="188">
        <f>参数输入表!$I$837/(1+参数输入表!$I$850)</f>
        <v>0</v>
      </c>
      <c r="AP66" s="188">
        <f>参数输入表!$I$838/(1+参数输入表!$I$850)</f>
        <v>0</v>
      </c>
      <c r="AQ66" s="188">
        <f>参数输入表!$I$839/(1+参数输入表!$I$850)</f>
        <v>0</v>
      </c>
      <c r="AR66" s="188">
        <f>参数输入表!$I$840/(1+参数输入表!$I$850)</f>
        <v>0</v>
      </c>
      <c r="AS66" s="188">
        <f>参数输入表!$I$841/(1+参数输入表!$I$850)</f>
        <v>0</v>
      </c>
      <c r="AT66" s="188">
        <f>参数输入表!$I$842/(1+参数输入表!$I$850)</f>
        <v>0</v>
      </c>
      <c r="AU66" s="188">
        <f>参数输入表!$I$843/(1+参数输入表!$I$850)</f>
        <v>0</v>
      </c>
      <c r="AV66" s="188">
        <f>参数输入表!$I$844/(1+参数输入表!$I$850)</f>
        <v>0</v>
      </c>
      <c r="AW66" s="188">
        <f>参数输入表!$I$845/(1+参数输入表!$I$850)</f>
        <v>0</v>
      </c>
      <c r="AX66" s="188">
        <f>参数输入表!$I$846/(1+参数输入表!$I$850)</f>
        <v>0</v>
      </c>
      <c r="AY66" s="188">
        <f>参数输入表!$I$847/(1+参数输入表!$I$850)</f>
        <v>0</v>
      </c>
      <c r="AZ66" s="188">
        <f>参数输入表!$I$848/(1+参数输入表!$I$850)</f>
        <v>0</v>
      </c>
      <c r="BA66" s="189">
        <f>参数输入表!$I$849/(1+参数输入表!$I$850)</f>
        <v>0</v>
      </c>
    </row>
    <row r="67" spans="2:53">
      <c r="B67" s="278"/>
      <c r="C67" s="279"/>
      <c r="D67" s="280"/>
      <c r="E67" s="281"/>
      <c r="F67" s="281"/>
      <c r="G67" s="281"/>
      <c r="H67" s="281"/>
      <c r="I67" s="281"/>
      <c r="J67" s="281"/>
      <c r="K67" s="281"/>
      <c r="L67" s="281"/>
      <c r="M67" s="281"/>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c r="BA67" s="280"/>
    </row>
    <row r="68" spans="2:53">
      <c r="B68" s="278"/>
      <c r="C68" s="279"/>
      <c r="D68" s="280"/>
      <c r="E68" s="281"/>
      <c r="F68" s="281"/>
      <c r="G68" s="281"/>
      <c r="H68" s="281"/>
      <c r="I68" s="281"/>
      <c r="J68" s="281"/>
      <c r="K68" s="281"/>
      <c r="L68" s="281"/>
      <c r="M68" s="281"/>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c r="BA68" s="280"/>
    </row>
    <row r="69" ht="17.25" spans="2:53">
      <c r="B69" s="235" t="s">
        <v>785</v>
      </c>
      <c r="C69" s="279"/>
      <c r="D69" s="280"/>
      <c r="E69" s="281"/>
      <c r="F69" s="281"/>
      <c r="G69" s="281"/>
      <c r="H69" s="281"/>
      <c r="I69" s="281"/>
      <c r="J69" s="281"/>
      <c r="K69" s="281"/>
      <c r="L69" s="281"/>
      <c r="M69" s="281"/>
      <c r="N69" s="100"/>
      <c r="O69" s="100"/>
      <c r="P69" s="100"/>
      <c r="Q69" s="100"/>
      <c r="R69" s="100"/>
      <c r="S69" s="100"/>
      <c r="T69" s="100"/>
      <c r="U69" s="100"/>
      <c r="V69" s="100"/>
      <c r="W69" s="100"/>
      <c r="X69" s="100"/>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row>
    <row r="70" spans="2:53">
      <c r="B70" s="284" t="s">
        <v>2</v>
      </c>
      <c r="C70" s="285" t="s">
        <v>430</v>
      </c>
      <c r="D70" s="285" t="s">
        <v>491</v>
      </c>
      <c r="E70" s="285" t="s">
        <v>9</v>
      </c>
      <c r="F70" s="286">
        <v>2023</v>
      </c>
      <c r="G70" s="286">
        <v>2024</v>
      </c>
      <c r="H70" s="286">
        <v>2025</v>
      </c>
      <c r="I70" s="286">
        <v>2026</v>
      </c>
      <c r="J70" s="286">
        <v>2027</v>
      </c>
      <c r="K70" s="286">
        <v>2028</v>
      </c>
      <c r="L70" s="286">
        <v>2029</v>
      </c>
      <c r="M70" s="286">
        <v>2030</v>
      </c>
      <c r="N70" s="286">
        <v>2031</v>
      </c>
      <c r="O70" s="286">
        <v>2032</v>
      </c>
      <c r="P70" s="286">
        <v>2033</v>
      </c>
      <c r="Q70" s="286">
        <v>2034</v>
      </c>
      <c r="R70" s="286">
        <v>2035</v>
      </c>
      <c r="S70" s="286">
        <v>2036</v>
      </c>
      <c r="T70" s="286">
        <v>2037</v>
      </c>
      <c r="U70" s="286">
        <v>2038</v>
      </c>
      <c r="V70" s="286">
        <v>2039</v>
      </c>
      <c r="W70" s="286">
        <v>2040</v>
      </c>
      <c r="X70" s="286">
        <v>2041</v>
      </c>
      <c r="Y70" s="286">
        <v>2042</v>
      </c>
      <c r="Z70" s="286">
        <v>2043</v>
      </c>
      <c r="AA70" s="286">
        <v>2044</v>
      </c>
      <c r="AB70" s="286">
        <v>2045</v>
      </c>
      <c r="AC70" s="286">
        <v>2046</v>
      </c>
      <c r="AD70" s="286">
        <v>2047</v>
      </c>
      <c r="AE70" s="286">
        <v>2048</v>
      </c>
      <c r="AF70" s="286">
        <v>2049</v>
      </c>
      <c r="AG70" s="286">
        <v>2050</v>
      </c>
      <c r="AH70" s="286">
        <v>2051</v>
      </c>
      <c r="AI70" s="286">
        <v>2052</v>
      </c>
      <c r="AJ70" s="286">
        <v>2053</v>
      </c>
      <c r="AK70" s="286">
        <v>2054</v>
      </c>
      <c r="AL70" s="286">
        <v>2055</v>
      </c>
      <c r="AM70" s="286">
        <v>2056</v>
      </c>
      <c r="AN70" s="286">
        <v>2057</v>
      </c>
      <c r="AO70" s="286">
        <v>2058</v>
      </c>
      <c r="AP70" s="286">
        <v>2059</v>
      </c>
      <c r="AQ70" s="286">
        <v>2060</v>
      </c>
      <c r="AR70" s="286">
        <v>2061</v>
      </c>
      <c r="AS70" s="286">
        <v>2062</v>
      </c>
      <c r="AT70" s="286">
        <v>2063</v>
      </c>
      <c r="AU70" s="286">
        <v>2064</v>
      </c>
      <c r="AV70" s="286">
        <v>2065</v>
      </c>
      <c r="AW70" s="286">
        <v>2066</v>
      </c>
      <c r="AX70" s="286">
        <v>2067</v>
      </c>
      <c r="AY70" s="286">
        <v>2068</v>
      </c>
      <c r="AZ70" s="286">
        <v>2069</v>
      </c>
      <c r="BA70" s="287">
        <v>2070</v>
      </c>
    </row>
    <row r="71" spans="2:53">
      <c r="B71" s="213"/>
      <c r="C71" s="214"/>
      <c r="D71" s="214"/>
      <c r="E71" s="214"/>
      <c r="F71" s="288">
        <v>1</v>
      </c>
      <c r="G71" s="288">
        <v>2</v>
      </c>
      <c r="H71" s="288">
        <v>3</v>
      </c>
      <c r="I71" s="288">
        <v>4</v>
      </c>
      <c r="J71" s="288">
        <v>5</v>
      </c>
      <c r="K71" s="288">
        <v>6</v>
      </c>
      <c r="L71" s="288">
        <v>7</v>
      </c>
      <c r="M71" s="288">
        <v>8</v>
      </c>
      <c r="N71" s="288">
        <v>9</v>
      </c>
      <c r="O71" s="288">
        <v>10</v>
      </c>
      <c r="P71" s="288">
        <v>11</v>
      </c>
      <c r="Q71" s="288">
        <v>12</v>
      </c>
      <c r="R71" s="288">
        <v>13</v>
      </c>
      <c r="S71" s="288">
        <v>14</v>
      </c>
      <c r="T71" s="288">
        <v>15</v>
      </c>
      <c r="U71" s="288">
        <v>16</v>
      </c>
      <c r="V71" s="288">
        <v>17</v>
      </c>
      <c r="W71" s="288">
        <v>18</v>
      </c>
      <c r="X71" s="288">
        <v>19</v>
      </c>
      <c r="Y71" s="288">
        <v>20</v>
      </c>
      <c r="Z71" s="288">
        <v>21</v>
      </c>
      <c r="AA71" s="288">
        <v>22</v>
      </c>
      <c r="AB71" s="288">
        <v>23</v>
      </c>
      <c r="AC71" s="288">
        <v>24</v>
      </c>
      <c r="AD71" s="288">
        <v>25</v>
      </c>
      <c r="AE71" s="288">
        <v>26</v>
      </c>
      <c r="AF71" s="288">
        <v>27</v>
      </c>
      <c r="AG71" s="288">
        <v>28</v>
      </c>
      <c r="AH71" s="288">
        <v>29</v>
      </c>
      <c r="AI71" s="288">
        <v>30</v>
      </c>
      <c r="AJ71" s="288">
        <v>31</v>
      </c>
      <c r="AK71" s="288">
        <v>32</v>
      </c>
      <c r="AL71" s="288">
        <v>33</v>
      </c>
      <c r="AM71" s="288">
        <v>34</v>
      </c>
      <c r="AN71" s="288">
        <v>35</v>
      </c>
      <c r="AO71" s="288">
        <v>36</v>
      </c>
      <c r="AP71" s="288">
        <v>37</v>
      </c>
      <c r="AQ71" s="288">
        <v>38</v>
      </c>
      <c r="AR71" s="288">
        <v>39</v>
      </c>
      <c r="AS71" s="288">
        <v>40</v>
      </c>
      <c r="AT71" s="288">
        <v>41</v>
      </c>
      <c r="AU71" s="288">
        <v>42</v>
      </c>
      <c r="AV71" s="288">
        <v>43</v>
      </c>
      <c r="AW71" s="288">
        <v>44</v>
      </c>
      <c r="AX71" s="288">
        <v>45</v>
      </c>
      <c r="AY71" s="288">
        <v>46</v>
      </c>
      <c r="AZ71" s="288">
        <v>47</v>
      </c>
      <c r="BA71" s="289">
        <v>48</v>
      </c>
    </row>
    <row r="72" spans="2:53">
      <c r="B72" s="213"/>
      <c r="C72" s="214" t="s">
        <v>349</v>
      </c>
      <c r="D72" s="214"/>
      <c r="E72" s="214"/>
      <c r="F72" s="215">
        <f>参数输入表!$I$47</f>
        <v>0</v>
      </c>
      <c r="G72" s="215">
        <f>参数输入表!$I$48</f>
        <v>0</v>
      </c>
      <c r="H72" s="215">
        <f>参数输入表!$I$49</f>
        <v>0</v>
      </c>
      <c r="I72" s="215">
        <f>参数输入表!$I$50</f>
        <v>0</v>
      </c>
      <c r="J72" s="215">
        <f>参数输入表!$I$51</f>
        <v>0</v>
      </c>
      <c r="K72" s="215">
        <f>参数输入表!$I$52</f>
        <v>0</v>
      </c>
      <c r="L72" s="215">
        <f>参数输入表!$I$53</f>
        <v>0</v>
      </c>
      <c r="M72" s="215">
        <f>参数输入表!$I$54</f>
        <v>0.416666666666667</v>
      </c>
      <c r="N72" s="215">
        <f>参数输入表!$I$55</f>
        <v>1</v>
      </c>
      <c r="O72" s="215">
        <f>参数输入表!$I$56</f>
        <v>1</v>
      </c>
      <c r="P72" s="215">
        <f>参数输入表!$I$57</f>
        <v>1</v>
      </c>
      <c r="Q72" s="215">
        <f>参数输入表!$I$58</f>
        <v>1</v>
      </c>
      <c r="R72" s="215">
        <f>参数输入表!$I$59</f>
        <v>1</v>
      </c>
      <c r="S72" s="215">
        <f>参数输入表!$I$60</f>
        <v>1</v>
      </c>
      <c r="T72" s="215">
        <f>参数输入表!$I$61</f>
        <v>1</v>
      </c>
      <c r="U72" s="215">
        <f>参数输入表!$I$62</f>
        <v>1</v>
      </c>
      <c r="V72" s="215">
        <f>参数输入表!$I$63</f>
        <v>1</v>
      </c>
      <c r="W72" s="215">
        <f>参数输入表!$I$64</f>
        <v>1</v>
      </c>
      <c r="X72" s="215">
        <f>参数输入表!$I$65</f>
        <v>1</v>
      </c>
      <c r="Y72" s="215">
        <f>参数输入表!$I$66</f>
        <v>1</v>
      </c>
      <c r="Z72" s="215">
        <f>参数输入表!$I$67</f>
        <v>1</v>
      </c>
      <c r="AA72" s="215">
        <f>参数输入表!$I$68</f>
        <v>1</v>
      </c>
      <c r="AB72" s="215">
        <f>参数输入表!$I$69</f>
        <v>1</v>
      </c>
      <c r="AC72" s="215">
        <f>参数输入表!$I$70</f>
        <v>1</v>
      </c>
      <c r="AD72" s="215">
        <f>参数输入表!$I$71</f>
        <v>1</v>
      </c>
      <c r="AE72" s="215">
        <f>参数输入表!$I$72</f>
        <v>1</v>
      </c>
      <c r="AF72" s="215">
        <f>参数输入表!$I$73</f>
        <v>1</v>
      </c>
      <c r="AG72" s="215">
        <f>参数输入表!$I$74</f>
        <v>1</v>
      </c>
      <c r="AH72" s="215">
        <f>参数输入表!$I$75</f>
        <v>1</v>
      </c>
      <c r="AI72" s="215">
        <f>参数输入表!$I$76</f>
        <v>1</v>
      </c>
      <c r="AJ72" s="215">
        <f>参数输入表!$I$77</f>
        <v>1</v>
      </c>
      <c r="AK72" s="215">
        <f>参数输入表!$I$78</f>
        <v>1</v>
      </c>
      <c r="AL72" s="215">
        <f>参数输入表!$I$79</f>
        <v>1</v>
      </c>
      <c r="AM72" s="215">
        <f>参数输入表!$I$80</f>
        <v>1</v>
      </c>
      <c r="AN72" s="215">
        <f>参数输入表!$I$81</f>
        <v>1</v>
      </c>
      <c r="AO72" s="215">
        <f>参数输入表!$I$82</f>
        <v>1</v>
      </c>
      <c r="AP72" s="215">
        <f>参数输入表!$I$83</f>
        <v>1</v>
      </c>
      <c r="AQ72" s="215">
        <f>参数输入表!$I$84</f>
        <v>1</v>
      </c>
      <c r="AR72" s="215">
        <f>参数输入表!$I$85</f>
        <v>1</v>
      </c>
      <c r="AS72" s="215">
        <f>参数输入表!$I$86</f>
        <v>1</v>
      </c>
      <c r="AT72" s="215">
        <f>参数输入表!$I$87</f>
        <v>1</v>
      </c>
      <c r="AU72" s="215">
        <f>参数输入表!$I$88</f>
        <v>1</v>
      </c>
      <c r="AV72" s="215">
        <f>参数输入表!$I$89</f>
        <v>1</v>
      </c>
      <c r="AW72" s="215">
        <f>参数输入表!$I$90</f>
        <v>1</v>
      </c>
      <c r="AX72" s="215">
        <f>参数输入表!$I$91</f>
        <v>1</v>
      </c>
      <c r="AY72" s="215">
        <f>参数输入表!$I$92</f>
        <v>1</v>
      </c>
      <c r="AZ72" s="215">
        <f>参数输入表!$I$93</f>
        <v>1</v>
      </c>
      <c r="BA72" s="216">
        <f>参数输入表!$I$94</f>
        <v>0.583333333333333</v>
      </c>
    </row>
    <row r="73" spans="2:53">
      <c r="B73" s="290" t="s">
        <v>675</v>
      </c>
      <c r="C73" s="291" t="s">
        <v>786</v>
      </c>
      <c r="D73" s="292">
        <f>SUM(F73:BA73)</f>
        <v>2784922.41151674</v>
      </c>
      <c r="E73" s="293" t="s">
        <v>130</v>
      </c>
      <c r="F73" s="292">
        <f t="shared" ref="F73:BA73" si="27">F74+F87+F88+F90</f>
        <v>0</v>
      </c>
      <c r="G73" s="292">
        <f t="shared" si="27"/>
        <v>0</v>
      </c>
      <c r="H73" s="292">
        <f t="shared" si="27"/>
        <v>0</v>
      </c>
      <c r="I73" s="292">
        <f t="shared" si="27"/>
        <v>0</v>
      </c>
      <c r="J73" s="292">
        <f t="shared" si="27"/>
        <v>0</v>
      </c>
      <c r="K73" s="292">
        <f t="shared" si="27"/>
        <v>0</v>
      </c>
      <c r="L73" s="292">
        <f t="shared" si="27"/>
        <v>0</v>
      </c>
      <c r="M73" s="292">
        <f t="shared" si="27"/>
        <v>28818.0084532993</v>
      </c>
      <c r="N73" s="292">
        <f t="shared" si="27"/>
        <v>70010.5602879184</v>
      </c>
      <c r="O73" s="292">
        <f t="shared" si="27"/>
        <v>69510.5602879184</v>
      </c>
      <c r="P73" s="292">
        <f t="shared" si="27"/>
        <v>69510.5602879184</v>
      </c>
      <c r="Q73" s="292">
        <f t="shared" si="27"/>
        <v>69510.5602879184</v>
      </c>
      <c r="R73" s="292">
        <f t="shared" si="27"/>
        <v>69510.5602879184</v>
      </c>
      <c r="S73" s="292">
        <f t="shared" si="27"/>
        <v>70010.5602879184</v>
      </c>
      <c r="T73" s="292">
        <f t="shared" si="27"/>
        <v>69510.5602879184</v>
      </c>
      <c r="U73" s="292">
        <f t="shared" si="27"/>
        <v>69510.5602879184</v>
      </c>
      <c r="V73" s="292">
        <f t="shared" si="27"/>
        <v>69510.5602879184</v>
      </c>
      <c r="W73" s="292">
        <f t="shared" si="27"/>
        <v>69510.5602879184</v>
      </c>
      <c r="X73" s="292">
        <f t="shared" si="27"/>
        <v>70010.5602879184</v>
      </c>
      <c r="Y73" s="292">
        <f t="shared" si="27"/>
        <v>69510.5602879184</v>
      </c>
      <c r="Z73" s="292">
        <f t="shared" si="27"/>
        <v>69510.5602879184</v>
      </c>
      <c r="AA73" s="292">
        <f t="shared" si="27"/>
        <v>69510.5602879184</v>
      </c>
      <c r="AB73" s="292">
        <f t="shared" si="27"/>
        <v>69510.5602879184</v>
      </c>
      <c r="AC73" s="292">
        <f t="shared" si="27"/>
        <v>70010.5602879184</v>
      </c>
      <c r="AD73" s="292">
        <f t="shared" si="27"/>
        <v>69510.5602879184</v>
      </c>
      <c r="AE73" s="292">
        <f t="shared" si="27"/>
        <v>69510.5602879184</v>
      </c>
      <c r="AF73" s="292">
        <f t="shared" si="27"/>
        <v>69510.5602879184</v>
      </c>
      <c r="AG73" s="292">
        <f t="shared" si="27"/>
        <v>69510.5602879184</v>
      </c>
      <c r="AH73" s="292">
        <f t="shared" si="27"/>
        <v>70010.5602879184</v>
      </c>
      <c r="AI73" s="292">
        <f t="shared" si="27"/>
        <v>69510.5602879184</v>
      </c>
      <c r="AJ73" s="292">
        <f t="shared" si="27"/>
        <v>69510.5602879184</v>
      </c>
      <c r="AK73" s="292">
        <f t="shared" si="27"/>
        <v>69510.5602879184</v>
      </c>
      <c r="AL73" s="292">
        <f t="shared" si="27"/>
        <v>69510.5602879184</v>
      </c>
      <c r="AM73" s="292">
        <f t="shared" si="27"/>
        <v>70010.5602879184</v>
      </c>
      <c r="AN73" s="292">
        <f t="shared" si="27"/>
        <v>69510.5602879184</v>
      </c>
      <c r="AO73" s="292">
        <f t="shared" si="27"/>
        <v>69510.5602879184</v>
      </c>
      <c r="AP73" s="292">
        <f t="shared" si="27"/>
        <v>69510.5602879184</v>
      </c>
      <c r="AQ73" s="292">
        <f t="shared" si="27"/>
        <v>69510.5602879184</v>
      </c>
      <c r="AR73" s="292">
        <f t="shared" si="27"/>
        <v>70010.5602879184</v>
      </c>
      <c r="AS73" s="292">
        <f t="shared" si="27"/>
        <v>69510.5602879184</v>
      </c>
      <c r="AT73" s="292">
        <f t="shared" si="27"/>
        <v>69510.5602879184</v>
      </c>
      <c r="AU73" s="292">
        <f t="shared" si="27"/>
        <v>69510.5602879184</v>
      </c>
      <c r="AV73" s="292">
        <f t="shared" si="27"/>
        <v>69510.5602879184</v>
      </c>
      <c r="AW73" s="292">
        <f t="shared" si="27"/>
        <v>70010.5602879184</v>
      </c>
      <c r="AX73" s="292">
        <f t="shared" si="27"/>
        <v>69510.5602879184</v>
      </c>
      <c r="AY73" s="292">
        <f t="shared" si="27"/>
        <v>70010.5602879184</v>
      </c>
      <c r="AZ73" s="292">
        <f t="shared" si="27"/>
        <v>69510.5602879184</v>
      </c>
      <c r="BA73" s="294">
        <f t="shared" si="27"/>
        <v>40692.5518346191</v>
      </c>
    </row>
    <row r="74" spans="2:53">
      <c r="B74" s="213">
        <v>1</v>
      </c>
      <c r="C74" s="295" t="s">
        <v>787</v>
      </c>
      <c r="D74" s="292">
        <f>SUM(F74:BA74)</f>
        <v>2712700.46701434</v>
      </c>
      <c r="E74" s="293" t="s">
        <v>130</v>
      </c>
      <c r="F74" s="292">
        <f>SUM(F75:F76)+SUM(F79:F86)</f>
        <v>0</v>
      </c>
      <c r="G74" s="292">
        <f t="shared" ref="G74:BA74" si="28">SUM(G75:G76)+SUM(G79:G86)</f>
        <v>0</v>
      </c>
      <c r="H74" s="292">
        <f t="shared" si="28"/>
        <v>0</v>
      </c>
      <c r="I74" s="292">
        <f t="shared" si="28"/>
        <v>0</v>
      </c>
      <c r="J74" s="292">
        <f t="shared" si="28"/>
        <v>0</v>
      </c>
      <c r="K74" s="292">
        <f t="shared" si="28"/>
        <v>0</v>
      </c>
      <c r="L74" s="292">
        <f t="shared" si="28"/>
        <v>0</v>
      </c>
      <c r="M74" s="292">
        <f t="shared" si="28"/>
        <v>28065.6965313994</v>
      </c>
      <c r="N74" s="292">
        <f t="shared" si="28"/>
        <v>68205.0116753586</v>
      </c>
      <c r="O74" s="292">
        <f t="shared" si="28"/>
        <v>67705.0116753586</v>
      </c>
      <c r="P74" s="292">
        <f t="shared" si="28"/>
        <v>67705.0116753586</v>
      </c>
      <c r="Q74" s="292">
        <f t="shared" si="28"/>
        <v>67705.0116753586</v>
      </c>
      <c r="R74" s="292">
        <f t="shared" si="28"/>
        <v>67705.0116753586</v>
      </c>
      <c r="S74" s="292">
        <f t="shared" si="28"/>
        <v>68205.0116753586</v>
      </c>
      <c r="T74" s="292">
        <f t="shared" si="28"/>
        <v>67705.0116753586</v>
      </c>
      <c r="U74" s="292">
        <f t="shared" si="28"/>
        <v>67705.0116753586</v>
      </c>
      <c r="V74" s="292">
        <f t="shared" si="28"/>
        <v>67705.0116753586</v>
      </c>
      <c r="W74" s="292">
        <f t="shared" si="28"/>
        <v>67705.0116753586</v>
      </c>
      <c r="X74" s="292">
        <f t="shared" si="28"/>
        <v>68205.0116753586</v>
      </c>
      <c r="Y74" s="292">
        <f t="shared" si="28"/>
        <v>67705.0116753586</v>
      </c>
      <c r="Z74" s="292">
        <f t="shared" si="28"/>
        <v>67705.0116753586</v>
      </c>
      <c r="AA74" s="292">
        <f t="shared" si="28"/>
        <v>67705.0116753586</v>
      </c>
      <c r="AB74" s="292">
        <f t="shared" si="28"/>
        <v>67705.0116753586</v>
      </c>
      <c r="AC74" s="292">
        <f t="shared" si="28"/>
        <v>68205.0116753586</v>
      </c>
      <c r="AD74" s="292">
        <f t="shared" si="28"/>
        <v>67705.0116753586</v>
      </c>
      <c r="AE74" s="292">
        <f t="shared" si="28"/>
        <v>67705.0116753586</v>
      </c>
      <c r="AF74" s="292">
        <f t="shared" si="28"/>
        <v>67705.0116753586</v>
      </c>
      <c r="AG74" s="292">
        <f t="shared" si="28"/>
        <v>67705.0116753586</v>
      </c>
      <c r="AH74" s="292">
        <f t="shared" si="28"/>
        <v>68205.0116753586</v>
      </c>
      <c r="AI74" s="292">
        <f t="shared" si="28"/>
        <v>67705.0116753586</v>
      </c>
      <c r="AJ74" s="292">
        <f t="shared" si="28"/>
        <v>67705.0116753586</v>
      </c>
      <c r="AK74" s="292">
        <f t="shared" si="28"/>
        <v>67705.0116753586</v>
      </c>
      <c r="AL74" s="292">
        <f t="shared" si="28"/>
        <v>67705.0116753586</v>
      </c>
      <c r="AM74" s="292">
        <f t="shared" si="28"/>
        <v>68205.0116753586</v>
      </c>
      <c r="AN74" s="292">
        <f t="shared" si="28"/>
        <v>67705.0116753586</v>
      </c>
      <c r="AO74" s="292">
        <f t="shared" si="28"/>
        <v>67705.0116753586</v>
      </c>
      <c r="AP74" s="292">
        <f t="shared" si="28"/>
        <v>67705.0116753586</v>
      </c>
      <c r="AQ74" s="292">
        <f t="shared" si="28"/>
        <v>67705.0116753586</v>
      </c>
      <c r="AR74" s="292">
        <f t="shared" si="28"/>
        <v>68205.0116753586</v>
      </c>
      <c r="AS74" s="292">
        <f t="shared" si="28"/>
        <v>67705.0116753586</v>
      </c>
      <c r="AT74" s="292">
        <f t="shared" si="28"/>
        <v>67705.0116753586</v>
      </c>
      <c r="AU74" s="292">
        <f t="shared" si="28"/>
        <v>67705.0116753586</v>
      </c>
      <c r="AV74" s="292">
        <f t="shared" si="28"/>
        <v>67705.0116753586</v>
      </c>
      <c r="AW74" s="292">
        <f t="shared" si="28"/>
        <v>68205.0116753586</v>
      </c>
      <c r="AX74" s="292">
        <f t="shared" si="28"/>
        <v>67705.0116753586</v>
      </c>
      <c r="AY74" s="292">
        <f t="shared" si="28"/>
        <v>68205.0116753586</v>
      </c>
      <c r="AZ74" s="292">
        <f t="shared" si="28"/>
        <v>67705.0116753586</v>
      </c>
      <c r="BA74" s="294">
        <f t="shared" si="28"/>
        <v>39639.3151439592</v>
      </c>
    </row>
    <row r="75" spans="2:53">
      <c r="B75" s="296">
        <v>1.1</v>
      </c>
      <c r="C75" s="297" t="s">
        <v>241</v>
      </c>
      <c r="D75" s="298">
        <f>SUM(F75:BA75)</f>
        <v>11200</v>
      </c>
      <c r="E75" s="293" t="s">
        <v>130</v>
      </c>
      <c r="F75" s="298">
        <f>参数输入表!$I$380*参数输入表!$I$382*F72</f>
        <v>0</v>
      </c>
      <c r="G75" s="298">
        <f>参数输入表!$I$380*参数输入表!$I$382*G72</f>
        <v>0</v>
      </c>
      <c r="H75" s="298">
        <f>参数输入表!$I$380*参数输入表!$I$382*H72</f>
        <v>0</v>
      </c>
      <c r="I75" s="298">
        <f>参数输入表!$I$380*参数输入表!$I$382*I72</f>
        <v>0</v>
      </c>
      <c r="J75" s="298">
        <f>参数输入表!$I$380*参数输入表!$I$382*J72</f>
        <v>0</v>
      </c>
      <c r="K75" s="298">
        <f>参数输入表!$I$380*参数输入表!$I$382*K72</f>
        <v>0</v>
      </c>
      <c r="L75" s="298">
        <f>参数输入表!$I$380*参数输入表!$I$382*L72</f>
        <v>0</v>
      </c>
      <c r="M75" s="298">
        <f>参数输入表!$I$380*参数输入表!$I$382*M72</f>
        <v>116.666666666667</v>
      </c>
      <c r="N75" s="298">
        <f>参数输入表!$I$380*参数输入表!$I$382*N72</f>
        <v>280</v>
      </c>
      <c r="O75" s="298">
        <f>参数输入表!$I$380*参数输入表!$I$382*O72</f>
        <v>280</v>
      </c>
      <c r="P75" s="298">
        <f>参数输入表!$I$380*参数输入表!$I$382*P72</f>
        <v>280</v>
      </c>
      <c r="Q75" s="298">
        <f>参数输入表!$I$380*参数输入表!$I$382*Q72</f>
        <v>280</v>
      </c>
      <c r="R75" s="298">
        <f>参数输入表!$I$380*参数输入表!$I$382*R72</f>
        <v>280</v>
      </c>
      <c r="S75" s="298">
        <f>参数输入表!$I$380*参数输入表!$I$382*S72</f>
        <v>280</v>
      </c>
      <c r="T75" s="298">
        <f>参数输入表!$I$380*参数输入表!$I$382*T72</f>
        <v>280</v>
      </c>
      <c r="U75" s="298">
        <f>参数输入表!$I$380*参数输入表!$I$382*U72</f>
        <v>280</v>
      </c>
      <c r="V75" s="298">
        <f>参数输入表!$I$380*参数输入表!$I$382*V72</f>
        <v>280</v>
      </c>
      <c r="W75" s="298">
        <f>参数输入表!$I$380*参数输入表!$I$382*W72</f>
        <v>280</v>
      </c>
      <c r="X75" s="298">
        <f>参数输入表!$I$380*参数输入表!$I$382*X72</f>
        <v>280</v>
      </c>
      <c r="Y75" s="298">
        <f>参数输入表!$I$380*参数输入表!$I$382*Y72</f>
        <v>280</v>
      </c>
      <c r="Z75" s="298">
        <f>参数输入表!$I$380*参数输入表!$I$382*Z72</f>
        <v>280</v>
      </c>
      <c r="AA75" s="298">
        <f>参数输入表!$I$380*参数输入表!$I$382*AA72</f>
        <v>280</v>
      </c>
      <c r="AB75" s="298">
        <f>参数输入表!$I$380*参数输入表!$I$382*AB72</f>
        <v>280</v>
      </c>
      <c r="AC75" s="298">
        <f>参数输入表!$I$380*参数输入表!$I$382*AC72</f>
        <v>280</v>
      </c>
      <c r="AD75" s="298">
        <f>参数输入表!$I$380*参数输入表!$I$382*AD72</f>
        <v>280</v>
      </c>
      <c r="AE75" s="298">
        <f>参数输入表!$I$380*参数输入表!$I$382*AE72</f>
        <v>280</v>
      </c>
      <c r="AF75" s="298">
        <f>参数输入表!$I$380*参数输入表!$I$382*AF72</f>
        <v>280</v>
      </c>
      <c r="AG75" s="298">
        <f>参数输入表!$I$380*参数输入表!$I$382*AG72</f>
        <v>280</v>
      </c>
      <c r="AH75" s="298">
        <f>参数输入表!$I$380*参数输入表!$I$382*AH72</f>
        <v>280</v>
      </c>
      <c r="AI75" s="298">
        <f>参数输入表!$I$380*参数输入表!$I$382*AI72</f>
        <v>280</v>
      </c>
      <c r="AJ75" s="298">
        <f>参数输入表!$I$380*参数输入表!$I$382*AJ72</f>
        <v>280</v>
      </c>
      <c r="AK75" s="298">
        <f>参数输入表!$I$380*参数输入表!$I$382*AK72</f>
        <v>280</v>
      </c>
      <c r="AL75" s="298">
        <f>参数输入表!$I$380*参数输入表!$I$382*AL72</f>
        <v>280</v>
      </c>
      <c r="AM75" s="298">
        <f>参数输入表!$I$380*参数输入表!$I$382*AM72</f>
        <v>280</v>
      </c>
      <c r="AN75" s="298">
        <f>参数输入表!$I$380*参数输入表!$I$382*AN72</f>
        <v>280</v>
      </c>
      <c r="AO75" s="298">
        <f>参数输入表!$I$380*参数输入表!$I$382*AO72</f>
        <v>280</v>
      </c>
      <c r="AP75" s="298">
        <f>参数输入表!$I$380*参数输入表!$I$382*AP72</f>
        <v>280</v>
      </c>
      <c r="AQ75" s="298">
        <f>参数输入表!$I$380*参数输入表!$I$382*AQ72</f>
        <v>280</v>
      </c>
      <c r="AR75" s="298">
        <f>参数输入表!$I$380*参数输入表!$I$382*AR72</f>
        <v>280</v>
      </c>
      <c r="AS75" s="298">
        <f>参数输入表!$I$380*参数输入表!$I$382*AS72</f>
        <v>280</v>
      </c>
      <c r="AT75" s="298">
        <f>参数输入表!$I$380*参数输入表!$I$382*AT72</f>
        <v>280</v>
      </c>
      <c r="AU75" s="298">
        <f>参数输入表!$I$380*参数输入表!$I$382*AU72</f>
        <v>280</v>
      </c>
      <c r="AV75" s="298">
        <f>参数输入表!$I$380*参数输入表!$I$382*AV72</f>
        <v>280</v>
      </c>
      <c r="AW75" s="298">
        <f>参数输入表!$I$380*参数输入表!$I$382*AW72</f>
        <v>280</v>
      </c>
      <c r="AX75" s="298">
        <f>参数输入表!$I$380*参数输入表!$I$382*AX72</f>
        <v>280</v>
      </c>
      <c r="AY75" s="298">
        <f>参数输入表!$I$380*参数输入表!$I$382*AY72</f>
        <v>280</v>
      </c>
      <c r="AZ75" s="298">
        <f>参数输入表!$I$380*参数输入表!$I$382*AZ72</f>
        <v>280</v>
      </c>
      <c r="BA75" s="299">
        <f>参数输入表!$I$380*参数输入表!$I$382*BA72</f>
        <v>163.333333333333</v>
      </c>
    </row>
    <row r="76" spans="2:53">
      <c r="B76" s="296">
        <v>1.2</v>
      </c>
      <c r="C76" s="297" t="s">
        <v>282</v>
      </c>
      <c r="D76" s="298">
        <f t="shared" ref="D76:D88" si="29">SUM(F76:BA76)</f>
        <v>2015474.39999999</v>
      </c>
      <c r="E76" s="293" t="s">
        <v>130</v>
      </c>
      <c r="F76" s="298">
        <f>F77*F78</f>
        <v>0</v>
      </c>
      <c r="G76" s="298">
        <f t="shared" ref="G76:BA76" si="30">G77*G78</f>
        <v>0</v>
      </c>
      <c r="H76" s="298">
        <f t="shared" si="30"/>
        <v>0</v>
      </c>
      <c r="I76" s="298">
        <f t="shared" si="30"/>
        <v>0</v>
      </c>
      <c r="J76" s="298">
        <f t="shared" si="30"/>
        <v>0</v>
      </c>
      <c r="K76" s="298">
        <f t="shared" si="30"/>
        <v>0</v>
      </c>
      <c r="L76" s="298">
        <f t="shared" si="30"/>
        <v>0</v>
      </c>
      <c r="M76" s="298">
        <f t="shared" si="30"/>
        <v>20994.5249999999</v>
      </c>
      <c r="N76" s="298">
        <f t="shared" si="30"/>
        <v>50386.8599999998</v>
      </c>
      <c r="O76" s="298">
        <f t="shared" si="30"/>
        <v>50386.8599999998</v>
      </c>
      <c r="P76" s="298">
        <f t="shared" si="30"/>
        <v>50386.8599999998</v>
      </c>
      <c r="Q76" s="298">
        <f t="shared" si="30"/>
        <v>50386.8599999998</v>
      </c>
      <c r="R76" s="298">
        <f t="shared" si="30"/>
        <v>50386.8599999998</v>
      </c>
      <c r="S76" s="298">
        <f t="shared" si="30"/>
        <v>50386.8599999998</v>
      </c>
      <c r="T76" s="298">
        <f t="shared" si="30"/>
        <v>50386.8599999998</v>
      </c>
      <c r="U76" s="298">
        <f t="shared" si="30"/>
        <v>50386.8599999998</v>
      </c>
      <c r="V76" s="298">
        <f t="shared" si="30"/>
        <v>50386.8599999998</v>
      </c>
      <c r="W76" s="298">
        <f t="shared" si="30"/>
        <v>50386.8599999998</v>
      </c>
      <c r="X76" s="298">
        <f t="shared" si="30"/>
        <v>50386.8599999998</v>
      </c>
      <c r="Y76" s="298">
        <f t="shared" si="30"/>
        <v>50386.8599999998</v>
      </c>
      <c r="Z76" s="298">
        <f t="shared" si="30"/>
        <v>50386.8599999998</v>
      </c>
      <c r="AA76" s="298">
        <f t="shared" si="30"/>
        <v>50386.8599999998</v>
      </c>
      <c r="AB76" s="298">
        <f t="shared" si="30"/>
        <v>50386.8599999998</v>
      </c>
      <c r="AC76" s="298">
        <f t="shared" si="30"/>
        <v>50386.8599999998</v>
      </c>
      <c r="AD76" s="298">
        <f t="shared" si="30"/>
        <v>50386.8599999998</v>
      </c>
      <c r="AE76" s="298">
        <f t="shared" si="30"/>
        <v>50386.8599999998</v>
      </c>
      <c r="AF76" s="298">
        <f t="shared" si="30"/>
        <v>50386.8599999998</v>
      </c>
      <c r="AG76" s="298">
        <f t="shared" si="30"/>
        <v>50386.8599999998</v>
      </c>
      <c r="AH76" s="298">
        <f t="shared" si="30"/>
        <v>50386.8599999998</v>
      </c>
      <c r="AI76" s="298">
        <f t="shared" si="30"/>
        <v>50386.8599999998</v>
      </c>
      <c r="AJ76" s="298">
        <f t="shared" si="30"/>
        <v>50386.8599999998</v>
      </c>
      <c r="AK76" s="298">
        <f t="shared" si="30"/>
        <v>50386.8599999998</v>
      </c>
      <c r="AL76" s="298">
        <f t="shared" si="30"/>
        <v>50386.8599999998</v>
      </c>
      <c r="AM76" s="298">
        <f t="shared" si="30"/>
        <v>50386.8599999998</v>
      </c>
      <c r="AN76" s="298">
        <f t="shared" si="30"/>
        <v>50386.8599999998</v>
      </c>
      <c r="AO76" s="298">
        <f t="shared" si="30"/>
        <v>50386.8599999998</v>
      </c>
      <c r="AP76" s="298">
        <f t="shared" si="30"/>
        <v>50386.8599999998</v>
      </c>
      <c r="AQ76" s="298">
        <f t="shared" si="30"/>
        <v>50386.8599999998</v>
      </c>
      <c r="AR76" s="298">
        <f t="shared" si="30"/>
        <v>50386.8599999998</v>
      </c>
      <c r="AS76" s="298">
        <f t="shared" si="30"/>
        <v>50386.8599999998</v>
      </c>
      <c r="AT76" s="298">
        <f t="shared" si="30"/>
        <v>50386.8599999998</v>
      </c>
      <c r="AU76" s="298">
        <f t="shared" si="30"/>
        <v>50386.8599999998</v>
      </c>
      <c r="AV76" s="298">
        <f t="shared" si="30"/>
        <v>50386.8599999998</v>
      </c>
      <c r="AW76" s="298">
        <f t="shared" si="30"/>
        <v>50386.8599999998</v>
      </c>
      <c r="AX76" s="298">
        <f t="shared" si="30"/>
        <v>50386.8599999998</v>
      </c>
      <c r="AY76" s="298">
        <f t="shared" si="30"/>
        <v>50386.8599999998</v>
      </c>
      <c r="AZ76" s="298">
        <f t="shared" si="30"/>
        <v>50386.8599999998</v>
      </c>
      <c r="BA76" s="299">
        <f t="shared" si="30"/>
        <v>29392.3349999999</v>
      </c>
    </row>
    <row r="77" spans="2:53">
      <c r="B77" s="296"/>
      <c r="C77" s="260" t="s">
        <v>286</v>
      </c>
      <c r="D77" s="261">
        <f t="shared" ref="D77" si="31">SUM(F77:BA77)</f>
        <v>8730666.66666664</v>
      </c>
      <c r="E77" s="262" t="s">
        <v>758</v>
      </c>
      <c r="F77" s="261">
        <f>参数输入表!$I$503*1000/10000</f>
        <v>0</v>
      </c>
      <c r="G77" s="261">
        <f>参数输入表!$I$504*1000/10000</f>
        <v>0</v>
      </c>
      <c r="H77" s="261">
        <f>参数输入表!$I$505*1000/10000</f>
        <v>0</v>
      </c>
      <c r="I77" s="261">
        <f>参数输入表!$I$506*1000/10000</f>
        <v>0</v>
      </c>
      <c r="J77" s="261">
        <f>参数输入表!$I$507*1000/10000</f>
        <v>0</v>
      </c>
      <c r="K77" s="261">
        <f>参数输入表!$I$508*1000/10000</f>
        <v>0</v>
      </c>
      <c r="L77" s="261">
        <f>参数输入表!$I$509*1000/10000</f>
        <v>0</v>
      </c>
      <c r="M77" s="261">
        <f>参数输入表!$I$510*1000/10000</f>
        <v>90944.4444444441</v>
      </c>
      <c r="N77" s="261">
        <f>参数输入表!$I$511*1000/10000</f>
        <v>218266.666666666</v>
      </c>
      <c r="O77" s="261">
        <f>参数输入表!$I$512*1000/10000</f>
        <v>218266.666666666</v>
      </c>
      <c r="P77" s="261">
        <f>参数输入表!$I$513*1000/10000</f>
        <v>218266.666666666</v>
      </c>
      <c r="Q77" s="261">
        <f>参数输入表!$I$514*1000/10000</f>
        <v>218266.666666666</v>
      </c>
      <c r="R77" s="261">
        <f>参数输入表!$I$515*1000/10000</f>
        <v>218266.666666666</v>
      </c>
      <c r="S77" s="261">
        <f>参数输入表!$I$516*1000/10000</f>
        <v>218266.666666666</v>
      </c>
      <c r="T77" s="261">
        <f>参数输入表!$I$517*1000/10000</f>
        <v>218266.666666666</v>
      </c>
      <c r="U77" s="261">
        <f>参数输入表!$I$518*1000/10000</f>
        <v>218266.666666666</v>
      </c>
      <c r="V77" s="261">
        <f>参数输入表!$I$519*1000/10000</f>
        <v>218266.666666666</v>
      </c>
      <c r="W77" s="261">
        <f>参数输入表!$I$520*1000/10000</f>
        <v>218266.666666666</v>
      </c>
      <c r="X77" s="261">
        <f>参数输入表!$I$521*1000/10000</f>
        <v>218266.666666666</v>
      </c>
      <c r="Y77" s="261">
        <f>参数输入表!$I$522*1000/10000</f>
        <v>218266.666666666</v>
      </c>
      <c r="Z77" s="261">
        <f>参数输入表!$I$523*1000/10000</f>
        <v>218266.666666666</v>
      </c>
      <c r="AA77" s="261">
        <f>参数输入表!$I$524*1000/10000</f>
        <v>218266.666666666</v>
      </c>
      <c r="AB77" s="261">
        <f>参数输入表!$I$525*1000/10000</f>
        <v>218266.666666666</v>
      </c>
      <c r="AC77" s="261">
        <f>参数输入表!$I$526*1000/10000</f>
        <v>218266.666666666</v>
      </c>
      <c r="AD77" s="261">
        <f>参数输入表!$I$527*1000/10000</f>
        <v>218266.666666666</v>
      </c>
      <c r="AE77" s="261">
        <f>参数输入表!$I$528*1000/10000</f>
        <v>218266.666666666</v>
      </c>
      <c r="AF77" s="261">
        <f>参数输入表!$I$529*1000/10000</f>
        <v>218266.666666666</v>
      </c>
      <c r="AG77" s="261">
        <f>参数输入表!$I$530*1000/10000</f>
        <v>218266.666666666</v>
      </c>
      <c r="AH77" s="261">
        <f>参数输入表!$I$531*1000/10000</f>
        <v>218266.666666666</v>
      </c>
      <c r="AI77" s="261">
        <f>参数输入表!$I$532*1000/10000</f>
        <v>218266.666666666</v>
      </c>
      <c r="AJ77" s="261">
        <f>参数输入表!$I$533*1000/10000</f>
        <v>218266.666666666</v>
      </c>
      <c r="AK77" s="261">
        <f>参数输入表!$I$534*1000/10000</f>
        <v>218266.666666666</v>
      </c>
      <c r="AL77" s="261">
        <f>参数输入表!$I$535*1000/10000</f>
        <v>218266.666666666</v>
      </c>
      <c r="AM77" s="261">
        <f>参数输入表!$I$536*1000/10000</f>
        <v>218266.666666666</v>
      </c>
      <c r="AN77" s="261">
        <f>参数输入表!$I$537*1000/10000</f>
        <v>218266.666666666</v>
      </c>
      <c r="AO77" s="261">
        <f>参数输入表!$I$538*1000/10000</f>
        <v>218266.666666666</v>
      </c>
      <c r="AP77" s="261">
        <f>参数输入表!$I$539*1000/10000</f>
        <v>218266.666666666</v>
      </c>
      <c r="AQ77" s="261">
        <f>参数输入表!$I$540*1000/10000</f>
        <v>218266.666666666</v>
      </c>
      <c r="AR77" s="261">
        <f>参数输入表!$I$541*1000/10000</f>
        <v>218266.666666666</v>
      </c>
      <c r="AS77" s="261">
        <f>参数输入表!$I$542*1000/10000</f>
        <v>218266.666666666</v>
      </c>
      <c r="AT77" s="261">
        <f>参数输入表!$I$543*1000/10000</f>
        <v>218266.666666666</v>
      </c>
      <c r="AU77" s="261">
        <f>参数输入表!$I$544*1000/10000</f>
        <v>218266.666666666</v>
      </c>
      <c r="AV77" s="261">
        <f>参数输入表!$I$545*1000/10000</f>
        <v>218266.666666666</v>
      </c>
      <c r="AW77" s="261">
        <f>参数输入表!$I$546*1000/10000</f>
        <v>218266.666666666</v>
      </c>
      <c r="AX77" s="261">
        <f>参数输入表!$I$547*1000/10000</f>
        <v>218266.666666666</v>
      </c>
      <c r="AY77" s="261">
        <f>参数输入表!$I$548*1000/10000</f>
        <v>218266.666666666</v>
      </c>
      <c r="AZ77" s="261">
        <f>参数输入表!$I$549*1000/10000</f>
        <v>218266.666666666</v>
      </c>
      <c r="BA77" s="263">
        <f>参数输入表!$I$550*1000/10000</f>
        <v>127322.222222222</v>
      </c>
    </row>
    <row r="78" spans="2:53">
      <c r="B78" s="296"/>
      <c r="C78" s="260" t="s">
        <v>287</v>
      </c>
      <c r="D78" s="261"/>
      <c r="E78" s="262" t="s">
        <v>127</v>
      </c>
      <c r="F78" s="264">
        <f>参数输入表!$I$552</f>
        <v>0.23085</v>
      </c>
      <c r="G78" s="264">
        <f>参数输入表!$I$553</f>
        <v>0.23085</v>
      </c>
      <c r="H78" s="264">
        <f>参数输入表!$I$554</f>
        <v>0.23085</v>
      </c>
      <c r="I78" s="264">
        <f>参数输入表!$I$555</f>
        <v>0.23085</v>
      </c>
      <c r="J78" s="264">
        <f>参数输入表!$I$556</f>
        <v>0.23085</v>
      </c>
      <c r="K78" s="264">
        <f>参数输入表!$I$557</f>
        <v>0.23085</v>
      </c>
      <c r="L78" s="264">
        <f>参数输入表!$I$558</f>
        <v>0.23085</v>
      </c>
      <c r="M78" s="264">
        <f>参数输入表!$I$559</f>
        <v>0.23085</v>
      </c>
      <c r="N78" s="264">
        <f>参数输入表!$I$560</f>
        <v>0.23085</v>
      </c>
      <c r="O78" s="264">
        <f>参数输入表!$I$561</f>
        <v>0.23085</v>
      </c>
      <c r="P78" s="264">
        <f>参数输入表!$I$562</f>
        <v>0.23085</v>
      </c>
      <c r="Q78" s="264">
        <f>参数输入表!$I$563</f>
        <v>0.23085</v>
      </c>
      <c r="R78" s="264">
        <f>参数输入表!$I$564</f>
        <v>0.23085</v>
      </c>
      <c r="S78" s="264">
        <f>参数输入表!$I$565</f>
        <v>0.23085</v>
      </c>
      <c r="T78" s="264">
        <f>参数输入表!$I$566</f>
        <v>0.23085</v>
      </c>
      <c r="U78" s="264">
        <f>参数输入表!$I$567</f>
        <v>0.23085</v>
      </c>
      <c r="V78" s="264">
        <f>参数输入表!$I$568</f>
        <v>0.23085</v>
      </c>
      <c r="W78" s="264">
        <f>参数输入表!$I$569</f>
        <v>0.23085</v>
      </c>
      <c r="X78" s="264">
        <f>参数输入表!$I$570</f>
        <v>0.23085</v>
      </c>
      <c r="Y78" s="264">
        <f>参数输入表!$I$571</f>
        <v>0.23085</v>
      </c>
      <c r="Z78" s="264">
        <f>参数输入表!$I$572</f>
        <v>0.23085</v>
      </c>
      <c r="AA78" s="264">
        <f>参数输入表!$I$573</f>
        <v>0.23085</v>
      </c>
      <c r="AB78" s="264">
        <f>参数输入表!$I$574</f>
        <v>0.23085</v>
      </c>
      <c r="AC78" s="264">
        <f>参数输入表!$I$575</f>
        <v>0.23085</v>
      </c>
      <c r="AD78" s="264">
        <f>参数输入表!$I$576</f>
        <v>0.23085</v>
      </c>
      <c r="AE78" s="264">
        <f>参数输入表!$I$577</f>
        <v>0.23085</v>
      </c>
      <c r="AF78" s="264">
        <f>参数输入表!$I$578</f>
        <v>0.23085</v>
      </c>
      <c r="AG78" s="264">
        <f>参数输入表!$I$579</f>
        <v>0.23085</v>
      </c>
      <c r="AH78" s="264">
        <f>参数输入表!$I$580</f>
        <v>0.23085</v>
      </c>
      <c r="AI78" s="264">
        <f>参数输入表!$I$581</f>
        <v>0.23085</v>
      </c>
      <c r="AJ78" s="264">
        <f>参数输入表!$I$582</f>
        <v>0.23085</v>
      </c>
      <c r="AK78" s="264">
        <f>参数输入表!$I$583</f>
        <v>0.23085</v>
      </c>
      <c r="AL78" s="264">
        <f>参数输入表!$I$584</f>
        <v>0.23085</v>
      </c>
      <c r="AM78" s="264">
        <f>参数输入表!$I$585</f>
        <v>0.23085</v>
      </c>
      <c r="AN78" s="264">
        <f>参数输入表!$I$586</f>
        <v>0.23085</v>
      </c>
      <c r="AO78" s="264">
        <f>参数输入表!$I$587</f>
        <v>0.23085</v>
      </c>
      <c r="AP78" s="264">
        <f>参数输入表!$I$588</f>
        <v>0.23085</v>
      </c>
      <c r="AQ78" s="264">
        <f>参数输入表!$I$589</f>
        <v>0.23085</v>
      </c>
      <c r="AR78" s="264">
        <f>参数输入表!$I$590</f>
        <v>0.23085</v>
      </c>
      <c r="AS78" s="264">
        <f>参数输入表!$I$591</f>
        <v>0.23085</v>
      </c>
      <c r="AT78" s="264">
        <f>参数输入表!$I$592</f>
        <v>0.23085</v>
      </c>
      <c r="AU78" s="264">
        <f>参数输入表!$I$593</f>
        <v>0.23085</v>
      </c>
      <c r="AV78" s="264">
        <f>参数输入表!$I$594</f>
        <v>0.23085</v>
      </c>
      <c r="AW78" s="264">
        <f>参数输入表!$I$595</f>
        <v>0.23085</v>
      </c>
      <c r="AX78" s="264">
        <f>参数输入表!$I$596</f>
        <v>0.23085</v>
      </c>
      <c r="AY78" s="264">
        <f>参数输入表!$I$597</f>
        <v>0.23085</v>
      </c>
      <c r="AZ78" s="264">
        <f>参数输入表!$I$598</f>
        <v>0.23085</v>
      </c>
      <c r="BA78" s="265">
        <f>参数输入表!$I$599</f>
        <v>0.23085</v>
      </c>
    </row>
    <row r="79" spans="2:53">
      <c r="B79" s="296">
        <v>1.3</v>
      </c>
      <c r="C79" s="297" t="s">
        <v>288</v>
      </c>
      <c r="D79" s="298">
        <f t="shared" si="29"/>
        <v>11668.4</v>
      </c>
      <c r="E79" s="293" t="s">
        <v>130</v>
      </c>
      <c r="F79" s="272">
        <f>IF(F71-参数输入表!$I$4&gt;0,参数输入表!$I$602,0)</f>
        <v>0</v>
      </c>
      <c r="G79" s="272">
        <f>IF(G71-参数输入表!$I$4&gt;0,参数输入表!$I$602,0)</f>
        <v>0</v>
      </c>
      <c r="H79" s="272">
        <f>IF(H71-参数输入表!$I$4&gt;0,参数输入表!$I$602,0)</f>
        <v>0</v>
      </c>
      <c r="I79" s="272">
        <f>IF(I71-参数输入表!$I$4&gt;0,参数输入表!$I$602,0)</f>
        <v>0</v>
      </c>
      <c r="J79" s="272">
        <f>IF(J71-参数输入表!$I$4&gt;0,参数输入表!$I$602,0)</f>
        <v>0</v>
      </c>
      <c r="K79" s="272">
        <f>IF(K71-参数输入表!$I$4&gt;0,参数输入表!$I$602,0)</f>
        <v>0</v>
      </c>
      <c r="L79" s="272">
        <f>IF(L71-参数输入表!$I$4&gt;0,参数输入表!$I$602,0)</f>
        <v>0</v>
      </c>
      <c r="M79" s="272">
        <f>IF(M71-参数输入表!$I$4&gt;0,参数输入表!$I$602,0)</f>
        <v>0</v>
      </c>
      <c r="N79" s="272">
        <f>IF(N71-参数输入表!$I$4&gt;0,参数输入表!$I$602,0)</f>
        <v>291.71</v>
      </c>
      <c r="O79" s="272">
        <f>IF(O71-参数输入表!$I$4&gt;0,参数输入表!$I$602,0)</f>
        <v>291.71</v>
      </c>
      <c r="P79" s="272">
        <f>IF(P71-参数输入表!$I$4&gt;0,参数输入表!$I$602,0)</f>
        <v>291.71</v>
      </c>
      <c r="Q79" s="272">
        <f>IF(Q71-参数输入表!$I$4&gt;0,参数输入表!$I$602,0)</f>
        <v>291.71</v>
      </c>
      <c r="R79" s="272">
        <f>IF(R71-参数输入表!$I$4&gt;0,参数输入表!$I$602,0)</f>
        <v>291.71</v>
      </c>
      <c r="S79" s="272">
        <f>IF(S71-参数输入表!$I$4&gt;0,参数输入表!$I$602,0)</f>
        <v>291.71</v>
      </c>
      <c r="T79" s="272">
        <f>IF(T71-参数输入表!$I$4&gt;0,参数输入表!$I$602,0)</f>
        <v>291.71</v>
      </c>
      <c r="U79" s="272">
        <f>IF(U71-参数输入表!$I$4&gt;0,参数输入表!$I$602,0)</f>
        <v>291.71</v>
      </c>
      <c r="V79" s="272">
        <f>IF(V71-参数输入表!$I$4&gt;0,参数输入表!$I$602,0)</f>
        <v>291.71</v>
      </c>
      <c r="W79" s="272">
        <f>IF(W71-参数输入表!$I$4&gt;0,参数输入表!$I$602,0)</f>
        <v>291.71</v>
      </c>
      <c r="X79" s="272">
        <f>IF(X71-参数输入表!$I$4&gt;0,参数输入表!$I$602,0)</f>
        <v>291.71</v>
      </c>
      <c r="Y79" s="272">
        <f>IF(Y71-参数输入表!$I$4&gt;0,参数输入表!$I$602,0)</f>
        <v>291.71</v>
      </c>
      <c r="Z79" s="272">
        <f>IF(Z71-参数输入表!$I$4&gt;0,参数输入表!$I$602,0)</f>
        <v>291.71</v>
      </c>
      <c r="AA79" s="272">
        <f>IF(AA71-参数输入表!$I$4&gt;0,参数输入表!$I$602,0)</f>
        <v>291.71</v>
      </c>
      <c r="AB79" s="272">
        <f>IF(AB71-参数输入表!$I$4&gt;0,参数输入表!$I$602,0)</f>
        <v>291.71</v>
      </c>
      <c r="AC79" s="272">
        <f>IF(AC71-参数输入表!$I$4&gt;0,参数输入表!$I$602,0)</f>
        <v>291.71</v>
      </c>
      <c r="AD79" s="272">
        <f>IF(AD71-参数输入表!$I$4&gt;0,参数输入表!$I$602,0)</f>
        <v>291.71</v>
      </c>
      <c r="AE79" s="272">
        <f>IF(AE71-参数输入表!$I$4&gt;0,参数输入表!$I$602,0)</f>
        <v>291.71</v>
      </c>
      <c r="AF79" s="272">
        <f>IF(AF71-参数输入表!$I$4&gt;0,参数输入表!$I$602,0)</f>
        <v>291.71</v>
      </c>
      <c r="AG79" s="272">
        <f>IF(AG71-参数输入表!$I$4&gt;0,参数输入表!$I$602,0)</f>
        <v>291.71</v>
      </c>
      <c r="AH79" s="272">
        <f>IF(AH71-参数输入表!$I$4&gt;0,参数输入表!$I$602,0)</f>
        <v>291.71</v>
      </c>
      <c r="AI79" s="272">
        <f>IF(AI71-参数输入表!$I$4&gt;0,参数输入表!$I$602,0)</f>
        <v>291.71</v>
      </c>
      <c r="AJ79" s="272">
        <f>IF(AJ71-参数输入表!$I$4&gt;0,参数输入表!$I$602,0)</f>
        <v>291.71</v>
      </c>
      <c r="AK79" s="272">
        <f>IF(AK71-参数输入表!$I$4&gt;0,参数输入表!$I$602,0)</f>
        <v>291.71</v>
      </c>
      <c r="AL79" s="272">
        <f>IF(AL71-参数输入表!$I$4&gt;0,参数输入表!$I$602,0)</f>
        <v>291.71</v>
      </c>
      <c r="AM79" s="272">
        <f>IF(AM71-参数输入表!$I$4&gt;0,参数输入表!$I$602,0)</f>
        <v>291.71</v>
      </c>
      <c r="AN79" s="272">
        <f>IF(AN71-参数输入表!$I$4&gt;0,参数输入表!$I$602,0)</f>
        <v>291.71</v>
      </c>
      <c r="AO79" s="272">
        <f>IF(AO71-参数输入表!$I$4&gt;0,参数输入表!$I$602,0)</f>
        <v>291.71</v>
      </c>
      <c r="AP79" s="272">
        <f>IF(AP71-参数输入表!$I$4&gt;0,参数输入表!$I$602,0)</f>
        <v>291.71</v>
      </c>
      <c r="AQ79" s="272">
        <f>IF(AQ71-参数输入表!$I$4&gt;0,参数输入表!$I$602,0)</f>
        <v>291.71</v>
      </c>
      <c r="AR79" s="272">
        <f>IF(AR71-参数输入表!$I$4&gt;0,参数输入表!$I$602,0)</f>
        <v>291.71</v>
      </c>
      <c r="AS79" s="272">
        <f>IF(AS71-参数输入表!$I$4&gt;0,参数输入表!$I$602,0)</f>
        <v>291.71</v>
      </c>
      <c r="AT79" s="272">
        <f>IF(AT71-参数输入表!$I$4&gt;0,参数输入表!$I$602,0)</f>
        <v>291.71</v>
      </c>
      <c r="AU79" s="272">
        <f>IF(AU71-参数输入表!$I$4&gt;0,参数输入表!$I$602,0)</f>
        <v>291.71</v>
      </c>
      <c r="AV79" s="272">
        <f>IF(AV71-参数输入表!$I$4&gt;0,参数输入表!$I$602,0)</f>
        <v>291.71</v>
      </c>
      <c r="AW79" s="272">
        <f>IF(AW71-参数输入表!$I$4&gt;0,参数输入表!$I$602,0)</f>
        <v>291.71</v>
      </c>
      <c r="AX79" s="272">
        <f>IF(AX71-参数输入表!$I$4&gt;0,参数输入表!$I$602,0)</f>
        <v>291.71</v>
      </c>
      <c r="AY79" s="272">
        <f>IF(AY71-参数输入表!$I$4&gt;0,参数输入表!$I$602,0)</f>
        <v>291.71</v>
      </c>
      <c r="AZ79" s="272">
        <f>IF(AZ71-参数输入表!$I$4&gt;0,参数输入表!$I$602,0)</f>
        <v>291.71</v>
      </c>
      <c r="BA79" s="274">
        <f>IF(BA71-参数输入表!$I$4&gt;0,参数输入表!$I$602,0)</f>
        <v>291.71</v>
      </c>
    </row>
    <row r="80" spans="2:53">
      <c r="B80" s="296">
        <v>1.4</v>
      </c>
      <c r="C80" s="297" t="s">
        <v>759</v>
      </c>
      <c r="D80" s="298">
        <f t="shared" si="29"/>
        <v>460.8</v>
      </c>
      <c r="E80" s="293" t="s">
        <v>130</v>
      </c>
      <c r="F80" s="272">
        <f>IF(F71-参数输入表!$I$4&gt;0,参数输入表!$I$605,0)</f>
        <v>0</v>
      </c>
      <c r="G80" s="272">
        <f>IF(G71-参数输入表!$I$4&gt;0,参数输入表!$I$605,0)</f>
        <v>0</v>
      </c>
      <c r="H80" s="272">
        <f>IF(H71-参数输入表!$I$4&gt;0,参数输入表!$I$605,0)</f>
        <v>0</v>
      </c>
      <c r="I80" s="272">
        <f>IF(I71-参数输入表!$I$4&gt;0,参数输入表!$I$605,0)</f>
        <v>0</v>
      </c>
      <c r="J80" s="272">
        <f>IF(J71-参数输入表!$I$4&gt;0,参数输入表!$I$605,0)</f>
        <v>0</v>
      </c>
      <c r="K80" s="272">
        <f>IF(K71-参数输入表!$I$4&gt;0,参数输入表!$I$605,0)</f>
        <v>0</v>
      </c>
      <c r="L80" s="272">
        <f>IF(L71-参数输入表!$I$4&gt;0,参数输入表!$I$605,0)</f>
        <v>0</v>
      </c>
      <c r="M80" s="272">
        <f>IF(M71-参数输入表!$I$4&gt;0,参数输入表!$I$605,0)</f>
        <v>0</v>
      </c>
      <c r="N80" s="272">
        <f>IF(N71-参数输入表!$I$4&gt;0,参数输入表!$I$605,0)</f>
        <v>11.52</v>
      </c>
      <c r="O80" s="272">
        <f>IF(O71-参数输入表!$I$4&gt;0,参数输入表!$I$605,0)</f>
        <v>11.52</v>
      </c>
      <c r="P80" s="272">
        <f>IF(P71-参数输入表!$I$4&gt;0,参数输入表!$I$605,0)</f>
        <v>11.52</v>
      </c>
      <c r="Q80" s="272">
        <f>IF(Q71-参数输入表!$I$4&gt;0,参数输入表!$I$605,0)</f>
        <v>11.52</v>
      </c>
      <c r="R80" s="272">
        <f>IF(R71-参数输入表!$I$4&gt;0,参数输入表!$I$605,0)</f>
        <v>11.52</v>
      </c>
      <c r="S80" s="272">
        <f>IF(S71-参数输入表!$I$4&gt;0,参数输入表!$I$605,0)</f>
        <v>11.52</v>
      </c>
      <c r="T80" s="272">
        <f>IF(T71-参数输入表!$I$4&gt;0,参数输入表!$I$605,0)</f>
        <v>11.52</v>
      </c>
      <c r="U80" s="272">
        <f>IF(U71-参数输入表!$I$4&gt;0,参数输入表!$I$605,0)</f>
        <v>11.52</v>
      </c>
      <c r="V80" s="272">
        <f>IF(V71-参数输入表!$I$4&gt;0,参数输入表!$I$605,0)</f>
        <v>11.52</v>
      </c>
      <c r="W80" s="272">
        <f>IF(W71-参数输入表!$I$4&gt;0,参数输入表!$I$605,0)</f>
        <v>11.52</v>
      </c>
      <c r="X80" s="272">
        <f>IF(X71-参数输入表!$I$4&gt;0,参数输入表!$I$605,0)</f>
        <v>11.52</v>
      </c>
      <c r="Y80" s="272">
        <f>IF(Y71-参数输入表!$I$4&gt;0,参数输入表!$I$605,0)</f>
        <v>11.52</v>
      </c>
      <c r="Z80" s="272">
        <f>IF(Z71-参数输入表!$I$4&gt;0,参数输入表!$I$605,0)</f>
        <v>11.52</v>
      </c>
      <c r="AA80" s="272">
        <f>IF(AA71-参数输入表!$I$4&gt;0,参数输入表!$I$605,0)</f>
        <v>11.52</v>
      </c>
      <c r="AB80" s="272">
        <f>IF(AB71-参数输入表!$I$4&gt;0,参数输入表!$I$605,0)</f>
        <v>11.52</v>
      </c>
      <c r="AC80" s="272">
        <f>IF(AC71-参数输入表!$I$4&gt;0,参数输入表!$I$605,0)</f>
        <v>11.52</v>
      </c>
      <c r="AD80" s="272">
        <f>IF(AD71-参数输入表!$I$4&gt;0,参数输入表!$I$605,0)</f>
        <v>11.52</v>
      </c>
      <c r="AE80" s="272">
        <f>IF(AE71-参数输入表!$I$4&gt;0,参数输入表!$I$605,0)</f>
        <v>11.52</v>
      </c>
      <c r="AF80" s="272">
        <f>IF(AF71-参数输入表!$I$4&gt;0,参数输入表!$I$605,0)</f>
        <v>11.52</v>
      </c>
      <c r="AG80" s="272">
        <f>IF(AG71-参数输入表!$I$4&gt;0,参数输入表!$I$605,0)</f>
        <v>11.52</v>
      </c>
      <c r="AH80" s="272">
        <f>IF(AH71-参数输入表!$I$4&gt;0,参数输入表!$I$605,0)</f>
        <v>11.52</v>
      </c>
      <c r="AI80" s="272">
        <f>IF(AI71-参数输入表!$I$4&gt;0,参数输入表!$I$605,0)</f>
        <v>11.52</v>
      </c>
      <c r="AJ80" s="272">
        <f>IF(AJ71-参数输入表!$I$4&gt;0,参数输入表!$I$605,0)</f>
        <v>11.52</v>
      </c>
      <c r="AK80" s="272">
        <f>IF(AK71-参数输入表!$I$4&gt;0,参数输入表!$I$605,0)</f>
        <v>11.52</v>
      </c>
      <c r="AL80" s="272">
        <f>IF(AL71-参数输入表!$I$4&gt;0,参数输入表!$I$605,0)</f>
        <v>11.52</v>
      </c>
      <c r="AM80" s="272">
        <f>IF(AM71-参数输入表!$I$4&gt;0,参数输入表!$I$605,0)</f>
        <v>11.52</v>
      </c>
      <c r="AN80" s="272">
        <f>IF(AN71-参数输入表!$I$4&gt;0,参数输入表!$I$605,0)</f>
        <v>11.52</v>
      </c>
      <c r="AO80" s="272">
        <f>IF(AO71-参数输入表!$I$4&gt;0,参数输入表!$I$605,0)</f>
        <v>11.52</v>
      </c>
      <c r="AP80" s="272">
        <f>IF(AP71-参数输入表!$I$4&gt;0,参数输入表!$I$605,0)</f>
        <v>11.52</v>
      </c>
      <c r="AQ80" s="272">
        <f>IF(AQ71-参数输入表!$I$4&gt;0,参数输入表!$I$605,0)</f>
        <v>11.52</v>
      </c>
      <c r="AR80" s="272">
        <f>IF(AR71-参数输入表!$I$4&gt;0,参数输入表!$I$605,0)</f>
        <v>11.52</v>
      </c>
      <c r="AS80" s="272">
        <f>IF(AS71-参数输入表!$I$4&gt;0,参数输入表!$I$605,0)</f>
        <v>11.52</v>
      </c>
      <c r="AT80" s="272">
        <f>IF(AT71-参数输入表!$I$4&gt;0,参数输入表!$I$605,0)</f>
        <v>11.52</v>
      </c>
      <c r="AU80" s="272">
        <f>IF(AU71-参数输入表!$I$4&gt;0,参数输入表!$I$605,0)</f>
        <v>11.52</v>
      </c>
      <c r="AV80" s="272">
        <f>IF(AV71-参数输入表!$I$4&gt;0,参数输入表!$I$605,0)</f>
        <v>11.52</v>
      </c>
      <c r="AW80" s="272">
        <f>IF(AW71-参数输入表!$I$4&gt;0,参数输入表!$I$605,0)</f>
        <v>11.52</v>
      </c>
      <c r="AX80" s="272">
        <f>IF(AX71-参数输入表!$I$4&gt;0,参数输入表!$I$605,0)</f>
        <v>11.52</v>
      </c>
      <c r="AY80" s="272">
        <f>IF(AY71-参数输入表!$I$4&gt;0,参数输入表!$I$605,0)</f>
        <v>11.52</v>
      </c>
      <c r="AZ80" s="272">
        <f>IF(AZ71-参数输入表!$I$4&gt;0,参数输入表!$I$605,0)</f>
        <v>11.52</v>
      </c>
      <c r="BA80" s="274">
        <f>IF(BA71-参数输入表!$I$4&gt;0,参数输入表!$I$605,0)</f>
        <v>11.52</v>
      </c>
    </row>
    <row r="81" spans="2:53">
      <c r="B81" s="296">
        <v>1.5</v>
      </c>
      <c r="C81" s="297" t="s">
        <v>294</v>
      </c>
      <c r="D81" s="298">
        <f t="shared" si="29"/>
        <v>1764.4</v>
      </c>
      <c r="E81" s="293" t="s">
        <v>130</v>
      </c>
      <c r="F81" s="272">
        <f>IF(F71-参数输入表!$I$4&gt;0,参数输入表!$I$608,0)</f>
        <v>0</v>
      </c>
      <c r="G81" s="272">
        <f>IF(G71-参数输入表!$I$4&gt;0,参数输入表!$I$608,0)</f>
        <v>0</v>
      </c>
      <c r="H81" s="272">
        <f>IF(H71-参数输入表!$I$4&gt;0,参数输入表!$I$608,0)</f>
        <v>0</v>
      </c>
      <c r="I81" s="272">
        <f>IF(I71-参数输入表!$I$4&gt;0,参数输入表!$I$608,0)</f>
        <v>0</v>
      </c>
      <c r="J81" s="272">
        <f>IF(J71-参数输入表!$I$4&gt;0,参数输入表!$I$608,0)</f>
        <v>0</v>
      </c>
      <c r="K81" s="272">
        <f>IF(K71-参数输入表!$I$4&gt;0,参数输入表!$I$608,0)</f>
        <v>0</v>
      </c>
      <c r="L81" s="272">
        <f>IF(L71-参数输入表!$I$4&gt;0,参数输入表!$I$608,0)</f>
        <v>0</v>
      </c>
      <c r="M81" s="272">
        <f>IF(M71-参数输入表!$I$4&gt;0,参数输入表!$I$608,0)</f>
        <v>0</v>
      </c>
      <c r="N81" s="272">
        <f>IF(N71-参数输入表!$I$4&gt;0,参数输入表!$I$608,0)</f>
        <v>44.11</v>
      </c>
      <c r="O81" s="272">
        <f>IF(O71-参数输入表!$I$4&gt;0,参数输入表!$I$608,0)</f>
        <v>44.11</v>
      </c>
      <c r="P81" s="272">
        <f>IF(P71-参数输入表!$I$4&gt;0,参数输入表!$I$608,0)</f>
        <v>44.11</v>
      </c>
      <c r="Q81" s="272">
        <f>IF(Q71-参数输入表!$I$4&gt;0,参数输入表!$I$608,0)</f>
        <v>44.11</v>
      </c>
      <c r="R81" s="272">
        <f>IF(R71-参数输入表!$I$4&gt;0,参数输入表!$I$608,0)</f>
        <v>44.11</v>
      </c>
      <c r="S81" s="272">
        <f>IF(S71-参数输入表!$I$4&gt;0,参数输入表!$I$608,0)</f>
        <v>44.11</v>
      </c>
      <c r="T81" s="272">
        <f>IF(T71-参数输入表!$I$4&gt;0,参数输入表!$I$608,0)</f>
        <v>44.11</v>
      </c>
      <c r="U81" s="272">
        <f>IF(U71-参数输入表!$I$4&gt;0,参数输入表!$I$608,0)</f>
        <v>44.11</v>
      </c>
      <c r="V81" s="272">
        <f>IF(V71-参数输入表!$I$4&gt;0,参数输入表!$I$608,0)</f>
        <v>44.11</v>
      </c>
      <c r="W81" s="272">
        <f>IF(W71-参数输入表!$I$4&gt;0,参数输入表!$I$608,0)</f>
        <v>44.11</v>
      </c>
      <c r="X81" s="272">
        <f>IF(X71-参数输入表!$I$4&gt;0,参数输入表!$I$608,0)</f>
        <v>44.11</v>
      </c>
      <c r="Y81" s="272">
        <f>IF(Y71-参数输入表!$I$4&gt;0,参数输入表!$I$608,0)</f>
        <v>44.11</v>
      </c>
      <c r="Z81" s="272">
        <f>IF(Z71-参数输入表!$I$4&gt;0,参数输入表!$I$608,0)</f>
        <v>44.11</v>
      </c>
      <c r="AA81" s="272">
        <f>IF(AA71-参数输入表!$I$4&gt;0,参数输入表!$I$608,0)</f>
        <v>44.11</v>
      </c>
      <c r="AB81" s="272">
        <f>IF(AB71-参数输入表!$I$4&gt;0,参数输入表!$I$608,0)</f>
        <v>44.11</v>
      </c>
      <c r="AC81" s="272">
        <f>IF(AC71-参数输入表!$I$4&gt;0,参数输入表!$I$608,0)</f>
        <v>44.11</v>
      </c>
      <c r="AD81" s="272">
        <f>IF(AD71-参数输入表!$I$4&gt;0,参数输入表!$I$608,0)</f>
        <v>44.11</v>
      </c>
      <c r="AE81" s="272">
        <f>IF(AE71-参数输入表!$I$4&gt;0,参数输入表!$I$608,0)</f>
        <v>44.11</v>
      </c>
      <c r="AF81" s="272">
        <f>IF(AF71-参数输入表!$I$4&gt;0,参数输入表!$I$608,0)</f>
        <v>44.11</v>
      </c>
      <c r="AG81" s="272">
        <f>IF(AG71-参数输入表!$I$4&gt;0,参数输入表!$I$608,0)</f>
        <v>44.11</v>
      </c>
      <c r="AH81" s="272">
        <f>IF(AH71-参数输入表!$I$4&gt;0,参数输入表!$I$608,0)</f>
        <v>44.11</v>
      </c>
      <c r="AI81" s="272">
        <f>IF(AI71-参数输入表!$I$4&gt;0,参数输入表!$I$608,0)</f>
        <v>44.11</v>
      </c>
      <c r="AJ81" s="272">
        <f>IF(AJ71-参数输入表!$I$4&gt;0,参数输入表!$I$608,0)</f>
        <v>44.11</v>
      </c>
      <c r="AK81" s="272">
        <f>IF(AK71-参数输入表!$I$4&gt;0,参数输入表!$I$608,0)</f>
        <v>44.11</v>
      </c>
      <c r="AL81" s="272">
        <f>IF(AL71-参数输入表!$I$4&gt;0,参数输入表!$I$608,0)</f>
        <v>44.11</v>
      </c>
      <c r="AM81" s="272">
        <f>IF(AM71-参数输入表!$I$4&gt;0,参数输入表!$I$608,0)</f>
        <v>44.11</v>
      </c>
      <c r="AN81" s="272">
        <f>IF(AN71-参数输入表!$I$4&gt;0,参数输入表!$I$608,0)</f>
        <v>44.11</v>
      </c>
      <c r="AO81" s="272">
        <f>IF(AO71-参数输入表!$I$4&gt;0,参数输入表!$I$608,0)</f>
        <v>44.11</v>
      </c>
      <c r="AP81" s="272">
        <f>IF(AP71-参数输入表!$I$4&gt;0,参数输入表!$I$608,0)</f>
        <v>44.11</v>
      </c>
      <c r="AQ81" s="272">
        <f>IF(AQ71-参数输入表!$I$4&gt;0,参数输入表!$I$608,0)</f>
        <v>44.11</v>
      </c>
      <c r="AR81" s="272">
        <f>IF(AR71-参数输入表!$I$4&gt;0,参数输入表!$I$608,0)</f>
        <v>44.11</v>
      </c>
      <c r="AS81" s="272">
        <f>IF(AS71-参数输入表!$I$4&gt;0,参数输入表!$I$608,0)</f>
        <v>44.11</v>
      </c>
      <c r="AT81" s="272">
        <f>IF(AT71-参数输入表!$I$4&gt;0,参数输入表!$I$608,0)</f>
        <v>44.11</v>
      </c>
      <c r="AU81" s="272">
        <f>IF(AU71-参数输入表!$I$4&gt;0,参数输入表!$I$608,0)</f>
        <v>44.11</v>
      </c>
      <c r="AV81" s="272">
        <f>IF(AV71-参数输入表!$I$4&gt;0,参数输入表!$I$608,0)</f>
        <v>44.11</v>
      </c>
      <c r="AW81" s="272">
        <f>IF(AW71-参数输入表!$I$4&gt;0,参数输入表!$I$608,0)</f>
        <v>44.11</v>
      </c>
      <c r="AX81" s="272">
        <f>IF(AX71-参数输入表!$I$4&gt;0,参数输入表!$I$608,0)</f>
        <v>44.11</v>
      </c>
      <c r="AY81" s="272">
        <f>IF(AY71-参数输入表!$I$4&gt;0,参数输入表!$I$608,0)</f>
        <v>44.11</v>
      </c>
      <c r="AZ81" s="272">
        <f>IF(AZ71-参数输入表!$I$4&gt;0,参数输入表!$I$608,0)</f>
        <v>44.11</v>
      </c>
      <c r="BA81" s="274">
        <f>IF(BA71-参数输入表!$I$4&gt;0,参数输入表!$I$608,0)</f>
        <v>44.11</v>
      </c>
    </row>
    <row r="82" spans="2:53">
      <c r="B82" s="296">
        <v>1.6</v>
      </c>
      <c r="C82" s="297" t="s">
        <v>255</v>
      </c>
      <c r="D82" s="298">
        <f t="shared" si="29"/>
        <v>433331.667014352</v>
      </c>
      <c r="E82" s="293" t="s">
        <v>130</v>
      </c>
      <c r="F82" s="298">
        <f>参数输入表!$I$386*参数输入表!$I$435</f>
        <v>0</v>
      </c>
      <c r="G82" s="298">
        <f>参数输入表!$I$387*参数输入表!$I$435</f>
        <v>0</v>
      </c>
      <c r="H82" s="298">
        <f>参数输入表!$I$388*参数输入表!$I$435</f>
        <v>0</v>
      </c>
      <c r="I82" s="298">
        <f>参数输入表!$I$389*参数输入表!$I$435</f>
        <v>0</v>
      </c>
      <c r="J82" s="298">
        <f>参数输入表!$I$390*参数输入表!$I$435</f>
        <v>0</v>
      </c>
      <c r="K82" s="298">
        <f>参数输入表!$I$391*参数输入表!$I$435</f>
        <v>0</v>
      </c>
      <c r="L82" s="298">
        <f>参数输入表!$I$392*参数输入表!$I$435</f>
        <v>0</v>
      </c>
      <c r="M82" s="298">
        <f>参数输入表!$I$393*参数输入表!$I$435</f>
        <v>4513.8715313995</v>
      </c>
      <c r="N82" s="298">
        <f>参数输入表!$I$394*参数输入表!$I$435</f>
        <v>10833.2916753588</v>
      </c>
      <c r="O82" s="298">
        <f>参数输入表!$I$395*参数输入表!$I$435</f>
        <v>10833.2916753588</v>
      </c>
      <c r="P82" s="298">
        <f>参数输入表!$I$396*参数输入表!$I$435</f>
        <v>10833.2916753588</v>
      </c>
      <c r="Q82" s="298">
        <f>参数输入表!$I$397*参数输入表!$I$435</f>
        <v>10833.2916753588</v>
      </c>
      <c r="R82" s="298">
        <f>参数输入表!$I$398*参数输入表!$I$435</f>
        <v>10833.2916753588</v>
      </c>
      <c r="S82" s="298">
        <f>参数输入表!$I$399*参数输入表!$I$435</f>
        <v>10833.2916753588</v>
      </c>
      <c r="T82" s="298">
        <f>参数输入表!$I$400*参数输入表!$I$435</f>
        <v>10833.2916753588</v>
      </c>
      <c r="U82" s="298">
        <f>参数输入表!$I$401*参数输入表!$I$435</f>
        <v>10833.2916753588</v>
      </c>
      <c r="V82" s="298">
        <f>参数输入表!$I$402*参数输入表!$I$435</f>
        <v>10833.2916753588</v>
      </c>
      <c r="W82" s="298">
        <f>参数输入表!$I$403*参数输入表!$I$435</f>
        <v>10833.2916753588</v>
      </c>
      <c r="X82" s="298">
        <f>参数输入表!$I$404*参数输入表!$I$435</f>
        <v>10833.2916753588</v>
      </c>
      <c r="Y82" s="298">
        <f>参数输入表!$I$405*参数输入表!$I$435</f>
        <v>10833.2916753588</v>
      </c>
      <c r="Z82" s="298">
        <f>参数输入表!$I$406*参数输入表!$I$435</f>
        <v>10833.2916753588</v>
      </c>
      <c r="AA82" s="298">
        <f>参数输入表!$I$407*参数输入表!$I$435</f>
        <v>10833.2916753588</v>
      </c>
      <c r="AB82" s="298">
        <f>参数输入表!$I$408*参数输入表!$I$435</f>
        <v>10833.2916753588</v>
      </c>
      <c r="AC82" s="298">
        <f>参数输入表!$I$409*参数输入表!$I$435</f>
        <v>10833.2916753588</v>
      </c>
      <c r="AD82" s="298">
        <f>参数输入表!$I$410*参数输入表!$I$435</f>
        <v>10833.2916753588</v>
      </c>
      <c r="AE82" s="298">
        <f>参数输入表!$I$411*参数输入表!$I$435</f>
        <v>10833.2916753588</v>
      </c>
      <c r="AF82" s="298">
        <f>参数输入表!$I$412*参数输入表!$I$435</f>
        <v>10833.2916753588</v>
      </c>
      <c r="AG82" s="298">
        <f>参数输入表!$I$413*参数输入表!$I$435</f>
        <v>10833.2916753588</v>
      </c>
      <c r="AH82" s="298">
        <f>参数输入表!$I$414*参数输入表!$I$435</f>
        <v>10833.2916753588</v>
      </c>
      <c r="AI82" s="298">
        <f>参数输入表!$I$415*参数输入表!$I$435</f>
        <v>10833.2916753588</v>
      </c>
      <c r="AJ82" s="298">
        <f>参数输入表!$I$416*参数输入表!$I$435</f>
        <v>10833.2916753588</v>
      </c>
      <c r="AK82" s="298">
        <f>参数输入表!$I$417*参数输入表!$I$435</f>
        <v>10833.2916753588</v>
      </c>
      <c r="AL82" s="298">
        <f>参数输入表!$I$418*参数输入表!$I$435</f>
        <v>10833.2916753588</v>
      </c>
      <c r="AM82" s="298">
        <f>参数输入表!$I$419*参数输入表!$I$435</f>
        <v>10833.2916753588</v>
      </c>
      <c r="AN82" s="298">
        <f>参数输入表!$I$420*参数输入表!$I$435</f>
        <v>10833.2916753588</v>
      </c>
      <c r="AO82" s="298">
        <f>参数输入表!$I$421*参数输入表!$I$435</f>
        <v>10833.2916753588</v>
      </c>
      <c r="AP82" s="298">
        <f>参数输入表!$I$422*参数输入表!$I$435</f>
        <v>10833.2916753588</v>
      </c>
      <c r="AQ82" s="298">
        <f>参数输入表!$I$423*参数输入表!$I$435</f>
        <v>10833.2916753588</v>
      </c>
      <c r="AR82" s="298">
        <f>参数输入表!$I$424*参数输入表!$I$435</f>
        <v>10833.2916753588</v>
      </c>
      <c r="AS82" s="298">
        <f>参数输入表!$I$425*参数输入表!$I$435</f>
        <v>10833.2916753588</v>
      </c>
      <c r="AT82" s="298">
        <f>参数输入表!$I$426*参数输入表!$I$435</f>
        <v>10833.2916753588</v>
      </c>
      <c r="AU82" s="298">
        <f>参数输入表!$I$427*参数输入表!$I$435</f>
        <v>10833.2916753588</v>
      </c>
      <c r="AV82" s="298">
        <f>参数输入表!$I$428*参数输入表!$I$435</f>
        <v>10833.2916753588</v>
      </c>
      <c r="AW82" s="298">
        <f>参数输入表!$I$429*参数输入表!$I$435</f>
        <v>10833.2916753588</v>
      </c>
      <c r="AX82" s="298">
        <f>参数输入表!$I$430*参数输入表!$I$435</f>
        <v>10833.2916753588</v>
      </c>
      <c r="AY82" s="298">
        <f>参数输入表!$I$431*参数输入表!$I$435</f>
        <v>10833.2916753588</v>
      </c>
      <c r="AZ82" s="298">
        <f>参数输入表!$I$432*参数输入表!$I$435</f>
        <v>10833.2916753588</v>
      </c>
      <c r="BA82" s="299">
        <f>参数输入表!$I$433*参数输入表!$I$435</f>
        <v>6319.4201439593</v>
      </c>
    </row>
    <row r="83" spans="2:53">
      <c r="B83" s="296">
        <v>1.7</v>
      </c>
      <c r="C83" s="300" t="s">
        <v>269</v>
      </c>
      <c r="D83" s="298">
        <f t="shared" si="29"/>
        <v>111100.8</v>
      </c>
      <c r="E83" s="293" t="s">
        <v>130</v>
      </c>
      <c r="F83" s="298">
        <f>(参数输入表!$I$492*参数输入表!$I$495+参数输入表!$I$493*参数输入表!$I$496)*(1+参数输入表!$I$497)*(1+参数输入表!$I$498*(F71-参数输入表!$I$25))*F72</f>
        <v>0</v>
      </c>
      <c r="G83" s="298">
        <f>(参数输入表!$I$492*参数输入表!$I$495+参数输入表!$I$493*参数输入表!$I$496)*(1+参数输入表!$I$497)*(1+参数输入表!$I$498*(G71-参数输入表!$I$25))*G72</f>
        <v>0</v>
      </c>
      <c r="H83" s="298">
        <f>(参数输入表!$I$492*参数输入表!$I$495+参数输入表!$I$493*参数输入表!$I$496)*(1+参数输入表!$I$497)*(1+参数输入表!$I$498*(H71-参数输入表!$I$25))*H72</f>
        <v>0</v>
      </c>
      <c r="I83" s="298">
        <f>(参数输入表!$I$492*参数输入表!$I$495+参数输入表!$I$493*参数输入表!$I$496)*(1+参数输入表!$I$497)*(1+参数输入表!$I$498*(I71-参数输入表!$I$25))*I72</f>
        <v>0</v>
      </c>
      <c r="J83" s="298">
        <f>(参数输入表!$I$492*参数输入表!$I$495+参数输入表!$I$493*参数输入表!$I$496)*(1+参数输入表!$I$497)*(1+参数输入表!$I$498*(J71-参数输入表!$I$25))*J72</f>
        <v>0</v>
      </c>
      <c r="K83" s="298">
        <f>(参数输入表!$I$492*参数输入表!$I$495+参数输入表!$I$493*参数输入表!$I$496)*(1+参数输入表!$I$497)*(1+参数输入表!$I$498*(K71-参数输入表!$I$25))*K72</f>
        <v>0</v>
      </c>
      <c r="L83" s="298">
        <f>(参数输入表!$I$492*参数输入表!$I$495+参数输入表!$I$493*参数输入表!$I$496)*(1+参数输入表!$I$497)*(1+参数输入表!$I$498*(L71-参数输入表!$I$25))*L72</f>
        <v>0</v>
      </c>
      <c r="M83" s="298">
        <f>(参数输入表!$I$492*参数输入表!$I$495+参数输入表!$I$493*参数输入表!$I$496)*(1+参数输入表!$I$497)*(1+参数输入表!$I$498*(M71-参数输入表!$I$25))*M72</f>
        <v>1157.3</v>
      </c>
      <c r="N83" s="298">
        <f>(参数输入表!$I$492*参数输入表!$I$495+参数输入表!$I$493*参数输入表!$I$496)*(1+参数输入表!$I$497)*(1+参数输入表!$I$498*(N71-参数输入表!$I$25))*N72</f>
        <v>2777.52</v>
      </c>
      <c r="O83" s="298">
        <f>(参数输入表!$I$492*参数输入表!$I$495+参数输入表!$I$493*参数输入表!$I$496)*(1+参数输入表!$I$497)*(1+参数输入表!$I$498*(O71-参数输入表!$I$25))*O72</f>
        <v>2777.52</v>
      </c>
      <c r="P83" s="298">
        <f>(参数输入表!$I$492*参数输入表!$I$495+参数输入表!$I$493*参数输入表!$I$496)*(1+参数输入表!$I$497)*(1+参数输入表!$I$498*(P71-参数输入表!$I$25))*P72</f>
        <v>2777.52</v>
      </c>
      <c r="Q83" s="298">
        <f>(参数输入表!$I$492*参数输入表!$I$495+参数输入表!$I$493*参数输入表!$I$496)*(1+参数输入表!$I$497)*(1+参数输入表!$I$498*(Q71-参数输入表!$I$25))*Q72</f>
        <v>2777.52</v>
      </c>
      <c r="R83" s="298">
        <f>(参数输入表!$I$492*参数输入表!$I$495+参数输入表!$I$493*参数输入表!$I$496)*(1+参数输入表!$I$497)*(1+参数输入表!$I$498*(R71-参数输入表!$I$25))*R72</f>
        <v>2777.52</v>
      </c>
      <c r="S83" s="298">
        <f>(参数输入表!$I$492*参数输入表!$I$495+参数输入表!$I$493*参数输入表!$I$496)*(1+参数输入表!$I$497)*(1+参数输入表!$I$498*(S71-参数输入表!$I$25))*S72</f>
        <v>2777.52</v>
      </c>
      <c r="T83" s="298">
        <f>(参数输入表!$I$492*参数输入表!$I$495+参数输入表!$I$493*参数输入表!$I$496)*(1+参数输入表!$I$497)*(1+参数输入表!$I$498*(T71-参数输入表!$I$25))*T72</f>
        <v>2777.52</v>
      </c>
      <c r="U83" s="298">
        <f>(参数输入表!$I$492*参数输入表!$I$495+参数输入表!$I$493*参数输入表!$I$496)*(1+参数输入表!$I$497)*(1+参数输入表!$I$498*(U71-参数输入表!$I$25))*U72</f>
        <v>2777.52</v>
      </c>
      <c r="V83" s="298">
        <f>(参数输入表!$I$492*参数输入表!$I$495+参数输入表!$I$493*参数输入表!$I$496)*(1+参数输入表!$I$497)*(1+参数输入表!$I$498*(V71-参数输入表!$I$25))*V72</f>
        <v>2777.52</v>
      </c>
      <c r="W83" s="298">
        <f>(参数输入表!$I$492*参数输入表!$I$495+参数输入表!$I$493*参数输入表!$I$496)*(1+参数输入表!$I$497)*(1+参数输入表!$I$498*(W71-参数输入表!$I$25))*W72</f>
        <v>2777.52</v>
      </c>
      <c r="X83" s="298">
        <f>(参数输入表!$I$492*参数输入表!$I$495+参数输入表!$I$493*参数输入表!$I$496)*(1+参数输入表!$I$497)*(1+参数输入表!$I$498*(X71-参数输入表!$I$25))*X72</f>
        <v>2777.52</v>
      </c>
      <c r="Y83" s="298">
        <f>(参数输入表!$I$492*参数输入表!$I$495+参数输入表!$I$493*参数输入表!$I$496)*(1+参数输入表!$I$497)*(1+参数输入表!$I$498*(Y71-参数输入表!$I$25))*Y72</f>
        <v>2777.52</v>
      </c>
      <c r="Z83" s="298">
        <f>(参数输入表!$I$492*参数输入表!$I$495+参数输入表!$I$493*参数输入表!$I$496)*(1+参数输入表!$I$497)*(1+参数输入表!$I$498*(Z71-参数输入表!$I$25))*Z72</f>
        <v>2777.52</v>
      </c>
      <c r="AA83" s="298">
        <f>(参数输入表!$I$492*参数输入表!$I$495+参数输入表!$I$493*参数输入表!$I$496)*(1+参数输入表!$I$497)*(1+参数输入表!$I$498*(AA71-参数输入表!$I$25))*AA72</f>
        <v>2777.52</v>
      </c>
      <c r="AB83" s="298">
        <f>(参数输入表!$I$492*参数输入表!$I$495+参数输入表!$I$493*参数输入表!$I$496)*(1+参数输入表!$I$497)*(1+参数输入表!$I$498*(AB71-参数输入表!$I$25))*AB72</f>
        <v>2777.52</v>
      </c>
      <c r="AC83" s="298">
        <f>(参数输入表!$I$492*参数输入表!$I$495+参数输入表!$I$493*参数输入表!$I$496)*(1+参数输入表!$I$497)*(1+参数输入表!$I$498*(AC71-参数输入表!$I$25))*AC72</f>
        <v>2777.52</v>
      </c>
      <c r="AD83" s="298">
        <f>(参数输入表!$I$492*参数输入表!$I$495+参数输入表!$I$493*参数输入表!$I$496)*(1+参数输入表!$I$497)*(1+参数输入表!$I$498*(AD71-参数输入表!$I$25))*AD72</f>
        <v>2777.52</v>
      </c>
      <c r="AE83" s="298">
        <f>(参数输入表!$I$492*参数输入表!$I$495+参数输入表!$I$493*参数输入表!$I$496)*(1+参数输入表!$I$497)*(1+参数输入表!$I$498*(AE71-参数输入表!$I$25))*AE72</f>
        <v>2777.52</v>
      </c>
      <c r="AF83" s="298">
        <f>(参数输入表!$I$492*参数输入表!$I$495+参数输入表!$I$493*参数输入表!$I$496)*(1+参数输入表!$I$497)*(1+参数输入表!$I$498*(AF71-参数输入表!$I$25))*AF72</f>
        <v>2777.52</v>
      </c>
      <c r="AG83" s="298">
        <f>(参数输入表!$I$492*参数输入表!$I$495+参数输入表!$I$493*参数输入表!$I$496)*(1+参数输入表!$I$497)*(1+参数输入表!$I$498*(AG71-参数输入表!$I$25))*AG72</f>
        <v>2777.52</v>
      </c>
      <c r="AH83" s="298">
        <f>(参数输入表!$I$492*参数输入表!$I$495+参数输入表!$I$493*参数输入表!$I$496)*(1+参数输入表!$I$497)*(1+参数输入表!$I$498*(AH71-参数输入表!$I$25))*AH72</f>
        <v>2777.52</v>
      </c>
      <c r="AI83" s="298">
        <f>(参数输入表!$I$492*参数输入表!$I$495+参数输入表!$I$493*参数输入表!$I$496)*(1+参数输入表!$I$497)*(1+参数输入表!$I$498*(AI71-参数输入表!$I$25))*AI72</f>
        <v>2777.52</v>
      </c>
      <c r="AJ83" s="298">
        <f>(参数输入表!$I$492*参数输入表!$I$495+参数输入表!$I$493*参数输入表!$I$496)*(1+参数输入表!$I$497)*(1+参数输入表!$I$498*(AJ71-参数输入表!$I$25))*AJ72</f>
        <v>2777.52</v>
      </c>
      <c r="AK83" s="298">
        <f>(参数输入表!$I$492*参数输入表!$I$495+参数输入表!$I$493*参数输入表!$I$496)*(1+参数输入表!$I$497)*(1+参数输入表!$I$498*(AK71-参数输入表!$I$25))*AK72</f>
        <v>2777.52</v>
      </c>
      <c r="AL83" s="298">
        <f>(参数输入表!$I$492*参数输入表!$I$495+参数输入表!$I$493*参数输入表!$I$496)*(1+参数输入表!$I$497)*(1+参数输入表!$I$498*(AL71-参数输入表!$I$25))*AL72</f>
        <v>2777.52</v>
      </c>
      <c r="AM83" s="298">
        <f>(参数输入表!$I$492*参数输入表!$I$495+参数输入表!$I$493*参数输入表!$I$496)*(1+参数输入表!$I$497)*(1+参数输入表!$I$498*(AM71-参数输入表!$I$25))*AM72</f>
        <v>2777.52</v>
      </c>
      <c r="AN83" s="298">
        <f>(参数输入表!$I$492*参数输入表!$I$495+参数输入表!$I$493*参数输入表!$I$496)*(1+参数输入表!$I$497)*(1+参数输入表!$I$498*(AN71-参数输入表!$I$25))*AN72</f>
        <v>2777.52</v>
      </c>
      <c r="AO83" s="298">
        <f>(参数输入表!$I$492*参数输入表!$I$495+参数输入表!$I$493*参数输入表!$I$496)*(1+参数输入表!$I$497)*(1+参数输入表!$I$498*(AO71-参数输入表!$I$25))*AO72</f>
        <v>2777.52</v>
      </c>
      <c r="AP83" s="298">
        <f>(参数输入表!$I$492*参数输入表!$I$495+参数输入表!$I$493*参数输入表!$I$496)*(1+参数输入表!$I$497)*(1+参数输入表!$I$498*(AP71-参数输入表!$I$25))*AP72</f>
        <v>2777.52</v>
      </c>
      <c r="AQ83" s="298">
        <f>(参数输入表!$I$492*参数输入表!$I$495+参数输入表!$I$493*参数输入表!$I$496)*(1+参数输入表!$I$497)*(1+参数输入表!$I$498*(AQ71-参数输入表!$I$25))*AQ72</f>
        <v>2777.52</v>
      </c>
      <c r="AR83" s="298">
        <f>(参数输入表!$I$492*参数输入表!$I$495+参数输入表!$I$493*参数输入表!$I$496)*(1+参数输入表!$I$497)*(1+参数输入表!$I$498*(AR71-参数输入表!$I$25))*AR72</f>
        <v>2777.52</v>
      </c>
      <c r="AS83" s="298">
        <f>(参数输入表!$I$492*参数输入表!$I$495+参数输入表!$I$493*参数输入表!$I$496)*(1+参数输入表!$I$497)*(1+参数输入表!$I$498*(AS71-参数输入表!$I$25))*AS72</f>
        <v>2777.52</v>
      </c>
      <c r="AT83" s="298">
        <f>(参数输入表!$I$492*参数输入表!$I$495+参数输入表!$I$493*参数输入表!$I$496)*(1+参数输入表!$I$497)*(1+参数输入表!$I$498*(AT71-参数输入表!$I$25))*AT72</f>
        <v>2777.52</v>
      </c>
      <c r="AU83" s="298">
        <f>(参数输入表!$I$492*参数输入表!$I$495+参数输入表!$I$493*参数输入表!$I$496)*(1+参数输入表!$I$497)*(1+参数输入表!$I$498*(AU71-参数输入表!$I$25))*AU72</f>
        <v>2777.52</v>
      </c>
      <c r="AV83" s="298">
        <f>(参数输入表!$I$492*参数输入表!$I$495+参数输入表!$I$493*参数输入表!$I$496)*(1+参数输入表!$I$497)*(1+参数输入表!$I$498*(AV71-参数输入表!$I$25))*AV72</f>
        <v>2777.52</v>
      </c>
      <c r="AW83" s="298">
        <f>(参数输入表!$I$492*参数输入表!$I$495+参数输入表!$I$493*参数输入表!$I$496)*(1+参数输入表!$I$497)*(1+参数输入表!$I$498*(AW71-参数输入表!$I$25))*AW72</f>
        <v>2777.52</v>
      </c>
      <c r="AX83" s="298">
        <f>(参数输入表!$I$492*参数输入表!$I$495+参数输入表!$I$493*参数输入表!$I$496)*(1+参数输入表!$I$497)*(1+参数输入表!$I$498*(AX71-参数输入表!$I$25))*AX72</f>
        <v>2777.52</v>
      </c>
      <c r="AY83" s="298">
        <f>(参数输入表!$I$492*参数输入表!$I$495+参数输入表!$I$493*参数输入表!$I$496)*(1+参数输入表!$I$497)*(1+参数输入表!$I$498*(AY71-参数输入表!$I$25))*AY72</f>
        <v>2777.52</v>
      </c>
      <c r="AZ83" s="298">
        <f>(参数输入表!$I$492*参数输入表!$I$495+参数输入表!$I$493*参数输入表!$I$496)*(1+参数输入表!$I$497)*(1+参数输入表!$I$498*(AZ71-参数输入表!$I$25))*AZ72</f>
        <v>2777.52</v>
      </c>
      <c r="BA83" s="299">
        <f>(参数输入表!$I$492*参数输入表!$I$495+参数输入表!$I$493*参数输入表!$I$496)*(1+参数输入表!$I$497)*(1+参数输入表!$I$498*(BA71-参数输入表!$I$25))*BA72</f>
        <v>1620.22</v>
      </c>
    </row>
    <row r="84" spans="2:53">
      <c r="B84" s="296">
        <v>1.8</v>
      </c>
      <c r="C84" s="300" t="s">
        <v>788</v>
      </c>
      <c r="D84" s="298">
        <f t="shared" si="29"/>
        <v>4500</v>
      </c>
      <c r="E84" s="293" t="s">
        <v>130</v>
      </c>
      <c r="F84" s="298">
        <f>参数输入表!$I$642</f>
        <v>0</v>
      </c>
      <c r="G84" s="298">
        <f>参数输入表!$I$643</f>
        <v>0</v>
      </c>
      <c r="H84" s="298">
        <f>参数输入表!$I$644</f>
        <v>0</v>
      </c>
      <c r="I84" s="298">
        <f>参数输入表!$I$645</f>
        <v>0</v>
      </c>
      <c r="J84" s="298">
        <f>参数输入表!$I$646</f>
        <v>0</v>
      </c>
      <c r="K84" s="298">
        <f>参数输入表!$I$647</f>
        <v>0</v>
      </c>
      <c r="L84" s="298">
        <f>参数输入表!$I$648</f>
        <v>0</v>
      </c>
      <c r="M84" s="298">
        <f>参数输入表!$I$649</f>
        <v>0</v>
      </c>
      <c r="N84" s="298">
        <f>参数输入表!$I$650</f>
        <v>500</v>
      </c>
      <c r="O84" s="298">
        <f>参数输入表!$I$651</f>
        <v>0</v>
      </c>
      <c r="P84" s="298">
        <f>参数输入表!$I$652</f>
        <v>0</v>
      </c>
      <c r="Q84" s="298">
        <f>参数输入表!$I$653</f>
        <v>0</v>
      </c>
      <c r="R84" s="298">
        <f>参数输入表!$I$654</f>
        <v>0</v>
      </c>
      <c r="S84" s="298">
        <f>参数输入表!$I$655</f>
        <v>500</v>
      </c>
      <c r="T84" s="298">
        <f>参数输入表!$I$656</f>
        <v>0</v>
      </c>
      <c r="U84" s="298">
        <f>参数输入表!$I$657</f>
        <v>0</v>
      </c>
      <c r="V84" s="298">
        <f>参数输入表!$I$658</f>
        <v>0</v>
      </c>
      <c r="W84" s="298">
        <f>参数输入表!$I$659</f>
        <v>0</v>
      </c>
      <c r="X84" s="298">
        <f>参数输入表!$I$660</f>
        <v>500</v>
      </c>
      <c r="Y84" s="298">
        <f>参数输入表!$I$661</f>
        <v>0</v>
      </c>
      <c r="Z84" s="298">
        <f>参数输入表!$I$662</f>
        <v>0</v>
      </c>
      <c r="AA84" s="298">
        <f>参数输入表!$I$663</f>
        <v>0</v>
      </c>
      <c r="AB84" s="298">
        <f>参数输入表!$I$664</f>
        <v>0</v>
      </c>
      <c r="AC84" s="298">
        <f>参数输入表!$I$665</f>
        <v>500</v>
      </c>
      <c r="AD84" s="298">
        <f>参数输入表!$I$666</f>
        <v>0</v>
      </c>
      <c r="AE84" s="298">
        <f>参数输入表!$I$667</f>
        <v>0</v>
      </c>
      <c r="AF84" s="298">
        <f>参数输入表!$I$668</f>
        <v>0</v>
      </c>
      <c r="AG84" s="298">
        <f>参数输入表!$I$669</f>
        <v>0</v>
      </c>
      <c r="AH84" s="298">
        <f>参数输入表!$I$670</f>
        <v>500</v>
      </c>
      <c r="AI84" s="298">
        <f>参数输入表!$I$671</f>
        <v>0</v>
      </c>
      <c r="AJ84" s="298">
        <f>参数输入表!$I$672</f>
        <v>0</v>
      </c>
      <c r="AK84" s="298">
        <f>参数输入表!$I$673</f>
        <v>0</v>
      </c>
      <c r="AL84" s="298">
        <f>参数输入表!$I$674</f>
        <v>0</v>
      </c>
      <c r="AM84" s="298">
        <f>参数输入表!$I$675</f>
        <v>500</v>
      </c>
      <c r="AN84" s="298">
        <f>参数输入表!$I$676</f>
        <v>0</v>
      </c>
      <c r="AO84" s="298">
        <f>参数输入表!$I$677</f>
        <v>0</v>
      </c>
      <c r="AP84" s="298">
        <f>参数输入表!$I$678</f>
        <v>0</v>
      </c>
      <c r="AQ84" s="298">
        <f>参数输入表!$I$679</f>
        <v>0</v>
      </c>
      <c r="AR84" s="298">
        <f>参数输入表!$I$680</f>
        <v>500</v>
      </c>
      <c r="AS84" s="298">
        <f>参数输入表!$I$681</f>
        <v>0</v>
      </c>
      <c r="AT84" s="298">
        <f>参数输入表!$I$682</f>
        <v>0</v>
      </c>
      <c r="AU84" s="298">
        <f>参数输入表!$I$683</f>
        <v>0</v>
      </c>
      <c r="AV84" s="298">
        <f>参数输入表!$I$684</f>
        <v>0</v>
      </c>
      <c r="AW84" s="298">
        <f>参数输入表!$I$685</f>
        <v>500</v>
      </c>
      <c r="AX84" s="298">
        <f>参数输入表!$I$686</f>
        <v>0</v>
      </c>
      <c r="AY84" s="298">
        <f>参数输入表!$I$687</f>
        <v>500</v>
      </c>
      <c r="AZ84" s="298">
        <f>参数输入表!$I$688</f>
        <v>0</v>
      </c>
      <c r="BA84" s="299">
        <f>参数输入表!$I$689</f>
        <v>0</v>
      </c>
    </row>
    <row r="85" spans="2:53">
      <c r="B85" s="296" t="s">
        <v>764</v>
      </c>
      <c r="C85" s="300" t="s">
        <v>784</v>
      </c>
      <c r="D85" s="298">
        <f t="shared" si="29"/>
        <v>56000</v>
      </c>
      <c r="E85" s="293" t="s">
        <v>130</v>
      </c>
      <c r="F85" s="298">
        <f>参数输入表!$I$615*参数输入表!$I$616*F72</f>
        <v>0</v>
      </c>
      <c r="G85" s="298">
        <f>参数输入表!$I$615*参数输入表!$I$616*G72</f>
        <v>0</v>
      </c>
      <c r="H85" s="298">
        <f>参数输入表!$I$615*参数输入表!$I$616*H72</f>
        <v>0</v>
      </c>
      <c r="I85" s="298">
        <f>参数输入表!$I$615*参数输入表!$I$616*I72</f>
        <v>0</v>
      </c>
      <c r="J85" s="298">
        <f>参数输入表!$I$615*参数输入表!$I$616*J72</f>
        <v>0</v>
      </c>
      <c r="K85" s="298">
        <f>参数输入表!$I$615*参数输入表!$I$616*K72</f>
        <v>0</v>
      </c>
      <c r="L85" s="298">
        <f>参数输入表!$I$615*参数输入表!$I$616*L72</f>
        <v>0</v>
      </c>
      <c r="M85" s="298">
        <f>参数输入表!$I$615*参数输入表!$I$616*M72</f>
        <v>583.333333333333</v>
      </c>
      <c r="N85" s="298">
        <f>参数输入表!$I$615*参数输入表!$I$616*N72</f>
        <v>1400</v>
      </c>
      <c r="O85" s="298">
        <f>参数输入表!$I$615*参数输入表!$I$616*O72</f>
        <v>1400</v>
      </c>
      <c r="P85" s="298">
        <f>参数输入表!$I$615*参数输入表!$I$616*P72</f>
        <v>1400</v>
      </c>
      <c r="Q85" s="298">
        <f>参数输入表!$I$615*参数输入表!$I$616*Q72</f>
        <v>1400</v>
      </c>
      <c r="R85" s="298">
        <f>参数输入表!$I$615*参数输入表!$I$616*R72</f>
        <v>1400</v>
      </c>
      <c r="S85" s="298">
        <f>参数输入表!$I$615*参数输入表!$I$616*S72</f>
        <v>1400</v>
      </c>
      <c r="T85" s="298">
        <f>参数输入表!$I$615*参数输入表!$I$616*T72</f>
        <v>1400</v>
      </c>
      <c r="U85" s="298">
        <f>参数输入表!$I$615*参数输入表!$I$616*U72</f>
        <v>1400</v>
      </c>
      <c r="V85" s="298">
        <f>参数输入表!$I$615*参数输入表!$I$616*V72</f>
        <v>1400</v>
      </c>
      <c r="W85" s="298">
        <f>参数输入表!$I$615*参数输入表!$I$616*W72</f>
        <v>1400</v>
      </c>
      <c r="X85" s="298">
        <f>参数输入表!$I$615*参数输入表!$I$616*X72</f>
        <v>1400</v>
      </c>
      <c r="Y85" s="298">
        <f>参数输入表!$I$615*参数输入表!$I$616*Y72</f>
        <v>1400</v>
      </c>
      <c r="Z85" s="298">
        <f>参数输入表!$I$615*参数输入表!$I$616*Z72</f>
        <v>1400</v>
      </c>
      <c r="AA85" s="298">
        <f>参数输入表!$I$615*参数输入表!$I$616*AA72</f>
        <v>1400</v>
      </c>
      <c r="AB85" s="298">
        <f>参数输入表!$I$615*参数输入表!$I$616*AB72</f>
        <v>1400</v>
      </c>
      <c r="AC85" s="298">
        <f>参数输入表!$I$615*参数输入表!$I$616*AC72</f>
        <v>1400</v>
      </c>
      <c r="AD85" s="298">
        <f>参数输入表!$I$615*参数输入表!$I$616*AD72</f>
        <v>1400</v>
      </c>
      <c r="AE85" s="298">
        <f>参数输入表!$I$615*参数输入表!$I$616*AE72</f>
        <v>1400</v>
      </c>
      <c r="AF85" s="298">
        <f>参数输入表!$I$615*参数输入表!$I$616*AF72</f>
        <v>1400</v>
      </c>
      <c r="AG85" s="298">
        <f>参数输入表!$I$615*参数输入表!$I$616*AG72</f>
        <v>1400</v>
      </c>
      <c r="AH85" s="298">
        <f>参数输入表!$I$615*参数输入表!$I$616*AH72</f>
        <v>1400</v>
      </c>
      <c r="AI85" s="298">
        <f>参数输入表!$I$615*参数输入表!$I$616*AI72</f>
        <v>1400</v>
      </c>
      <c r="AJ85" s="298">
        <f>参数输入表!$I$615*参数输入表!$I$616*AJ72</f>
        <v>1400</v>
      </c>
      <c r="AK85" s="298">
        <f>参数输入表!$I$615*参数输入表!$I$616*AK72</f>
        <v>1400</v>
      </c>
      <c r="AL85" s="298">
        <f>参数输入表!$I$615*参数输入表!$I$616*AL72</f>
        <v>1400</v>
      </c>
      <c r="AM85" s="298">
        <f>参数输入表!$I$615*参数输入表!$I$616*AM72</f>
        <v>1400</v>
      </c>
      <c r="AN85" s="298">
        <f>参数输入表!$I$615*参数输入表!$I$616*AN72</f>
        <v>1400</v>
      </c>
      <c r="AO85" s="298">
        <f>参数输入表!$I$615*参数输入表!$I$616*AO72</f>
        <v>1400</v>
      </c>
      <c r="AP85" s="298">
        <f>参数输入表!$I$615*参数输入表!$I$616*AP72</f>
        <v>1400</v>
      </c>
      <c r="AQ85" s="298">
        <f>参数输入表!$I$615*参数输入表!$I$616*AQ72</f>
        <v>1400</v>
      </c>
      <c r="AR85" s="298">
        <f>参数输入表!$I$615*参数输入表!$I$616*AR72</f>
        <v>1400</v>
      </c>
      <c r="AS85" s="298">
        <f>参数输入表!$I$615*参数输入表!$I$616*AS72</f>
        <v>1400</v>
      </c>
      <c r="AT85" s="298">
        <f>参数输入表!$I$615*参数输入表!$I$616*AT72</f>
        <v>1400</v>
      </c>
      <c r="AU85" s="298">
        <f>参数输入表!$I$615*参数输入表!$I$616*AU72</f>
        <v>1400</v>
      </c>
      <c r="AV85" s="298">
        <f>参数输入表!$I$615*参数输入表!$I$616*AV72</f>
        <v>1400</v>
      </c>
      <c r="AW85" s="298">
        <f>参数输入表!$I$615*参数输入表!$I$616*AW72</f>
        <v>1400</v>
      </c>
      <c r="AX85" s="298">
        <f>参数输入表!$I$615*参数输入表!$I$616*AX72</f>
        <v>1400</v>
      </c>
      <c r="AY85" s="298">
        <f>参数输入表!$I$615*参数输入表!$I$616*AY72</f>
        <v>1400</v>
      </c>
      <c r="AZ85" s="298">
        <f>参数输入表!$I$615*参数输入表!$I$616*AZ72</f>
        <v>1400</v>
      </c>
      <c r="BA85" s="299">
        <f>参数输入表!$I$615*参数输入表!$I$616*BA72</f>
        <v>816.666666666667</v>
      </c>
    </row>
    <row r="86" spans="2:53">
      <c r="B86" s="296" t="s">
        <v>770</v>
      </c>
      <c r="C86" s="300" t="s">
        <v>296</v>
      </c>
      <c r="D86" s="298">
        <f t="shared" si="29"/>
        <v>67200</v>
      </c>
      <c r="E86" s="293" t="s">
        <v>130</v>
      </c>
      <c r="F86" s="298">
        <f>参数输入表!$I$611*参数输入表!$I$612*F72</f>
        <v>0</v>
      </c>
      <c r="G86" s="298">
        <f>参数输入表!$I$611*参数输入表!$I$612*G72</f>
        <v>0</v>
      </c>
      <c r="H86" s="298">
        <f>参数输入表!$I$611*参数输入表!$I$612*H72</f>
        <v>0</v>
      </c>
      <c r="I86" s="298">
        <f>参数输入表!$I$611*参数输入表!$I$612*I72</f>
        <v>0</v>
      </c>
      <c r="J86" s="298">
        <f>参数输入表!$I$611*参数输入表!$I$612*J72</f>
        <v>0</v>
      </c>
      <c r="K86" s="298">
        <f>参数输入表!$I$611*参数输入表!$I$612*K72</f>
        <v>0</v>
      </c>
      <c r="L86" s="298">
        <f>参数输入表!$I$611*参数输入表!$I$612*L72</f>
        <v>0</v>
      </c>
      <c r="M86" s="298">
        <f>参数输入表!$I$611*参数输入表!$I$612*M72</f>
        <v>700</v>
      </c>
      <c r="N86" s="298">
        <f>参数输入表!$I$611*参数输入表!$I$612*N72</f>
        <v>1680</v>
      </c>
      <c r="O86" s="298">
        <f>参数输入表!$I$611*参数输入表!$I$612*O72</f>
        <v>1680</v>
      </c>
      <c r="P86" s="298">
        <f>参数输入表!$I$611*参数输入表!$I$612*P72</f>
        <v>1680</v>
      </c>
      <c r="Q86" s="298">
        <f>参数输入表!$I$611*参数输入表!$I$612*Q72</f>
        <v>1680</v>
      </c>
      <c r="R86" s="298">
        <f>参数输入表!$I$611*参数输入表!$I$612*R72</f>
        <v>1680</v>
      </c>
      <c r="S86" s="298">
        <f>参数输入表!$I$611*参数输入表!$I$612*S72</f>
        <v>1680</v>
      </c>
      <c r="T86" s="298">
        <f>参数输入表!$I$611*参数输入表!$I$612*T72</f>
        <v>1680</v>
      </c>
      <c r="U86" s="298">
        <f>参数输入表!$I$611*参数输入表!$I$612*U72</f>
        <v>1680</v>
      </c>
      <c r="V86" s="298">
        <f>参数输入表!$I$611*参数输入表!$I$612*V72</f>
        <v>1680</v>
      </c>
      <c r="W86" s="298">
        <f>参数输入表!$I$611*参数输入表!$I$612*W72</f>
        <v>1680</v>
      </c>
      <c r="X86" s="298">
        <f>参数输入表!$I$611*参数输入表!$I$612*X72</f>
        <v>1680</v>
      </c>
      <c r="Y86" s="298">
        <f>参数输入表!$I$611*参数输入表!$I$612*Y72</f>
        <v>1680</v>
      </c>
      <c r="Z86" s="298">
        <f>参数输入表!$I$611*参数输入表!$I$612*Z72</f>
        <v>1680</v>
      </c>
      <c r="AA86" s="298">
        <f>参数输入表!$I$611*参数输入表!$I$612*AA72</f>
        <v>1680</v>
      </c>
      <c r="AB86" s="298">
        <f>参数输入表!$I$611*参数输入表!$I$612*AB72</f>
        <v>1680</v>
      </c>
      <c r="AC86" s="298">
        <f>参数输入表!$I$611*参数输入表!$I$612*AC72</f>
        <v>1680</v>
      </c>
      <c r="AD86" s="298">
        <f>参数输入表!$I$611*参数输入表!$I$612*AD72</f>
        <v>1680</v>
      </c>
      <c r="AE86" s="298">
        <f>参数输入表!$I$611*参数输入表!$I$612*AE72</f>
        <v>1680</v>
      </c>
      <c r="AF86" s="298">
        <f>参数输入表!$I$611*参数输入表!$I$612*AF72</f>
        <v>1680</v>
      </c>
      <c r="AG86" s="298">
        <f>参数输入表!$I$611*参数输入表!$I$612*AG72</f>
        <v>1680</v>
      </c>
      <c r="AH86" s="298">
        <f>参数输入表!$I$611*参数输入表!$I$612*AH72</f>
        <v>1680</v>
      </c>
      <c r="AI86" s="298">
        <f>参数输入表!$I$611*参数输入表!$I$612*AI72</f>
        <v>1680</v>
      </c>
      <c r="AJ86" s="298">
        <f>参数输入表!$I$611*参数输入表!$I$612*AJ72</f>
        <v>1680</v>
      </c>
      <c r="AK86" s="298">
        <f>参数输入表!$I$611*参数输入表!$I$612*AK72</f>
        <v>1680</v>
      </c>
      <c r="AL86" s="298">
        <f>参数输入表!$I$611*参数输入表!$I$612*AL72</f>
        <v>1680</v>
      </c>
      <c r="AM86" s="298">
        <f>参数输入表!$I$611*参数输入表!$I$612*AM72</f>
        <v>1680</v>
      </c>
      <c r="AN86" s="298">
        <f>参数输入表!$I$611*参数输入表!$I$612*AN72</f>
        <v>1680</v>
      </c>
      <c r="AO86" s="298">
        <f>参数输入表!$I$611*参数输入表!$I$612*AO72</f>
        <v>1680</v>
      </c>
      <c r="AP86" s="298">
        <f>参数输入表!$I$611*参数输入表!$I$612*AP72</f>
        <v>1680</v>
      </c>
      <c r="AQ86" s="298">
        <f>参数输入表!$I$611*参数输入表!$I$612*AQ72</f>
        <v>1680</v>
      </c>
      <c r="AR86" s="298">
        <f>参数输入表!$I$611*参数输入表!$I$612*AR72</f>
        <v>1680</v>
      </c>
      <c r="AS86" s="298">
        <f>参数输入表!$I$611*参数输入表!$I$612*AS72</f>
        <v>1680</v>
      </c>
      <c r="AT86" s="298">
        <f>参数输入表!$I$611*参数输入表!$I$612*AT72</f>
        <v>1680</v>
      </c>
      <c r="AU86" s="298">
        <f>参数输入表!$I$611*参数输入表!$I$612*AU72</f>
        <v>1680</v>
      </c>
      <c r="AV86" s="298">
        <f>参数输入表!$I$611*参数输入表!$I$612*AV72</f>
        <v>1680</v>
      </c>
      <c r="AW86" s="298">
        <f>参数输入表!$I$611*参数输入表!$I$612*AW72</f>
        <v>1680</v>
      </c>
      <c r="AX86" s="298">
        <f>参数输入表!$I$611*参数输入表!$I$612*AX72</f>
        <v>1680</v>
      </c>
      <c r="AY86" s="298">
        <f>参数输入表!$I$611*参数输入表!$I$612*AY72</f>
        <v>1680</v>
      </c>
      <c r="AZ86" s="298">
        <f>参数输入表!$I$611*参数输入表!$I$612*AZ72</f>
        <v>1680</v>
      </c>
      <c r="BA86" s="299">
        <f>参数输入表!$I$611*参数输入表!$I$612*BA72</f>
        <v>980</v>
      </c>
    </row>
    <row r="87" spans="2:53">
      <c r="B87" s="213">
        <v>2</v>
      </c>
      <c r="C87" s="295" t="s">
        <v>789</v>
      </c>
      <c r="D87" s="292">
        <f t="shared" si="29"/>
        <v>0</v>
      </c>
      <c r="E87" s="293" t="s">
        <v>130</v>
      </c>
      <c r="F87" s="292">
        <v>0</v>
      </c>
      <c r="G87" s="292">
        <v>0</v>
      </c>
      <c r="H87" s="292">
        <v>0</v>
      </c>
      <c r="I87" s="292">
        <v>0</v>
      </c>
      <c r="J87" s="292">
        <v>0</v>
      </c>
      <c r="K87" s="292">
        <v>0</v>
      </c>
      <c r="L87" s="292">
        <v>0</v>
      </c>
      <c r="M87" s="292">
        <v>0</v>
      </c>
      <c r="N87" s="292">
        <v>0</v>
      </c>
      <c r="O87" s="292">
        <v>0</v>
      </c>
      <c r="P87" s="292">
        <v>0</v>
      </c>
      <c r="Q87" s="292">
        <v>0</v>
      </c>
      <c r="R87" s="292">
        <v>0</v>
      </c>
      <c r="S87" s="292">
        <v>0</v>
      </c>
      <c r="T87" s="292">
        <v>0</v>
      </c>
      <c r="U87" s="292">
        <v>0</v>
      </c>
      <c r="V87" s="292">
        <v>0</v>
      </c>
      <c r="W87" s="292">
        <v>0</v>
      </c>
      <c r="X87" s="292">
        <v>0</v>
      </c>
      <c r="Y87" s="292">
        <v>0</v>
      </c>
      <c r="Z87" s="292">
        <v>0</v>
      </c>
      <c r="AA87" s="292">
        <v>0</v>
      </c>
      <c r="AB87" s="292">
        <v>0</v>
      </c>
      <c r="AC87" s="292">
        <v>0</v>
      </c>
      <c r="AD87" s="292">
        <v>0</v>
      </c>
      <c r="AE87" s="292">
        <v>0</v>
      </c>
      <c r="AF87" s="292">
        <v>0</v>
      </c>
      <c r="AG87" s="292">
        <v>0</v>
      </c>
      <c r="AH87" s="292">
        <v>0</v>
      </c>
      <c r="AI87" s="292">
        <v>0</v>
      </c>
      <c r="AJ87" s="292">
        <v>0</v>
      </c>
      <c r="AK87" s="292">
        <v>0</v>
      </c>
      <c r="AL87" s="292">
        <v>0</v>
      </c>
      <c r="AM87" s="292">
        <v>0</v>
      </c>
      <c r="AN87" s="292">
        <v>0</v>
      </c>
      <c r="AO87" s="292">
        <v>0</v>
      </c>
      <c r="AP87" s="292">
        <v>0</v>
      </c>
      <c r="AQ87" s="292">
        <v>0</v>
      </c>
      <c r="AR87" s="292">
        <v>0</v>
      </c>
      <c r="AS87" s="292">
        <v>0</v>
      </c>
      <c r="AT87" s="292">
        <v>0</v>
      </c>
      <c r="AU87" s="292">
        <v>0</v>
      </c>
      <c r="AV87" s="292">
        <v>0</v>
      </c>
      <c r="AW87" s="292">
        <v>0</v>
      </c>
      <c r="AX87" s="292">
        <v>0</v>
      </c>
      <c r="AY87" s="292">
        <v>0</v>
      </c>
      <c r="AZ87" s="292">
        <v>0</v>
      </c>
      <c r="BA87" s="294">
        <v>0</v>
      </c>
    </row>
    <row r="88" spans="2:53">
      <c r="B88" s="213">
        <v>3</v>
      </c>
      <c r="C88" s="295" t="s">
        <v>790</v>
      </c>
      <c r="D88" s="292">
        <f t="shared" si="29"/>
        <v>72221.944502392</v>
      </c>
      <c r="E88" s="293" t="s">
        <v>130</v>
      </c>
      <c r="F88" s="292">
        <f>SUM(F89:F89)</f>
        <v>0</v>
      </c>
      <c r="G88" s="292">
        <f t="shared" ref="G88:O88" si="32">SUM(G89:G89)</f>
        <v>0</v>
      </c>
      <c r="H88" s="292">
        <f t="shared" si="32"/>
        <v>0</v>
      </c>
      <c r="I88" s="292">
        <f t="shared" si="32"/>
        <v>0</v>
      </c>
      <c r="J88" s="292">
        <f t="shared" si="32"/>
        <v>0</v>
      </c>
      <c r="K88" s="292">
        <f t="shared" si="32"/>
        <v>0</v>
      </c>
      <c r="L88" s="292">
        <f t="shared" si="32"/>
        <v>0</v>
      </c>
      <c r="M88" s="292">
        <f t="shared" si="32"/>
        <v>752.311921899917</v>
      </c>
      <c r="N88" s="292">
        <f t="shared" si="32"/>
        <v>1805.5486125598</v>
      </c>
      <c r="O88" s="292">
        <f t="shared" si="32"/>
        <v>1805.5486125598</v>
      </c>
      <c r="P88" s="292">
        <f t="shared" ref="P88:BA88" si="33">SUM(P89:P89)</f>
        <v>1805.5486125598</v>
      </c>
      <c r="Q88" s="292">
        <f t="shared" si="33"/>
        <v>1805.5486125598</v>
      </c>
      <c r="R88" s="292">
        <f t="shared" si="33"/>
        <v>1805.5486125598</v>
      </c>
      <c r="S88" s="292">
        <f t="shared" si="33"/>
        <v>1805.5486125598</v>
      </c>
      <c r="T88" s="292">
        <f t="shared" si="33"/>
        <v>1805.5486125598</v>
      </c>
      <c r="U88" s="292">
        <f t="shared" si="33"/>
        <v>1805.5486125598</v>
      </c>
      <c r="V88" s="292">
        <f t="shared" si="33"/>
        <v>1805.5486125598</v>
      </c>
      <c r="W88" s="292">
        <f t="shared" si="33"/>
        <v>1805.5486125598</v>
      </c>
      <c r="X88" s="292">
        <f t="shared" si="33"/>
        <v>1805.5486125598</v>
      </c>
      <c r="Y88" s="292">
        <f t="shared" si="33"/>
        <v>1805.5486125598</v>
      </c>
      <c r="Z88" s="292">
        <f t="shared" si="33"/>
        <v>1805.5486125598</v>
      </c>
      <c r="AA88" s="292">
        <f t="shared" si="33"/>
        <v>1805.5486125598</v>
      </c>
      <c r="AB88" s="292">
        <f t="shared" si="33"/>
        <v>1805.5486125598</v>
      </c>
      <c r="AC88" s="292">
        <f t="shared" si="33"/>
        <v>1805.5486125598</v>
      </c>
      <c r="AD88" s="292">
        <f t="shared" si="33"/>
        <v>1805.5486125598</v>
      </c>
      <c r="AE88" s="292">
        <f t="shared" si="33"/>
        <v>1805.5486125598</v>
      </c>
      <c r="AF88" s="292">
        <f t="shared" si="33"/>
        <v>1805.5486125598</v>
      </c>
      <c r="AG88" s="292">
        <f t="shared" si="33"/>
        <v>1805.5486125598</v>
      </c>
      <c r="AH88" s="292">
        <f t="shared" si="33"/>
        <v>1805.5486125598</v>
      </c>
      <c r="AI88" s="292">
        <f t="shared" si="33"/>
        <v>1805.5486125598</v>
      </c>
      <c r="AJ88" s="292">
        <f t="shared" si="33"/>
        <v>1805.5486125598</v>
      </c>
      <c r="AK88" s="292">
        <f t="shared" si="33"/>
        <v>1805.5486125598</v>
      </c>
      <c r="AL88" s="292">
        <f t="shared" si="33"/>
        <v>1805.5486125598</v>
      </c>
      <c r="AM88" s="292">
        <f t="shared" si="33"/>
        <v>1805.5486125598</v>
      </c>
      <c r="AN88" s="292">
        <f t="shared" si="33"/>
        <v>1805.5486125598</v>
      </c>
      <c r="AO88" s="292">
        <f t="shared" si="33"/>
        <v>1805.5486125598</v>
      </c>
      <c r="AP88" s="292">
        <f t="shared" si="33"/>
        <v>1805.5486125598</v>
      </c>
      <c r="AQ88" s="292">
        <f t="shared" si="33"/>
        <v>1805.5486125598</v>
      </c>
      <c r="AR88" s="292">
        <f t="shared" si="33"/>
        <v>1805.5486125598</v>
      </c>
      <c r="AS88" s="292">
        <f t="shared" si="33"/>
        <v>1805.5486125598</v>
      </c>
      <c r="AT88" s="292">
        <f t="shared" si="33"/>
        <v>1805.5486125598</v>
      </c>
      <c r="AU88" s="292">
        <f t="shared" si="33"/>
        <v>1805.5486125598</v>
      </c>
      <c r="AV88" s="292">
        <f t="shared" si="33"/>
        <v>1805.5486125598</v>
      </c>
      <c r="AW88" s="292">
        <f t="shared" si="33"/>
        <v>1805.5486125598</v>
      </c>
      <c r="AX88" s="292">
        <f t="shared" si="33"/>
        <v>1805.5486125598</v>
      </c>
      <c r="AY88" s="292">
        <f t="shared" si="33"/>
        <v>1805.5486125598</v>
      </c>
      <c r="AZ88" s="292">
        <f t="shared" si="33"/>
        <v>1805.5486125598</v>
      </c>
      <c r="BA88" s="294">
        <f t="shared" si="33"/>
        <v>1053.23669065988</v>
      </c>
    </row>
    <row r="89" spans="2:53">
      <c r="B89" s="301">
        <v>3.1</v>
      </c>
      <c r="C89" s="300" t="s">
        <v>774</v>
      </c>
      <c r="D89" s="298">
        <f t="shared" ref="D89:D91" si="34">SUM(F89:BA89)</f>
        <v>72221.944502392</v>
      </c>
      <c r="E89" s="293" t="s">
        <v>130</v>
      </c>
      <c r="F89" s="298">
        <f>参数输入表!$I$439*参数输入表!$I$488</f>
        <v>0</v>
      </c>
      <c r="G89" s="298">
        <f>参数输入表!$I$440*参数输入表!$I$488</f>
        <v>0</v>
      </c>
      <c r="H89" s="298">
        <f>参数输入表!$I$441*参数输入表!$I$488</f>
        <v>0</v>
      </c>
      <c r="I89" s="298">
        <f>参数输入表!$I$442*参数输入表!$I$488</f>
        <v>0</v>
      </c>
      <c r="J89" s="298">
        <f>参数输入表!$I$443*参数输入表!$I$488</f>
        <v>0</v>
      </c>
      <c r="K89" s="298">
        <f>参数输入表!$I$444*参数输入表!$I$488</f>
        <v>0</v>
      </c>
      <c r="L89" s="298">
        <f>参数输入表!$I$445*参数输入表!$I$488</f>
        <v>0</v>
      </c>
      <c r="M89" s="298">
        <f>参数输入表!$I$446*参数输入表!$I$488</f>
        <v>752.311921899917</v>
      </c>
      <c r="N89" s="298">
        <f>参数输入表!$I$447*参数输入表!$I$488</f>
        <v>1805.5486125598</v>
      </c>
      <c r="O89" s="298">
        <f>参数输入表!$I$448*参数输入表!$I$488</f>
        <v>1805.5486125598</v>
      </c>
      <c r="P89" s="298">
        <f>参数输入表!$I$449*参数输入表!$I$488</f>
        <v>1805.5486125598</v>
      </c>
      <c r="Q89" s="298">
        <f>参数输入表!$I$450*参数输入表!$I$488</f>
        <v>1805.5486125598</v>
      </c>
      <c r="R89" s="298">
        <f>参数输入表!$I$451*参数输入表!$I$488</f>
        <v>1805.5486125598</v>
      </c>
      <c r="S89" s="298">
        <f>参数输入表!$I$452*参数输入表!$I$488</f>
        <v>1805.5486125598</v>
      </c>
      <c r="T89" s="298">
        <f>参数输入表!$I$453*参数输入表!$I$488</f>
        <v>1805.5486125598</v>
      </c>
      <c r="U89" s="298">
        <f>参数输入表!$I$454*参数输入表!$I$488</f>
        <v>1805.5486125598</v>
      </c>
      <c r="V89" s="298">
        <f>参数输入表!$I$455*参数输入表!$I$488</f>
        <v>1805.5486125598</v>
      </c>
      <c r="W89" s="298">
        <f>参数输入表!$I$456*参数输入表!$I$488</f>
        <v>1805.5486125598</v>
      </c>
      <c r="X89" s="298">
        <f>参数输入表!$I$457*参数输入表!$I$488</f>
        <v>1805.5486125598</v>
      </c>
      <c r="Y89" s="298">
        <f>参数输入表!$I$458*参数输入表!$I$488</f>
        <v>1805.5486125598</v>
      </c>
      <c r="Z89" s="298">
        <f>参数输入表!$I$459*参数输入表!$I$488</f>
        <v>1805.5486125598</v>
      </c>
      <c r="AA89" s="298">
        <f>参数输入表!$I$460*参数输入表!$I$488</f>
        <v>1805.5486125598</v>
      </c>
      <c r="AB89" s="298">
        <f>参数输入表!$I$461*参数输入表!$I$488</f>
        <v>1805.5486125598</v>
      </c>
      <c r="AC89" s="298">
        <f>参数输入表!$I$462*参数输入表!$I$488</f>
        <v>1805.5486125598</v>
      </c>
      <c r="AD89" s="298">
        <f>参数输入表!$I$463*参数输入表!$I$488</f>
        <v>1805.5486125598</v>
      </c>
      <c r="AE89" s="298">
        <f>参数输入表!$I$464*参数输入表!$I$488</f>
        <v>1805.5486125598</v>
      </c>
      <c r="AF89" s="298">
        <f>参数输入表!$I$465*参数输入表!$I$488</f>
        <v>1805.5486125598</v>
      </c>
      <c r="AG89" s="298">
        <f>参数输入表!$I$466*参数输入表!$I$488</f>
        <v>1805.5486125598</v>
      </c>
      <c r="AH89" s="298">
        <f>参数输入表!$I$467*参数输入表!$I$488</f>
        <v>1805.5486125598</v>
      </c>
      <c r="AI89" s="298">
        <f>参数输入表!$I$468*参数输入表!$I$488</f>
        <v>1805.5486125598</v>
      </c>
      <c r="AJ89" s="298">
        <f>参数输入表!$I$469*参数输入表!$I$488</f>
        <v>1805.5486125598</v>
      </c>
      <c r="AK89" s="298">
        <f>参数输入表!$I$470*参数输入表!$I$488</f>
        <v>1805.5486125598</v>
      </c>
      <c r="AL89" s="298">
        <f>参数输入表!$I$471*参数输入表!$I$488</f>
        <v>1805.5486125598</v>
      </c>
      <c r="AM89" s="298">
        <f>参数输入表!$I$472*参数输入表!$I$488</f>
        <v>1805.5486125598</v>
      </c>
      <c r="AN89" s="298">
        <f>参数输入表!$I$473*参数输入表!$I$488</f>
        <v>1805.5486125598</v>
      </c>
      <c r="AO89" s="298">
        <f>参数输入表!$I$474*参数输入表!$I$488</f>
        <v>1805.5486125598</v>
      </c>
      <c r="AP89" s="298">
        <f>参数输入表!$I$475*参数输入表!$I$488</f>
        <v>1805.5486125598</v>
      </c>
      <c r="AQ89" s="298">
        <f>参数输入表!$I$476*参数输入表!$I$488</f>
        <v>1805.5486125598</v>
      </c>
      <c r="AR89" s="298">
        <f>参数输入表!$I$477*参数输入表!$I$488</f>
        <v>1805.5486125598</v>
      </c>
      <c r="AS89" s="298">
        <f>参数输入表!$I$478*参数输入表!$I$488</f>
        <v>1805.5486125598</v>
      </c>
      <c r="AT89" s="298">
        <f>参数输入表!$I$479*参数输入表!$I$488</f>
        <v>1805.5486125598</v>
      </c>
      <c r="AU89" s="298">
        <f>参数输入表!$I$480*参数输入表!$I$488</f>
        <v>1805.5486125598</v>
      </c>
      <c r="AV89" s="298">
        <f>参数输入表!$I$481*参数输入表!$I$488</f>
        <v>1805.5486125598</v>
      </c>
      <c r="AW89" s="298">
        <f>参数输入表!$I$482*参数输入表!$I$488</f>
        <v>1805.5486125598</v>
      </c>
      <c r="AX89" s="298">
        <f>参数输入表!$I$483*参数输入表!$I$488</f>
        <v>1805.5486125598</v>
      </c>
      <c r="AY89" s="298">
        <f>参数输入表!$I$484*参数输入表!$I$488</f>
        <v>1805.5486125598</v>
      </c>
      <c r="AZ89" s="298">
        <f>参数输入表!$I$485*参数输入表!$I$488</f>
        <v>1805.5486125598</v>
      </c>
      <c r="BA89" s="299">
        <f>参数输入表!$I$486*参数输入表!$I$488</f>
        <v>1053.23669065988</v>
      </c>
    </row>
    <row r="90" spans="2:53">
      <c r="B90" s="213">
        <v>4</v>
      </c>
      <c r="C90" s="295" t="s">
        <v>791</v>
      </c>
      <c r="D90" s="292">
        <f t="shared" si="34"/>
        <v>0</v>
      </c>
      <c r="E90" s="293" t="s">
        <v>130</v>
      </c>
      <c r="F90" s="292">
        <v>0</v>
      </c>
      <c r="G90" s="292">
        <v>0</v>
      </c>
      <c r="H90" s="292">
        <v>0</v>
      </c>
      <c r="I90" s="292">
        <v>0</v>
      </c>
      <c r="J90" s="292">
        <v>0</v>
      </c>
      <c r="K90" s="292">
        <v>0</v>
      </c>
      <c r="L90" s="292">
        <v>0</v>
      </c>
      <c r="M90" s="292">
        <v>0</v>
      </c>
      <c r="N90" s="292">
        <v>0</v>
      </c>
      <c r="O90" s="292">
        <v>0</v>
      </c>
      <c r="P90" s="292">
        <v>0</v>
      </c>
      <c r="Q90" s="292">
        <v>0</v>
      </c>
      <c r="R90" s="292">
        <v>0</v>
      </c>
      <c r="S90" s="292">
        <v>0</v>
      </c>
      <c r="T90" s="292">
        <v>0</v>
      </c>
      <c r="U90" s="292">
        <v>0</v>
      </c>
      <c r="V90" s="292">
        <v>0</v>
      </c>
      <c r="W90" s="292">
        <v>0</v>
      </c>
      <c r="X90" s="292">
        <v>0</v>
      </c>
      <c r="Y90" s="292">
        <v>0</v>
      </c>
      <c r="Z90" s="292">
        <v>0</v>
      </c>
      <c r="AA90" s="292">
        <v>0</v>
      </c>
      <c r="AB90" s="292">
        <v>0</v>
      </c>
      <c r="AC90" s="292">
        <v>0</v>
      </c>
      <c r="AD90" s="292">
        <v>0</v>
      </c>
      <c r="AE90" s="292">
        <v>0</v>
      </c>
      <c r="AF90" s="292">
        <v>0</v>
      </c>
      <c r="AG90" s="292">
        <v>0</v>
      </c>
      <c r="AH90" s="292">
        <v>0</v>
      </c>
      <c r="AI90" s="292">
        <v>0</v>
      </c>
      <c r="AJ90" s="292">
        <v>0</v>
      </c>
      <c r="AK90" s="292">
        <v>0</v>
      </c>
      <c r="AL90" s="292">
        <v>0</v>
      </c>
      <c r="AM90" s="292">
        <v>0</v>
      </c>
      <c r="AN90" s="292">
        <v>0</v>
      </c>
      <c r="AO90" s="292">
        <v>0</v>
      </c>
      <c r="AP90" s="292">
        <v>0</v>
      </c>
      <c r="AQ90" s="292">
        <v>0</v>
      </c>
      <c r="AR90" s="292">
        <v>0</v>
      </c>
      <c r="AS90" s="292">
        <v>0</v>
      </c>
      <c r="AT90" s="292">
        <v>0</v>
      </c>
      <c r="AU90" s="292">
        <v>0</v>
      </c>
      <c r="AV90" s="292">
        <v>0</v>
      </c>
      <c r="AW90" s="292">
        <v>0</v>
      </c>
      <c r="AX90" s="292">
        <v>0</v>
      </c>
      <c r="AY90" s="292">
        <v>0</v>
      </c>
      <c r="AZ90" s="292">
        <v>0</v>
      </c>
      <c r="BA90" s="294">
        <v>0</v>
      </c>
    </row>
    <row r="91" ht="17.25" spans="2:53">
      <c r="B91" s="302" t="s">
        <v>678</v>
      </c>
      <c r="C91" s="303" t="s">
        <v>792</v>
      </c>
      <c r="D91" s="304">
        <f t="shared" si="34"/>
        <v>0</v>
      </c>
      <c r="E91" s="305" t="s">
        <v>130</v>
      </c>
      <c r="F91" s="304">
        <f>参数输入表!$I$802</f>
        <v>0</v>
      </c>
      <c r="G91" s="304">
        <f>参数输入表!$I$803</f>
        <v>0</v>
      </c>
      <c r="H91" s="304">
        <f>参数输入表!$I$804</f>
        <v>0</v>
      </c>
      <c r="I91" s="304">
        <f>参数输入表!$I$805</f>
        <v>0</v>
      </c>
      <c r="J91" s="304">
        <f>参数输入表!$I$806</f>
        <v>0</v>
      </c>
      <c r="K91" s="304">
        <f>参数输入表!$I$807</f>
        <v>0</v>
      </c>
      <c r="L91" s="304">
        <f>参数输入表!$I$808</f>
        <v>0</v>
      </c>
      <c r="M91" s="304">
        <f>参数输入表!$I$809</f>
        <v>0</v>
      </c>
      <c r="N91" s="304">
        <f>参数输入表!$I$810</f>
        <v>0</v>
      </c>
      <c r="O91" s="304">
        <f>参数输入表!$I$811</f>
        <v>0</v>
      </c>
      <c r="P91" s="304">
        <f>参数输入表!$I$812</f>
        <v>0</v>
      </c>
      <c r="Q91" s="304">
        <f>参数输入表!$I$813</f>
        <v>0</v>
      </c>
      <c r="R91" s="304">
        <f>参数输入表!$I$814</f>
        <v>0</v>
      </c>
      <c r="S91" s="304">
        <f>参数输入表!$I$815</f>
        <v>0</v>
      </c>
      <c r="T91" s="304">
        <f>参数输入表!$I$816</f>
        <v>0</v>
      </c>
      <c r="U91" s="304">
        <f>参数输入表!$I$817</f>
        <v>0</v>
      </c>
      <c r="V91" s="304">
        <f>参数输入表!$I$818</f>
        <v>0</v>
      </c>
      <c r="W91" s="304">
        <f>参数输入表!$I$819</f>
        <v>0</v>
      </c>
      <c r="X91" s="304">
        <f>参数输入表!$I$820</f>
        <v>0</v>
      </c>
      <c r="Y91" s="304">
        <f>参数输入表!$I$821</f>
        <v>0</v>
      </c>
      <c r="Z91" s="304">
        <f>参数输入表!$I$822</f>
        <v>0</v>
      </c>
      <c r="AA91" s="304">
        <f>参数输入表!$I$823</f>
        <v>0</v>
      </c>
      <c r="AB91" s="304">
        <f>参数输入表!$I$824</f>
        <v>0</v>
      </c>
      <c r="AC91" s="304">
        <f>参数输入表!$I$825</f>
        <v>0</v>
      </c>
      <c r="AD91" s="304">
        <f>参数输入表!$I$826</f>
        <v>0</v>
      </c>
      <c r="AE91" s="304">
        <f>参数输入表!$I$827</f>
        <v>0</v>
      </c>
      <c r="AF91" s="304">
        <f>参数输入表!$I$828</f>
        <v>0</v>
      </c>
      <c r="AG91" s="304">
        <f>参数输入表!$I$829</f>
        <v>0</v>
      </c>
      <c r="AH91" s="304">
        <f>参数输入表!$I$830</f>
        <v>0</v>
      </c>
      <c r="AI91" s="304">
        <f>参数输入表!$I$831</f>
        <v>0</v>
      </c>
      <c r="AJ91" s="304">
        <f>参数输入表!$I$832</f>
        <v>0</v>
      </c>
      <c r="AK91" s="304">
        <f>参数输入表!$I$833</f>
        <v>0</v>
      </c>
      <c r="AL91" s="304">
        <f>参数输入表!$I$834</f>
        <v>0</v>
      </c>
      <c r="AM91" s="304">
        <f>参数输入表!$I$835</f>
        <v>0</v>
      </c>
      <c r="AN91" s="304">
        <f>参数输入表!$I$836</f>
        <v>0</v>
      </c>
      <c r="AO91" s="304">
        <f>参数输入表!$I$837</f>
        <v>0</v>
      </c>
      <c r="AP91" s="304">
        <f>参数输入表!$I$838</f>
        <v>0</v>
      </c>
      <c r="AQ91" s="304">
        <f>参数输入表!$I$839</f>
        <v>0</v>
      </c>
      <c r="AR91" s="304">
        <f>参数输入表!$I$840</f>
        <v>0</v>
      </c>
      <c r="AS91" s="304">
        <f>参数输入表!$I$841</f>
        <v>0</v>
      </c>
      <c r="AT91" s="304">
        <f>参数输入表!$I$842</f>
        <v>0</v>
      </c>
      <c r="AU91" s="304">
        <f>参数输入表!$I$843</f>
        <v>0</v>
      </c>
      <c r="AV91" s="304">
        <f>参数输入表!$I$844</f>
        <v>0</v>
      </c>
      <c r="AW91" s="304">
        <f>参数输入表!$I$845</f>
        <v>0</v>
      </c>
      <c r="AX91" s="304">
        <f>参数输入表!$I$846</f>
        <v>0</v>
      </c>
      <c r="AY91" s="304">
        <f>参数输入表!$I$847</f>
        <v>0</v>
      </c>
      <c r="AZ91" s="304">
        <f>参数输入表!$I$848</f>
        <v>0</v>
      </c>
      <c r="BA91" s="306">
        <f>参数输入表!$I$849</f>
        <v>0</v>
      </c>
    </row>
    <row r="93" spans="2:53">
      <c r="C93" s="2"/>
      <c r="D93" s="6"/>
      <c r="E93" s="6"/>
    </row>
  </sheetData>
  <mergeCells count="12">
    <mergeCell ref="B3:B4"/>
    <mergeCell ref="B38:B39"/>
    <mergeCell ref="B70:B71"/>
    <mergeCell ref="C3:C4"/>
    <mergeCell ref="C38:C39"/>
    <mergeCell ref="C70:C71"/>
    <mergeCell ref="D3:D4"/>
    <mergeCell ref="D38:D39"/>
    <mergeCell ref="D70:D71"/>
    <mergeCell ref="E3:E4"/>
    <mergeCell ref="E38:E39"/>
    <mergeCell ref="E70:E71"/>
  </mergeCells>
  <pageMargins left="0.7" right="0.7" top="0.75" bottom="0.75" header="0.3" footer="0.3"/>
  <headerFooter/>
  <ignoredErrors>
    <ignoredError sqref="D43" formula="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sheetPr>
  <dimension ref="A1:BA70"/>
  <sheetViews>
    <sheetView showGridLines="0" zoomScale="70" zoomScaleNormal="70" workbookViewId="0">
      <selection activeCell="Q4" sqref="Q4"/>
    </sheetView>
  </sheetViews>
  <sheetFormatPr defaultColWidth="8.78181818181818" defaultRowHeight="16.5"/>
  <cols>
    <col min="1" max="1" width="2.78181818181818" style="6" customWidth="1"/>
    <col min="2" max="2" width="8.78181818181818" style="6"/>
    <col min="3" max="3" width="35.1090909090909" style="6" customWidth="1"/>
    <col min="4" max="4" width="16.8909090909091" style="6" customWidth="1"/>
    <col min="5" max="5" width="9.78181818181818" style="6" customWidth="1"/>
    <col min="6" max="7" width="13.1090909090909" style="6" customWidth="1"/>
    <col min="8" max="8" width="14.6636363636364" style="6" customWidth="1"/>
    <col min="9" max="9" width="12" style="6" customWidth="1"/>
    <col min="10" max="12" width="13.5545454545455" style="6" customWidth="1"/>
    <col min="13" max="13" width="15.3363636363636" style="6" customWidth="1"/>
    <col min="14" max="53" width="13.7818181818182" style="6" customWidth="1"/>
    <col min="54" max="16384" width="8.78181818181818" style="6"/>
  </cols>
  <sheetData>
    <row r="1" ht="6.45" customHeight="1"/>
    <row r="2" ht="21.6" customHeight="1" spans="2:53">
      <c r="B2" s="142" t="s">
        <v>793</v>
      </c>
    </row>
    <row r="3" spans="2:53">
      <c r="B3" s="108" t="s">
        <v>2</v>
      </c>
      <c r="C3" s="10" t="s">
        <v>430</v>
      </c>
      <c r="D3" s="10" t="s">
        <v>491</v>
      </c>
      <c r="E3" s="10" t="s">
        <v>9</v>
      </c>
      <c r="F3" s="11">
        <v>2023</v>
      </c>
      <c r="G3" s="11">
        <v>2024</v>
      </c>
      <c r="H3" s="11">
        <v>2025</v>
      </c>
      <c r="I3" s="11">
        <v>2026</v>
      </c>
      <c r="J3" s="11">
        <v>2027</v>
      </c>
      <c r="K3" s="11">
        <v>2028</v>
      </c>
      <c r="L3" s="11">
        <v>2029</v>
      </c>
      <c r="M3" s="11">
        <v>2030</v>
      </c>
      <c r="N3" s="13">
        <v>2031</v>
      </c>
      <c r="O3" s="13">
        <v>2032</v>
      </c>
      <c r="P3" s="13">
        <v>2033</v>
      </c>
      <c r="Q3" s="13">
        <v>2034</v>
      </c>
      <c r="R3" s="13">
        <v>2035</v>
      </c>
      <c r="S3" s="13">
        <v>2036</v>
      </c>
      <c r="T3" s="13">
        <v>2037</v>
      </c>
      <c r="U3" s="13">
        <v>2038</v>
      </c>
      <c r="V3" s="13">
        <v>2039</v>
      </c>
      <c r="W3" s="13">
        <v>2040</v>
      </c>
      <c r="X3" s="13">
        <v>2041</v>
      </c>
      <c r="Y3" s="13">
        <v>2042</v>
      </c>
      <c r="Z3" s="13">
        <v>2043</v>
      </c>
      <c r="AA3" s="13">
        <v>2044</v>
      </c>
      <c r="AB3" s="13">
        <v>2045</v>
      </c>
      <c r="AC3" s="13">
        <v>2046</v>
      </c>
      <c r="AD3" s="13">
        <v>2047</v>
      </c>
      <c r="AE3" s="13">
        <v>2048</v>
      </c>
      <c r="AF3" s="13">
        <v>2049</v>
      </c>
      <c r="AG3" s="13">
        <v>2050</v>
      </c>
      <c r="AH3" s="13">
        <v>2051</v>
      </c>
      <c r="AI3" s="13">
        <v>2052</v>
      </c>
      <c r="AJ3" s="13">
        <v>2053</v>
      </c>
      <c r="AK3" s="13">
        <v>2054</v>
      </c>
      <c r="AL3" s="13">
        <v>2055</v>
      </c>
      <c r="AM3" s="13">
        <v>2056</v>
      </c>
      <c r="AN3" s="13">
        <v>2057</v>
      </c>
      <c r="AO3" s="13">
        <v>2058</v>
      </c>
      <c r="AP3" s="13">
        <v>2059</v>
      </c>
      <c r="AQ3" s="13">
        <v>2060</v>
      </c>
      <c r="AR3" s="13">
        <v>2061</v>
      </c>
      <c r="AS3" s="13">
        <v>2062</v>
      </c>
      <c r="AT3" s="13">
        <v>2063</v>
      </c>
      <c r="AU3" s="13">
        <v>2064</v>
      </c>
      <c r="AV3" s="13">
        <v>2065</v>
      </c>
      <c r="AW3" s="13">
        <v>2066</v>
      </c>
      <c r="AX3" s="13">
        <v>2067</v>
      </c>
      <c r="AY3" s="13">
        <v>2068</v>
      </c>
      <c r="AZ3" s="13">
        <v>2069</v>
      </c>
      <c r="BA3" s="14">
        <v>2070</v>
      </c>
    </row>
    <row r="4" spans="2:53">
      <c r="B4" s="115"/>
      <c r="C4" s="17"/>
      <c r="D4" s="17"/>
      <c r="E4" s="17"/>
      <c r="F4" s="18">
        <v>1</v>
      </c>
      <c r="G4" s="18">
        <v>2</v>
      </c>
      <c r="H4" s="18">
        <v>3</v>
      </c>
      <c r="I4" s="18">
        <v>4</v>
      </c>
      <c r="J4" s="18">
        <v>5</v>
      </c>
      <c r="K4" s="18">
        <v>6</v>
      </c>
      <c r="L4" s="18">
        <v>7</v>
      </c>
      <c r="M4" s="18">
        <v>8</v>
      </c>
      <c r="N4" s="20">
        <v>9</v>
      </c>
      <c r="O4" s="20">
        <v>10</v>
      </c>
      <c r="P4" s="20">
        <v>11</v>
      </c>
      <c r="Q4" s="20">
        <v>12</v>
      </c>
      <c r="R4" s="20">
        <v>13</v>
      </c>
      <c r="S4" s="20">
        <v>14</v>
      </c>
      <c r="T4" s="20">
        <v>15</v>
      </c>
      <c r="U4" s="20">
        <v>16</v>
      </c>
      <c r="V4" s="20">
        <v>17</v>
      </c>
      <c r="W4" s="20">
        <v>18</v>
      </c>
      <c r="X4" s="20">
        <v>19</v>
      </c>
      <c r="Y4" s="20">
        <v>20</v>
      </c>
      <c r="Z4" s="20">
        <v>21</v>
      </c>
      <c r="AA4" s="20">
        <v>22</v>
      </c>
      <c r="AB4" s="20">
        <v>23</v>
      </c>
      <c r="AC4" s="20">
        <v>24</v>
      </c>
      <c r="AD4" s="20">
        <v>25</v>
      </c>
      <c r="AE4" s="20">
        <v>26</v>
      </c>
      <c r="AF4" s="20">
        <v>27</v>
      </c>
      <c r="AG4" s="20">
        <v>28</v>
      </c>
      <c r="AH4" s="20">
        <v>29</v>
      </c>
      <c r="AI4" s="20">
        <v>30</v>
      </c>
      <c r="AJ4" s="20">
        <v>31</v>
      </c>
      <c r="AK4" s="20">
        <v>32</v>
      </c>
      <c r="AL4" s="20">
        <v>33</v>
      </c>
      <c r="AM4" s="20">
        <v>34</v>
      </c>
      <c r="AN4" s="20">
        <v>35</v>
      </c>
      <c r="AO4" s="20">
        <v>36</v>
      </c>
      <c r="AP4" s="20">
        <v>37</v>
      </c>
      <c r="AQ4" s="20">
        <v>38</v>
      </c>
      <c r="AR4" s="20">
        <v>39</v>
      </c>
      <c r="AS4" s="20">
        <v>40</v>
      </c>
      <c r="AT4" s="20">
        <v>41</v>
      </c>
      <c r="AU4" s="20">
        <v>42</v>
      </c>
      <c r="AV4" s="20">
        <v>43</v>
      </c>
      <c r="AW4" s="20">
        <v>44</v>
      </c>
      <c r="AX4" s="20">
        <v>45</v>
      </c>
      <c r="AY4" s="20">
        <v>46</v>
      </c>
      <c r="AZ4" s="20">
        <v>47</v>
      </c>
      <c r="BA4" s="21">
        <v>48</v>
      </c>
    </row>
    <row r="5" spans="2:53">
      <c r="B5" s="213"/>
      <c r="C5" s="214" t="s">
        <v>349</v>
      </c>
      <c r="D5" s="214"/>
      <c r="E5" s="214"/>
      <c r="F5" s="215">
        <f>参数输入表!$I$47</f>
        <v>0</v>
      </c>
      <c r="G5" s="215">
        <f>参数输入表!$I$48</f>
        <v>0</v>
      </c>
      <c r="H5" s="215">
        <f>参数输入表!$I$49</f>
        <v>0</v>
      </c>
      <c r="I5" s="215">
        <f>参数输入表!$I$50</f>
        <v>0</v>
      </c>
      <c r="J5" s="215">
        <f>参数输入表!$I$51</f>
        <v>0</v>
      </c>
      <c r="K5" s="215">
        <f>参数输入表!$I$52</f>
        <v>0</v>
      </c>
      <c r="L5" s="215">
        <f>参数输入表!$I$53</f>
        <v>0</v>
      </c>
      <c r="M5" s="215">
        <f>参数输入表!$I$54</f>
        <v>0.416666666666667</v>
      </c>
      <c r="N5" s="215">
        <f>参数输入表!$I$55</f>
        <v>1</v>
      </c>
      <c r="O5" s="215">
        <f>参数输入表!$I$56</f>
        <v>1</v>
      </c>
      <c r="P5" s="215">
        <f>参数输入表!$I$57</f>
        <v>1</v>
      </c>
      <c r="Q5" s="215">
        <f>参数输入表!$I$58</f>
        <v>1</v>
      </c>
      <c r="R5" s="215">
        <f>参数输入表!$I$59</f>
        <v>1</v>
      </c>
      <c r="S5" s="215">
        <f>参数输入表!$I$60</f>
        <v>1</v>
      </c>
      <c r="T5" s="215">
        <f>参数输入表!$I$61</f>
        <v>1</v>
      </c>
      <c r="U5" s="215">
        <f>参数输入表!$I$62</f>
        <v>1</v>
      </c>
      <c r="V5" s="215">
        <f>参数输入表!$I$63</f>
        <v>1</v>
      </c>
      <c r="W5" s="215">
        <f>参数输入表!$I$64</f>
        <v>1</v>
      </c>
      <c r="X5" s="215">
        <f>参数输入表!$I$65</f>
        <v>1</v>
      </c>
      <c r="Y5" s="215">
        <f>参数输入表!$I$66</f>
        <v>1</v>
      </c>
      <c r="Z5" s="215">
        <f>参数输入表!$I$67</f>
        <v>1</v>
      </c>
      <c r="AA5" s="215">
        <f>参数输入表!$I$68</f>
        <v>1</v>
      </c>
      <c r="AB5" s="215">
        <f>参数输入表!$I$69</f>
        <v>1</v>
      </c>
      <c r="AC5" s="215">
        <f>参数输入表!$I$70</f>
        <v>1</v>
      </c>
      <c r="AD5" s="215">
        <f>参数输入表!$I$71</f>
        <v>1</v>
      </c>
      <c r="AE5" s="215">
        <f>参数输入表!$I$72</f>
        <v>1</v>
      </c>
      <c r="AF5" s="215">
        <f>参数输入表!$I$73</f>
        <v>1</v>
      </c>
      <c r="AG5" s="215">
        <f>参数输入表!$I$74</f>
        <v>1</v>
      </c>
      <c r="AH5" s="215">
        <f>参数输入表!$I$75</f>
        <v>1</v>
      </c>
      <c r="AI5" s="215">
        <f>参数输入表!$I$76</f>
        <v>1</v>
      </c>
      <c r="AJ5" s="215">
        <f>参数输入表!$I$77</f>
        <v>1</v>
      </c>
      <c r="AK5" s="215">
        <f>参数输入表!$I$78</f>
        <v>1</v>
      </c>
      <c r="AL5" s="215">
        <f>参数输入表!$I$79</f>
        <v>1</v>
      </c>
      <c r="AM5" s="215">
        <f>参数输入表!$I$80</f>
        <v>1</v>
      </c>
      <c r="AN5" s="215">
        <f>参数输入表!$I$81</f>
        <v>1</v>
      </c>
      <c r="AO5" s="215">
        <f>参数输入表!$I$82</f>
        <v>1</v>
      </c>
      <c r="AP5" s="215">
        <f>参数输入表!$I$83</f>
        <v>1</v>
      </c>
      <c r="AQ5" s="215">
        <f>参数输入表!$I$84</f>
        <v>1</v>
      </c>
      <c r="AR5" s="215">
        <f>参数输入表!$I$85</f>
        <v>1</v>
      </c>
      <c r="AS5" s="215">
        <f>参数输入表!$I$86</f>
        <v>1</v>
      </c>
      <c r="AT5" s="215">
        <f>参数输入表!$I$87</f>
        <v>1</v>
      </c>
      <c r="AU5" s="215">
        <f>参数输入表!$I$88</f>
        <v>1</v>
      </c>
      <c r="AV5" s="215">
        <f>参数输入表!$I$89</f>
        <v>1</v>
      </c>
      <c r="AW5" s="215">
        <f>参数输入表!$I$90</f>
        <v>1</v>
      </c>
      <c r="AX5" s="215">
        <f>参数输入表!$I$91</f>
        <v>1</v>
      </c>
      <c r="AY5" s="215">
        <f>参数输入表!$I$92</f>
        <v>1</v>
      </c>
      <c r="AZ5" s="215">
        <f>参数输入表!$I$93</f>
        <v>1</v>
      </c>
      <c r="BA5" s="216">
        <f>参数输入表!$I$94</f>
        <v>0.583333333333333</v>
      </c>
    </row>
    <row r="6" s="4" customFormat="1" spans="2:53">
      <c r="B6" s="217">
        <v>1</v>
      </c>
      <c r="C6" s="218" t="s">
        <v>345</v>
      </c>
      <c r="D6" s="119">
        <f>SUM(F6:BA6)</f>
        <v>5439260.17699115</v>
      </c>
      <c r="E6" s="50" t="s">
        <v>130</v>
      </c>
      <c r="F6" s="134">
        <f>F7+F10</f>
        <v>0</v>
      </c>
      <c r="G6" s="134">
        <f t="shared" ref="G6:BA6" si="0">G7+G10</f>
        <v>0</v>
      </c>
      <c r="H6" s="134">
        <f t="shared" si="0"/>
        <v>0</v>
      </c>
      <c r="I6" s="134">
        <f t="shared" si="0"/>
        <v>0</v>
      </c>
      <c r="J6" s="134">
        <f t="shared" si="0"/>
        <v>0</v>
      </c>
      <c r="K6" s="134">
        <f t="shared" si="0"/>
        <v>0</v>
      </c>
      <c r="L6" s="134">
        <f t="shared" si="0"/>
        <v>0</v>
      </c>
      <c r="M6" s="134">
        <f t="shared" si="0"/>
        <v>56658.9601769911</v>
      </c>
      <c r="N6" s="134">
        <f t="shared" si="0"/>
        <v>135981.504424779</v>
      </c>
      <c r="O6" s="134">
        <f t="shared" si="0"/>
        <v>135981.504424779</v>
      </c>
      <c r="P6" s="134">
        <f t="shared" si="0"/>
        <v>135981.504424779</v>
      </c>
      <c r="Q6" s="134">
        <f t="shared" si="0"/>
        <v>135981.504424779</v>
      </c>
      <c r="R6" s="134">
        <f t="shared" si="0"/>
        <v>135981.504424779</v>
      </c>
      <c r="S6" s="134">
        <f t="shared" si="0"/>
        <v>135981.504424779</v>
      </c>
      <c r="T6" s="134">
        <f t="shared" si="0"/>
        <v>135981.504424779</v>
      </c>
      <c r="U6" s="134">
        <f t="shared" si="0"/>
        <v>135981.504424779</v>
      </c>
      <c r="V6" s="134">
        <f t="shared" si="0"/>
        <v>135981.504424779</v>
      </c>
      <c r="W6" s="134">
        <f t="shared" si="0"/>
        <v>135981.504424779</v>
      </c>
      <c r="X6" s="134">
        <f t="shared" si="0"/>
        <v>135981.504424779</v>
      </c>
      <c r="Y6" s="134">
        <f t="shared" si="0"/>
        <v>135981.504424779</v>
      </c>
      <c r="Z6" s="134">
        <f t="shared" si="0"/>
        <v>135981.504424779</v>
      </c>
      <c r="AA6" s="134">
        <f t="shared" si="0"/>
        <v>135981.504424779</v>
      </c>
      <c r="AB6" s="134">
        <f t="shared" si="0"/>
        <v>135981.504424779</v>
      </c>
      <c r="AC6" s="134">
        <f t="shared" si="0"/>
        <v>135981.504424779</v>
      </c>
      <c r="AD6" s="134">
        <f t="shared" si="0"/>
        <v>135981.504424779</v>
      </c>
      <c r="AE6" s="134">
        <f t="shared" si="0"/>
        <v>135981.504424779</v>
      </c>
      <c r="AF6" s="134">
        <f t="shared" si="0"/>
        <v>135981.504424779</v>
      </c>
      <c r="AG6" s="134">
        <f t="shared" si="0"/>
        <v>135981.504424779</v>
      </c>
      <c r="AH6" s="134">
        <f t="shared" si="0"/>
        <v>135981.504424779</v>
      </c>
      <c r="AI6" s="134">
        <f t="shared" si="0"/>
        <v>135981.504424779</v>
      </c>
      <c r="AJ6" s="134">
        <f t="shared" si="0"/>
        <v>135981.504424779</v>
      </c>
      <c r="AK6" s="134">
        <f t="shared" si="0"/>
        <v>135981.504424779</v>
      </c>
      <c r="AL6" s="134">
        <f t="shared" si="0"/>
        <v>135981.504424779</v>
      </c>
      <c r="AM6" s="134">
        <f t="shared" si="0"/>
        <v>135981.504424779</v>
      </c>
      <c r="AN6" s="134">
        <f t="shared" si="0"/>
        <v>135981.504424779</v>
      </c>
      <c r="AO6" s="134">
        <f t="shared" si="0"/>
        <v>135981.504424779</v>
      </c>
      <c r="AP6" s="134">
        <f t="shared" si="0"/>
        <v>135981.504424779</v>
      </c>
      <c r="AQ6" s="134">
        <f t="shared" si="0"/>
        <v>135981.504424779</v>
      </c>
      <c r="AR6" s="134">
        <f t="shared" si="0"/>
        <v>135981.504424779</v>
      </c>
      <c r="AS6" s="134">
        <f t="shared" si="0"/>
        <v>135981.504424779</v>
      </c>
      <c r="AT6" s="134">
        <f t="shared" si="0"/>
        <v>135981.504424779</v>
      </c>
      <c r="AU6" s="134">
        <f t="shared" si="0"/>
        <v>135981.504424779</v>
      </c>
      <c r="AV6" s="134">
        <f t="shared" si="0"/>
        <v>135981.504424779</v>
      </c>
      <c r="AW6" s="134">
        <f t="shared" si="0"/>
        <v>135981.504424779</v>
      </c>
      <c r="AX6" s="134">
        <f t="shared" si="0"/>
        <v>135981.504424779</v>
      </c>
      <c r="AY6" s="134">
        <f t="shared" si="0"/>
        <v>135981.504424779</v>
      </c>
      <c r="AZ6" s="134">
        <f t="shared" si="0"/>
        <v>135981.504424779</v>
      </c>
      <c r="BA6" s="143">
        <f t="shared" si="0"/>
        <v>79322.5442477875</v>
      </c>
    </row>
    <row r="7" s="4" customFormat="1" spans="2:53">
      <c r="B7" s="48">
        <v>1.1</v>
      </c>
      <c r="C7" s="74" t="s">
        <v>346</v>
      </c>
      <c r="D7" s="124">
        <f>SUM(F7:BA7)</f>
        <v>3451681.4159292</v>
      </c>
      <c r="E7" s="50" t="s">
        <v>130</v>
      </c>
      <c r="F7" s="124">
        <f>$D$8*$D$9*1000/10000*F5/(1+参数输入表!$I$864)</f>
        <v>0</v>
      </c>
      <c r="G7" s="124">
        <f>$D$8*$D$9*1000/10000*G5/(1+参数输入表!$I$864)</f>
        <v>0</v>
      </c>
      <c r="H7" s="124">
        <f>$D$8*$D$9*1000/10000*H5/(1+参数输入表!$I$864)</f>
        <v>0</v>
      </c>
      <c r="I7" s="124">
        <f>$D$8*$D$9*1000/10000*I5/(1+参数输入表!$I$864)</f>
        <v>0</v>
      </c>
      <c r="J7" s="124">
        <f>$D$8*$D$9*1000/10000*J5/(1+参数输入表!$I$864)</f>
        <v>0</v>
      </c>
      <c r="K7" s="124">
        <f>$D$8*$D$9*1000/10000*K5/(1+参数输入表!$I$864)</f>
        <v>0</v>
      </c>
      <c r="L7" s="124">
        <f>$D$8*$D$9*1000/10000*L5/(1+参数输入表!$I$864)</f>
        <v>0</v>
      </c>
      <c r="M7" s="124">
        <f>$D$8*$D$9*1000/10000*M5/(1+参数输入表!$I$864)</f>
        <v>35955.0147492625</v>
      </c>
      <c r="N7" s="124">
        <f>$D$8*$D$9*1000/10000*N5/(1+参数输入表!$I$864)</f>
        <v>86292.0353982301</v>
      </c>
      <c r="O7" s="124">
        <f>$D$8*$D$9*1000/10000*O5/(1+参数输入表!$I$864)</f>
        <v>86292.0353982301</v>
      </c>
      <c r="P7" s="124">
        <f>$D$8*$D$9*1000/10000*P5/(1+参数输入表!$I$864)</f>
        <v>86292.0353982301</v>
      </c>
      <c r="Q7" s="124">
        <f>$D$8*$D$9*1000/10000*Q5/(1+参数输入表!$I$864)</f>
        <v>86292.0353982301</v>
      </c>
      <c r="R7" s="124">
        <f>$D$8*$D$9*1000/10000*R5/(1+参数输入表!$I$864)</f>
        <v>86292.0353982301</v>
      </c>
      <c r="S7" s="124">
        <f>$D$8*$D$9*1000/10000*S5/(1+参数输入表!$I$864)</f>
        <v>86292.0353982301</v>
      </c>
      <c r="T7" s="124">
        <f>$D$8*$D$9*1000/10000*T5/(1+参数输入表!$I$864)</f>
        <v>86292.0353982301</v>
      </c>
      <c r="U7" s="124">
        <f>$D$8*$D$9*1000/10000*U5/(1+参数输入表!$I$864)</f>
        <v>86292.0353982301</v>
      </c>
      <c r="V7" s="124">
        <f>$D$8*$D$9*1000/10000*V5/(1+参数输入表!$I$864)</f>
        <v>86292.0353982301</v>
      </c>
      <c r="W7" s="124">
        <f>$D$8*$D$9*1000/10000*W5/(1+参数输入表!$I$864)</f>
        <v>86292.0353982301</v>
      </c>
      <c r="X7" s="124">
        <f>$D$8*$D$9*1000/10000*X5/(1+参数输入表!$I$864)</f>
        <v>86292.0353982301</v>
      </c>
      <c r="Y7" s="124">
        <f>$D$8*$D$9*1000/10000*Y5/(1+参数输入表!$I$864)</f>
        <v>86292.0353982301</v>
      </c>
      <c r="Z7" s="124">
        <f>$D$8*$D$9*1000/10000*Z5/(1+参数输入表!$I$864)</f>
        <v>86292.0353982301</v>
      </c>
      <c r="AA7" s="124">
        <f>$D$8*$D$9*1000/10000*AA5/(1+参数输入表!$I$864)</f>
        <v>86292.0353982301</v>
      </c>
      <c r="AB7" s="124">
        <f>$D$8*$D$9*1000/10000*AB5/(1+参数输入表!$I$864)</f>
        <v>86292.0353982301</v>
      </c>
      <c r="AC7" s="124">
        <f>$D$8*$D$9*1000/10000*AC5/(1+参数输入表!$I$864)</f>
        <v>86292.0353982301</v>
      </c>
      <c r="AD7" s="124">
        <f>$D$8*$D$9*1000/10000*AD5/(1+参数输入表!$I$864)</f>
        <v>86292.0353982301</v>
      </c>
      <c r="AE7" s="124">
        <f>$D$8*$D$9*1000/10000*AE5/(1+参数输入表!$I$864)</f>
        <v>86292.0353982301</v>
      </c>
      <c r="AF7" s="124">
        <f>$D$8*$D$9*1000/10000*AF5/(1+参数输入表!$I$864)</f>
        <v>86292.0353982301</v>
      </c>
      <c r="AG7" s="124">
        <f>$D$8*$D$9*1000/10000*AG5/(1+参数输入表!$I$864)</f>
        <v>86292.0353982301</v>
      </c>
      <c r="AH7" s="124">
        <f>$D$8*$D$9*1000/10000*AH5/(1+参数输入表!$I$864)</f>
        <v>86292.0353982301</v>
      </c>
      <c r="AI7" s="124">
        <f>$D$8*$D$9*1000/10000*AI5/(1+参数输入表!$I$864)</f>
        <v>86292.0353982301</v>
      </c>
      <c r="AJ7" s="124">
        <f>$D$8*$D$9*1000/10000*AJ5/(1+参数输入表!$I$864)</f>
        <v>86292.0353982301</v>
      </c>
      <c r="AK7" s="124">
        <f>$D$8*$D$9*1000/10000*AK5/(1+参数输入表!$I$864)</f>
        <v>86292.0353982301</v>
      </c>
      <c r="AL7" s="124">
        <f>$D$8*$D$9*1000/10000*AL5/(1+参数输入表!$I$864)</f>
        <v>86292.0353982301</v>
      </c>
      <c r="AM7" s="124">
        <f>$D$8*$D$9*1000/10000*AM5/(1+参数输入表!$I$864)</f>
        <v>86292.0353982301</v>
      </c>
      <c r="AN7" s="124">
        <f>$D$8*$D$9*1000/10000*AN5/(1+参数输入表!$I$864)</f>
        <v>86292.0353982301</v>
      </c>
      <c r="AO7" s="124">
        <f>$D$8*$D$9*1000/10000*AO5/(1+参数输入表!$I$864)</f>
        <v>86292.0353982301</v>
      </c>
      <c r="AP7" s="124">
        <f>$D$8*$D$9*1000/10000*AP5/(1+参数输入表!$I$864)</f>
        <v>86292.0353982301</v>
      </c>
      <c r="AQ7" s="124">
        <f>$D$8*$D$9*1000/10000*AQ5/(1+参数输入表!$I$864)</f>
        <v>86292.0353982301</v>
      </c>
      <c r="AR7" s="124">
        <f>$D$8*$D$9*1000/10000*AR5/(1+参数输入表!$I$864)</f>
        <v>86292.0353982301</v>
      </c>
      <c r="AS7" s="124">
        <f>$D$8*$D$9*1000/10000*AS5/(1+参数输入表!$I$864)</f>
        <v>86292.0353982301</v>
      </c>
      <c r="AT7" s="124">
        <f>$D$8*$D$9*1000/10000*AT5/(1+参数输入表!$I$864)</f>
        <v>86292.0353982301</v>
      </c>
      <c r="AU7" s="124">
        <f>$D$8*$D$9*1000/10000*AU5/(1+参数输入表!$I$864)</f>
        <v>86292.0353982301</v>
      </c>
      <c r="AV7" s="124">
        <f>$D$8*$D$9*1000/10000*AV5/(1+参数输入表!$I$864)</f>
        <v>86292.0353982301</v>
      </c>
      <c r="AW7" s="124">
        <f>$D$8*$D$9*1000/10000*AW5/(1+参数输入表!$I$864)</f>
        <v>86292.0353982301</v>
      </c>
      <c r="AX7" s="124">
        <f>$D$8*$D$9*1000/10000*AX5/(1+参数输入表!$I$864)</f>
        <v>86292.0353982301</v>
      </c>
      <c r="AY7" s="124">
        <f>$D$8*$D$9*1000/10000*AY5/(1+参数输入表!$I$864)</f>
        <v>86292.0353982301</v>
      </c>
      <c r="AZ7" s="124">
        <f>$D$8*$D$9*1000/10000*AZ5/(1+参数输入表!$I$864)</f>
        <v>86292.0353982301</v>
      </c>
      <c r="BA7" s="125">
        <f>$D$8*$D$9*1000/10000*BA5/(1+参数输入表!$I$864)</f>
        <v>50337.0206489676</v>
      </c>
    </row>
    <row r="8" s="4" customFormat="1" spans="2:53">
      <c r="B8" s="48"/>
      <c r="C8" s="219" t="s">
        <v>347</v>
      </c>
      <c r="D8" s="124">
        <f>参数输入表!I853</f>
        <v>1400</v>
      </c>
      <c r="E8" s="50" t="s">
        <v>65</v>
      </c>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5"/>
    </row>
    <row r="9" s="4" customFormat="1" spans="2:53">
      <c r="B9" s="48"/>
      <c r="C9" s="219" t="s">
        <v>350</v>
      </c>
      <c r="D9" s="124">
        <f>参数输入表!I855</f>
        <v>696.5</v>
      </c>
      <c r="E9" s="50" t="s">
        <v>127</v>
      </c>
      <c r="F9" s="124"/>
      <c r="G9" s="124"/>
      <c r="H9" s="124"/>
      <c r="I9" s="124"/>
      <c r="J9" s="124"/>
      <c r="K9" s="124"/>
      <c r="L9" s="124"/>
      <c r="M9" s="124"/>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5"/>
    </row>
    <row r="10" s="4" customFormat="1" spans="2:53">
      <c r="B10" s="48">
        <v>1.2</v>
      </c>
      <c r="C10" s="74" t="s">
        <v>357</v>
      </c>
      <c r="D10" s="124">
        <f>SUM(F10:BA10)</f>
        <v>1987578.76106194</v>
      </c>
      <c r="E10" s="50" t="s">
        <v>130</v>
      </c>
      <c r="F10" s="124">
        <f>F11*(1-$D$12)*F13/(1+参数输入表!$I$864)</f>
        <v>0</v>
      </c>
      <c r="G10" s="124">
        <f>G11*(1-$D$12)*G13/(1+参数输入表!$I$864)</f>
        <v>0</v>
      </c>
      <c r="H10" s="124">
        <f>H11*(1-$D$12)*H13/(1+参数输入表!$I$864)</f>
        <v>0</v>
      </c>
      <c r="I10" s="124">
        <f>I11*(1-$D$12)*I13/(1+参数输入表!$I$864)</f>
        <v>0</v>
      </c>
      <c r="J10" s="124">
        <f>J11*(1-$D$12)*J13/(1+参数输入表!$I$864)</f>
        <v>0</v>
      </c>
      <c r="K10" s="124">
        <f>K11*(1-$D$12)*K13/(1+参数输入表!$I$864)</f>
        <v>0</v>
      </c>
      <c r="L10" s="124">
        <f>L11*(1-$D$12)*L13/(1+参数输入表!$I$864)</f>
        <v>0</v>
      </c>
      <c r="M10" s="124">
        <f>M11*(1-$D$12)*M13/(1+参数输入表!$I$864)</f>
        <v>20703.9454277285</v>
      </c>
      <c r="N10" s="124">
        <f>N11*(1-$D$12)*N13/(1+参数输入表!$I$864)</f>
        <v>49689.4690265485</v>
      </c>
      <c r="O10" s="124">
        <f>O11*(1-$D$12)*O13/(1+参数输入表!$I$864)</f>
        <v>49689.4690265485</v>
      </c>
      <c r="P10" s="124">
        <f>P11*(1-$D$12)*P13/(1+参数输入表!$I$864)</f>
        <v>49689.4690265485</v>
      </c>
      <c r="Q10" s="124">
        <f>Q11*(1-$D$12)*Q13/(1+参数输入表!$I$864)</f>
        <v>49689.4690265485</v>
      </c>
      <c r="R10" s="124">
        <f>R11*(1-$D$12)*R13/(1+参数输入表!$I$864)</f>
        <v>49689.4690265485</v>
      </c>
      <c r="S10" s="124">
        <f>S11*(1-$D$12)*S13/(1+参数输入表!$I$864)</f>
        <v>49689.4690265485</v>
      </c>
      <c r="T10" s="124">
        <f>T11*(1-$D$12)*T13/(1+参数输入表!$I$864)</f>
        <v>49689.4690265485</v>
      </c>
      <c r="U10" s="124">
        <f>U11*(1-$D$12)*U13/(1+参数输入表!$I$864)</f>
        <v>49689.4690265485</v>
      </c>
      <c r="V10" s="124">
        <f>V11*(1-$D$12)*V13/(1+参数输入表!$I$864)</f>
        <v>49689.4690265485</v>
      </c>
      <c r="W10" s="124">
        <f>W11*(1-$D$12)*W13/(1+参数输入表!$I$864)</f>
        <v>49689.4690265485</v>
      </c>
      <c r="X10" s="124">
        <f>X11*(1-$D$12)*X13/(1+参数输入表!$I$864)</f>
        <v>49689.4690265485</v>
      </c>
      <c r="Y10" s="124">
        <f>Y11*(1-$D$12)*Y13/(1+参数输入表!$I$864)</f>
        <v>49689.4690265485</v>
      </c>
      <c r="Z10" s="124">
        <f>Z11*(1-$D$12)*Z13/(1+参数输入表!$I$864)</f>
        <v>49689.4690265485</v>
      </c>
      <c r="AA10" s="124">
        <f>AA11*(1-$D$12)*AA13/(1+参数输入表!$I$864)</f>
        <v>49689.4690265485</v>
      </c>
      <c r="AB10" s="124">
        <f>AB11*(1-$D$12)*AB13/(1+参数输入表!$I$864)</f>
        <v>49689.4690265485</v>
      </c>
      <c r="AC10" s="124">
        <f>AC11*(1-$D$12)*AC13/(1+参数输入表!$I$864)</f>
        <v>49689.4690265485</v>
      </c>
      <c r="AD10" s="124">
        <f>AD11*(1-$D$12)*AD13/(1+参数输入表!$I$864)</f>
        <v>49689.4690265485</v>
      </c>
      <c r="AE10" s="124">
        <f>AE11*(1-$D$12)*AE13/(1+参数输入表!$I$864)</f>
        <v>49689.4690265485</v>
      </c>
      <c r="AF10" s="124">
        <f>AF11*(1-$D$12)*AF13/(1+参数输入表!$I$864)</f>
        <v>49689.4690265485</v>
      </c>
      <c r="AG10" s="124">
        <f>AG11*(1-$D$12)*AG13/(1+参数输入表!$I$864)</f>
        <v>49689.4690265485</v>
      </c>
      <c r="AH10" s="124">
        <f>AH11*(1-$D$12)*AH13/(1+参数输入表!$I$864)</f>
        <v>49689.4690265485</v>
      </c>
      <c r="AI10" s="124">
        <f>AI11*(1-$D$12)*AI13/(1+参数输入表!$I$864)</f>
        <v>49689.4690265485</v>
      </c>
      <c r="AJ10" s="124">
        <f>AJ11*(1-$D$12)*AJ13/(1+参数输入表!$I$864)</f>
        <v>49689.4690265485</v>
      </c>
      <c r="AK10" s="124">
        <f>AK11*(1-$D$12)*AK13/(1+参数输入表!$I$864)</f>
        <v>49689.4690265485</v>
      </c>
      <c r="AL10" s="124">
        <f>AL11*(1-$D$12)*AL13/(1+参数输入表!$I$864)</f>
        <v>49689.4690265485</v>
      </c>
      <c r="AM10" s="124">
        <f>AM11*(1-$D$12)*AM13/(1+参数输入表!$I$864)</f>
        <v>49689.4690265485</v>
      </c>
      <c r="AN10" s="124">
        <f>AN11*(1-$D$12)*AN13/(1+参数输入表!$I$864)</f>
        <v>49689.4690265485</v>
      </c>
      <c r="AO10" s="124">
        <f>AO11*(1-$D$12)*AO13/(1+参数输入表!$I$864)</f>
        <v>49689.4690265485</v>
      </c>
      <c r="AP10" s="124">
        <f>AP11*(1-$D$12)*AP13/(1+参数输入表!$I$864)</f>
        <v>49689.4690265485</v>
      </c>
      <c r="AQ10" s="124">
        <f>AQ11*(1-$D$12)*AQ13/(1+参数输入表!$I$864)</f>
        <v>49689.4690265485</v>
      </c>
      <c r="AR10" s="124">
        <f>AR11*(1-$D$12)*AR13/(1+参数输入表!$I$864)</f>
        <v>49689.4690265485</v>
      </c>
      <c r="AS10" s="124">
        <f>AS11*(1-$D$12)*AS13/(1+参数输入表!$I$864)</f>
        <v>49689.4690265485</v>
      </c>
      <c r="AT10" s="124">
        <f>AT11*(1-$D$12)*AT13/(1+参数输入表!$I$864)</f>
        <v>49689.4690265485</v>
      </c>
      <c r="AU10" s="124">
        <f>AU11*(1-$D$12)*AU13/(1+参数输入表!$I$864)</f>
        <v>49689.4690265485</v>
      </c>
      <c r="AV10" s="124">
        <f>AV11*(1-$D$12)*AV13/(1+参数输入表!$I$864)</f>
        <v>49689.4690265485</v>
      </c>
      <c r="AW10" s="124">
        <f>AW11*(1-$D$12)*AW13/(1+参数输入表!$I$864)</f>
        <v>49689.4690265485</v>
      </c>
      <c r="AX10" s="124">
        <f>AX11*(1-$D$12)*AX13/(1+参数输入表!$I$864)</f>
        <v>49689.4690265485</v>
      </c>
      <c r="AY10" s="124">
        <f>AY11*(1-$D$12)*AY13/(1+参数输入表!$I$864)</f>
        <v>49689.4690265485</v>
      </c>
      <c r="AZ10" s="124">
        <f>AZ11*(1-$D$12)*AZ13/(1+参数输入表!$I$864)</f>
        <v>49689.4690265485</v>
      </c>
      <c r="BA10" s="125">
        <f>BA11*(1-$D$12)*BA13/(1+参数输入表!$I$864)</f>
        <v>28985.52359882</v>
      </c>
    </row>
    <row r="11" spans="2:53">
      <c r="B11" s="32"/>
      <c r="C11" s="219" t="s">
        <v>122</v>
      </c>
      <c r="D11" s="42">
        <f>SUM(F11:BA11)</f>
        <v>6547999.99999997</v>
      </c>
      <c r="E11" s="29" t="s">
        <v>758</v>
      </c>
      <c r="F11" s="124">
        <f>参数输入表!$I$96*1000/10000</f>
        <v>0</v>
      </c>
      <c r="G11" s="124">
        <f>参数输入表!$I$97*1000/10000</f>
        <v>0</v>
      </c>
      <c r="H11" s="124">
        <f>参数输入表!$I$98*1000/10000</f>
        <v>0</v>
      </c>
      <c r="I11" s="124">
        <f>参数输入表!$I$99*1000/10000</f>
        <v>0</v>
      </c>
      <c r="J11" s="124">
        <f>参数输入表!$I$100*1000/10000</f>
        <v>0</v>
      </c>
      <c r="K11" s="124">
        <f>参数输入表!$I$101*1000/10000</f>
        <v>0</v>
      </c>
      <c r="L11" s="124">
        <f>参数输入表!$I$102*1000/10000</f>
        <v>0</v>
      </c>
      <c r="M11" s="124">
        <f>参数输入表!$I$103*1000/10000</f>
        <v>68208.3333333331</v>
      </c>
      <c r="N11" s="124">
        <f>参数输入表!$I$104*1000/10000</f>
        <v>163699.999999999</v>
      </c>
      <c r="O11" s="124">
        <f>参数输入表!$I$105*1000/10000</f>
        <v>163699.999999999</v>
      </c>
      <c r="P11" s="124">
        <f>参数输入表!$I$106*1000/10000</f>
        <v>163699.999999999</v>
      </c>
      <c r="Q11" s="124">
        <f>参数输入表!$I$107*1000/10000</f>
        <v>163699.999999999</v>
      </c>
      <c r="R11" s="124">
        <f>参数输入表!$I$108*1000/10000</f>
        <v>163699.999999999</v>
      </c>
      <c r="S11" s="124">
        <f>参数输入表!$I$109*1000/10000</f>
        <v>163699.999999999</v>
      </c>
      <c r="T11" s="124">
        <f>参数输入表!$I$110*1000/10000</f>
        <v>163699.999999999</v>
      </c>
      <c r="U11" s="124">
        <f>参数输入表!$I$111*1000/10000</f>
        <v>163699.999999999</v>
      </c>
      <c r="V11" s="124">
        <f>参数输入表!$I$112*1000/10000</f>
        <v>163699.999999999</v>
      </c>
      <c r="W11" s="124">
        <f>参数输入表!$I$113*1000/10000</f>
        <v>163699.999999999</v>
      </c>
      <c r="X11" s="124">
        <f>参数输入表!$I$114*1000/10000</f>
        <v>163699.999999999</v>
      </c>
      <c r="Y11" s="124">
        <f>参数输入表!$I$115*1000/10000</f>
        <v>163699.999999999</v>
      </c>
      <c r="Z11" s="124">
        <f>参数输入表!$I$116*1000/10000</f>
        <v>163699.999999999</v>
      </c>
      <c r="AA11" s="124">
        <f>参数输入表!$I$117*1000/10000</f>
        <v>163699.999999999</v>
      </c>
      <c r="AB11" s="124">
        <f>参数输入表!$I$118*1000/10000</f>
        <v>163699.999999999</v>
      </c>
      <c r="AC11" s="124">
        <f>参数输入表!$I$119*1000/10000</f>
        <v>163699.999999999</v>
      </c>
      <c r="AD11" s="124">
        <f>参数输入表!$I$120*1000/10000</f>
        <v>163699.999999999</v>
      </c>
      <c r="AE11" s="124">
        <f>参数输入表!$I$121*1000/10000</f>
        <v>163699.999999999</v>
      </c>
      <c r="AF11" s="124">
        <f>参数输入表!$I$122*1000/10000</f>
        <v>163699.999999999</v>
      </c>
      <c r="AG11" s="124">
        <f>参数输入表!$I$123*1000/10000</f>
        <v>163699.999999999</v>
      </c>
      <c r="AH11" s="124">
        <f>参数输入表!$I$124*1000/10000</f>
        <v>163699.999999999</v>
      </c>
      <c r="AI11" s="124">
        <f>参数输入表!$I$125*1000/10000</f>
        <v>163699.999999999</v>
      </c>
      <c r="AJ11" s="124">
        <f>参数输入表!$I$126*1000/10000</f>
        <v>163699.999999999</v>
      </c>
      <c r="AK11" s="124">
        <f>参数输入表!$I$127*1000/10000</f>
        <v>163699.999999999</v>
      </c>
      <c r="AL11" s="124">
        <f>参数输入表!$I$128*1000/10000</f>
        <v>163699.999999999</v>
      </c>
      <c r="AM11" s="124">
        <f>参数输入表!$I$129*1000/10000</f>
        <v>163699.999999999</v>
      </c>
      <c r="AN11" s="124">
        <f>参数输入表!$I$130*1000/10000</f>
        <v>163699.999999999</v>
      </c>
      <c r="AO11" s="124">
        <f>参数输入表!$I$131*1000/10000</f>
        <v>163699.999999999</v>
      </c>
      <c r="AP11" s="124">
        <f>参数输入表!$I$132*1000/10000</f>
        <v>163699.999999999</v>
      </c>
      <c r="AQ11" s="124">
        <f>参数输入表!$I$133*1000/10000</f>
        <v>163699.999999999</v>
      </c>
      <c r="AR11" s="124">
        <f>参数输入表!$I$134*1000/10000</f>
        <v>163699.999999999</v>
      </c>
      <c r="AS11" s="124">
        <f>参数输入表!$I$135*1000/10000</f>
        <v>163699.999999999</v>
      </c>
      <c r="AT11" s="124">
        <f>参数输入表!$I$136*1000/10000</f>
        <v>163699.999999999</v>
      </c>
      <c r="AU11" s="124">
        <f>参数输入表!$I$137*1000/10000</f>
        <v>163699.999999999</v>
      </c>
      <c r="AV11" s="124">
        <f>参数输入表!$I$138*1000/10000</f>
        <v>163699.999999999</v>
      </c>
      <c r="AW11" s="124">
        <f>参数输入表!$I$139*1000/10000</f>
        <v>163699.999999999</v>
      </c>
      <c r="AX11" s="124">
        <f>参数输入表!$I$140*1000/10000</f>
        <v>163699.999999999</v>
      </c>
      <c r="AY11" s="124">
        <f>参数输入表!$I$141*1000/10000</f>
        <v>163699.999999999</v>
      </c>
      <c r="AZ11" s="124">
        <f>参数输入表!$I$142*1000/10000</f>
        <v>163699.999999999</v>
      </c>
      <c r="BA11" s="125">
        <f>参数输入表!$I$143*1000/10000</f>
        <v>95491.6666666663</v>
      </c>
    </row>
    <row r="12" spans="2:53">
      <c r="B12" s="32"/>
      <c r="C12" s="219" t="s">
        <v>359</v>
      </c>
      <c r="D12" s="220">
        <f>参数输入表!$I$862</f>
        <v>0.02</v>
      </c>
      <c r="E12" s="29" t="s">
        <v>31</v>
      </c>
      <c r="F12" s="221"/>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2"/>
    </row>
    <row r="13" spans="2:53">
      <c r="B13" s="32"/>
      <c r="C13" s="219" t="s">
        <v>126</v>
      </c>
      <c r="D13" s="42"/>
      <c r="E13" s="29" t="s">
        <v>794</v>
      </c>
      <c r="F13" s="223">
        <f>参数输入表!$I$145</f>
        <v>0.35</v>
      </c>
      <c r="G13" s="223">
        <f>参数输入表!$I$146</f>
        <v>0.35</v>
      </c>
      <c r="H13" s="223">
        <f>参数输入表!$I$147</f>
        <v>0.35</v>
      </c>
      <c r="I13" s="223">
        <f>参数输入表!$I$148</f>
        <v>0.35</v>
      </c>
      <c r="J13" s="223">
        <f>参数输入表!$I$149</f>
        <v>0.35</v>
      </c>
      <c r="K13" s="223">
        <f>参数输入表!$I$150</f>
        <v>0.35</v>
      </c>
      <c r="L13" s="223">
        <f>参数输入表!$I$151</f>
        <v>0.35</v>
      </c>
      <c r="M13" s="223">
        <f>参数输入表!$I$152</f>
        <v>0.35</v>
      </c>
      <c r="N13" s="223">
        <f>参数输入表!$I$153</f>
        <v>0.35</v>
      </c>
      <c r="O13" s="223">
        <f>参数输入表!$I$154</f>
        <v>0.35</v>
      </c>
      <c r="P13" s="223">
        <f>参数输入表!$I$155</f>
        <v>0.35</v>
      </c>
      <c r="Q13" s="223">
        <f>参数输入表!$I$156</f>
        <v>0.35</v>
      </c>
      <c r="R13" s="223">
        <f>参数输入表!$I$157</f>
        <v>0.35</v>
      </c>
      <c r="S13" s="223">
        <f>参数输入表!$I$158</f>
        <v>0.35</v>
      </c>
      <c r="T13" s="223">
        <f>参数输入表!$I$159</f>
        <v>0.35</v>
      </c>
      <c r="U13" s="223">
        <f>参数输入表!$I$160</f>
        <v>0.35</v>
      </c>
      <c r="V13" s="223">
        <f>参数输入表!$I$161</f>
        <v>0.35</v>
      </c>
      <c r="W13" s="223">
        <f>参数输入表!$I$162</f>
        <v>0.35</v>
      </c>
      <c r="X13" s="223">
        <f>参数输入表!$I$163</f>
        <v>0.35</v>
      </c>
      <c r="Y13" s="223">
        <f>参数输入表!$I$164</f>
        <v>0.35</v>
      </c>
      <c r="Z13" s="223">
        <f>参数输入表!$I$165</f>
        <v>0.35</v>
      </c>
      <c r="AA13" s="223">
        <f>参数输入表!$I$166</f>
        <v>0.35</v>
      </c>
      <c r="AB13" s="223">
        <f>参数输入表!$I$167</f>
        <v>0.35</v>
      </c>
      <c r="AC13" s="223">
        <f>参数输入表!$I$168</f>
        <v>0.35</v>
      </c>
      <c r="AD13" s="223">
        <f>参数输入表!$I$169</f>
        <v>0.35</v>
      </c>
      <c r="AE13" s="223">
        <f>参数输入表!$I$170</f>
        <v>0.35</v>
      </c>
      <c r="AF13" s="223">
        <f>参数输入表!$I$171</f>
        <v>0.35</v>
      </c>
      <c r="AG13" s="223">
        <f>参数输入表!$I$172</f>
        <v>0.35</v>
      </c>
      <c r="AH13" s="223">
        <f>参数输入表!$I$173</f>
        <v>0.35</v>
      </c>
      <c r="AI13" s="223">
        <f>参数输入表!$I$174</f>
        <v>0.35</v>
      </c>
      <c r="AJ13" s="223">
        <f>参数输入表!$I$175</f>
        <v>0.35</v>
      </c>
      <c r="AK13" s="223">
        <f>参数输入表!$I$176</f>
        <v>0.35</v>
      </c>
      <c r="AL13" s="223">
        <f>参数输入表!$I$177</f>
        <v>0.35</v>
      </c>
      <c r="AM13" s="223">
        <f>参数输入表!$I$178</f>
        <v>0.35</v>
      </c>
      <c r="AN13" s="223">
        <f>参数输入表!$I$179</f>
        <v>0.35</v>
      </c>
      <c r="AO13" s="223">
        <f>参数输入表!$I$180</f>
        <v>0.35</v>
      </c>
      <c r="AP13" s="223">
        <f>参数输入表!$I$181</f>
        <v>0.35</v>
      </c>
      <c r="AQ13" s="223">
        <f>参数输入表!$I$182</f>
        <v>0.35</v>
      </c>
      <c r="AR13" s="223">
        <f>参数输入表!$I$183</f>
        <v>0.35</v>
      </c>
      <c r="AS13" s="223">
        <f>参数输入表!$I$184</f>
        <v>0.35</v>
      </c>
      <c r="AT13" s="223">
        <f>参数输入表!$I$185</f>
        <v>0.35</v>
      </c>
      <c r="AU13" s="223">
        <f>参数输入表!$I$186</f>
        <v>0.35</v>
      </c>
      <c r="AV13" s="223">
        <f>参数输入表!$I$187</f>
        <v>0.35</v>
      </c>
      <c r="AW13" s="223">
        <f>参数输入表!$I$188</f>
        <v>0.35</v>
      </c>
      <c r="AX13" s="223">
        <f>参数输入表!$I$189</f>
        <v>0.35</v>
      </c>
      <c r="AY13" s="223">
        <f>参数输入表!$I$190</f>
        <v>0.35</v>
      </c>
      <c r="AZ13" s="223">
        <f>参数输入表!$I$191</f>
        <v>0.35</v>
      </c>
      <c r="BA13" s="224">
        <f>参数输入表!$I$192</f>
        <v>0.35</v>
      </c>
    </row>
    <row r="14" spans="2:53">
      <c r="B14" s="71">
        <v>2</v>
      </c>
      <c r="C14" s="225" t="s">
        <v>360</v>
      </c>
      <c r="D14" s="119">
        <f>SUM(F14:BA14)</f>
        <v>49557.5221238938</v>
      </c>
      <c r="E14" s="29" t="s">
        <v>130</v>
      </c>
      <c r="F14" s="134">
        <f>SUM(F15:F16)</f>
        <v>0</v>
      </c>
      <c r="G14" s="134">
        <f t="shared" ref="G14:R14" si="1">SUM(G15:G16)</f>
        <v>0</v>
      </c>
      <c r="H14" s="134">
        <f t="shared" si="1"/>
        <v>0</v>
      </c>
      <c r="I14" s="134">
        <f t="shared" si="1"/>
        <v>0</v>
      </c>
      <c r="J14" s="134">
        <f t="shared" si="1"/>
        <v>0</v>
      </c>
      <c r="K14" s="134">
        <f t="shared" si="1"/>
        <v>0</v>
      </c>
      <c r="L14" s="134">
        <f t="shared" si="1"/>
        <v>0</v>
      </c>
      <c r="M14" s="134">
        <f t="shared" si="1"/>
        <v>516.224188790561</v>
      </c>
      <c r="N14" s="134">
        <f t="shared" si="1"/>
        <v>1238.93805309735</v>
      </c>
      <c r="O14" s="134">
        <f t="shared" si="1"/>
        <v>1238.93805309735</v>
      </c>
      <c r="P14" s="134">
        <f t="shared" si="1"/>
        <v>1238.93805309735</v>
      </c>
      <c r="Q14" s="134">
        <f t="shared" si="1"/>
        <v>1238.93805309735</v>
      </c>
      <c r="R14" s="134">
        <f t="shared" si="1"/>
        <v>1238.93805309735</v>
      </c>
      <c r="S14" s="134">
        <f t="shared" ref="S14:AL14" si="2">SUM(S15:S16)</f>
        <v>1238.93805309735</v>
      </c>
      <c r="T14" s="134">
        <f t="shared" si="2"/>
        <v>1238.93805309735</v>
      </c>
      <c r="U14" s="134">
        <f t="shared" si="2"/>
        <v>1238.93805309735</v>
      </c>
      <c r="V14" s="134">
        <f t="shared" si="2"/>
        <v>1238.93805309735</v>
      </c>
      <c r="W14" s="134">
        <f t="shared" si="2"/>
        <v>1238.93805309735</v>
      </c>
      <c r="X14" s="134">
        <f t="shared" si="2"/>
        <v>1238.93805309735</v>
      </c>
      <c r="Y14" s="134">
        <f t="shared" si="2"/>
        <v>1238.93805309735</v>
      </c>
      <c r="Z14" s="134">
        <f t="shared" si="2"/>
        <v>1238.93805309735</v>
      </c>
      <c r="AA14" s="134">
        <f t="shared" si="2"/>
        <v>1238.93805309735</v>
      </c>
      <c r="AB14" s="134">
        <f t="shared" si="2"/>
        <v>1238.93805309735</v>
      </c>
      <c r="AC14" s="134">
        <f t="shared" si="2"/>
        <v>1238.93805309735</v>
      </c>
      <c r="AD14" s="134">
        <f t="shared" si="2"/>
        <v>1238.93805309735</v>
      </c>
      <c r="AE14" s="134">
        <f t="shared" si="2"/>
        <v>1238.93805309735</v>
      </c>
      <c r="AF14" s="134">
        <f t="shared" si="2"/>
        <v>1238.93805309735</v>
      </c>
      <c r="AG14" s="134">
        <f t="shared" si="2"/>
        <v>1238.93805309735</v>
      </c>
      <c r="AH14" s="134">
        <f t="shared" si="2"/>
        <v>1238.93805309735</v>
      </c>
      <c r="AI14" s="134">
        <f t="shared" si="2"/>
        <v>1238.93805309735</v>
      </c>
      <c r="AJ14" s="134">
        <f t="shared" si="2"/>
        <v>1238.93805309735</v>
      </c>
      <c r="AK14" s="134">
        <f t="shared" si="2"/>
        <v>1238.93805309735</v>
      </c>
      <c r="AL14" s="134">
        <f t="shared" si="2"/>
        <v>1238.93805309735</v>
      </c>
      <c r="AM14" s="134">
        <f t="shared" ref="AM14:BA14" si="3">SUM(AM15:AM16)</f>
        <v>1238.93805309735</v>
      </c>
      <c r="AN14" s="134">
        <f t="shared" si="3"/>
        <v>1238.93805309735</v>
      </c>
      <c r="AO14" s="134">
        <f t="shared" si="3"/>
        <v>1238.93805309735</v>
      </c>
      <c r="AP14" s="134">
        <f t="shared" si="3"/>
        <v>1238.93805309735</v>
      </c>
      <c r="AQ14" s="134">
        <f t="shared" si="3"/>
        <v>1238.93805309735</v>
      </c>
      <c r="AR14" s="134">
        <f t="shared" si="3"/>
        <v>1238.93805309735</v>
      </c>
      <c r="AS14" s="134">
        <f t="shared" si="3"/>
        <v>1238.93805309735</v>
      </c>
      <c r="AT14" s="134">
        <f t="shared" si="3"/>
        <v>1238.93805309735</v>
      </c>
      <c r="AU14" s="134">
        <f t="shared" si="3"/>
        <v>1238.93805309735</v>
      </c>
      <c r="AV14" s="134">
        <f t="shared" si="3"/>
        <v>1238.93805309735</v>
      </c>
      <c r="AW14" s="134">
        <f t="shared" si="3"/>
        <v>1238.93805309735</v>
      </c>
      <c r="AX14" s="134">
        <f t="shared" si="3"/>
        <v>1238.93805309735</v>
      </c>
      <c r="AY14" s="134">
        <f t="shared" si="3"/>
        <v>1238.93805309735</v>
      </c>
      <c r="AZ14" s="134">
        <f t="shared" si="3"/>
        <v>1238.93805309735</v>
      </c>
      <c r="BA14" s="143">
        <f t="shared" si="3"/>
        <v>722.713864306785</v>
      </c>
    </row>
    <row r="15" s="212" customFormat="1" spans="2:53">
      <c r="B15" s="48">
        <v>2.1</v>
      </c>
      <c r="C15" s="74" t="s">
        <v>795</v>
      </c>
      <c r="D15" s="124">
        <f>SUM(F15:BA15)</f>
        <v>0</v>
      </c>
      <c r="E15" s="29" t="s">
        <v>130</v>
      </c>
      <c r="F15" s="42">
        <f>F23*参数输入表!$I$976</f>
        <v>0</v>
      </c>
      <c r="G15" s="42">
        <f>G23*参数输入表!$I$976</f>
        <v>0</v>
      </c>
      <c r="H15" s="42">
        <f>H23*参数输入表!$I$976</f>
        <v>0</v>
      </c>
      <c r="I15" s="42">
        <f>I23*参数输入表!$I$976</f>
        <v>0</v>
      </c>
      <c r="J15" s="42">
        <f>J23*参数输入表!$I$976</f>
        <v>0</v>
      </c>
      <c r="K15" s="42">
        <f>K23*参数输入表!$I$976</f>
        <v>0</v>
      </c>
      <c r="L15" s="42">
        <f>L23*参数输入表!$I$976</f>
        <v>0</v>
      </c>
      <c r="M15" s="42">
        <f>M23*参数输入表!$I$976</f>
        <v>0</v>
      </c>
      <c r="N15" s="42">
        <f>N23*参数输入表!$I$976</f>
        <v>0</v>
      </c>
      <c r="O15" s="42">
        <f>O23*参数输入表!$I$976</f>
        <v>0</v>
      </c>
      <c r="P15" s="42">
        <f>P23*参数输入表!$I$976</f>
        <v>0</v>
      </c>
      <c r="Q15" s="42">
        <f>Q23*参数输入表!$I$976</f>
        <v>0</v>
      </c>
      <c r="R15" s="42">
        <f>R23*参数输入表!$I$976</f>
        <v>0</v>
      </c>
      <c r="S15" s="42">
        <f>S23*参数输入表!$I$976</f>
        <v>0</v>
      </c>
      <c r="T15" s="42">
        <f>T23*参数输入表!$I$976</f>
        <v>0</v>
      </c>
      <c r="U15" s="42">
        <f>U23*参数输入表!$I$976</f>
        <v>0</v>
      </c>
      <c r="V15" s="42">
        <f>V23*参数输入表!$I$976</f>
        <v>0</v>
      </c>
      <c r="W15" s="42">
        <f>W23*参数输入表!$I$976</f>
        <v>0</v>
      </c>
      <c r="X15" s="42">
        <f>X23*参数输入表!$I$976</f>
        <v>0</v>
      </c>
      <c r="Y15" s="42">
        <f>Y23*参数输入表!$I$976</f>
        <v>0</v>
      </c>
      <c r="Z15" s="42">
        <f>Z23*参数输入表!$I$976</f>
        <v>0</v>
      </c>
      <c r="AA15" s="42">
        <f>AA23*参数输入表!$I$976</f>
        <v>0</v>
      </c>
      <c r="AB15" s="42">
        <f>AB23*参数输入表!$I$976</f>
        <v>0</v>
      </c>
      <c r="AC15" s="42">
        <f>AC23*参数输入表!$I$976</f>
        <v>0</v>
      </c>
      <c r="AD15" s="42">
        <f>AD23*参数输入表!$I$976</f>
        <v>0</v>
      </c>
      <c r="AE15" s="42">
        <f>AE23*参数输入表!$I$976</f>
        <v>0</v>
      </c>
      <c r="AF15" s="42">
        <f>AF23*参数输入表!$I$976</f>
        <v>0</v>
      </c>
      <c r="AG15" s="42">
        <f>AG23*参数输入表!$I$976</f>
        <v>0</v>
      </c>
      <c r="AH15" s="42">
        <f>AH23*参数输入表!$I$976</f>
        <v>0</v>
      </c>
      <c r="AI15" s="42">
        <f>AI23*参数输入表!$I$976</f>
        <v>0</v>
      </c>
      <c r="AJ15" s="42">
        <f>AJ23*参数输入表!$I$976</f>
        <v>0</v>
      </c>
      <c r="AK15" s="42">
        <f>AK23*参数输入表!$I$976</f>
        <v>0</v>
      </c>
      <c r="AL15" s="42">
        <f>AL23*参数输入表!$I$976</f>
        <v>0</v>
      </c>
      <c r="AM15" s="42">
        <f>AM23*参数输入表!$I$976</f>
        <v>0</v>
      </c>
      <c r="AN15" s="42">
        <f>AN23*参数输入表!$I$976</f>
        <v>0</v>
      </c>
      <c r="AO15" s="42">
        <f>AO23*参数输入表!$I$976</f>
        <v>0</v>
      </c>
      <c r="AP15" s="42">
        <f>AP23*参数输入表!$I$976</f>
        <v>0</v>
      </c>
      <c r="AQ15" s="42">
        <f>AQ23*参数输入表!$I$976</f>
        <v>0</v>
      </c>
      <c r="AR15" s="42">
        <f>AR23*参数输入表!$I$976</f>
        <v>0</v>
      </c>
      <c r="AS15" s="42">
        <f>AS23*参数输入表!$I$976</f>
        <v>0</v>
      </c>
      <c r="AT15" s="42">
        <f>AT23*参数输入表!$I$976</f>
        <v>0</v>
      </c>
      <c r="AU15" s="42">
        <f>AU23*参数输入表!$I$976</f>
        <v>0</v>
      </c>
      <c r="AV15" s="42">
        <f>AV23*参数输入表!$I$976</f>
        <v>0</v>
      </c>
      <c r="AW15" s="42">
        <f>AW23*参数输入表!$I$976</f>
        <v>0</v>
      </c>
      <c r="AX15" s="42">
        <f>AX23*参数输入表!$I$976</f>
        <v>0</v>
      </c>
      <c r="AY15" s="42">
        <f>AY23*参数输入表!$I$976</f>
        <v>0</v>
      </c>
      <c r="AZ15" s="42">
        <f>AZ23*参数输入表!$I$976</f>
        <v>0</v>
      </c>
      <c r="BA15" s="43">
        <f>BA23*参数输入表!$I$976</f>
        <v>0</v>
      </c>
    </row>
    <row r="16" spans="2:53">
      <c r="B16" s="48">
        <v>2.2</v>
      </c>
      <c r="C16" s="74" t="s">
        <v>362</v>
      </c>
      <c r="D16" s="124">
        <f>SUM(F16:BA16)</f>
        <v>49557.5221238938</v>
      </c>
      <c r="E16" s="29" t="s">
        <v>130</v>
      </c>
      <c r="F16" s="42">
        <f>(参数输入表!$I$869*参数输入表!$I$871)/(1+参数输入表!$I$872)*F5</f>
        <v>0</v>
      </c>
      <c r="G16" s="42">
        <f>(参数输入表!$I$869*参数输入表!$I$871)/(1+参数输入表!$I$872)*G5</f>
        <v>0</v>
      </c>
      <c r="H16" s="42">
        <f>(参数输入表!$I$869*参数输入表!$I$871)/(1+参数输入表!$I$872)*H5</f>
        <v>0</v>
      </c>
      <c r="I16" s="42">
        <f>(参数输入表!$I$869*参数输入表!$I$871)/(1+参数输入表!$I$872)*I5</f>
        <v>0</v>
      </c>
      <c r="J16" s="42">
        <f>(参数输入表!$I$869*参数输入表!$I$871)/(1+参数输入表!$I$872)*J5</f>
        <v>0</v>
      </c>
      <c r="K16" s="42">
        <f>(参数输入表!$I$869*参数输入表!$I$871)/(1+参数输入表!$I$872)*K5</f>
        <v>0</v>
      </c>
      <c r="L16" s="42">
        <f>(参数输入表!$I$869*参数输入表!$I$871)/(1+参数输入表!$I$872)*L5</f>
        <v>0</v>
      </c>
      <c r="M16" s="42">
        <f>(参数输入表!$I$869*参数输入表!$I$871)/(1+参数输入表!$I$872)*M5</f>
        <v>516.224188790561</v>
      </c>
      <c r="N16" s="42">
        <f>(参数输入表!$I$869*参数输入表!$I$871)/(1+参数输入表!$I$872)*N5</f>
        <v>1238.93805309735</v>
      </c>
      <c r="O16" s="42">
        <f>(参数输入表!$I$869*参数输入表!$I$871)/(1+参数输入表!$I$872)*O5</f>
        <v>1238.93805309735</v>
      </c>
      <c r="P16" s="42">
        <f>(参数输入表!$I$869*参数输入表!$I$871)/(1+参数输入表!$I$872)*P5</f>
        <v>1238.93805309735</v>
      </c>
      <c r="Q16" s="42">
        <f>(参数输入表!$I$869*参数输入表!$I$871)/(1+参数输入表!$I$872)*Q5</f>
        <v>1238.93805309735</v>
      </c>
      <c r="R16" s="42">
        <f>(参数输入表!$I$869*参数输入表!$I$871)/(1+参数输入表!$I$872)*R5</f>
        <v>1238.93805309735</v>
      </c>
      <c r="S16" s="42">
        <f>(参数输入表!$I$869*参数输入表!$I$871)/(1+参数输入表!$I$872)*S5</f>
        <v>1238.93805309735</v>
      </c>
      <c r="T16" s="42">
        <f>(参数输入表!$I$869*参数输入表!$I$871)/(1+参数输入表!$I$872)*T5</f>
        <v>1238.93805309735</v>
      </c>
      <c r="U16" s="42">
        <f>(参数输入表!$I$869*参数输入表!$I$871)/(1+参数输入表!$I$872)*U5</f>
        <v>1238.93805309735</v>
      </c>
      <c r="V16" s="42">
        <f>(参数输入表!$I$869*参数输入表!$I$871)/(1+参数输入表!$I$872)*V5</f>
        <v>1238.93805309735</v>
      </c>
      <c r="W16" s="42">
        <f>(参数输入表!$I$869*参数输入表!$I$871)/(1+参数输入表!$I$872)*W5</f>
        <v>1238.93805309735</v>
      </c>
      <c r="X16" s="42">
        <f>(参数输入表!$I$869*参数输入表!$I$871)/(1+参数输入表!$I$872)*X5</f>
        <v>1238.93805309735</v>
      </c>
      <c r="Y16" s="42">
        <f>(参数输入表!$I$869*参数输入表!$I$871)/(1+参数输入表!$I$872)*Y5</f>
        <v>1238.93805309735</v>
      </c>
      <c r="Z16" s="42">
        <f>(参数输入表!$I$869*参数输入表!$I$871)/(1+参数输入表!$I$872)*Z5</f>
        <v>1238.93805309735</v>
      </c>
      <c r="AA16" s="42">
        <f>(参数输入表!$I$869*参数输入表!$I$871)/(1+参数输入表!$I$872)*AA5</f>
        <v>1238.93805309735</v>
      </c>
      <c r="AB16" s="42">
        <f>(参数输入表!$I$869*参数输入表!$I$871)/(1+参数输入表!$I$872)*AB5</f>
        <v>1238.93805309735</v>
      </c>
      <c r="AC16" s="42">
        <f>(参数输入表!$I$869*参数输入表!$I$871)/(1+参数输入表!$I$872)*AC5</f>
        <v>1238.93805309735</v>
      </c>
      <c r="AD16" s="42">
        <f>(参数输入表!$I$869*参数输入表!$I$871)/(1+参数输入表!$I$872)*AD5</f>
        <v>1238.93805309735</v>
      </c>
      <c r="AE16" s="42">
        <f>(参数输入表!$I$869*参数输入表!$I$871)/(1+参数输入表!$I$872)*AE5</f>
        <v>1238.93805309735</v>
      </c>
      <c r="AF16" s="42">
        <f>(参数输入表!$I$869*参数输入表!$I$871)/(1+参数输入表!$I$872)*AF5</f>
        <v>1238.93805309735</v>
      </c>
      <c r="AG16" s="42">
        <f>(参数输入表!$I$869*参数输入表!$I$871)/(1+参数输入表!$I$872)*AG5</f>
        <v>1238.93805309735</v>
      </c>
      <c r="AH16" s="42">
        <f>(参数输入表!$I$869*参数输入表!$I$871)/(1+参数输入表!$I$872)*AH5</f>
        <v>1238.93805309735</v>
      </c>
      <c r="AI16" s="42">
        <f>(参数输入表!$I$869*参数输入表!$I$871)/(1+参数输入表!$I$872)*AI5</f>
        <v>1238.93805309735</v>
      </c>
      <c r="AJ16" s="42">
        <f>(参数输入表!$I$869*参数输入表!$I$871)/(1+参数输入表!$I$872)*AJ5</f>
        <v>1238.93805309735</v>
      </c>
      <c r="AK16" s="42">
        <f>(参数输入表!$I$869*参数输入表!$I$871)/(1+参数输入表!$I$872)*AK5</f>
        <v>1238.93805309735</v>
      </c>
      <c r="AL16" s="42">
        <f>(参数输入表!$I$869*参数输入表!$I$871)/(1+参数输入表!$I$872)*AL5</f>
        <v>1238.93805309735</v>
      </c>
      <c r="AM16" s="42">
        <f>(参数输入表!$I$869*参数输入表!$I$871)/(1+参数输入表!$I$872)*AM5</f>
        <v>1238.93805309735</v>
      </c>
      <c r="AN16" s="42">
        <f>(参数输入表!$I$869*参数输入表!$I$871)/(1+参数输入表!$I$872)*AN5</f>
        <v>1238.93805309735</v>
      </c>
      <c r="AO16" s="42">
        <f>(参数输入表!$I$869*参数输入表!$I$871)/(1+参数输入表!$I$872)*AO5</f>
        <v>1238.93805309735</v>
      </c>
      <c r="AP16" s="42">
        <f>(参数输入表!$I$869*参数输入表!$I$871)/(1+参数输入表!$I$872)*AP5</f>
        <v>1238.93805309735</v>
      </c>
      <c r="AQ16" s="42">
        <f>(参数输入表!$I$869*参数输入表!$I$871)/(1+参数输入表!$I$872)*AQ5</f>
        <v>1238.93805309735</v>
      </c>
      <c r="AR16" s="42">
        <f>(参数输入表!$I$869*参数输入表!$I$871)/(1+参数输入表!$I$872)*AR5</f>
        <v>1238.93805309735</v>
      </c>
      <c r="AS16" s="42">
        <f>(参数输入表!$I$869*参数输入表!$I$871)/(1+参数输入表!$I$872)*AS5</f>
        <v>1238.93805309735</v>
      </c>
      <c r="AT16" s="42">
        <f>(参数输入表!$I$869*参数输入表!$I$871)/(1+参数输入表!$I$872)*AT5</f>
        <v>1238.93805309735</v>
      </c>
      <c r="AU16" s="42">
        <f>(参数输入表!$I$869*参数输入表!$I$871)/(1+参数输入表!$I$872)*AU5</f>
        <v>1238.93805309735</v>
      </c>
      <c r="AV16" s="42">
        <f>(参数输入表!$I$869*参数输入表!$I$871)/(1+参数输入表!$I$872)*AV5</f>
        <v>1238.93805309735</v>
      </c>
      <c r="AW16" s="42">
        <f>(参数输入表!$I$869*参数输入表!$I$871)/(1+参数输入表!$I$872)*AW5</f>
        <v>1238.93805309735</v>
      </c>
      <c r="AX16" s="42">
        <f>(参数输入表!$I$869*参数输入表!$I$871)/(1+参数输入表!$I$872)*AX5</f>
        <v>1238.93805309735</v>
      </c>
      <c r="AY16" s="42">
        <f>(参数输入表!$I$869*参数输入表!$I$871)/(1+参数输入表!$I$872)*AY5</f>
        <v>1238.93805309735</v>
      </c>
      <c r="AZ16" s="42">
        <f>(参数输入表!$I$869*参数输入表!$I$871)/(1+参数输入表!$I$872)*AZ5</f>
        <v>1238.93805309735</v>
      </c>
      <c r="BA16" s="43">
        <f>(参数输入表!$I$869*参数输入表!$I$871)/(1+参数输入表!$I$872)*BA5</f>
        <v>722.713864306785</v>
      </c>
    </row>
    <row r="17" spans="2:53">
      <c r="B17" s="71">
        <v>3</v>
      </c>
      <c r="C17" s="225" t="s">
        <v>366</v>
      </c>
      <c r="D17" s="119">
        <f>SUM(F17:BA17)</f>
        <v>400</v>
      </c>
      <c r="E17" s="29" t="s">
        <v>130</v>
      </c>
      <c r="F17" s="134">
        <f>SUM(F18)</f>
        <v>0</v>
      </c>
      <c r="G17" s="134">
        <f t="shared" ref="G17:P17" si="4">SUM(G18)</f>
        <v>0</v>
      </c>
      <c r="H17" s="134">
        <f t="shared" si="4"/>
        <v>0</v>
      </c>
      <c r="I17" s="134">
        <f t="shared" si="4"/>
        <v>0</v>
      </c>
      <c r="J17" s="134">
        <f t="shared" si="4"/>
        <v>0</v>
      </c>
      <c r="K17" s="134">
        <f t="shared" si="4"/>
        <v>0</v>
      </c>
      <c r="L17" s="134">
        <f t="shared" si="4"/>
        <v>0</v>
      </c>
      <c r="M17" s="134">
        <f t="shared" si="4"/>
        <v>0</v>
      </c>
      <c r="N17" s="134">
        <f t="shared" si="4"/>
        <v>10</v>
      </c>
      <c r="O17" s="134">
        <f t="shared" si="4"/>
        <v>10</v>
      </c>
      <c r="P17" s="134">
        <f t="shared" si="4"/>
        <v>10</v>
      </c>
      <c r="Q17" s="134">
        <f t="shared" ref="Q17:BA17" si="5">SUM(Q18)</f>
        <v>10</v>
      </c>
      <c r="R17" s="134">
        <f t="shared" si="5"/>
        <v>10</v>
      </c>
      <c r="S17" s="134">
        <f t="shared" si="5"/>
        <v>10</v>
      </c>
      <c r="T17" s="134">
        <f t="shared" si="5"/>
        <v>10</v>
      </c>
      <c r="U17" s="134">
        <f t="shared" si="5"/>
        <v>10</v>
      </c>
      <c r="V17" s="134">
        <f t="shared" si="5"/>
        <v>10</v>
      </c>
      <c r="W17" s="134">
        <f t="shared" si="5"/>
        <v>10</v>
      </c>
      <c r="X17" s="134">
        <f t="shared" si="5"/>
        <v>10</v>
      </c>
      <c r="Y17" s="134">
        <f t="shared" si="5"/>
        <v>10</v>
      </c>
      <c r="Z17" s="134">
        <f t="shared" si="5"/>
        <v>10</v>
      </c>
      <c r="AA17" s="134">
        <f t="shared" si="5"/>
        <v>10</v>
      </c>
      <c r="AB17" s="134">
        <f t="shared" si="5"/>
        <v>10</v>
      </c>
      <c r="AC17" s="134">
        <f t="shared" si="5"/>
        <v>10</v>
      </c>
      <c r="AD17" s="134">
        <f t="shared" si="5"/>
        <v>10</v>
      </c>
      <c r="AE17" s="134">
        <f t="shared" si="5"/>
        <v>10</v>
      </c>
      <c r="AF17" s="134">
        <f t="shared" si="5"/>
        <v>10</v>
      </c>
      <c r="AG17" s="134">
        <f t="shared" si="5"/>
        <v>10</v>
      </c>
      <c r="AH17" s="134">
        <f t="shared" si="5"/>
        <v>10</v>
      </c>
      <c r="AI17" s="134">
        <f t="shared" si="5"/>
        <v>10</v>
      </c>
      <c r="AJ17" s="134">
        <f t="shared" si="5"/>
        <v>10</v>
      </c>
      <c r="AK17" s="134">
        <f t="shared" si="5"/>
        <v>10</v>
      </c>
      <c r="AL17" s="134">
        <f t="shared" si="5"/>
        <v>10</v>
      </c>
      <c r="AM17" s="134">
        <f t="shared" si="5"/>
        <v>10</v>
      </c>
      <c r="AN17" s="134">
        <f t="shared" si="5"/>
        <v>10</v>
      </c>
      <c r="AO17" s="134">
        <f t="shared" si="5"/>
        <v>10</v>
      </c>
      <c r="AP17" s="134">
        <f t="shared" si="5"/>
        <v>10</v>
      </c>
      <c r="AQ17" s="134">
        <f t="shared" si="5"/>
        <v>10</v>
      </c>
      <c r="AR17" s="134">
        <f t="shared" si="5"/>
        <v>10</v>
      </c>
      <c r="AS17" s="134">
        <f t="shared" si="5"/>
        <v>10</v>
      </c>
      <c r="AT17" s="134">
        <f t="shared" si="5"/>
        <v>10</v>
      </c>
      <c r="AU17" s="134">
        <f t="shared" si="5"/>
        <v>10</v>
      </c>
      <c r="AV17" s="134">
        <f t="shared" si="5"/>
        <v>10</v>
      </c>
      <c r="AW17" s="134">
        <f t="shared" si="5"/>
        <v>10</v>
      </c>
      <c r="AX17" s="134">
        <f t="shared" si="5"/>
        <v>10</v>
      </c>
      <c r="AY17" s="134">
        <f t="shared" si="5"/>
        <v>10</v>
      </c>
      <c r="AZ17" s="134">
        <f t="shared" si="5"/>
        <v>10</v>
      </c>
      <c r="BA17" s="143">
        <f t="shared" si="5"/>
        <v>10</v>
      </c>
    </row>
    <row r="18" ht="17.25" spans="2:53">
      <c r="B18" s="226">
        <v>3.1</v>
      </c>
      <c r="C18" s="227" t="s">
        <v>796</v>
      </c>
      <c r="D18" s="228">
        <f>SUM(F18:BA18)</f>
        <v>400</v>
      </c>
      <c r="E18" s="165" t="s">
        <v>130</v>
      </c>
      <c r="F18" s="229">
        <f>参数输入表!$I$927</f>
        <v>0</v>
      </c>
      <c r="G18" s="229">
        <f>参数输入表!$I$928</f>
        <v>0</v>
      </c>
      <c r="H18" s="229">
        <f>参数输入表!$I$929</f>
        <v>0</v>
      </c>
      <c r="I18" s="229">
        <f>参数输入表!$I$930</f>
        <v>0</v>
      </c>
      <c r="J18" s="229">
        <f>参数输入表!$I$931</f>
        <v>0</v>
      </c>
      <c r="K18" s="229">
        <f>参数输入表!$I$932</f>
        <v>0</v>
      </c>
      <c r="L18" s="229">
        <f>参数输入表!$I$933</f>
        <v>0</v>
      </c>
      <c r="M18" s="229">
        <f>参数输入表!$I$934</f>
        <v>0</v>
      </c>
      <c r="N18" s="229">
        <f>参数输入表!$I$935</f>
        <v>10</v>
      </c>
      <c r="O18" s="229">
        <f>参数输入表!$I$936</f>
        <v>10</v>
      </c>
      <c r="P18" s="229">
        <f>参数输入表!$I$937</f>
        <v>10</v>
      </c>
      <c r="Q18" s="229">
        <f>参数输入表!$I$938</f>
        <v>10</v>
      </c>
      <c r="R18" s="229">
        <f>参数输入表!$I$939</f>
        <v>10</v>
      </c>
      <c r="S18" s="229">
        <f>参数输入表!$I$940</f>
        <v>10</v>
      </c>
      <c r="T18" s="229">
        <f>参数输入表!$I$941</f>
        <v>10</v>
      </c>
      <c r="U18" s="229">
        <f>参数输入表!$I$942</f>
        <v>10</v>
      </c>
      <c r="V18" s="229">
        <f>参数输入表!$I$943</f>
        <v>10</v>
      </c>
      <c r="W18" s="229">
        <f>参数输入表!$I$944</f>
        <v>10</v>
      </c>
      <c r="X18" s="229">
        <f>参数输入表!$I$945</f>
        <v>10</v>
      </c>
      <c r="Y18" s="229">
        <f>参数输入表!$I$946</f>
        <v>10</v>
      </c>
      <c r="Z18" s="229">
        <f>参数输入表!$I$947</f>
        <v>10</v>
      </c>
      <c r="AA18" s="229">
        <f>参数输入表!$I$948</f>
        <v>10</v>
      </c>
      <c r="AB18" s="229">
        <f>参数输入表!$I$949</f>
        <v>10</v>
      </c>
      <c r="AC18" s="229">
        <f>参数输入表!$I$950</f>
        <v>10</v>
      </c>
      <c r="AD18" s="229">
        <f>参数输入表!$I$951</f>
        <v>10</v>
      </c>
      <c r="AE18" s="229">
        <f>参数输入表!$I$952</f>
        <v>10</v>
      </c>
      <c r="AF18" s="229">
        <f>参数输入表!$I$953</f>
        <v>10</v>
      </c>
      <c r="AG18" s="229">
        <f>参数输入表!$I$954</f>
        <v>10</v>
      </c>
      <c r="AH18" s="229">
        <f>参数输入表!$I$955</f>
        <v>10</v>
      </c>
      <c r="AI18" s="229">
        <f>参数输入表!$I$956</f>
        <v>10</v>
      </c>
      <c r="AJ18" s="229">
        <f>参数输入表!$I$957</f>
        <v>10</v>
      </c>
      <c r="AK18" s="229">
        <f>参数输入表!$I$958</f>
        <v>10</v>
      </c>
      <c r="AL18" s="229">
        <f>参数输入表!$I$959</f>
        <v>10</v>
      </c>
      <c r="AM18" s="229">
        <f>参数输入表!$I$960</f>
        <v>10</v>
      </c>
      <c r="AN18" s="229">
        <f>参数输入表!$I$961</f>
        <v>10</v>
      </c>
      <c r="AO18" s="229">
        <f>参数输入表!$I$962</f>
        <v>10</v>
      </c>
      <c r="AP18" s="229">
        <f>参数输入表!$I$963</f>
        <v>10</v>
      </c>
      <c r="AQ18" s="229">
        <f>参数输入表!$I$964</f>
        <v>10</v>
      </c>
      <c r="AR18" s="229">
        <f>参数输入表!$I$965</f>
        <v>10</v>
      </c>
      <c r="AS18" s="229">
        <f>参数输入表!$I$966</f>
        <v>10</v>
      </c>
      <c r="AT18" s="229">
        <f>参数输入表!$I$967</f>
        <v>10</v>
      </c>
      <c r="AU18" s="229">
        <f>参数输入表!$I$968</f>
        <v>10</v>
      </c>
      <c r="AV18" s="229">
        <f>参数输入表!$I$969</f>
        <v>10</v>
      </c>
      <c r="AW18" s="229">
        <f>参数输入表!$I$970</f>
        <v>10</v>
      </c>
      <c r="AX18" s="229">
        <f>参数输入表!$I$971</f>
        <v>10</v>
      </c>
      <c r="AY18" s="229">
        <f>参数输入表!$I$972</f>
        <v>10</v>
      </c>
      <c r="AZ18" s="229">
        <f>参数输入表!$I$973</f>
        <v>10</v>
      </c>
      <c r="BA18" s="230">
        <f>参数输入表!$I$974</f>
        <v>10</v>
      </c>
    </row>
    <row r="19" s="212" customFormat="1" spans="2:53">
      <c r="B19" s="231"/>
      <c r="C19" s="232"/>
      <c r="D19" s="100"/>
      <c r="E19" s="233"/>
      <c r="F19" s="234"/>
      <c r="G19" s="234"/>
      <c r="H19" s="234"/>
      <c r="I19" s="234"/>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AP19" s="234"/>
      <c r="AQ19" s="234"/>
      <c r="AR19" s="234"/>
      <c r="AS19" s="234"/>
      <c r="AT19" s="234"/>
      <c r="AU19" s="234"/>
      <c r="AV19" s="234"/>
      <c r="AW19" s="234"/>
      <c r="AX19" s="234"/>
      <c r="AY19" s="234"/>
      <c r="AZ19" s="234"/>
      <c r="BA19" s="234"/>
    </row>
    <row r="20" s="212" customFormat="1" ht="17.25" spans="2:53">
      <c r="B20" s="235" t="s">
        <v>797</v>
      </c>
      <c r="C20" s="232"/>
      <c r="D20" s="100"/>
      <c r="E20" s="233"/>
      <c r="F20" s="234"/>
      <c r="G20" s="234"/>
      <c r="H20" s="234"/>
      <c r="I20" s="234"/>
      <c r="J20" s="234"/>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34"/>
      <c r="AQ20" s="234"/>
      <c r="AR20" s="234"/>
      <c r="AS20" s="234"/>
      <c r="AT20" s="234"/>
      <c r="AU20" s="234"/>
      <c r="AV20" s="234"/>
      <c r="AW20" s="234"/>
      <c r="AX20" s="234"/>
      <c r="AY20" s="234"/>
      <c r="AZ20" s="234"/>
      <c r="BA20" s="234"/>
    </row>
    <row r="21" spans="2:53">
      <c r="B21" s="108" t="s">
        <v>2</v>
      </c>
      <c r="C21" s="10" t="s">
        <v>430</v>
      </c>
      <c r="D21" s="10" t="s">
        <v>491</v>
      </c>
      <c r="E21" s="10" t="s">
        <v>9</v>
      </c>
      <c r="F21" s="11">
        <v>2023</v>
      </c>
      <c r="G21" s="11">
        <v>2024</v>
      </c>
      <c r="H21" s="11">
        <v>2025</v>
      </c>
      <c r="I21" s="11">
        <v>2026</v>
      </c>
      <c r="J21" s="11">
        <v>2027</v>
      </c>
      <c r="K21" s="11">
        <v>2028</v>
      </c>
      <c r="L21" s="11">
        <v>2029</v>
      </c>
      <c r="M21" s="11">
        <v>2030</v>
      </c>
      <c r="N21" s="13">
        <v>2031</v>
      </c>
      <c r="O21" s="13">
        <v>2032</v>
      </c>
      <c r="P21" s="13">
        <v>2033</v>
      </c>
      <c r="Q21" s="13">
        <v>2034</v>
      </c>
      <c r="R21" s="13">
        <v>2035</v>
      </c>
      <c r="S21" s="13">
        <v>2036</v>
      </c>
      <c r="T21" s="13">
        <v>2037</v>
      </c>
      <c r="U21" s="13">
        <v>2038</v>
      </c>
      <c r="V21" s="13">
        <v>2039</v>
      </c>
      <c r="W21" s="13">
        <v>2040</v>
      </c>
      <c r="X21" s="13">
        <v>2041</v>
      </c>
      <c r="Y21" s="13">
        <v>2042</v>
      </c>
      <c r="Z21" s="13">
        <v>2043</v>
      </c>
      <c r="AA21" s="13">
        <v>2044</v>
      </c>
      <c r="AB21" s="13">
        <v>2045</v>
      </c>
      <c r="AC21" s="13">
        <v>2046</v>
      </c>
      <c r="AD21" s="13">
        <v>2047</v>
      </c>
      <c r="AE21" s="13">
        <v>2048</v>
      </c>
      <c r="AF21" s="13">
        <v>2049</v>
      </c>
      <c r="AG21" s="13">
        <v>2050</v>
      </c>
      <c r="AH21" s="13">
        <v>2051</v>
      </c>
      <c r="AI21" s="13">
        <v>2052</v>
      </c>
      <c r="AJ21" s="13">
        <v>2053</v>
      </c>
      <c r="AK21" s="13">
        <v>2054</v>
      </c>
      <c r="AL21" s="13">
        <v>2055</v>
      </c>
      <c r="AM21" s="13">
        <v>2056</v>
      </c>
      <c r="AN21" s="13">
        <v>2057</v>
      </c>
      <c r="AO21" s="13">
        <v>2058</v>
      </c>
      <c r="AP21" s="13">
        <v>2059</v>
      </c>
      <c r="AQ21" s="13">
        <v>2060</v>
      </c>
      <c r="AR21" s="13">
        <v>2061</v>
      </c>
      <c r="AS21" s="13">
        <v>2062</v>
      </c>
      <c r="AT21" s="13">
        <v>2063</v>
      </c>
      <c r="AU21" s="13">
        <v>2064</v>
      </c>
      <c r="AV21" s="13">
        <v>2065</v>
      </c>
      <c r="AW21" s="13">
        <v>2066</v>
      </c>
      <c r="AX21" s="13">
        <v>2067</v>
      </c>
      <c r="AY21" s="13">
        <v>2068</v>
      </c>
      <c r="AZ21" s="13">
        <v>2069</v>
      </c>
      <c r="BA21" s="14">
        <v>2070</v>
      </c>
    </row>
    <row r="22" spans="2:53">
      <c r="B22" s="115"/>
      <c r="C22" s="17"/>
      <c r="D22" s="17"/>
      <c r="E22" s="17"/>
      <c r="F22" s="18">
        <v>1</v>
      </c>
      <c r="G22" s="18">
        <v>2</v>
      </c>
      <c r="H22" s="18">
        <v>3</v>
      </c>
      <c r="I22" s="18">
        <v>4</v>
      </c>
      <c r="J22" s="18">
        <v>5</v>
      </c>
      <c r="K22" s="18">
        <v>6</v>
      </c>
      <c r="L22" s="18">
        <v>7</v>
      </c>
      <c r="M22" s="18">
        <v>8</v>
      </c>
      <c r="N22" s="20">
        <v>9</v>
      </c>
      <c r="O22" s="20">
        <v>10</v>
      </c>
      <c r="P22" s="20">
        <v>11</v>
      </c>
      <c r="Q22" s="20">
        <v>12</v>
      </c>
      <c r="R22" s="20">
        <v>13</v>
      </c>
      <c r="S22" s="20">
        <v>14</v>
      </c>
      <c r="T22" s="20">
        <v>15</v>
      </c>
      <c r="U22" s="20">
        <v>16</v>
      </c>
      <c r="V22" s="20">
        <v>17</v>
      </c>
      <c r="W22" s="20">
        <v>18</v>
      </c>
      <c r="X22" s="20">
        <v>19</v>
      </c>
      <c r="Y22" s="20">
        <v>20</v>
      </c>
      <c r="Z22" s="20">
        <v>21</v>
      </c>
      <c r="AA22" s="20">
        <v>22</v>
      </c>
      <c r="AB22" s="20">
        <v>23</v>
      </c>
      <c r="AC22" s="20">
        <v>24</v>
      </c>
      <c r="AD22" s="20">
        <v>25</v>
      </c>
      <c r="AE22" s="20">
        <v>26</v>
      </c>
      <c r="AF22" s="20">
        <v>27</v>
      </c>
      <c r="AG22" s="20">
        <v>28</v>
      </c>
      <c r="AH22" s="20">
        <v>29</v>
      </c>
      <c r="AI22" s="20">
        <v>30</v>
      </c>
      <c r="AJ22" s="20">
        <v>31</v>
      </c>
      <c r="AK22" s="20">
        <v>32</v>
      </c>
      <c r="AL22" s="20">
        <v>33</v>
      </c>
      <c r="AM22" s="20">
        <v>34</v>
      </c>
      <c r="AN22" s="20">
        <v>35</v>
      </c>
      <c r="AO22" s="20">
        <v>36</v>
      </c>
      <c r="AP22" s="20">
        <v>37</v>
      </c>
      <c r="AQ22" s="20">
        <v>38</v>
      </c>
      <c r="AR22" s="20">
        <v>39</v>
      </c>
      <c r="AS22" s="20">
        <v>40</v>
      </c>
      <c r="AT22" s="20">
        <v>41</v>
      </c>
      <c r="AU22" s="20">
        <v>42</v>
      </c>
      <c r="AV22" s="20">
        <v>43</v>
      </c>
      <c r="AW22" s="20">
        <v>44</v>
      </c>
      <c r="AX22" s="20">
        <v>45</v>
      </c>
      <c r="AY22" s="20">
        <v>46</v>
      </c>
      <c r="AZ22" s="20">
        <v>47</v>
      </c>
      <c r="BA22" s="21">
        <v>48</v>
      </c>
    </row>
    <row r="23" spans="2:53">
      <c r="B23" s="71">
        <v>1</v>
      </c>
      <c r="C23" s="225" t="s">
        <v>798</v>
      </c>
      <c r="D23" s="119">
        <f t="shared" ref="D23:D30" si="6">SUM(F23:BA23)</f>
        <v>367413.123781626</v>
      </c>
      <c r="E23" s="29" t="s">
        <v>130</v>
      </c>
      <c r="F23" s="134">
        <v>0</v>
      </c>
      <c r="G23" s="134">
        <f t="shared" ref="G23" si="7">IF(G54&gt;0,0,G53-F54)</f>
        <v>0</v>
      </c>
      <c r="H23" s="134">
        <f t="shared" ref="H23" si="8">IF(H54&gt;0,0,H53-G54)</f>
        <v>0</v>
      </c>
      <c r="I23" s="134">
        <f t="shared" ref="I23" si="9">IF(I54&gt;0,0,I53-H54)</f>
        <v>0</v>
      </c>
      <c r="J23" s="134">
        <f t="shared" ref="J23" si="10">IF(J54&gt;0,0,J53-I54)</f>
        <v>0</v>
      </c>
      <c r="K23" s="134">
        <f t="shared" ref="K23" si="11">IF(K54&gt;0,0,K53-J54)</f>
        <v>0</v>
      </c>
      <c r="L23" s="134">
        <f t="shared" ref="L23" si="12">IF(L54&gt;0,0,L53-K54)</f>
        <v>0</v>
      </c>
      <c r="M23" s="134">
        <f t="shared" ref="M23" si="13">IF(M54&gt;0,0,M53-L54)</f>
        <v>0</v>
      </c>
      <c r="N23" s="134">
        <f t="shared" ref="N23" si="14">IF(N54&gt;0,0,N53-M54)</f>
        <v>0</v>
      </c>
      <c r="O23" s="134">
        <f t="shared" ref="O23:AL23" si="15">IF(O54&gt;0,0,O53-N54)</f>
        <v>0</v>
      </c>
      <c r="P23" s="134">
        <f t="shared" si="15"/>
        <v>0</v>
      </c>
      <c r="Q23" s="134">
        <f t="shared" si="15"/>
        <v>0</v>
      </c>
      <c r="R23" s="134">
        <f t="shared" si="15"/>
        <v>0</v>
      </c>
      <c r="S23" s="134">
        <f t="shared" si="15"/>
        <v>2938.79250985871</v>
      </c>
      <c r="T23" s="134">
        <f t="shared" si="15"/>
        <v>11029.5895579457</v>
      </c>
      <c r="U23" s="134">
        <f t="shared" si="15"/>
        <v>11029.5895579457</v>
      </c>
      <c r="V23" s="134">
        <f t="shared" si="15"/>
        <v>11029.5895579457</v>
      </c>
      <c r="W23" s="134">
        <f t="shared" si="15"/>
        <v>11029.5895579457</v>
      </c>
      <c r="X23" s="134">
        <f t="shared" si="15"/>
        <v>10815.7387825945</v>
      </c>
      <c r="Y23" s="134">
        <f t="shared" si="15"/>
        <v>9378.21341115667</v>
      </c>
      <c r="Z23" s="134">
        <f t="shared" si="15"/>
        <v>11029.5895579457</v>
      </c>
      <c r="AA23" s="134">
        <f t="shared" si="15"/>
        <v>11029.5895579457</v>
      </c>
      <c r="AB23" s="134">
        <f t="shared" si="15"/>
        <v>11029.5895579457</v>
      </c>
      <c r="AC23" s="134">
        <f t="shared" si="15"/>
        <v>10988.3051542759</v>
      </c>
      <c r="AD23" s="134">
        <f t="shared" si="15"/>
        <v>11029.5895579457</v>
      </c>
      <c r="AE23" s="134">
        <f t="shared" si="15"/>
        <v>11029.5895579457</v>
      </c>
      <c r="AF23" s="134">
        <f t="shared" si="15"/>
        <v>10857.0231862642</v>
      </c>
      <c r="AG23" s="134">
        <f t="shared" si="15"/>
        <v>11029.5895579457</v>
      </c>
      <c r="AH23" s="134">
        <f t="shared" si="15"/>
        <v>10988.3051542759</v>
      </c>
      <c r="AI23" s="134">
        <f t="shared" si="15"/>
        <v>9378.21341115667</v>
      </c>
      <c r="AJ23" s="134">
        <f t="shared" si="15"/>
        <v>11029.5895579457</v>
      </c>
      <c r="AK23" s="134">
        <f t="shared" si="15"/>
        <v>11029.5895579457</v>
      </c>
      <c r="AL23" s="134">
        <f t="shared" si="15"/>
        <v>11029.5895579457</v>
      </c>
      <c r="AM23" s="134">
        <f t="shared" ref="AM23" si="16">IF(AM54&gt;0,0,AM53-AL54)</f>
        <v>10988.3051542759</v>
      </c>
      <c r="AN23" s="134">
        <f t="shared" ref="AN23" si="17">IF(AN54&gt;0,0,AN53-AM54)</f>
        <v>10857.0231862642</v>
      </c>
      <c r="AO23" s="134">
        <f t="shared" ref="AO23" si="18">IF(AO54&gt;0,0,AO53-AN54)</f>
        <v>11029.5895579457</v>
      </c>
      <c r="AP23" s="134">
        <f t="shared" ref="AP23" si="19">IF(AP54&gt;0,0,AP53-AO54)</f>
        <v>11029.5895579457</v>
      </c>
      <c r="AQ23" s="134">
        <f t="shared" ref="AQ23" si="20">IF(AQ54&gt;0,0,AQ53-AP54)</f>
        <v>11029.5895579457</v>
      </c>
      <c r="AR23" s="134">
        <f t="shared" ref="AR23" si="21">IF(AR54&gt;0,0,AR53-AQ54)</f>
        <v>10988.3051542759</v>
      </c>
      <c r="AS23" s="134">
        <f t="shared" ref="AS23" si="22">IF(AS54&gt;0,0,AS53-AR54)</f>
        <v>9378.21341115667</v>
      </c>
      <c r="AT23" s="134">
        <f t="shared" ref="AT23" si="23">IF(AT54&gt;0,0,AT53-AS54)</f>
        <v>11029.5895579457</v>
      </c>
      <c r="AU23" s="134">
        <f t="shared" ref="AU23" si="24">IF(AU54&gt;0,0,AU53-AT54)</f>
        <v>11029.5895579457</v>
      </c>
      <c r="AV23" s="134">
        <f t="shared" ref="AV23" si="25">IF(AV54&gt;0,0,AV53-AU54)</f>
        <v>10857.0231862642</v>
      </c>
      <c r="AW23" s="134">
        <f t="shared" ref="AW23" si="26">IF(AW54&gt;0,0,AW53-AV54)</f>
        <v>10988.3051542759</v>
      </c>
      <c r="AX23" s="134">
        <f t="shared" ref="AX23" si="27">IF(AX54&gt;0,0,AX53-AW54)</f>
        <v>11029.5895579457</v>
      </c>
      <c r="AY23" s="134">
        <f t="shared" ref="AY23" si="28">IF(AY54&gt;0,0,AY53-AX54)</f>
        <v>10988.3051542759</v>
      </c>
      <c r="AZ23" s="134">
        <f t="shared" ref="AZ23" si="29">IF(AZ54&gt;0,0,AZ53-AY54)</f>
        <v>11029.5895579457</v>
      </c>
      <c r="BA23" s="143">
        <f t="shared" ref="BA23" si="30">IF(BA54&gt;0,0,BA53-AZ54)</f>
        <v>6431.26061234146</v>
      </c>
    </row>
    <row r="24" spans="2:53">
      <c r="B24" s="71">
        <v>2</v>
      </c>
      <c r="C24" s="225" t="s">
        <v>799</v>
      </c>
      <c r="D24" s="119">
        <f t="shared" si="6"/>
        <v>713546.300884955</v>
      </c>
      <c r="E24" s="29" t="s">
        <v>130</v>
      </c>
      <c r="F24" s="134">
        <f>F25+F28+F30</f>
        <v>0</v>
      </c>
      <c r="G24" s="134">
        <f t="shared" ref="G24:O24" si="31">G25+G28+G30</f>
        <v>0</v>
      </c>
      <c r="H24" s="134">
        <f t="shared" si="31"/>
        <v>0</v>
      </c>
      <c r="I24" s="134">
        <f t="shared" si="31"/>
        <v>0</v>
      </c>
      <c r="J24" s="134">
        <f t="shared" si="31"/>
        <v>0</v>
      </c>
      <c r="K24" s="134">
        <f t="shared" si="31"/>
        <v>0</v>
      </c>
      <c r="L24" s="134">
        <f t="shared" si="31"/>
        <v>0</v>
      </c>
      <c r="M24" s="134">
        <f t="shared" si="31"/>
        <v>7432.77396755161</v>
      </c>
      <c r="N24" s="134">
        <f t="shared" si="31"/>
        <v>17838.6575221239</v>
      </c>
      <c r="O24" s="134">
        <f t="shared" si="31"/>
        <v>17838.6575221239</v>
      </c>
      <c r="P24" s="134">
        <f t="shared" ref="P24:AL24" si="32">P25+P28+P30</f>
        <v>17838.6575221239</v>
      </c>
      <c r="Q24" s="134">
        <f t="shared" si="32"/>
        <v>17838.6575221239</v>
      </c>
      <c r="R24" s="134">
        <f t="shared" si="32"/>
        <v>17838.6575221239</v>
      </c>
      <c r="S24" s="134">
        <f t="shared" si="32"/>
        <v>17838.6575221239</v>
      </c>
      <c r="T24" s="134">
        <f t="shared" si="32"/>
        <v>17838.6575221239</v>
      </c>
      <c r="U24" s="134">
        <f t="shared" si="32"/>
        <v>17838.6575221239</v>
      </c>
      <c r="V24" s="134">
        <f t="shared" si="32"/>
        <v>17838.6575221239</v>
      </c>
      <c r="W24" s="134">
        <f t="shared" si="32"/>
        <v>17838.6575221239</v>
      </c>
      <c r="X24" s="134">
        <f t="shared" si="32"/>
        <v>17838.6575221239</v>
      </c>
      <c r="Y24" s="134">
        <f t="shared" si="32"/>
        <v>17838.6575221239</v>
      </c>
      <c r="Z24" s="134">
        <f t="shared" si="32"/>
        <v>17838.6575221239</v>
      </c>
      <c r="AA24" s="134">
        <f t="shared" si="32"/>
        <v>17838.6575221239</v>
      </c>
      <c r="AB24" s="134">
        <f t="shared" si="32"/>
        <v>17838.6575221239</v>
      </c>
      <c r="AC24" s="134">
        <f t="shared" si="32"/>
        <v>17838.6575221239</v>
      </c>
      <c r="AD24" s="134">
        <f t="shared" si="32"/>
        <v>17838.6575221239</v>
      </c>
      <c r="AE24" s="134">
        <f t="shared" si="32"/>
        <v>17838.6575221239</v>
      </c>
      <c r="AF24" s="134">
        <f t="shared" si="32"/>
        <v>17838.6575221239</v>
      </c>
      <c r="AG24" s="134">
        <f t="shared" si="32"/>
        <v>17838.6575221239</v>
      </c>
      <c r="AH24" s="134">
        <f t="shared" si="32"/>
        <v>17838.6575221239</v>
      </c>
      <c r="AI24" s="134">
        <f t="shared" si="32"/>
        <v>17838.6575221239</v>
      </c>
      <c r="AJ24" s="134">
        <f t="shared" si="32"/>
        <v>17838.6575221239</v>
      </c>
      <c r="AK24" s="134">
        <f t="shared" si="32"/>
        <v>17838.6575221239</v>
      </c>
      <c r="AL24" s="134">
        <f t="shared" si="32"/>
        <v>17838.6575221239</v>
      </c>
      <c r="AM24" s="134">
        <f t="shared" ref="AM24:BA24" si="33">AM25+AM28+AM30</f>
        <v>17838.6575221239</v>
      </c>
      <c r="AN24" s="134">
        <f t="shared" si="33"/>
        <v>17838.6575221239</v>
      </c>
      <c r="AO24" s="134">
        <f t="shared" si="33"/>
        <v>17838.6575221239</v>
      </c>
      <c r="AP24" s="134">
        <f t="shared" si="33"/>
        <v>17838.6575221239</v>
      </c>
      <c r="AQ24" s="134">
        <f t="shared" si="33"/>
        <v>17838.6575221239</v>
      </c>
      <c r="AR24" s="134">
        <f t="shared" si="33"/>
        <v>17838.6575221239</v>
      </c>
      <c r="AS24" s="134">
        <f t="shared" si="33"/>
        <v>17838.6575221239</v>
      </c>
      <c r="AT24" s="134">
        <f t="shared" si="33"/>
        <v>17838.6575221239</v>
      </c>
      <c r="AU24" s="134">
        <f t="shared" si="33"/>
        <v>17838.6575221239</v>
      </c>
      <c r="AV24" s="134">
        <f t="shared" si="33"/>
        <v>17838.6575221239</v>
      </c>
      <c r="AW24" s="134">
        <f t="shared" si="33"/>
        <v>17838.6575221239</v>
      </c>
      <c r="AX24" s="134">
        <f t="shared" si="33"/>
        <v>17838.6575221239</v>
      </c>
      <c r="AY24" s="134">
        <f t="shared" si="33"/>
        <v>17838.6575221239</v>
      </c>
      <c r="AZ24" s="134">
        <f t="shared" si="33"/>
        <v>17838.6575221239</v>
      </c>
      <c r="BA24" s="143">
        <f t="shared" si="33"/>
        <v>10405.8835545723</v>
      </c>
    </row>
    <row r="25" spans="2:53">
      <c r="B25" s="71">
        <v>2.1</v>
      </c>
      <c r="C25" s="236" t="s">
        <v>800</v>
      </c>
      <c r="D25" s="119">
        <f t="shared" si="6"/>
        <v>707103.823008849</v>
      </c>
      <c r="E25" s="29" t="s">
        <v>130</v>
      </c>
      <c r="F25" s="134">
        <f>SUM(F26:F27)</f>
        <v>0</v>
      </c>
      <c r="G25" s="134">
        <f t="shared" ref="G25:BA25" si="34">SUM(G26:G27)</f>
        <v>0</v>
      </c>
      <c r="H25" s="134">
        <f t="shared" si="34"/>
        <v>0</v>
      </c>
      <c r="I25" s="134">
        <f t="shared" si="34"/>
        <v>0</v>
      </c>
      <c r="J25" s="134">
        <f t="shared" si="34"/>
        <v>0</v>
      </c>
      <c r="K25" s="134">
        <f t="shared" si="34"/>
        <v>0</v>
      </c>
      <c r="L25" s="134">
        <f t="shared" si="34"/>
        <v>0</v>
      </c>
      <c r="M25" s="134">
        <f t="shared" si="34"/>
        <v>7365.66482300884</v>
      </c>
      <c r="N25" s="134">
        <f t="shared" si="34"/>
        <v>17677.5955752212</v>
      </c>
      <c r="O25" s="134">
        <f t="shared" si="34"/>
        <v>17677.5955752212</v>
      </c>
      <c r="P25" s="134">
        <f t="shared" si="34"/>
        <v>17677.5955752212</v>
      </c>
      <c r="Q25" s="134">
        <f t="shared" si="34"/>
        <v>17677.5955752212</v>
      </c>
      <c r="R25" s="134">
        <f t="shared" si="34"/>
        <v>17677.5955752212</v>
      </c>
      <c r="S25" s="134">
        <f t="shared" si="34"/>
        <v>17677.5955752212</v>
      </c>
      <c r="T25" s="134">
        <f t="shared" si="34"/>
        <v>17677.5955752212</v>
      </c>
      <c r="U25" s="134">
        <f t="shared" si="34"/>
        <v>17677.5955752212</v>
      </c>
      <c r="V25" s="134">
        <f t="shared" si="34"/>
        <v>17677.5955752212</v>
      </c>
      <c r="W25" s="134">
        <f t="shared" si="34"/>
        <v>17677.5955752212</v>
      </c>
      <c r="X25" s="134">
        <f t="shared" si="34"/>
        <v>17677.5955752212</v>
      </c>
      <c r="Y25" s="134">
        <f t="shared" si="34"/>
        <v>17677.5955752212</v>
      </c>
      <c r="Z25" s="134">
        <f t="shared" si="34"/>
        <v>17677.5955752212</v>
      </c>
      <c r="AA25" s="134">
        <f t="shared" si="34"/>
        <v>17677.5955752212</v>
      </c>
      <c r="AB25" s="134">
        <f t="shared" si="34"/>
        <v>17677.5955752212</v>
      </c>
      <c r="AC25" s="134">
        <f t="shared" si="34"/>
        <v>17677.5955752212</v>
      </c>
      <c r="AD25" s="134">
        <f t="shared" si="34"/>
        <v>17677.5955752212</v>
      </c>
      <c r="AE25" s="134">
        <f t="shared" si="34"/>
        <v>17677.5955752212</v>
      </c>
      <c r="AF25" s="134">
        <f t="shared" si="34"/>
        <v>17677.5955752212</v>
      </c>
      <c r="AG25" s="134">
        <f t="shared" si="34"/>
        <v>17677.5955752212</v>
      </c>
      <c r="AH25" s="134">
        <f t="shared" si="34"/>
        <v>17677.5955752212</v>
      </c>
      <c r="AI25" s="134">
        <f t="shared" si="34"/>
        <v>17677.5955752212</v>
      </c>
      <c r="AJ25" s="134">
        <f t="shared" si="34"/>
        <v>17677.5955752212</v>
      </c>
      <c r="AK25" s="134">
        <f t="shared" si="34"/>
        <v>17677.5955752212</v>
      </c>
      <c r="AL25" s="134">
        <f t="shared" si="34"/>
        <v>17677.5955752212</v>
      </c>
      <c r="AM25" s="134">
        <f t="shared" si="34"/>
        <v>17677.5955752212</v>
      </c>
      <c r="AN25" s="134">
        <f t="shared" si="34"/>
        <v>17677.5955752212</v>
      </c>
      <c r="AO25" s="134">
        <f t="shared" si="34"/>
        <v>17677.5955752212</v>
      </c>
      <c r="AP25" s="134">
        <f t="shared" si="34"/>
        <v>17677.5955752212</v>
      </c>
      <c r="AQ25" s="134">
        <f t="shared" si="34"/>
        <v>17677.5955752212</v>
      </c>
      <c r="AR25" s="134">
        <f t="shared" si="34"/>
        <v>17677.5955752212</v>
      </c>
      <c r="AS25" s="134">
        <f t="shared" si="34"/>
        <v>17677.5955752212</v>
      </c>
      <c r="AT25" s="134">
        <f t="shared" si="34"/>
        <v>17677.5955752212</v>
      </c>
      <c r="AU25" s="134">
        <f t="shared" si="34"/>
        <v>17677.5955752212</v>
      </c>
      <c r="AV25" s="134">
        <f t="shared" si="34"/>
        <v>17677.5955752212</v>
      </c>
      <c r="AW25" s="134">
        <f t="shared" si="34"/>
        <v>17677.5955752212</v>
      </c>
      <c r="AX25" s="134">
        <f t="shared" si="34"/>
        <v>17677.5955752212</v>
      </c>
      <c r="AY25" s="134">
        <f t="shared" si="34"/>
        <v>17677.5955752212</v>
      </c>
      <c r="AZ25" s="134">
        <f t="shared" si="34"/>
        <v>17677.5955752212</v>
      </c>
      <c r="BA25" s="143">
        <f t="shared" si="34"/>
        <v>10311.9307522124</v>
      </c>
    </row>
    <row r="26" spans="2:53">
      <c r="B26" s="71"/>
      <c r="C26" s="148" t="s">
        <v>801</v>
      </c>
      <c r="D26" s="42">
        <f t="shared" si="6"/>
        <v>448718.584070797</v>
      </c>
      <c r="E26" s="29" t="s">
        <v>130</v>
      </c>
      <c r="F26" s="42">
        <f>F7*参数输入表!$I$856</f>
        <v>0</v>
      </c>
      <c r="G26" s="42">
        <f>G7*参数输入表!$I$856</f>
        <v>0</v>
      </c>
      <c r="H26" s="42">
        <f>H7*参数输入表!$I$856</f>
        <v>0</v>
      </c>
      <c r="I26" s="42">
        <f>I7*参数输入表!$I$856</f>
        <v>0</v>
      </c>
      <c r="J26" s="42">
        <f>J7*参数输入表!$I$856</f>
        <v>0</v>
      </c>
      <c r="K26" s="42">
        <f>K7*参数输入表!$I$856</f>
        <v>0</v>
      </c>
      <c r="L26" s="42">
        <f>L7*参数输入表!$I$856</f>
        <v>0</v>
      </c>
      <c r="M26" s="42">
        <f>M7*参数输入表!$I$856</f>
        <v>4674.15191740413</v>
      </c>
      <c r="N26" s="42">
        <f>N7*参数输入表!$I$856</f>
        <v>11217.9646017699</v>
      </c>
      <c r="O26" s="42">
        <f>O7*参数输入表!$I$856</f>
        <v>11217.9646017699</v>
      </c>
      <c r="P26" s="42">
        <f>P7*参数输入表!$I$856</f>
        <v>11217.9646017699</v>
      </c>
      <c r="Q26" s="42">
        <f>Q7*参数输入表!$I$856</f>
        <v>11217.9646017699</v>
      </c>
      <c r="R26" s="42">
        <f>R7*参数输入表!$I$856</f>
        <v>11217.9646017699</v>
      </c>
      <c r="S26" s="42">
        <f>S7*参数输入表!$I$856</f>
        <v>11217.9646017699</v>
      </c>
      <c r="T26" s="42">
        <f>T7*参数输入表!$I$856</f>
        <v>11217.9646017699</v>
      </c>
      <c r="U26" s="42">
        <f>U7*参数输入表!$I$856</f>
        <v>11217.9646017699</v>
      </c>
      <c r="V26" s="42">
        <f>V7*参数输入表!$I$856</f>
        <v>11217.9646017699</v>
      </c>
      <c r="W26" s="42">
        <f>W7*参数输入表!$I$856</f>
        <v>11217.9646017699</v>
      </c>
      <c r="X26" s="42">
        <f>X7*参数输入表!$I$856</f>
        <v>11217.9646017699</v>
      </c>
      <c r="Y26" s="42">
        <f>Y7*参数输入表!$I$856</f>
        <v>11217.9646017699</v>
      </c>
      <c r="Z26" s="42">
        <f>Z7*参数输入表!$I$856</f>
        <v>11217.9646017699</v>
      </c>
      <c r="AA26" s="42">
        <f>AA7*参数输入表!$I$856</f>
        <v>11217.9646017699</v>
      </c>
      <c r="AB26" s="42">
        <f>AB7*参数输入表!$I$856</f>
        <v>11217.9646017699</v>
      </c>
      <c r="AC26" s="42">
        <f>AC7*参数输入表!$I$856</f>
        <v>11217.9646017699</v>
      </c>
      <c r="AD26" s="42">
        <f>AD7*参数输入表!$I$856</f>
        <v>11217.9646017699</v>
      </c>
      <c r="AE26" s="42">
        <f>AE7*参数输入表!$I$856</f>
        <v>11217.9646017699</v>
      </c>
      <c r="AF26" s="42">
        <f>AF7*参数输入表!$I$856</f>
        <v>11217.9646017699</v>
      </c>
      <c r="AG26" s="42">
        <f>AG7*参数输入表!$I$856</f>
        <v>11217.9646017699</v>
      </c>
      <c r="AH26" s="42">
        <f>AH7*参数输入表!$I$856</f>
        <v>11217.9646017699</v>
      </c>
      <c r="AI26" s="42">
        <f>AI7*参数输入表!$I$856</f>
        <v>11217.9646017699</v>
      </c>
      <c r="AJ26" s="42">
        <f>AJ7*参数输入表!$I$856</f>
        <v>11217.9646017699</v>
      </c>
      <c r="AK26" s="42">
        <f>AK7*参数输入表!$I$856</f>
        <v>11217.9646017699</v>
      </c>
      <c r="AL26" s="42">
        <f>AL7*参数输入表!$I$856</f>
        <v>11217.9646017699</v>
      </c>
      <c r="AM26" s="42">
        <f>AM7*参数输入表!$I$856</f>
        <v>11217.9646017699</v>
      </c>
      <c r="AN26" s="42">
        <f>AN7*参数输入表!$I$856</f>
        <v>11217.9646017699</v>
      </c>
      <c r="AO26" s="42">
        <f>AO7*参数输入表!$I$856</f>
        <v>11217.9646017699</v>
      </c>
      <c r="AP26" s="42">
        <f>AP7*参数输入表!$I$856</f>
        <v>11217.9646017699</v>
      </c>
      <c r="AQ26" s="42">
        <f>AQ7*参数输入表!$I$856</f>
        <v>11217.9646017699</v>
      </c>
      <c r="AR26" s="42">
        <f>AR7*参数输入表!$I$856</f>
        <v>11217.9646017699</v>
      </c>
      <c r="AS26" s="42">
        <f>AS7*参数输入表!$I$856</f>
        <v>11217.9646017699</v>
      </c>
      <c r="AT26" s="42">
        <f>AT7*参数输入表!$I$856</f>
        <v>11217.9646017699</v>
      </c>
      <c r="AU26" s="42">
        <f>AU7*参数输入表!$I$856</f>
        <v>11217.9646017699</v>
      </c>
      <c r="AV26" s="42">
        <f>AV7*参数输入表!$I$856</f>
        <v>11217.9646017699</v>
      </c>
      <c r="AW26" s="42">
        <f>AW7*参数输入表!$I$856</f>
        <v>11217.9646017699</v>
      </c>
      <c r="AX26" s="42">
        <f>AX7*参数输入表!$I$856</f>
        <v>11217.9646017699</v>
      </c>
      <c r="AY26" s="42">
        <f>AY7*参数输入表!$I$856</f>
        <v>11217.9646017699</v>
      </c>
      <c r="AZ26" s="42">
        <f>AZ7*参数输入表!$I$856</f>
        <v>11217.9646017699</v>
      </c>
      <c r="BA26" s="43">
        <f>BA7*参数输入表!$I$856</f>
        <v>6543.81268436578</v>
      </c>
    </row>
    <row r="27" spans="2:53">
      <c r="B27" s="32"/>
      <c r="C27" s="148" t="s">
        <v>802</v>
      </c>
      <c r="D27" s="42">
        <f t="shared" si="6"/>
        <v>258385.238938052</v>
      </c>
      <c r="E27" s="29" t="s">
        <v>130</v>
      </c>
      <c r="F27" s="42">
        <f>F10*参数输入表!$I$864</f>
        <v>0</v>
      </c>
      <c r="G27" s="42">
        <f>G10*参数输入表!$I$864</f>
        <v>0</v>
      </c>
      <c r="H27" s="42">
        <f>H10*参数输入表!$I$864</f>
        <v>0</v>
      </c>
      <c r="I27" s="42">
        <f>I10*参数输入表!$I$864</f>
        <v>0</v>
      </c>
      <c r="J27" s="42">
        <f>J10*参数输入表!$I$864</f>
        <v>0</v>
      </c>
      <c r="K27" s="42">
        <f>K10*参数输入表!$I$864</f>
        <v>0</v>
      </c>
      <c r="L27" s="42">
        <f>L10*参数输入表!$I$864</f>
        <v>0</v>
      </c>
      <c r="M27" s="42">
        <f>M10*参数输入表!$I$864</f>
        <v>2691.51290560471</v>
      </c>
      <c r="N27" s="42">
        <f>N10*参数输入表!$I$864</f>
        <v>6459.63097345131</v>
      </c>
      <c r="O27" s="42">
        <f>O10*参数输入表!$I$864</f>
        <v>6459.63097345131</v>
      </c>
      <c r="P27" s="42">
        <f>P10*参数输入表!$I$864</f>
        <v>6459.63097345131</v>
      </c>
      <c r="Q27" s="42">
        <f>Q10*参数输入表!$I$864</f>
        <v>6459.63097345131</v>
      </c>
      <c r="R27" s="42">
        <f>R10*参数输入表!$I$864</f>
        <v>6459.63097345131</v>
      </c>
      <c r="S27" s="42">
        <f>S10*参数输入表!$I$864</f>
        <v>6459.63097345131</v>
      </c>
      <c r="T27" s="42">
        <f>T10*参数输入表!$I$864</f>
        <v>6459.63097345131</v>
      </c>
      <c r="U27" s="42">
        <f>U10*参数输入表!$I$864</f>
        <v>6459.63097345131</v>
      </c>
      <c r="V27" s="42">
        <f>V10*参数输入表!$I$864</f>
        <v>6459.63097345131</v>
      </c>
      <c r="W27" s="42">
        <f>W10*参数输入表!$I$864</f>
        <v>6459.63097345131</v>
      </c>
      <c r="X27" s="42">
        <f>X10*参数输入表!$I$864</f>
        <v>6459.63097345131</v>
      </c>
      <c r="Y27" s="42">
        <f>Y10*参数输入表!$I$864</f>
        <v>6459.63097345131</v>
      </c>
      <c r="Z27" s="42">
        <f>Z10*参数输入表!$I$864</f>
        <v>6459.63097345131</v>
      </c>
      <c r="AA27" s="42">
        <f>AA10*参数输入表!$I$864</f>
        <v>6459.63097345131</v>
      </c>
      <c r="AB27" s="42">
        <f>AB10*参数输入表!$I$864</f>
        <v>6459.63097345131</v>
      </c>
      <c r="AC27" s="42">
        <f>AC10*参数输入表!$I$864</f>
        <v>6459.63097345131</v>
      </c>
      <c r="AD27" s="42">
        <f>AD10*参数输入表!$I$864</f>
        <v>6459.63097345131</v>
      </c>
      <c r="AE27" s="42">
        <f>AE10*参数输入表!$I$864</f>
        <v>6459.63097345131</v>
      </c>
      <c r="AF27" s="42">
        <f>AF10*参数输入表!$I$864</f>
        <v>6459.63097345131</v>
      </c>
      <c r="AG27" s="42">
        <f>AG10*参数输入表!$I$864</f>
        <v>6459.63097345131</v>
      </c>
      <c r="AH27" s="42">
        <f>AH10*参数输入表!$I$864</f>
        <v>6459.63097345131</v>
      </c>
      <c r="AI27" s="42">
        <f>AI10*参数输入表!$I$864</f>
        <v>6459.63097345131</v>
      </c>
      <c r="AJ27" s="42">
        <f>AJ10*参数输入表!$I$864</f>
        <v>6459.63097345131</v>
      </c>
      <c r="AK27" s="42">
        <f>AK10*参数输入表!$I$864</f>
        <v>6459.63097345131</v>
      </c>
      <c r="AL27" s="42">
        <f>AL10*参数输入表!$I$864</f>
        <v>6459.63097345131</v>
      </c>
      <c r="AM27" s="42">
        <f>AM10*参数输入表!$I$864</f>
        <v>6459.63097345131</v>
      </c>
      <c r="AN27" s="42">
        <f>AN10*参数输入表!$I$864</f>
        <v>6459.63097345131</v>
      </c>
      <c r="AO27" s="42">
        <f>AO10*参数输入表!$I$864</f>
        <v>6459.63097345131</v>
      </c>
      <c r="AP27" s="42">
        <f>AP10*参数输入表!$I$864</f>
        <v>6459.63097345131</v>
      </c>
      <c r="AQ27" s="42">
        <f>AQ10*参数输入表!$I$864</f>
        <v>6459.63097345131</v>
      </c>
      <c r="AR27" s="42">
        <f>AR10*参数输入表!$I$864</f>
        <v>6459.63097345131</v>
      </c>
      <c r="AS27" s="42">
        <f>AS10*参数输入表!$I$864</f>
        <v>6459.63097345131</v>
      </c>
      <c r="AT27" s="42">
        <f>AT10*参数输入表!$I$864</f>
        <v>6459.63097345131</v>
      </c>
      <c r="AU27" s="42">
        <f>AU10*参数输入表!$I$864</f>
        <v>6459.63097345131</v>
      </c>
      <c r="AV27" s="42">
        <f>AV10*参数输入表!$I$864</f>
        <v>6459.63097345131</v>
      </c>
      <c r="AW27" s="42">
        <f>AW10*参数输入表!$I$864</f>
        <v>6459.63097345131</v>
      </c>
      <c r="AX27" s="42">
        <f>AX10*参数输入表!$I$864</f>
        <v>6459.63097345131</v>
      </c>
      <c r="AY27" s="42">
        <f>AY10*参数输入表!$I$864</f>
        <v>6459.63097345131</v>
      </c>
      <c r="AZ27" s="42">
        <f>AZ10*参数输入表!$I$864</f>
        <v>6459.63097345131</v>
      </c>
      <c r="BA27" s="43">
        <f>BA10*参数输入表!$I$864</f>
        <v>3768.11806784659</v>
      </c>
    </row>
    <row r="28" spans="2:53">
      <c r="B28" s="71">
        <v>2.2</v>
      </c>
      <c r="C28" s="236" t="s">
        <v>803</v>
      </c>
      <c r="D28" s="119">
        <f t="shared" si="6"/>
        <v>6442.4778761062</v>
      </c>
      <c r="E28" s="29" t="s">
        <v>130</v>
      </c>
      <c r="F28" s="134">
        <f>SUM(F29)</f>
        <v>0</v>
      </c>
      <c r="G28" s="134">
        <f t="shared" ref="G28:R28" si="35">SUM(G29)</f>
        <v>0</v>
      </c>
      <c r="H28" s="134">
        <f t="shared" si="35"/>
        <v>0</v>
      </c>
      <c r="I28" s="134">
        <f t="shared" si="35"/>
        <v>0</v>
      </c>
      <c r="J28" s="134">
        <f t="shared" si="35"/>
        <v>0</v>
      </c>
      <c r="K28" s="134">
        <f t="shared" si="35"/>
        <v>0</v>
      </c>
      <c r="L28" s="134">
        <f t="shared" si="35"/>
        <v>0</v>
      </c>
      <c r="M28" s="134">
        <f t="shared" si="35"/>
        <v>67.1091445427729</v>
      </c>
      <c r="N28" s="134">
        <f t="shared" si="35"/>
        <v>161.061946902655</v>
      </c>
      <c r="O28" s="134">
        <f t="shared" si="35"/>
        <v>161.061946902655</v>
      </c>
      <c r="P28" s="134">
        <f t="shared" si="35"/>
        <v>161.061946902655</v>
      </c>
      <c r="Q28" s="134">
        <f t="shared" si="35"/>
        <v>161.061946902655</v>
      </c>
      <c r="R28" s="134">
        <f t="shared" si="35"/>
        <v>161.061946902655</v>
      </c>
      <c r="S28" s="134">
        <f t="shared" ref="S28:BA28" si="36">SUM(S29)</f>
        <v>161.061946902655</v>
      </c>
      <c r="T28" s="134">
        <f t="shared" si="36"/>
        <v>161.061946902655</v>
      </c>
      <c r="U28" s="134">
        <f t="shared" si="36"/>
        <v>161.061946902655</v>
      </c>
      <c r="V28" s="134">
        <f t="shared" si="36"/>
        <v>161.061946902655</v>
      </c>
      <c r="W28" s="134">
        <f t="shared" si="36"/>
        <v>161.061946902655</v>
      </c>
      <c r="X28" s="134">
        <f t="shared" si="36"/>
        <v>161.061946902655</v>
      </c>
      <c r="Y28" s="134">
        <f t="shared" si="36"/>
        <v>161.061946902655</v>
      </c>
      <c r="Z28" s="134">
        <f t="shared" si="36"/>
        <v>161.061946902655</v>
      </c>
      <c r="AA28" s="134">
        <f t="shared" si="36"/>
        <v>161.061946902655</v>
      </c>
      <c r="AB28" s="134">
        <f t="shared" si="36"/>
        <v>161.061946902655</v>
      </c>
      <c r="AC28" s="134">
        <f t="shared" si="36"/>
        <v>161.061946902655</v>
      </c>
      <c r="AD28" s="134">
        <f t="shared" si="36"/>
        <v>161.061946902655</v>
      </c>
      <c r="AE28" s="134">
        <f t="shared" si="36"/>
        <v>161.061946902655</v>
      </c>
      <c r="AF28" s="134">
        <f t="shared" si="36"/>
        <v>161.061946902655</v>
      </c>
      <c r="AG28" s="134">
        <f t="shared" si="36"/>
        <v>161.061946902655</v>
      </c>
      <c r="AH28" s="134">
        <f t="shared" si="36"/>
        <v>161.061946902655</v>
      </c>
      <c r="AI28" s="134">
        <f t="shared" si="36"/>
        <v>161.061946902655</v>
      </c>
      <c r="AJ28" s="134">
        <f t="shared" si="36"/>
        <v>161.061946902655</v>
      </c>
      <c r="AK28" s="134">
        <f t="shared" si="36"/>
        <v>161.061946902655</v>
      </c>
      <c r="AL28" s="134">
        <f t="shared" si="36"/>
        <v>161.061946902655</v>
      </c>
      <c r="AM28" s="134">
        <f t="shared" si="36"/>
        <v>161.061946902655</v>
      </c>
      <c r="AN28" s="134">
        <f t="shared" si="36"/>
        <v>161.061946902655</v>
      </c>
      <c r="AO28" s="134">
        <f t="shared" si="36"/>
        <v>161.061946902655</v>
      </c>
      <c r="AP28" s="134">
        <f t="shared" si="36"/>
        <v>161.061946902655</v>
      </c>
      <c r="AQ28" s="134">
        <f t="shared" si="36"/>
        <v>161.061946902655</v>
      </c>
      <c r="AR28" s="134">
        <f t="shared" si="36"/>
        <v>161.061946902655</v>
      </c>
      <c r="AS28" s="134">
        <f t="shared" si="36"/>
        <v>161.061946902655</v>
      </c>
      <c r="AT28" s="134">
        <f t="shared" si="36"/>
        <v>161.061946902655</v>
      </c>
      <c r="AU28" s="134">
        <f t="shared" si="36"/>
        <v>161.061946902655</v>
      </c>
      <c r="AV28" s="134">
        <f t="shared" si="36"/>
        <v>161.061946902655</v>
      </c>
      <c r="AW28" s="134">
        <f t="shared" si="36"/>
        <v>161.061946902655</v>
      </c>
      <c r="AX28" s="134">
        <f t="shared" si="36"/>
        <v>161.061946902655</v>
      </c>
      <c r="AY28" s="134">
        <f t="shared" si="36"/>
        <v>161.061946902655</v>
      </c>
      <c r="AZ28" s="134">
        <f t="shared" si="36"/>
        <v>161.061946902655</v>
      </c>
      <c r="BA28" s="143">
        <f t="shared" si="36"/>
        <v>93.952802359882</v>
      </c>
    </row>
    <row r="29" spans="2:53">
      <c r="B29" s="32"/>
      <c r="C29" s="148" t="s">
        <v>804</v>
      </c>
      <c r="D29" s="42">
        <f t="shared" si="6"/>
        <v>6442.4778761062</v>
      </c>
      <c r="E29" s="29" t="s">
        <v>130</v>
      </c>
      <c r="F29" s="42">
        <f>F16*参数输入表!$I$872</f>
        <v>0</v>
      </c>
      <c r="G29" s="42">
        <f>G16*参数输入表!$I$872</f>
        <v>0</v>
      </c>
      <c r="H29" s="42">
        <f>H16*参数输入表!$I$872</f>
        <v>0</v>
      </c>
      <c r="I29" s="42">
        <f>I16*参数输入表!$I$872</f>
        <v>0</v>
      </c>
      <c r="J29" s="42">
        <f>J16*参数输入表!$I$872</f>
        <v>0</v>
      </c>
      <c r="K29" s="42">
        <f>K16*参数输入表!$I$872</f>
        <v>0</v>
      </c>
      <c r="L29" s="42">
        <f>L16*参数输入表!$I$872</f>
        <v>0</v>
      </c>
      <c r="M29" s="42">
        <f>M16*参数输入表!$I$872</f>
        <v>67.1091445427729</v>
      </c>
      <c r="N29" s="42">
        <f>N16*参数输入表!$I$872</f>
        <v>161.061946902655</v>
      </c>
      <c r="O29" s="42">
        <f>O16*参数输入表!$I$872</f>
        <v>161.061946902655</v>
      </c>
      <c r="P29" s="42">
        <f>P16*参数输入表!$I$872</f>
        <v>161.061946902655</v>
      </c>
      <c r="Q29" s="42">
        <f>Q16*参数输入表!$I$872</f>
        <v>161.061946902655</v>
      </c>
      <c r="R29" s="42">
        <f>R16*参数输入表!$I$872</f>
        <v>161.061946902655</v>
      </c>
      <c r="S29" s="42">
        <f>S16*参数输入表!$I$872</f>
        <v>161.061946902655</v>
      </c>
      <c r="T29" s="42">
        <f>T16*参数输入表!$I$872</f>
        <v>161.061946902655</v>
      </c>
      <c r="U29" s="42">
        <f>U16*参数输入表!$I$872</f>
        <v>161.061946902655</v>
      </c>
      <c r="V29" s="42">
        <f>V16*参数输入表!$I$872</f>
        <v>161.061946902655</v>
      </c>
      <c r="W29" s="42">
        <f>W16*参数输入表!$I$872</f>
        <v>161.061946902655</v>
      </c>
      <c r="X29" s="42">
        <f>X16*参数输入表!$I$872</f>
        <v>161.061946902655</v>
      </c>
      <c r="Y29" s="42">
        <f>Y16*参数输入表!$I$872</f>
        <v>161.061946902655</v>
      </c>
      <c r="Z29" s="42">
        <f>Z16*参数输入表!$I$872</f>
        <v>161.061946902655</v>
      </c>
      <c r="AA29" s="42">
        <f>AA16*参数输入表!$I$872</f>
        <v>161.061946902655</v>
      </c>
      <c r="AB29" s="42">
        <f>AB16*参数输入表!$I$872</f>
        <v>161.061946902655</v>
      </c>
      <c r="AC29" s="42">
        <f>AC16*参数输入表!$I$872</f>
        <v>161.061946902655</v>
      </c>
      <c r="AD29" s="42">
        <f>AD16*参数输入表!$I$872</f>
        <v>161.061946902655</v>
      </c>
      <c r="AE29" s="42">
        <f>AE16*参数输入表!$I$872</f>
        <v>161.061946902655</v>
      </c>
      <c r="AF29" s="42">
        <f>AF16*参数输入表!$I$872</f>
        <v>161.061946902655</v>
      </c>
      <c r="AG29" s="42">
        <f>AG16*参数输入表!$I$872</f>
        <v>161.061946902655</v>
      </c>
      <c r="AH29" s="42">
        <f>AH16*参数输入表!$I$872</f>
        <v>161.061946902655</v>
      </c>
      <c r="AI29" s="42">
        <f>AI16*参数输入表!$I$872</f>
        <v>161.061946902655</v>
      </c>
      <c r="AJ29" s="42">
        <f>AJ16*参数输入表!$I$872</f>
        <v>161.061946902655</v>
      </c>
      <c r="AK29" s="42">
        <f>AK16*参数输入表!$I$872</f>
        <v>161.061946902655</v>
      </c>
      <c r="AL29" s="42">
        <f>AL16*参数输入表!$I$872</f>
        <v>161.061946902655</v>
      </c>
      <c r="AM29" s="42">
        <f>AM16*参数输入表!$I$872</f>
        <v>161.061946902655</v>
      </c>
      <c r="AN29" s="42">
        <f>AN16*参数输入表!$I$872</f>
        <v>161.061946902655</v>
      </c>
      <c r="AO29" s="42">
        <f>AO16*参数输入表!$I$872</f>
        <v>161.061946902655</v>
      </c>
      <c r="AP29" s="42">
        <f>AP16*参数输入表!$I$872</f>
        <v>161.061946902655</v>
      </c>
      <c r="AQ29" s="42">
        <f>AQ16*参数输入表!$I$872</f>
        <v>161.061946902655</v>
      </c>
      <c r="AR29" s="42">
        <f>AR16*参数输入表!$I$872</f>
        <v>161.061946902655</v>
      </c>
      <c r="AS29" s="42">
        <f>AS16*参数输入表!$I$872</f>
        <v>161.061946902655</v>
      </c>
      <c r="AT29" s="42">
        <f>AT16*参数输入表!$I$872</f>
        <v>161.061946902655</v>
      </c>
      <c r="AU29" s="42">
        <f>AU16*参数输入表!$I$872</f>
        <v>161.061946902655</v>
      </c>
      <c r="AV29" s="42">
        <f>AV16*参数输入表!$I$872</f>
        <v>161.061946902655</v>
      </c>
      <c r="AW29" s="42">
        <f>AW16*参数输入表!$I$872</f>
        <v>161.061946902655</v>
      </c>
      <c r="AX29" s="42">
        <f>AX16*参数输入表!$I$872</f>
        <v>161.061946902655</v>
      </c>
      <c r="AY29" s="42">
        <f>AY16*参数输入表!$I$872</f>
        <v>161.061946902655</v>
      </c>
      <c r="AZ29" s="42">
        <f>AZ16*参数输入表!$I$872</f>
        <v>161.061946902655</v>
      </c>
      <c r="BA29" s="43">
        <f>BA16*参数输入表!$I$872</f>
        <v>93.952802359882</v>
      </c>
    </row>
    <row r="30" spans="2:53">
      <c r="B30" s="71">
        <v>2.3</v>
      </c>
      <c r="C30" s="236" t="s">
        <v>805</v>
      </c>
      <c r="D30" s="119">
        <f t="shared" si="6"/>
        <v>0</v>
      </c>
      <c r="E30" s="29" t="s">
        <v>130</v>
      </c>
      <c r="F30" s="134">
        <f>SUM(F31)</f>
        <v>0</v>
      </c>
      <c r="G30" s="134">
        <f t="shared" ref="G30:U30" si="37">SUM(G31)</f>
        <v>0</v>
      </c>
      <c r="H30" s="134">
        <f t="shared" si="37"/>
        <v>0</v>
      </c>
      <c r="I30" s="134">
        <f t="shared" si="37"/>
        <v>0</v>
      </c>
      <c r="J30" s="134">
        <f t="shared" si="37"/>
        <v>0</v>
      </c>
      <c r="K30" s="134">
        <f t="shared" si="37"/>
        <v>0</v>
      </c>
      <c r="L30" s="134">
        <f t="shared" si="37"/>
        <v>0</v>
      </c>
      <c r="M30" s="134">
        <f t="shared" si="37"/>
        <v>0</v>
      </c>
      <c r="N30" s="134">
        <f t="shared" si="37"/>
        <v>0</v>
      </c>
      <c r="O30" s="134">
        <f t="shared" si="37"/>
        <v>0</v>
      </c>
      <c r="P30" s="134">
        <f t="shared" si="37"/>
        <v>0</v>
      </c>
      <c r="Q30" s="134">
        <f t="shared" si="37"/>
        <v>0</v>
      </c>
      <c r="R30" s="134">
        <f t="shared" si="37"/>
        <v>0</v>
      </c>
      <c r="S30" s="134">
        <f t="shared" si="37"/>
        <v>0</v>
      </c>
      <c r="T30" s="134">
        <f t="shared" si="37"/>
        <v>0</v>
      </c>
      <c r="U30" s="134">
        <f t="shared" si="37"/>
        <v>0</v>
      </c>
      <c r="V30" s="134">
        <f t="shared" ref="V30:BA30" si="38">SUM(V31)</f>
        <v>0</v>
      </c>
      <c r="W30" s="134">
        <f t="shared" si="38"/>
        <v>0</v>
      </c>
      <c r="X30" s="134">
        <f t="shared" si="38"/>
        <v>0</v>
      </c>
      <c r="Y30" s="134">
        <f t="shared" si="38"/>
        <v>0</v>
      </c>
      <c r="Z30" s="134">
        <f t="shared" si="38"/>
        <v>0</v>
      </c>
      <c r="AA30" s="134">
        <f t="shared" si="38"/>
        <v>0</v>
      </c>
      <c r="AB30" s="134">
        <f t="shared" si="38"/>
        <v>0</v>
      </c>
      <c r="AC30" s="134">
        <f t="shared" si="38"/>
        <v>0</v>
      </c>
      <c r="AD30" s="134">
        <f t="shared" si="38"/>
        <v>0</v>
      </c>
      <c r="AE30" s="134">
        <f t="shared" si="38"/>
        <v>0</v>
      </c>
      <c r="AF30" s="134">
        <f t="shared" si="38"/>
        <v>0</v>
      </c>
      <c r="AG30" s="134">
        <f t="shared" si="38"/>
        <v>0</v>
      </c>
      <c r="AH30" s="134">
        <f t="shared" si="38"/>
        <v>0</v>
      </c>
      <c r="AI30" s="134">
        <f t="shared" si="38"/>
        <v>0</v>
      </c>
      <c r="AJ30" s="134">
        <f t="shared" si="38"/>
        <v>0</v>
      </c>
      <c r="AK30" s="134">
        <f t="shared" si="38"/>
        <v>0</v>
      </c>
      <c r="AL30" s="134">
        <f t="shared" si="38"/>
        <v>0</v>
      </c>
      <c r="AM30" s="134">
        <f t="shared" si="38"/>
        <v>0</v>
      </c>
      <c r="AN30" s="134">
        <f t="shared" si="38"/>
        <v>0</v>
      </c>
      <c r="AO30" s="134">
        <f t="shared" si="38"/>
        <v>0</v>
      </c>
      <c r="AP30" s="134">
        <f t="shared" si="38"/>
        <v>0</v>
      </c>
      <c r="AQ30" s="134">
        <f t="shared" si="38"/>
        <v>0</v>
      </c>
      <c r="AR30" s="134">
        <f t="shared" si="38"/>
        <v>0</v>
      </c>
      <c r="AS30" s="134">
        <f t="shared" si="38"/>
        <v>0</v>
      </c>
      <c r="AT30" s="134">
        <f t="shared" si="38"/>
        <v>0</v>
      </c>
      <c r="AU30" s="134">
        <f t="shared" si="38"/>
        <v>0</v>
      </c>
      <c r="AV30" s="134">
        <f t="shared" si="38"/>
        <v>0</v>
      </c>
      <c r="AW30" s="134">
        <f t="shared" si="38"/>
        <v>0</v>
      </c>
      <c r="AX30" s="134">
        <f t="shared" si="38"/>
        <v>0</v>
      </c>
      <c r="AY30" s="134">
        <f t="shared" si="38"/>
        <v>0</v>
      </c>
      <c r="AZ30" s="134">
        <f t="shared" si="38"/>
        <v>0</v>
      </c>
      <c r="BA30" s="143">
        <f t="shared" si="38"/>
        <v>0</v>
      </c>
    </row>
    <row r="31" spans="2:53">
      <c r="B31" s="32"/>
      <c r="C31" s="148" t="s">
        <v>806</v>
      </c>
      <c r="D31" s="42"/>
      <c r="E31" s="29" t="s">
        <v>130</v>
      </c>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3"/>
    </row>
    <row r="32" spans="2:53">
      <c r="B32" s="71">
        <v>3</v>
      </c>
      <c r="C32" s="225" t="s">
        <v>336</v>
      </c>
      <c r="D32" s="119">
        <f>SUM(F32:BA32)</f>
        <v>346133.177103329</v>
      </c>
      <c r="E32" s="29" t="s">
        <v>130</v>
      </c>
      <c r="F32" s="134">
        <f>F33+F34+F50+F51+F52</f>
        <v>7299.30102643838</v>
      </c>
      <c r="G32" s="134">
        <f t="shared" ref="G32:BA32" si="39">G33+G34+G50+G51+G52</f>
        <v>7050.28417094949</v>
      </c>
      <c r="H32" s="134">
        <f t="shared" si="39"/>
        <v>8153.04311364413</v>
      </c>
      <c r="I32" s="134">
        <f t="shared" si="39"/>
        <v>8993.55040188357</v>
      </c>
      <c r="J32" s="134">
        <f t="shared" si="39"/>
        <v>12158.9535799577</v>
      </c>
      <c r="K32" s="134">
        <f t="shared" si="39"/>
        <v>11146.1916305122</v>
      </c>
      <c r="L32" s="134">
        <f t="shared" si="39"/>
        <v>9321.82498903954</v>
      </c>
      <c r="M32" s="134">
        <f t="shared" si="39"/>
        <v>6465.80108560234</v>
      </c>
      <c r="N32" s="134">
        <f t="shared" si="39"/>
        <v>6850.35236784794</v>
      </c>
      <c r="O32" s="134">
        <f t="shared" si="39"/>
        <v>6809.06796417821</v>
      </c>
      <c r="P32" s="134">
        <f t="shared" si="39"/>
        <v>6809.06796417821</v>
      </c>
      <c r="Q32" s="134">
        <f t="shared" si="39"/>
        <v>6809.06796417821</v>
      </c>
      <c r="R32" s="134">
        <f t="shared" si="39"/>
        <v>6809.06796417821</v>
      </c>
      <c r="S32" s="134">
        <f t="shared" si="39"/>
        <v>6850.35236784794</v>
      </c>
      <c r="T32" s="134">
        <f t="shared" si="39"/>
        <v>6809.06796417821</v>
      </c>
      <c r="U32" s="134">
        <f t="shared" si="39"/>
        <v>6809.06796417821</v>
      </c>
      <c r="V32" s="134">
        <f t="shared" si="39"/>
        <v>6809.06796417821</v>
      </c>
      <c r="W32" s="134">
        <f t="shared" si="39"/>
        <v>6809.06796417821</v>
      </c>
      <c r="X32" s="134">
        <f t="shared" si="39"/>
        <v>7022.91873952935</v>
      </c>
      <c r="Y32" s="134">
        <f t="shared" si="39"/>
        <v>8460.4441109672</v>
      </c>
      <c r="Z32" s="134">
        <f t="shared" si="39"/>
        <v>6809.06796417821</v>
      </c>
      <c r="AA32" s="134">
        <f t="shared" si="39"/>
        <v>6809.06796417821</v>
      </c>
      <c r="AB32" s="134">
        <f t="shared" si="39"/>
        <v>6809.06796417821</v>
      </c>
      <c r="AC32" s="134">
        <f t="shared" si="39"/>
        <v>6850.35236784794</v>
      </c>
      <c r="AD32" s="134">
        <f t="shared" si="39"/>
        <v>6809.06796417821</v>
      </c>
      <c r="AE32" s="134">
        <f t="shared" si="39"/>
        <v>6809.06796417821</v>
      </c>
      <c r="AF32" s="134">
        <f t="shared" si="39"/>
        <v>6981.63433585963</v>
      </c>
      <c r="AG32" s="134">
        <f t="shared" si="39"/>
        <v>6809.06796417821</v>
      </c>
      <c r="AH32" s="134">
        <f t="shared" si="39"/>
        <v>6850.35236784794</v>
      </c>
      <c r="AI32" s="134">
        <f t="shared" si="39"/>
        <v>8460.4441109672</v>
      </c>
      <c r="AJ32" s="134">
        <f t="shared" si="39"/>
        <v>6809.06796417821</v>
      </c>
      <c r="AK32" s="134">
        <f t="shared" si="39"/>
        <v>6809.06796417821</v>
      </c>
      <c r="AL32" s="134">
        <f t="shared" si="39"/>
        <v>6809.06796417821</v>
      </c>
      <c r="AM32" s="134">
        <f t="shared" si="39"/>
        <v>6850.35236784794</v>
      </c>
      <c r="AN32" s="134">
        <f t="shared" si="39"/>
        <v>6981.63433585963</v>
      </c>
      <c r="AO32" s="134">
        <f t="shared" si="39"/>
        <v>6809.06796417821</v>
      </c>
      <c r="AP32" s="134">
        <f t="shared" si="39"/>
        <v>6809.06796417821</v>
      </c>
      <c r="AQ32" s="134">
        <f t="shared" si="39"/>
        <v>6809.06796417821</v>
      </c>
      <c r="AR32" s="134">
        <f t="shared" si="39"/>
        <v>6850.35236784794</v>
      </c>
      <c r="AS32" s="134">
        <f t="shared" si="39"/>
        <v>8460.4441109672</v>
      </c>
      <c r="AT32" s="134">
        <f t="shared" si="39"/>
        <v>6809.06796417821</v>
      </c>
      <c r="AU32" s="134">
        <f t="shared" si="39"/>
        <v>6809.06796417821</v>
      </c>
      <c r="AV32" s="134">
        <f t="shared" si="39"/>
        <v>6981.63433585963</v>
      </c>
      <c r="AW32" s="134">
        <f t="shared" si="39"/>
        <v>6850.35236784794</v>
      </c>
      <c r="AX32" s="134">
        <f t="shared" si="39"/>
        <v>6809.06796417821</v>
      </c>
      <c r="AY32" s="134">
        <f t="shared" si="39"/>
        <v>6850.35236784794</v>
      </c>
      <c r="AZ32" s="134">
        <f t="shared" si="39"/>
        <v>6809.06796417821</v>
      </c>
      <c r="BA32" s="143">
        <f t="shared" si="39"/>
        <v>3974.6229422308</v>
      </c>
    </row>
    <row r="33" spans="2:53">
      <c r="B33" s="27">
        <v>3.1</v>
      </c>
      <c r="C33" s="236" t="s">
        <v>807</v>
      </c>
      <c r="D33" s="119">
        <f>SUM(F33:BA33)</f>
        <v>67754.50497608</v>
      </c>
      <c r="E33" s="29" t="s">
        <v>130</v>
      </c>
      <c r="F33" s="134">
        <f>投资概算明细!F46+投资概算明细!G46</f>
        <v>7299.30102643838</v>
      </c>
      <c r="G33" s="134">
        <f>投资概算明细!H46</f>
        <v>7050.28417094949</v>
      </c>
      <c r="H33" s="134">
        <f>投资概算明细!I46</f>
        <v>8153.04311364413</v>
      </c>
      <c r="I33" s="134">
        <f>投资概算明细!J46</f>
        <v>8993.55040188357</v>
      </c>
      <c r="J33" s="134">
        <f>投资概算明细!K46</f>
        <v>12158.9535799577</v>
      </c>
      <c r="K33" s="134">
        <f>投资概算明细!L46</f>
        <v>11146.1916305122</v>
      </c>
      <c r="L33" s="134">
        <f>投资概算明细!M46+投资概算明细!N46</f>
        <v>9321.82498903954</v>
      </c>
      <c r="M33" s="134">
        <f>投资概算明细!O46</f>
        <v>3631.35606365493</v>
      </c>
      <c r="N33" s="119">
        <f>IF(N22-参数输入表!$I$4&gt;0,0)</f>
        <v>0</v>
      </c>
      <c r="O33" s="119">
        <f>IF(O22-参数输入表!$I$4&gt;0,0)</f>
        <v>0</v>
      </c>
      <c r="P33" s="119">
        <f>IF(P22-参数输入表!$I$4&gt;0,0)</f>
        <v>0</v>
      </c>
      <c r="Q33" s="119">
        <f>IF(Q22-参数输入表!$I$4&gt;0,0)</f>
        <v>0</v>
      </c>
      <c r="R33" s="119">
        <f>IF(R22-参数输入表!$I$4&gt;0,0)</f>
        <v>0</v>
      </c>
      <c r="S33" s="119">
        <f>IF(S22-参数输入表!$I$4&gt;0,0)</f>
        <v>0</v>
      </c>
      <c r="T33" s="119">
        <f>IF(T22-参数输入表!$I$4&gt;0,0)</f>
        <v>0</v>
      </c>
      <c r="U33" s="119">
        <f>IF(U22-参数输入表!$I$4&gt;0,0)</f>
        <v>0</v>
      </c>
      <c r="V33" s="119">
        <f>IF(V22-参数输入表!$I$4&gt;0,0)</f>
        <v>0</v>
      </c>
      <c r="W33" s="119">
        <f>IF(W22-参数输入表!$I$4&gt;0,0)</f>
        <v>0</v>
      </c>
      <c r="X33" s="119">
        <f>IF(X22-参数输入表!$I$4&gt;0,0)</f>
        <v>0</v>
      </c>
      <c r="Y33" s="119">
        <f>IF(Y22-参数输入表!$I$4&gt;0,0)</f>
        <v>0</v>
      </c>
      <c r="Z33" s="119">
        <f>IF(Z22-参数输入表!$I$4&gt;0,0)</f>
        <v>0</v>
      </c>
      <c r="AA33" s="119">
        <f>IF(AA22-参数输入表!$I$4&gt;0,0)</f>
        <v>0</v>
      </c>
      <c r="AB33" s="119">
        <f>IF(AB22-参数输入表!$I$4&gt;0,0)</f>
        <v>0</v>
      </c>
      <c r="AC33" s="119">
        <f>IF(AC22-参数输入表!$I$4&gt;0,0)</f>
        <v>0</v>
      </c>
      <c r="AD33" s="119">
        <f>IF(AD22-参数输入表!$I$4&gt;0,0)</f>
        <v>0</v>
      </c>
      <c r="AE33" s="119">
        <f>IF(AE22-参数输入表!$I$4&gt;0,0)</f>
        <v>0</v>
      </c>
      <c r="AF33" s="119">
        <f>IF(AF22-参数输入表!$I$4&gt;0,0)</f>
        <v>0</v>
      </c>
      <c r="AG33" s="119">
        <f>IF(AG22-参数输入表!$I$4&gt;0,0)</f>
        <v>0</v>
      </c>
      <c r="AH33" s="119">
        <f>IF(AH22-参数输入表!$I$4&gt;0,0)</f>
        <v>0</v>
      </c>
      <c r="AI33" s="119">
        <f>IF(AI22-参数输入表!$I$4&gt;0,0)</f>
        <v>0</v>
      </c>
      <c r="AJ33" s="119">
        <f>IF(AJ22-参数输入表!$I$4&gt;0,0)</f>
        <v>0</v>
      </c>
      <c r="AK33" s="119">
        <f>IF(AK22-参数输入表!$I$4&gt;0,0)</f>
        <v>0</v>
      </c>
      <c r="AL33" s="119">
        <f>IF(AL22-参数输入表!$I$4&gt;0,0)</f>
        <v>0</v>
      </c>
      <c r="AM33" s="119">
        <f>IF(AM22-参数输入表!$I$4&gt;0,0)</f>
        <v>0</v>
      </c>
      <c r="AN33" s="119">
        <f>IF(AN22-参数输入表!$I$4&gt;0,0)</f>
        <v>0</v>
      </c>
      <c r="AO33" s="119">
        <f>IF(AO22-参数输入表!$I$4&gt;0,0)</f>
        <v>0</v>
      </c>
      <c r="AP33" s="119">
        <f>IF(AP22-参数输入表!$I$4&gt;0,0)</f>
        <v>0</v>
      </c>
      <c r="AQ33" s="119">
        <f>IF(AQ22-参数输入表!$I$4&gt;0,0)</f>
        <v>0</v>
      </c>
      <c r="AR33" s="119">
        <f>IF(AR22-参数输入表!$I$4&gt;0,0)</f>
        <v>0</v>
      </c>
      <c r="AS33" s="119">
        <f>IF(AS22-参数输入表!$I$4&gt;0,0)</f>
        <v>0</v>
      </c>
      <c r="AT33" s="119">
        <f>IF(AT22-参数输入表!$I$4&gt;0,0)</f>
        <v>0</v>
      </c>
      <c r="AU33" s="119">
        <f>IF(AU22-参数输入表!$I$4&gt;0,0)</f>
        <v>0</v>
      </c>
      <c r="AV33" s="119">
        <f>IF(AV22-参数输入表!$I$4&gt;0,0)</f>
        <v>0</v>
      </c>
      <c r="AW33" s="119">
        <f>IF(AW22-参数输入表!$I$4&gt;0,0)</f>
        <v>0</v>
      </c>
      <c r="AX33" s="119">
        <f>IF(AX22-参数输入表!$I$4&gt;0,0)</f>
        <v>0</v>
      </c>
      <c r="AY33" s="119">
        <f>IF(AY22-参数输入表!$I$4&gt;0,0)</f>
        <v>0</v>
      </c>
      <c r="AZ33" s="119">
        <f>IF(AZ22-参数输入表!$I$4&gt;0,0)</f>
        <v>0</v>
      </c>
      <c r="BA33" s="120">
        <f>IF(BA22-参数输入表!$I$4&gt;0,0)</f>
        <v>0</v>
      </c>
    </row>
    <row r="34" spans="2:53">
      <c r="B34" s="27">
        <v>3.2</v>
      </c>
      <c r="C34" s="236" t="s">
        <v>808</v>
      </c>
      <c r="D34" s="119">
        <f>SUM(F34:BA34)</f>
        <v>272734.278200156</v>
      </c>
      <c r="E34" s="29" t="s">
        <v>130</v>
      </c>
      <c r="F34" s="134">
        <f>F35+F46+F47+F49</f>
        <v>0</v>
      </c>
      <c r="G34" s="134">
        <f t="shared" ref="G34:BA34" si="40">G35+G46+G47+G49</f>
        <v>0</v>
      </c>
      <c r="H34" s="134">
        <f t="shared" si="40"/>
        <v>0</v>
      </c>
      <c r="I34" s="134">
        <f t="shared" si="40"/>
        <v>0</v>
      </c>
      <c r="J34" s="134">
        <f t="shared" si="40"/>
        <v>0</v>
      </c>
      <c r="K34" s="134">
        <f t="shared" si="40"/>
        <v>0</v>
      </c>
      <c r="L34" s="134">
        <f t="shared" si="40"/>
        <v>0</v>
      </c>
      <c r="M34" s="134">
        <f t="shared" si="40"/>
        <v>2834.44502194741</v>
      </c>
      <c r="N34" s="134">
        <f t="shared" si="40"/>
        <v>6850.35236784794</v>
      </c>
      <c r="O34" s="134">
        <f t="shared" si="40"/>
        <v>6809.06796417821</v>
      </c>
      <c r="P34" s="134">
        <f t="shared" si="40"/>
        <v>6809.06796417821</v>
      </c>
      <c r="Q34" s="134">
        <f t="shared" si="40"/>
        <v>6809.06796417821</v>
      </c>
      <c r="R34" s="134">
        <f t="shared" si="40"/>
        <v>6809.06796417821</v>
      </c>
      <c r="S34" s="134">
        <f t="shared" si="40"/>
        <v>6850.35236784794</v>
      </c>
      <c r="T34" s="134">
        <f t="shared" si="40"/>
        <v>6809.06796417821</v>
      </c>
      <c r="U34" s="134">
        <f t="shared" si="40"/>
        <v>6809.06796417821</v>
      </c>
      <c r="V34" s="134">
        <f t="shared" si="40"/>
        <v>6809.06796417821</v>
      </c>
      <c r="W34" s="134">
        <f t="shared" si="40"/>
        <v>6809.06796417821</v>
      </c>
      <c r="X34" s="134">
        <f t="shared" si="40"/>
        <v>6850.35236784794</v>
      </c>
      <c r="Y34" s="134">
        <f t="shared" si="40"/>
        <v>6809.06796417821</v>
      </c>
      <c r="Z34" s="134">
        <f t="shared" si="40"/>
        <v>6809.06796417821</v>
      </c>
      <c r="AA34" s="134">
        <f t="shared" si="40"/>
        <v>6809.06796417821</v>
      </c>
      <c r="AB34" s="134">
        <f t="shared" si="40"/>
        <v>6809.06796417821</v>
      </c>
      <c r="AC34" s="134">
        <f t="shared" si="40"/>
        <v>6850.35236784794</v>
      </c>
      <c r="AD34" s="134">
        <f t="shared" si="40"/>
        <v>6809.06796417821</v>
      </c>
      <c r="AE34" s="134">
        <f t="shared" si="40"/>
        <v>6809.06796417821</v>
      </c>
      <c r="AF34" s="134">
        <f t="shared" si="40"/>
        <v>6809.06796417821</v>
      </c>
      <c r="AG34" s="134">
        <f t="shared" si="40"/>
        <v>6809.06796417821</v>
      </c>
      <c r="AH34" s="134">
        <f t="shared" si="40"/>
        <v>6850.35236784794</v>
      </c>
      <c r="AI34" s="134">
        <f t="shared" si="40"/>
        <v>6809.06796417821</v>
      </c>
      <c r="AJ34" s="134">
        <f t="shared" si="40"/>
        <v>6809.06796417821</v>
      </c>
      <c r="AK34" s="134">
        <f t="shared" si="40"/>
        <v>6809.06796417821</v>
      </c>
      <c r="AL34" s="134">
        <f t="shared" si="40"/>
        <v>6809.06796417821</v>
      </c>
      <c r="AM34" s="134">
        <f t="shared" si="40"/>
        <v>6850.35236784794</v>
      </c>
      <c r="AN34" s="134">
        <f t="shared" si="40"/>
        <v>6809.06796417821</v>
      </c>
      <c r="AO34" s="134">
        <f t="shared" si="40"/>
        <v>6809.06796417821</v>
      </c>
      <c r="AP34" s="134">
        <f t="shared" si="40"/>
        <v>6809.06796417821</v>
      </c>
      <c r="AQ34" s="134">
        <f t="shared" si="40"/>
        <v>6809.06796417821</v>
      </c>
      <c r="AR34" s="134">
        <f t="shared" si="40"/>
        <v>6850.35236784794</v>
      </c>
      <c r="AS34" s="134">
        <f t="shared" si="40"/>
        <v>6809.06796417821</v>
      </c>
      <c r="AT34" s="134">
        <f t="shared" si="40"/>
        <v>6809.06796417821</v>
      </c>
      <c r="AU34" s="134">
        <f t="shared" si="40"/>
        <v>6809.06796417821</v>
      </c>
      <c r="AV34" s="134">
        <f t="shared" si="40"/>
        <v>6809.06796417821</v>
      </c>
      <c r="AW34" s="134">
        <f t="shared" si="40"/>
        <v>6850.35236784794</v>
      </c>
      <c r="AX34" s="134">
        <f t="shared" si="40"/>
        <v>6809.06796417821</v>
      </c>
      <c r="AY34" s="134">
        <f t="shared" si="40"/>
        <v>6850.35236784794</v>
      </c>
      <c r="AZ34" s="134">
        <f t="shared" si="40"/>
        <v>6809.06796417821</v>
      </c>
      <c r="BA34" s="143">
        <f t="shared" si="40"/>
        <v>3974.6229422308</v>
      </c>
    </row>
    <row r="35" spans="2:53">
      <c r="B35" s="32" t="s">
        <v>809</v>
      </c>
      <c r="C35" s="148" t="s">
        <v>810</v>
      </c>
      <c r="D35" s="42">
        <f>SUM(F35:BA35)</f>
        <v>272734.278200156</v>
      </c>
      <c r="E35" s="29" t="s">
        <v>130</v>
      </c>
      <c r="F35" s="42">
        <f>SUM(F36:F45)</f>
        <v>0</v>
      </c>
      <c r="G35" s="42">
        <f t="shared" ref="G35:BA35" si="41">SUM(G36:G45)</f>
        <v>0</v>
      </c>
      <c r="H35" s="42">
        <f t="shared" si="41"/>
        <v>0</v>
      </c>
      <c r="I35" s="42">
        <f t="shared" si="41"/>
        <v>0</v>
      </c>
      <c r="J35" s="42">
        <f t="shared" si="41"/>
        <v>0</v>
      </c>
      <c r="K35" s="42">
        <f t="shared" si="41"/>
        <v>0</v>
      </c>
      <c r="L35" s="42">
        <f t="shared" si="41"/>
        <v>0</v>
      </c>
      <c r="M35" s="42">
        <f t="shared" si="41"/>
        <v>2834.44502194741</v>
      </c>
      <c r="N35" s="42">
        <f t="shared" si="41"/>
        <v>6850.35236784794</v>
      </c>
      <c r="O35" s="42">
        <f t="shared" si="41"/>
        <v>6809.06796417821</v>
      </c>
      <c r="P35" s="42">
        <f t="shared" si="41"/>
        <v>6809.06796417821</v>
      </c>
      <c r="Q35" s="42">
        <f t="shared" si="41"/>
        <v>6809.06796417821</v>
      </c>
      <c r="R35" s="42">
        <f t="shared" si="41"/>
        <v>6809.06796417821</v>
      </c>
      <c r="S35" s="42">
        <f t="shared" si="41"/>
        <v>6850.35236784794</v>
      </c>
      <c r="T35" s="42">
        <f t="shared" si="41"/>
        <v>6809.06796417821</v>
      </c>
      <c r="U35" s="42">
        <f t="shared" si="41"/>
        <v>6809.06796417821</v>
      </c>
      <c r="V35" s="42">
        <f t="shared" si="41"/>
        <v>6809.06796417821</v>
      </c>
      <c r="W35" s="42">
        <f t="shared" si="41"/>
        <v>6809.06796417821</v>
      </c>
      <c r="X35" s="42">
        <f t="shared" si="41"/>
        <v>6850.35236784794</v>
      </c>
      <c r="Y35" s="42">
        <f t="shared" si="41"/>
        <v>6809.06796417821</v>
      </c>
      <c r="Z35" s="42">
        <f t="shared" si="41"/>
        <v>6809.06796417821</v>
      </c>
      <c r="AA35" s="42">
        <f t="shared" si="41"/>
        <v>6809.06796417821</v>
      </c>
      <c r="AB35" s="42">
        <f t="shared" si="41"/>
        <v>6809.06796417821</v>
      </c>
      <c r="AC35" s="42">
        <f t="shared" si="41"/>
        <v>6850.35236784794</v>
      </c>
      <c r="AD35" s="42">
        <f t="shared" si="41"/>
        <v>6809.06796417821</v>
      </c>
      <c r="AE35" s="42">
        <f t="shared" si="41"/>
        <v>6809.06796417821</v>
      </c>
      <c r="AF35" s="42">
        <f t="shared" si="41"/>
        <v>6809.06796417821</v>
      </c>
      <c r="AG35" s="42">
        <f t="shared" si="41"/>
        <v>6809.06796417821</v>
      </c>
      <c r="AH35" s="42">
        <f t="shared" si="41"/>
        <v>6850.35236784794</v>
      </c>
      <c r="AI35" s="42">
        <f t="shared" si="41"/>
        <v>6809.06796417821</v>
      </c>
      <c r="AJ35" s="42">
        <f t="shared" si="41"/>
        <v>6809.06796417821</v>
      </c>
      <c r="AK35" s="42">
        <f t="shared" si="41"/>
        <v>6809.06796417821</v>
      </c>
      <c r="AL35" s="42">
        <f t="shared" si="41"/>
        <v>6809.06796417821</v>
      </c>
      <c r="AM35" s="42">
        <f t="shared" si="41"/>
        <v>6850.35236784794</v>
      </c>
      <c r="AN35" s="42">
        <f t="shared" si="41"/>
        <v>6809.06796417821</v>
      </c>
      <c r="AO35" s="42">
        <f t="shared" si="41"/>
        <v>6809.06796417821</v>
      </c>
      <c r="AP35" s="42">
        <f t="shared" si="41"/>
        <v>6809.06796417821</v>
      </c>
      <c r="AQ35" s="42">
        <f t="shared" si="41"/>
        <v>6809.06796417821</v>
      </c>
      <c r="AR35" s="42">
        <f t="shared" si="41"/>
        <v>6850.35236784794</v>
      </c>
      <c r="AS35" s="42">
        <f t="shared" si="41"/>
        <v>6809.06796417821</v>
      </c>
      <c r="AT35" s="42">
        <f t="shared" si="41"/>
        <v>6809.06796417821</v>
      </c>
      <c r="AU35" s="42">
        <f t="shared" si="41"/>
        <v>6809.06796417821</v>
      </c>
      <c r="AV35" s="42">
        <f t="shared" si="41"/>
        <v>6809.06796417821</v>
      </c>
      <c r="AW35" s="42">
        <f t="shared" si="41"/>
        <v>6850.35236784794</v>
      </c>
      <c r="AX35" s="42">
        <f t="shared" si="41"/>
        <v>6809.06796417821</v>
      </c>
      <c r="AY35" s="42">
        <f t="shared" si="41"/>
        <v>6850.35236784794</v>
      </c>
      <c r="AZ35" s="42">
        <f t="shared" si="41"/>
        <v>6809.06796417821</v>
      </c>
      <c r="BA35" s="43">
        <f t="shared" si="41"/>
        <v>3974.6229422308</v>
      </c>
    </row>
    <row r="36" spans="2:53">
      <c r="B36" s="32"/>
      <c r="C36" s="219" t="s">
        <v>241</v>
      </c>
      <c r="D36" s="42">
        <f t="shared" ref="D36:D53" si="42">SUM(F36:BA36)</f>
        <v>1288.49557522124</v>
      </c>
      <c r="E36" s="29" t="s">
        <v>130</v>
      </c>
      <c r="F36" s="42">
        <f>'表3-成本费用表'!F75/(1+参数输入表!$I$383)*参数输入表!$I$383</f>
        <v>0</v>
      </c>
      <c r="G36" s="42">
        <f>'表3-成本费用表'!G75/(1+参数输入表!$I$383)*参数输入表!$I$383</f>
        <v>0</v>
      </c>
      <c r="H36" s="42">
        <f>'表3-成本费用表'!H75/(1+参数输入表!$I$383)*参数输入表!$I$383</f>
        <v>0</v>
      </c>
      <c r="I36" s="42">
        <f>'表3-成本费用表'!I75/(1+参数输入表!$I$383)*参数输入表!$I$383</f>
        <v>0</v>
      </c>
      <c r="J36" s="42">
        <f>'表3-成本费用表'!J75/(1+参数输入表!$I$383)*参数输入表!$I$383</f>
        <v>0</v>
      </c>
      <c r="K36" s="42">
        <f>'表3-成本费用表'!K75/(1+参数输入表!$I$383)*参数输入表!$I$383</f>
        <v>0</v>
      </c>
      <c r="L36" s="42">
        <f>'表3-成本费用表'!L75/(1+参数输入表!$I$383)*参数输入表!$I$383</f>
        <v>0</v>
      </c>
      <c r="M36" s="42">
        <f>'表3-成本费用表'!M75/(1+参数输入表!$I$383)*参数输入表!$I$383</f>
        <v>13.4218289085546</v>
      </c>
      <c r="N36" s="42">
        <f>'表3-成本费用表'!N75/(1+参数输入表!$I$383)*参数输入表!$I$383</f>
        <v>32.212389380531</v>
      </c>
      <c r="O36" s="42">
        <f>'表3-成本费用表'!O75/(1+参数输入表!$I$383)*参数输入表!$I$383</f>
        <v>32.212389380531</v>
      </c>
      <c r="P36" s="42">
        <f>'表3-成本费用表'!P75/(1+参数输入表!$I$383)*参数输入表!$I$383</f>
        <v>32.212389380531</v>
      </c>
      <c r="Q36" s="42">
        <f>'表3-成本费用表'!Q75/(1+参数输入表!$I$383)*参数输入表!$I$383</f>
        <v>32.212389380531</v>
      </c>
      <c r="R36" s="42">
        <f>'表3-成本费用表'!R75/(1+参数输入表!$I$383)*参数输入表!$I$383</f>
        <v>32.212389380531</v>
      </c>
      <c r="S36" s="42">
        <f>'表3-成本费用表'!S75/(1+参数输入表!$I$383)*参数输入表!$I$383</f>
        <v>32.212389380531</v>
      </c>
      <c r="T36" s="42">
        <f>'表3-成本费用表'!T75/(1+参数输入表!$I$383)*参数输入表!$I$383</f>
        <v>32.212389380531</v>
      </c>
      <c r="U36" s="42">
        <f>'表3-成本费用表'!U75/(1+参数输入表!$I$383)*参数输入表!$I$383</f>
        <v>32.212389380531</v>
      </c>
      <c r="V36" s="42">
        <f>'表3-成本费用表'!V75/(1+参数输入表!$I$383)*参数输入表!$I$383</f>
        <v>32.212389380531</v>
      </c>
      <c r="W36" s="42">
        <f>'表3-成本费用表'!W75/(1+参数输入表!$I$383)*参数输入表!$I$383</f>
        <v>32.212389380531</v>
      </c>
      <c r="X36" s="42">
        <f>'表3-成本费用表'!X75/(1+参数输入表!$I$383)*参数输入表!$I$383</f>
        <v>32.212389380531</v>
      </c>
      <c r="Y36" s="42">
        <f>'表3-成本费用表'!Y75/(1+参数输入表!$I$383)*参数输入表!$I$383</f>
        <v>32.212389380531</v>
      </c>
      <c r="Z36" s="42">
        <f>'表3-成本费用表'!Z75/(1+参数输入表!$I$383)*参数输入表!$I$383</f>
        <v>32.212389380531</v>
      </c>
      <c r="AA36" s="42">
        <f>'表3-成本费用表'!AA75/(1+参数输入表!$I$383)*参数输入表!$I$383</f>
        <v>32.212389380531</v>
      </c>
      <c r="AB36" s="42">
        <f>'表3-成本费用表'!AB75/(1+参数输入表!$I$383)*参数输入表!$I$383</f>
        <v>32.212389380531</v>
      </c>
      <c r="AC36" s="42">
        <f>'表3-成本费用表'!AC75/(1+参数输入表!$I$383)*参数输入表!$I$383</f>
        <v>32.212389380531</v>
      </c>
      <c r="AD36" s="42">
        <f>'表3-成本费用表'!AD75/(1+参数输入表!$I$383)*参数输入表!$I$383</f>
        <v>32.212389380531</v>
      </c>
      <c r="AE36" s="42">
        <f>'表3-成本费用表'!AE75/(1+参数输入表!$I$383)*参数输入表!$I$383</f>
        <v>32.212389380531</v>
      </c>
      <c r="AF36" s="42">
        <f>'表3-成本费用表'!AF75/(1+参数输入表!$I$383)*参数输入表!$I$383</f>
        <v>32.212389380531</v>
      </c>
      <c r="AG36" s="42">
        <f>'表3-成本费用表'!AG75/(1+参数输入表!$I$383)*参数输入表!$I$383</f>
        <v>32.212389380531</v>
      </c>
      <c r="AH36" s="42">
        <f>'表3-成本费用表'!AH75/(1+参数输入表!$I$383)*参数输入表!$I$383</f>
        <v>32.212389380531</v>
      </c>
      <c r="AI36" s="42">
        <f>'表3-成本费用表'!AI75/(1+参数输入表!$I$383)*参数输入表!$I$383</f>
        <v>32.212389380531</v>
      </c>
      <c r="AJ36" s="42">
        <f>'表3-成本费用表'!AJ75/(1+参数输入表!$I$383)*参数输入表!$I$383</f>
        <v>32.212389380531</v>
      </c>
      <c r="AK36" s="42">
        <f>'表3-成本费用表'!AK75/(1+参数输入表!$I$383)*参数输入表!$I$383</f>
        <v>32.212389380531</v>
      </c>
      <c r="AL36" s="42">
        <f>'表3-成本费用表'!AL75/(1+参数输入表!$I$383)*参数输入表!$I$383</f>
        <v>32.212389380531</v>
      </c>
      <c r="AM36" s="42">
        <f>'表3-成本费用表'!AM75/(1+参数输入表!$I$383)*参数输入表!$I$383</f>
        <v>32.212389380531</v>
      </c>
      <c r="AN36" s="42">
        <f>'表3-成本费用表'!AN75/(1+参数输入表!$I$383)*参数输入表!$I$383</f>
        <v>32.212389380531</v>
      </c>
      <c r="AO36" s="42">
        <f>'表3-成本费用表'!AO75/(1+参数输入表!$I$383)*参数输入表!$I$383</f>
        <v>32.212389380531</v>
      </c>
      <c r="AP36" s="42">
        <f>'表3-成本费用表'!AP75/(1+参数输入表!$I$383)*参数输入表!$I$383</f>
        <v>32.212389380531</v>
      </c>
      <c r="AQ36" s="42">
        <f>'表3-成本费用表'!AQ75/(1+参数输入表!$I$383)*参数输入表!$I$383</f>
        <v>32.212389380531</v>
      </c>
      <c r="AR36" s="42">
        <f>'表3-成本费用表'!AR75/(1+参数输入表!$I$383)*参数输入表!$I$383</f>
        <v>32.212389380531</v>
      </c>
      <c r="AS36" s="42">
        <f>'表3-成本费用表'!AS75/(1+参数输入表!$I$383)*参数输入表!$I$383</f>
        <v>32.212389380531</v>
      </c>
      <c r="AT36" s="42">
        <f>'表3-成本费用表'!AT75/(1+参数输入表!$I$383)*参数输入表!$I$383</f>
        <v>32.212389380531</v>
      </c>
      <c r="AU36" s="42">
        <f>'表3-成本费用表'!AU75/(1+参数输入表!$I$383)*参数输入表!$I$383</f>
        <v>32.212389380531</v>
      </c>
      <c r="AV36" s="42">
        <f>'表3-成本费用表'!AV75/(1+参数输入表!$I$383)*参数输入表!$I$383</f>
        <v>32.212389380531</v>
      </c>
      <c r="AW36" s="42">
        <f>'表3-成本费用表'!AW75/(1+参数输入表!$I$383)*参数输入表!$I$383</f>
        <v>32.212389380531</v>
      </c>
      <c r="AX36" s="42">
        <f>'表3-成本费用表'!AX75/(1+参数输入表!$I$383)*参数输入表!$I$383</f>
        <v>32.212389380531</v>
      </c>
      <c r="AY36" s="42">
        <f>'表3-成本费用表'!AY75/(1+参数输入表!$I$383)*参数输入表!$I$383</f>
        <v>32.212389380531</v>
      </c>
      <c r="AZ36" s="42">
        <f>'表3-成本费用表'!AZ75/(1+参数输入表!$I$383)*参数输入表!$I$383</f>
        <v>32.212389380531</v>
      </c>
      <c r="BA36" s="43">
        <f>'表3-成本费用表'!BA75/(1+参数输入表!$I$383)*参数输入表!$I$383</f>
        <v>18.7905604719764</v>
      </c>
    </row>
    <row r="37" spans="2:53">
      <c r="B37" s="32"/>
      <c r="C37" s="219" t="s">
        <v>282</v>
      </c>
      <c r="D37" s="42">
        <f t="shared" si="42"/>
        <v>231868.736283185</v>
      </c>
      <c r="E37" s="29" t="s">
        <v>130</v>
      </c>
      <c r="F37" s="42">
        <f>'表3-成本费用表'!F76/(1+参数输入表!$I$600)*参数输入表!$I$600</f>
        <v>0</v>
      </c>
      <c r="G37" s="42">
        <f>'表3-成本费用表'!G76/(1+参数输入表!$I$600)*参数输入表!$I$600</f>
        <v>0</v>
      </c>
      <c r="H37" s="42">
        <f>'表3-成本费用表'!H76/(1+参数输入表!$I$600)*参数输入表!$I$600</f>
        <v>0</v>
      </c>
      <c r="I37" s="42">
        <f>'表3-成本费用表'!I76/(1+参数输入表!$I$600)*参数输入表!$I$600</f>
        <v>0</v>
      </c>
      <c r="J37" s="42">
        <f>'表3-成本费用表'!J76/(1+参数输入表!$I$600)*参数输入表!$I$600</f>
        <v>0</v>
      </c>
      <c r="K37" s="42">
        <f>'表3-成本费用表'!K76/(1+参数输入表!$I$600)*参数输入表!$I$600</f>
        <v>0</v>
      </c>
      <c r="L37" s="42">
        <f>'表3-成本费用表'!L76/(1+参数输入表!$I$600)*参数输入表!$I$600</f>
        <v>0</v>
      </c>
      <c r="M37" s="42">
        <f>'表3-成本费用表'!M76/(1+参数输入表!$I$600)*参数输入表!$I$600</f>
        <v>2415.29933628318</v>
      </c>
      <c r="N37" s="42">
        <f>'表3-成本费用表'!N76/(1+参数输入表!$I$600)*参数输入表!$I$600</f>
        <v>5796.71840707962</v>
      </c>
      <c r="O37" s="42">
        <f>'表3-成本费用表'!O76/(1+参数输入表!$I$600)*参数输入表!$I$600</f>
        <v>5796.71840707962</v>
      </c>
      <c r="P37" s="42">
        <f>'表3-成本费用表'!P76/(1+参数输入表!$I$600)*参数输入表!$I$600</f>
        <v>5796.71840707962</v>
      </c>
      <c r="Q37" s="42">
        <f>'表3-成本费用表'!Q76/(1+参数输入表!$I$600)*参数输入表!$I$600</f>
        <v>5796.71840707962</v>
      </c>
      <c r="R37" s="42">
        <f>'表3-成本费用表'!R76/(1+参数输入表!$I$600)*参数输入表!$I$600</f>
        <v>5796.71840707962</v>
      </c>
      <c r="S37" s="42">
        <f>'表3-成本费用表'!S76/(1+参数输入表!$I$600)*参数输入表!$I$600</f>
        <v>5796.71840707962</v>
      </c>
      <c r="T37" s="42">
        <f>'表3-成本费用表'!T76/(1+参数输入表!$I$600)*参数输入表!$I$600</f>
        <v>5796.71840707962</v>
      </c>
      <c r="U37" s="42">
        <f>'表3-成本费用表'!U76/(1+参数输入表!$I$600)*参数输入表!$I$600</f>
        <v>5796.71840707962</v>
      </c>
      <c r="V37" s="42">
        <f>'表3-成本费用表'!V76/(1+参数输入表!$I$600)*参数输入表!$I$600</f>
        <v>5796.71840707962</v>
      </c>
      <c r="W37" s="42">
        <f>'表3-成本费用表'!W76/(1+参数输入表!$I$600)*参数输入表!$I$600</f>
        <v>5796.71840707962</v>
      </c>
      <c r="X37" s="42">
        <f>'表3-成本费用表'!X76/(1+参数输入表!$I$600)*参数输入表!$I$600</f>
        <v>5796.71840707962</v>
      </c>
      <c r="Y37" s="42">
        <f>'表3-成本费用表'!Y76/(1+参数输入表!$I$600)*参数输入表!$I$600</f>
        <v>5796.71840707962</v>
      </c>
      <c r="Z37" s="42">
        <f>'表3-成本费用表'!Z76/(1+参数输入表!$I$600)*参数输入表!$I$600</f>
        <v>5796.71840707962</v>
      </c>
      <c r="AA37" s="42">
        <f>'表3-成本费用表'!AA76/(1+参数输入表!$I$600)*参数输入表!$I$600</f>
        <v>5796.71840707962</v>
      </c>
      <c r="AB37" s="42">
        <f>'表3-成本费用表'!AB76/(1+参数输入表!$I$600)*参数输入表!$I$600</f>
        <v>5796.71840707962</v>
      </c>
      <c r="AC37" s="42">
        <f>'表3-成本费用表'!AC76/(1+参数输入表!$I$600)*参数输入表!$I$600</f>
        <v>5796.71840707962</v>
      </c>
      <c r="AD37" s="42">
        <f>'表3-成本费用表'!AD76/(1+参数输入表!$I$600)*参数输入表!$I$600</f>
        <v>5796.71840707962</v>
      </c>
      <c r="AE37" s="42">
        <f>'表3-成本费用表'!AE76/(1+参数输入表!$I$600)*参数输入表!$I$600</f>
        <v>5796.71840707962</v>
      </c>
      <c r="AF37" s="42">
        <f>'表3-成本费用表'!AF76/(1+参数输入表!$I$600)*参数输入表!$I$600</f>
        <v>5796.71840707962</v>
      </c>
      <c r="AG37" s="42">
        <f>'表3-成本费用表'!AG76/(1+参数输入表!$I$600)*参数输入表!$I$600</f>
        <v>5796.71840707962</v>
      </c>
      <c r="AH37" s="42">
        <f>'表3-成本费用表'!AH76/(1+参数输入表!$I$600)*参数输入表!$I$600</f>
        <v>5796.71840707962</v>
      </c>
      <c r="AI37" s="42">
        <f>'表3-成本费用表'!AI76/(1+参数输入表!$I$600)*参数输入表!$I$600</f>
        <v>5796.71840707962</v>
      </c>
      <c r="AJ37" s="42">
        <f>'表3-成本费用表'!AJ76/(1+参数输入表!$I$600)*参数输入表!$I$600</f>
        <v>5796.71840707962</v>
      </c>
      <c r="AK37" s="42">
        <f>'表3-成本费用表'!AK76/(1+参数输入表!$I$600)*参数输入表!$I$600</f>
        <v>5796.71840707962</v>
      </c>
      <c r="AL37" s="42">
        <f>'表3-成本费用表'!AL76/(1+参数输入表!$I$600)*参数输入表!$I$600</f>
        <v>5796.71840707962</v>
      </c>
      <c r="AM37" s="42">
        <f>'表3-成本费用表'!AM76/(1+参数输入表!$I$600)*参数输入表!$I$600</f>
        <v>5796.71840707962</v>
      </c>
      <c r="AN37" s="42">
        <f>'表3-成本费用表'!AN76/(1+参数输入表!$I$600)*参数输入表!$I$600</f>
        <v>5796.71840707962</v>
      </c>
      <c r="AO37" s="42">
        <f>'表3-成本费用表'!AO76/(1+参数输入表!$I$600)*参数输入表!$I$600</f>
        <v>5796.71840707962</v>
      </c>
      <c r="AP37" s="42">
        <f>'表3-成本费用表'!AP76/(1+参数输入表!$I$600)*参数输入表!$I$600</f>
        <v>5796.71840707962</v>
      </c>
      <c r="AQ37" s="42">
        <f>'表3-成本费用表'!AQ76/(1+参数输入表!$I$600)*参数输入表!$I$600</f>
        <v>5796.71840707962</v>
      </c>
      <c r="AR37" s="42">
        <f>'表3-成本费用表'!AR76/(1+参数输入表!$I$600)*参数输入表!$I$600</f>
        <v>5796.71840707962</v>
      </c>
      <c r="AS37" s="42">
        <f>'表3-成本费用表'!AS76/(1+参数输入表!$I$600)*参数输入表!$I$600</f>
        <v>5796.71840707962</v>
      </c>
      <c r="AT37" s="42">
        <f>'表3-成本费用表'!AT76/(1+参数输入表!$I$600)*参数输入表!$I$600</f>
        <v>5796.71840707962</v>
      </c>
      <c r="AU37" s="42">
        <f>'表3-成本费用表'!AU76/(1+参数输入表!$I$600)*参数输入表!$I$600</f>
        <v>5796.71840707962</v>
      </c>
      <c r="AV37" s="42">
        <f>'表3-成本费用表'!AV76/(1+参数输入表!$I$600)*参数输入表!$I$600</f>
        <v>5796.71840707962</v>
      </c>
      <c r="AW37" s="42">
        <f>'表3-成本费用表'!AW76/(1+参数输入表!$I$600)*参数输入表!$I$600</f>
        <v>5796.71840707962</v>
      </c>
      <c r="AX37" s="42">
        <f>'表3-成本费用表'!AX76/(1+参数输入表!$I$600)*参数输入表!$I$600</f>
        <v>5796.71840707962</v>
      </c>
      <c r="AY37" s="42">
        <f>'表3-成本费用表'!AY76/(1+参数输入表!$I$600)*参数输入表!$I$600</f>
        <v>5796.71840707962</v>
      </c>
      <c r="AZ37" s="42">
        <f>'表3-成本费用表'!AZ76/(1+参数输入表!$I$600)*参数输入表!$I$600</f>
        <v>5796.71840707962</v>
      </c>
      <c r="BA37" s="43">
        <f>'表3-成本费用表'!BA76/(1+参数输入表!$I$600)*参数输入表!$I$600</f>
        <v>3381.41907079645</v>
      </c>
    </row>
    <row r="38" spans="2:53">
      <c r="B38" s="32"/>
      <c r="C38" s="219" t="s">
        <v>811</v>
      </c>
      <c r="D38" s="42">
        <f t="shared" si="42"/>
        <v>0</v>
      </c>
      <c r="E38" s="29" t="s">
        <v>130</v>
      </c>
      <c r="F38" s="42">
        <f>'表3-成本费用表'!F79/(1+参数输入表!$I$603)*参数输入表!$I$603</f>
        <v>0</v>
      </c>
      <c r="G38" s="42">
        <f>'表3-成本费用表'!G79/(1+参数输入表!$I$603)*参数输入表!$I$603</f>
        <v>0</v>
      </c>
      <c r="H38" s="42">
        <f>'表3-成本费用表'!H79/(1+参数输入表!$I$603)*参数输入表!$I$603</f>
        <v>0</v>
      </c>
      <c r="I38" s="42">
        <f>'表3-成本费用表'!I79/(1+参数输入表!$I$603)*参数输入表!$I$603</f>
        <v>0</v>
      </c>
      <c r="J38" s="42">
        <f>'表3-成本费用表'!J79/(1+参数输入表!$I$603)*参数输入表!$I$603</f>
        <v>0</v>
      </c>
      <c r="K38" s="42">
        <f>'表3-成本费用表'!K79/(1+参数输入表!$I$603)*参数输入表!$I$603</f>
        <v>0</v>
      </c>
      <c r="L38" s="42">
        <f>'表3-成本费用表'!L79/(1+参数输入表!$I$603)*参数输入表!$I$603</f>
        <v>0</v>
      </c>
      <c r="M38" s="42">
        <f>'表3-成本费用表'!M79/(1+参数输入表!$I$603)*参数输入表!$I$603</f>
        <v>0</v>
      </c>
      <c r="N38" s="42">
        <f>'表3-成本费用表'!N79/(1+参数输入表!$I$603)*参数输入表!$I$603</f>
        <v>0</v>
      </c>
      <c r="O38" s="42">
        <f>'表3-成本费用表'!O79/(1+参数输入表!$I$603)*参数输入表!$I$603</f>
        <v>0</v>
      </c>
      <c r="P38" s="42">
        <f>'表3-成本费用表'!P79/(1+参数输入表!$I$603)*参数输入表!$I$603</f>
        <v>0</v>
      </c>
      <c r="Q38" s="42">
        <f>'表3-成本费用表'!Q79/(1+参数输入表!$I$603)*参数输入表!$I$603</f>
        <v>0</v>
      </c>
      <c r="R38" s="42">
        <f>'表3-成本费用表'!R79/(1+参数输入表!$I$603)*参数输入表!$I$603</f>
        <v>0</v>
      </c>
      <c r="S38" s="42">
        <f>'表3-成本费用表'!S79/(1+参数输入表!$I$603)*参数输入表!$I$603</f>
        <v>0</v>
      </c>
      <c r="T38" s="42">
        <f>'表3-成本费用表'!T79/(1+参数输入表!$I$603)*参数输入表!$I$603</f>
        <v>0</v>
      </c>
      <c r="U38" s="42">
        <f>'表3-成本费用表'!U79/(1+参数输入表!$I$603)*参数输入表!$I$603</f>
        <v>0</v>
      </c>
      <c r="V38" s="42">
        <f>'表3-成本费用表'!V79/(1+参数输入表!$I$603)*参数输入表!$I$603</f>
        <v>0</v>
      </c>
      <c r="W38" s="42">
        <f>'表3-成本费用表'!W79/(1+参数输入表!$I$603)*参数输入表!$I$603</f>
        <v>0</v>
      </c>
      <c r="X38" s="42">
        <f>'表3-成本费用表'!X79/(1+参数输入表!$I$603)*参数输入表!$I$603</f>
        <v>0</v>
      </c>
      <c r="Y38" s="42">
        <f>'表3-成本费用表'!Y79/(1+参数输入表!$I$603)*参数输入表!$I$603</f>
        <v>0</v>
      </c>
      <c r="Z38" s="42">
        <f>'表3-成本费用表'!Z79/(1+参数输入表!$I$603)*参数输入表!$I$603</f>
        <v>0</v>
      </c>
      <c r="AA38" s="42">
        <f>'表3-成本费用表'!AA79/(1+参数输入表!$I$603)*参数输入表!$I$603</f>
        <v>0</v>
      </c>
      <c r="AB38" s="42">
        <f>'表3-成本费用表'!AB79/(1+参数输入表!$I$603)*参数输入表!$I$603</f>
        <v>0</v>
      </c>
      <c r="AC38" s="42">
        <f>'表3-成本费用表'!AC79/(1+参数输入表!$I$603)*参数输入表!$I$603</f>
        <v>0</v>
      </c>
      <c r="AD38" s="42">
        <f>'表3-成本费用表'!AD79/(1+参数输入表!$I$603)*参数输入表!$I$603</f>
        <v>0</v>
      </c>
      <c r="AE38" s="42">
        <f>'表3-成本费用表'!AE79/(1+参数输入表!$I$603)*参数输入表!$I$603</f>
        <v>0</v>
      </c>
      <c r="AF38" s="42">
        <f>'表3-成本费用表'!AF79/(1+参数输入表!$I$603)*参数输入表!$I$603</f>
        <v>0</v>
      </c>
      <c r="AG38" s="42">
        <f>'表3-成本费用表'!AG79/(1+参数输入表!$I$603)*参数输入表!$I$603</f>
        <v>0</v>
      </c>
      <c r="AH38" s="42">
        <f>'表3-成本费用表'!AH79/(1+参数输入表!$I$603)*参数输入表!$I$603</f>
        <v>0</v>
      </c>
      <c r="AI38" s="42">
        <f>'表3-成本费用表'!AI79/(1+参数输入表!$I$603)*参数输入表!$I$603</f>
        <v>0</v>
      </c>
      <c r="AJ38" s="42">
        <f>'表3-成本费用表'!AJ79/(1+参数输入表!$I$603)*参数输入表!$I$603</f>
        <v>0</v>
      </c>
      <c r="AK38" s="42">
        <f>'表3-成本费用表'!AK79/(1+参数输入表!$I$603)*参数输入表!$I$603</f>
        <v>0</v>
      </c>
      <c r="AL38" s="42">
        <f>'表3-成本费用表'!AL79/(1+参数输入表!$I$603)*参数输入表!$I$603</f>
        <v>0</v>
      </c>
      <c r="AM38" s="42">
        <f>'表3-成本费用表'!AM79/(1+参数输入表!$I$603)*参数输入表!$I$603</f>
        <v>0</v>
      </c>
      <c r="AN38" s="42">
        <f>'表3-成本费用表'!AN79/(1+参数输入表!$I$603)*参数输入表!$I$603</f>
        <v>0</v>
      </c>
      <c r="AO38" s="42">
        <f>'表3-成本费用表'!AO79/(1+参数输入表!$I$603)*参数输入表!$I$603</f>
        <v>0</v>
      </c>
      <c r="AP38" s="42">
        <f>'表3-成本费用表'!AP79/(1+参数输入表!$I$603)*参数输入表!$I$603</f>
        <v>0</v>
      </c>
      <c r="AQ38" s="42">
        <f>'表3-成本费用表'!AQ79/(1+参数输入表!$I$603)*参数输入表!$I$603</f>
        <v>0</v>
      </c>
      <c r="AR38" s="42">
        <f>'表3-成本费用表'!AR79/(1+参数输入表!$I$603)*参数输入表!$I$603</f>
        <v>0</v>
      </c>
      <c r="AS38" s="42">
        <f>'表3-成本费用表'!AS79/(1+参数输入表!$I$603)*参数输入表!$I$603</f>
        <v>0</v>
      </c>
      <c r="AT38" s="42">
        <f>'表3-成本费用表'!AT79/(1+参数输入表!$I$603)*参数输入表!$I$603</f>
        <v>0</v>
      </c>
      <c r="AU38" s="42">
        <f>'表3-成本费用表'!AU79/(1+参数输入表!$I$603)*参数输入表!$I$603</f>
        <v>0</v>
      </c>
      <c r="AV38" s="42">
        <f>'表3-成本费用表'!AV79/(1+参数输入表!$I$603)*参数输入表!$I$603</f>
        <v>0</v>
      </c>
      <c r="AW38" s="42">
        <f>'表3-成本费用表'!AW79/(1+参数输入表!$I$603)*参数输入表!$I$603</f>
        <v>0</v>
      </c>
      <c r="AX38" s="42">
        <f>'表3-成本费用表'!AX79/(1+参数输入表!$I$603)*参数输入表!$I$603</f>
        <v>0</v>
      </c>
      <c r="AY38" s="42">
        <f>'表3-成本费用表'!AY79/(1+参数输入表!$I$603)*参数输入表!$I$603</f>
        <v>0</v>
      </c>
      <c r="AZ38" s="42">
        <f>'表3-成本费用表'!AZ79/(1+参数输入表!$I$603)*参数输入表!$I$603</f>
        <v>0</v>
      </c>
      <c r="BA38" s="43">
        <f>'表3-成本费用表'!BA79/(1+参数输入表!$I$603)*参数输入表!$I$603</f>
        <v>0</v>
      </c>
    </row>
    <row r="39" spans="2:53">
      <c r="B39" s="32"/>
      <c r="C39" s="219" t="s">
        <v>759</v>
      </c>
      <c r="D39" s="42">
        <f t="shared" si="42"/>
        <v>53.012389380531</v>
      </c>
      <c r="E39" s="29" t="s">
        <v>130</v>
      </c>
      <c r="F39" s="42">
        <f>'表3-成本费用表'!F80/(1+参数输入表!$I$606)*参数输入表!$I$606</f>
        <v>0</v>
      </c>
      <c r="G39" s="42">
        <f>'表3-成本费用表'!G80/(1+参数输入表!$I$606)*参数输入表!$I$606</f>
        <v>0</v>
      </c>
      <c r="H39" s="42">
        <f>'表3-成本费用表'!H80/(1+参数输入表!$I$606)*参数输入表!$I$606</f>
        <v>0</v>
      </c>
      <c r="I39" s="42">
        <f>'表3-成本费用表'!I80/(1+参数输入表!$I$606)*参数输入表!$I$606</f>
        <v>0</v>
      </c>
      <c r="J39" s="42">
        <f>'表3-成本费用表'!J80/(1+参数输入表!$I$606)*参数输入表!$I$606</f>
        <v>0</v>
      </c>
      <c r="K39" s="42">
        <f>'表3-成本费用表'!K80/(1+参数输入表!$I$606)*参数输入表!$I$606</f>
        <v>0</v>
      </c>
      <c r="L39" s="42">
        <f>'表3-成本费用表'!L80/(1+参数输入表!$I$606)*参数输入表!$I$606</f>
        <v>0</v>
      </c>
      <c r="M39" s="42">
        <f>'表3-成本费用表'!M80/(1+参数输入表!$I$606)*参数输入表!$I$606</f>
        <v>0</v>
      </c>
      <c r="N39" s="42">
        <f>'表3-成本费用表'!N80/(1+参数输入表!$I$606)*参数输入表!$I$606</f>
        <v>1.32530973451327</v>
      </c>
      <c r="O39" s="42">
        <f>'表3-成本费用表'!O80/(1+参数输入表!$I$606)*参数输入表!$I$606</f>
        <v>1.32530973451327</v>
      </c>
      <c r="P39" s="42">
        <f>'表3-成本费用表'!P80/(1+参数输入表!$I$606)*参数输入表!$I$606</f>
        <v>1.32530973451327</v>
      </c>
      <c r="Q39" s="42">
        <f>'表3-成本费用表'!Q80/(1+参数输入表!$I$606)*参数输入表!$I$606</f>
        <v>1.32530973451327</v>
      </c>
      <c r="R39" s="42">
        <f>'表3-成本费用表'!R80/(1+参数输入表!$I$606)*参数输入表!$I$606</f>
        <v>1.32530973451327</v>
      </c>
      <c r="S39" s="42">
        <f>'表3-成本费用表'!S80/(1+参数输入表!$I$606)*参数输入表!$I$606</f>
        <v>1.32530973451327</v>
      </c>
      <c r="T39" s="42">
        <f>'表3-成本费用表'!T80/(1+参数输入表!$I$606)*参数输入表!$I$606</f>
        <v>1.32530973451327</v>
      </c>
      <c r="U39" s="42">
        <f>'表3-成本费用表'!U80/(1+参数输入表!$I$606)*参数输入表!$I$606</f>
        <v>1.32530973451327</v>
      </c>
      <c r="V39" s="42">
        <f>'表3-成本费用表'!V80/(1+参数输入表!$I$606)*参数输入表!$I$606</f>
        <v>1.32530973451327</v>
      </c>
      <c r="W39" s="42">
        <f>'表3-成本费用表'!W80/(1+参数输入表!$I$606)*参数输入表!$I$606</f>
        <v>1.32530973451327</v>
      </c>
      <c r="X39" s="42">
        <f>'表3-成本费用表'!X80/(1+参数输入表!$I$606)*参数输入表!$I$606</f>
        <v>1.32530973451327</v>
      </c>
      <c r="Y39" s="42">
        <f>'表3-成本费用表'!Y80/(1+参数输入表!$I$606)*参数输入表!$I$606</f>
        <v>1.32530973451327</v>
      </c>
      <c r="Z39" s="42">
        <f>'表3-成本费用表'!Z80/(1+参数输入表!$I$606)*参数输入表!$I$606</f>
        <v>1.32530973451327</v>
      </c>
      <c r="AA39" s="42">
        <f>'表3-成本费用表'!AA80/(1+参数输入表!$I$606)*参数输入表!$I$606</f>
        <v>1.32530973451327</v>
      </c>
      <c r="AB39" s="42">
        <f>'表3-成本费用表'!AB80/(1+参数输入表!$I$606)*参数输入表!$I$606</f>
        <v>1.32530973451327</v>
      </c>
      <c r="AC39" s="42">
        <f>'表3-成本费用表'!AC80/(1+参数输入表!$I$606)*参数输入表!$I$606</f>
        <v>1.32530973451327</v>
      </c>
      <c r="AD39" s="42">
        <f>'表3-成本费用表'!AD80/(1+参数输入表!$I$606)*参数输入表!$I$606</f>
        <v>1.32530973451327</v>
      </c>
      <c r="AE39" s="42">
        <f>'表3-成本费用表'!AE80/(1+参数输入表!$I$606)*参数输入表!$I$606</f>
        <v>1.32530973451327</v>
      </c>
      <c r="AF39" s="42">
        <f>'表3-成本费用表'!AF80/(1+参数输入表!$I$606)*参数输入表!$I$606</f>
        <v>1.32530973451327</v>
      </c>
      <c r="AG39" s="42">
        <f>'表3-成本费用表'!AG80/(1+参数输入表!$I$606)*参数输入表!$I$606</f>
        <v>1.32530973451327</v>
      </c>
      <c r="AH39" s="42">
        <f>'表3-成本费用表'!AH80/(1+参数输入表!$I$606)*参数输入表!$I$606</f>
        <v>1.32530973451327</v>
      </c>
      <c r="AI39" s="42">
        <f>'表3-成本费用表'!AI80/(1+参数输入表!$I$606)*参数输入表!$I$606</f>
        <v>1.32530973451327</v>
      </c>
      <c r="AJ39" s="42">
        <f>'表3-成本费用表'!AJ80/(1+参数输入表!$I$606)*参数输入表!$I$606</f>
        <v>1.32530973451327</v>
      </c>
      <c r="AK39" s="42">
        <f>'表3-成本费用表'!AK80/(1+参数输入表!$I$606)*参数输入表!$I$606</f>
        <v>1.32530973451327</v>
      </c>
      <c r="AL39" s="42">
        <f>'表3-成本费用表'!AL80/(1+参数输入表!$I$606)*参数输入表!$I$606</f>
        <v>1.32530973451327</v>
      </c>
      <c r="AM39" s="42">
        <f>'表3-成本费用表'!AM80/(1+参数输入表!$I$606)*参数输入表!$I$606</f>
        <v>1.32530973451327</v>
      </c>
      <c r="AN39" s="42">
        <f>'表3-成本费用表'!AN80/(1+参数输入表!$I$606)*参数输入表!$I$606</f>
        <v>1.32530973451327</v>
      </c>
      <c r="AO39" s="42">
        <f>'表3-成本费用表'!AO80/(1+参数输入表!$I$606)*参数输入表!$I$606</f>
        <v>1.32530973451327</v>
      </c>
      <c r="AP39" s="42">
        <f>'表3-成本费用表'!AP80/(1+参数输入表!$I$606)*参数输入表!$I$606</f>
        <v>1.32530973451327</v>
      </c>
      <c r="AQ39" s="42">
        <f>'表3-成本费用表'!AQ80/(1+参数输入表!$I$606)*参数输入表!$I$606</f>
        <v>1.32530973451327</v>
      </c>
      <c r="AR39" s="42">
        <f>'表3-成本费用表'!AR80/(1+参数输入表!$I$606)*参数输入表!$I$606</f>
        <v>1.32530973451327</v>
      </c>
      <c r="AS39" s="42">
        <f>'表3-成本费用表'!AS80/(1+参数输入表!$I$606)*参数输入表!$I$606</f>
        <v>1.32530973451327</v>
      </c>
      <c r="AT39" s="42">
        <f>'表3-成本费用表'!AT80/(1+参数输入表!$I$606)*参数输入表!$I$606</f>
        <v>1.32530973451327</v>
      </c>
      <c r="AU39" s="42">
        <f>'表3-成本费用表'!AU80/(1+参数输入表!$I$606)*参数输入表!$I$606</f>
        <v>1.32530973451327</v>
      </c>
      <c r="AV39" s="42">
        <f>'表3-成本费用表'!AV80/(1+参数输入表!$I$606)*参数输入表!$I$606</f>
        <v>1.32530973451327</v>
      </c>
      <c r="AW39" s="42">
        <f>'表3-成本费用表'!AW80/(1+参数输入表!$I$606)*参数输入表!$I$606</f>
        <v>1.32530973451327</v>
      </c>
      <c r="AX39" s="42">
        <f>'表3-成本费用表'!AX80/(1+参数输入表!$I$606)*参数输入表!$I$606</f>
        <v>1.32530973451327</v>
      </c>
      <c r="AY39" s="42">
        <f>'表3-成本费用表'!AY80/(1+参数输入表!$I$606)*参数输入表!$I$606</f>
        <v>1.32530973451327</v>
      </c>
      <c r="AZ39" s="42">
        <f>'表3-成本费用表'!AZ80/(1+参数输入表!$I$606)*参数输入表!$I$606</f>
        <v>1.32530973451327</v>
      </c>
      <c r="BA39" s="43">
        <f>'表3-成本费用表'!BA80/(1+参数输入表!$I$606)*参数输入表!$I$606</f>
        <v>1.32530973451327</v>
      </c>
    </row>
    <row r="40" spans="2:53">
      <c r="B40" s="32"/>
      <c r="C40" s="219" t="s">
        <v>294</v>
      </c>
      <c r="D40" s="42">
        <f t="shared" si="42"/>
        <v>202.98407079646</v>
      </c>
      <c r="E40" s="29" t="s">
        <v>130</v>
      </c>
      <c r="F40" s="42">
        <f>'表3-成本费用表'!F81/(1+参数输入表!$I$609)*参数输入表!$I$609</f>
        <v>0</v>
      </c>
      <c r="G40" s="42">
        <f>'表3-成本费用表'!G81/(1+参数输入表!$I$609)*参数输入表!$I$609</f>
        <v>0</v>
      </c>
      <c r="H40" s="42">
        <f>'表3-成本费用表'!H81/(1+参数输入表!$I$609)*参数输入表!$I$609</f>
        <v>0</v>
      </c>
      <c r="I40" s="42">
        <f>'表3-成本费用表'!I81/(1+参数输入表!$I$609)*参数输入表!$I$609</f>
        <v>0</v>
      </c>
      <c r="J40" s="42">
        <f>'表3-成本费用表'!J81/(1+参数输入表!$I$609)*参数输入表!$I$609</f>
        <v>0</v>
      </c>
      <c r="K40" s="42">
        <f>'表3-成本费用表'!K81/(1+参数输入表!$I$609)*参数输入表!$I$609</f>
        <v>0</v>
      </c>
      <c r="L40" s="42">
        <f>'表3-成本费用表'!L81/(1+参数输入表!$I$609)*参数输入表!$I$609</f>
        <v>0</v>
      </c>
      <c r="M40" s="42">
        <f>'表3-成本费用表'!M81/(1+参数输入表!$I$609)*参数输入表!$I$609</f>
        <v>0</v>
      </c>
      <c r="N40" s="42">
        <f>'表3-成本费用表'!N81/(1+参数输入表!$I$609)*参数输入表!$I$609</f>
        <v>5.0746017699115</v>
      </c>
      <c r="O40" s="42">
        <f>'表3-成本费用表'!O81/(1+参数输入表!$I$609)*参数输入表!$I$609</f>
        <v>5.0746017699115</v>
      </c>
      <c r="P40" s="42">
        <f>'表3-成本费用表'!P81/(1+参数输入表!$I$609)*参数输入表!$I$609</f>
        <v>5.0746017699115</v>
      </c>
      <c r="Q40" s="42">
        <f>'表3-成本费用表'!Q81/(1+参数输入表!$I$609)*参数输入表!$I$609</f>
        <v>5.0746017699115</v>
      </c>
      <c r="R40" s="42">
        <f>'表3-成本费用表'!R81/(1+参数输入表!$I$609)*参数输入表!$I$609</f>
        <v>5.0746017699115</v>
      </c>
      <c r="S40" s="42">
        <f>'表3-成本费用表'!S81/(1+参数输入表!$I$609)*参数输入表!$I$609</f>
        <v>5.0746017699115</v>
      </c>
      <c r="T40" s="42">
        <f>'表3-成本费用表'!T81/(1+参数输入表!$I$609)*参数输入表!$I$609</f>
        <v>5.0746017699115</v>
      </c>
      <c r="U40" s="42">
        <f>'表3-成本费用表'!U81/(1+参数输入表!$I$609)*参数输入表!$I$609</f>
        <v>5.0746017699115</v>
      </c>
      <c r="V40" s="42">
        <f>'表3-成本费用表'!V81/(1+参数输入表!$I$609)*参数输入表!$I$609</f>
        <v>5.0746017699115</v>
      </c>
      <c r="W40" s="42">
        <f>'表3-成本费用表'!W81/(1+参数输入表!$I$609)*参数输入表!$I$609</f>
        <v>5.0746017699115</v>
      </c>
      <c r="X40" s="42">
        <f>'表3-成本费用表'!X81/(1+参数输入表!$I$609)*参数输入表!$I$609</f>
        <v>5.0746017699115</v>
      </c>
      <c r="Y40" s="42">
        <f>'表3-成本费用表'!Y81/(1+参数输入表!$I$609)*参数输入表!$I$609</f>
        <v>5.0746017699115</v>
      </c>
      <c r="Z40" s="42">
        <f>'表3-成本费用表'!Z81/(1+参数输入表!$I$609)*参数输入表!$I$609</f>
        <v>5.0746017699115</v>
      </c>
      <c r="AA40" s="42">
        <f>'表3-成本费用表'!AA81/(1+参数输入表!$I$609)*参数输入表!$I$609</f>
        <v>5.0746017699115</v>
      </c>
      <c r="AB40" s="42">
        <f>'表3-成本费用表'!AB81/(1+参数输入表!$I$609)*参数输入表!$I$609</f>
        <v>5.0746017699115</v>
      </c>
      <c r="AC40" s="42">
        <f>'表3-成本费用表'!AC81/(1+参数输入表!$I$609)*参数输入表!$I$609</f>
        <v>5.0746017699115</v>
      </c>
      <c r="AD40" s="42">
        <f>'表3-成本费用表'!AD81/(1+参数输入表!$I$609)*参数输入表!$I$609</f>
        <v>5.0746017699115</v>
      </c>
      <c r="AE40" s="42">
        <f>'表3-成本费用表'!AE81/(1+参数输入表!$I$609)*参数输入表!$I$609</f>
        <v>5.0746017699115</v>
      </c>
      <c r="AF40" s="42">
        <f>'表3-成本费用表'!AF81/(1+参数输入表!$I$609)*参数输入表!$I$609</f>
        <v>5.0746017699115</v>
      </c>
      <c r="AG40" s="42">
        <f>'表3-成本费用表'!AG81/(1+参数输入表!$I$609)*参数输入表!$I$609</f>
        <v>5.0746017699115</v>
      </c>
      <c r="AH40" s="42">
        <f>'表3-成本费用表'!AH81/(1+参数输入表!$I$609)*参数输入表!$I$609</f>
        <v>5.0746017699115</v>
      </c>
      <c r="AI40" s="42">
        <f>'表3-成本费用表'!AI81/(1+参数输入表!$I$609)*参数输入表!$I$609</f>
        <v>5.0746017699115</v>
      </c>
      <c r="AJ40" s="42">
        <f>'表3-成本费用表'!AJ81/(1+参数输入表!$I$609)*参数输入表!$I$609</f>
        <v>5.0746017699115</v>
      </c>
      <c r="AK40" s="42">
        <f>'表3-成本费用表'!AK81/(1+参数输入表!$I$609)*参数输入表!$I$609</f>
        <v>5.0746017699115</v>
      </c>
      <c r="AL40" s="42">
        <f>'表3-成本费用表'!AL81/(1+参数输入表!$I$609)*参数输入表!$I$609</f>
        <v>5.0746017699115</v>
      </c>
      <c r="AM40" s="42">
        <f>'表3-成本费用表'!AM81/(1+参数输入表!$I$609)*参数输入表!$I$609</f>
        <v>5.0746017699115</v>
      </c>
      <c r="AN40" s="42">
        <f>'表3-成本费用表'!AN81/(1+参数输入表!$I$609)*参数输入表!$I$609</f>
        <v>5.0746017699115</v>
      </c>
      <c r="AO40" s="42">
        <f>'表3-成本费用表'!AO81/(1+参数输入表!$I$609)*参数输入表!$I$609</f>
        <v>5.0746017699115</v>
      </c>
      <c r="AP40" s="42">
        <f>'表3-成本费用表'!AP81/(1+参数输入表!$I$609)*参数输入表!$I$609</f>
        <v>5.0746017699115</v>
      </c>
      <c r="AQ40" s="42">
        <f>'表3-成本费用表'!AQ81/(1+参数输入表!$I$609)*参数输入表!$I$609</f>
        <v>5.0746017699115</v>
      </c>
      <c r="AR40" s="42">
        <f>'表3-成本费用表'!AR81/(1+参数输入表!$I$609)*参数输入表!$I$609</f>
        <v>5.0746017699115</v>
      </c>
      <c r="AS40" s="42">
        <f>'表3-成本费用表'!AS81/(1+参数输入表!$I$609)*参数输入表!$I$609</f>
        <v>5.0746017699115</v>
      </c>
      <c r="AT40" s="42">
        <f>'表3-成本费用表'!AT81/(1+参数输入表!$I$609)*参数输入表!$I$609</f>
        <v>5.0746017699115</v>
      </c>
      <c r="AU40" s="42">
        <f>'表3-成本费用表'!AU81/(1+参数输入表!$I$609)*参数输入表!$I$609</f>
        <v>5.0746017699115</v>
      </c>
      <c r="AV40" s="42">
        <f>'表3-成本费用表'!AV81/(1+参数输入表!$I$609)*参数输入表!$I$609</f>
        <v>5.0746017699115</v>
      </c>
      <c r="AW40" s="42">
        <f>'表3-成本费用表'!AW81/(1+参数输入表!$I$609)*参数输入表!$I$609</f>
        <v>5.0746017699115</v>
      </c>
      <c r="AX40" s="42">
        <f>'表3-成本费用表'!AX81/(1+参数输入表!$I$609)*参数输入表!$I$609</f>
        <v>5.0746017699115</v>
      </c>
      <c r="AY40" s="42">
        <f>'表3-成本费用表'!AY81/(1+参数输入表!$I$609)*参数输入表!$I$609</f>
        <v>5.0746017699115</v>
      </c>
      <c r="AZ40" s="42">
        <f>'表3-成本费用表'!AZ81/(1+参数输入表!$I$609)*参数输入表!$I$609</f>
        <v>5.0746017699115</v>
      </c>
      <c r="BA40" s="43">
        <f>'表3-成本费用表'!BA81/(1+参数输入表!$I$609)*参数输入表!$I$609</f>
        <v>5.0746017699115</v>
      </c>
    </row>
    <row r="41" spans="2:53">
      <c r="B41" s="32"/>
      <c r="C41" s="219" t="s">
        <v>255</v>
      </c>
      <c r="D41" s="42">
        <f t="shared" si="42"/>
        <v>35779.6789277905</v>
      </c>
      <c r="E41" s="29" t="s">
        <v>130</v>
      </c>
      <c r="F41" s="42">
        <f>'表3-成本费用表'!F82/(1+参数输入表!$I$436)*参数输入表!$I$436</f>
        <v>0</v>
      </c>
      <c r="G41" s="42">
        <f>'表3-成本费用表'!G82/(1+参数输入表!$I$436)*参数输入表!$I$436</f>
        <v>0</v>
      </c>
      <c r="H41" s="42">
        <f>'表3-成本费用表'!H82/(1+参数输入表!$I$436)*参数输入表!$I$436</f>
        <v>0</v>
      </c>
      <c r="I41" s="42">
        <f>'表3-成本费用表'!I82/(1+参数输入表!$I$436)*参数输入表!$I$436</f>
        <v>0</v>
      </c>
      <c r="J41" s="42">
        <f>'表3-成本费用表'!J82/(1+参数输入表!$I$436)*参数输入表!$I$436</f>
        <v>0</v>
      </c>
      <c r="K41" s="42">
        <f>'表3-成本费用表'!K82/(1+参数输入表!$I$436)*参数输入表!$I$436</f>
        <v>0</v>
      </c>
      <c r="L41" s="42">
        <f>'表3-成本费用表'!L82/(1+参数输入表!$I$436)*参数输入表!$I$436</f>
        <v>0</v>
      </c>
      <c r="M41" s="42">
        <f>'表3-成本费用表'!M82/(1+参数输入表!$I$436)*参数输入表!$I$436</f>
        <v>372.704988831151</v>
      </c>
      <c r="N41" s="42">
        <f>'表3-成本费用表'!N82/(1+参数输入表!$I$436)*参数输入表!$I$436</f>
        <v>894.491973194763</v>
      </c>
      <c r="O41" s="42">
        <f>'表3-成本费用表'!O82/(1+参数输入表!$I$436)*参数输入表!$I$436</f>
        <v>894.491973194763</v>
      </c>
      <c r="P41" s="42">
        <f>'表3-成本费用表'!P82/(1+参数输入表!$I$436)*参数输入表!$I$436</f>
        <v>894.491973194763</v>
      </c>
      <c r="Q41" s="42">
        <f>'表3-成本费用表'!Q82/(1+参数输入表!$I$436)*参数输入表!$I$436</f>
        <v>894.491973194763</v>
      </c>
      <c r="R41" s="42">
        <f>'表3-成本费用表'!R82/(1+参数输入表!$I$436)*参数输入表!$I$436</f>
        <v>894.491973194763</v>
      </c>
      <c r="S41" s="42">
        <f>'表3-成本费用表'!S82/(1+参数输入表!$I$436)*参数输入表!$I$436</f>
        <v>894.491973194763</v>
      </c>
      <c r="T41" s="42">
        <f>'表3-成本费用表'!T82/(1+参数输入表!$I$436)*参数输入表!$I$436</f>
        <v>894.491973194763</v>
      </c>
      <c r="U41" s="42">
        <f>'表3-成本费用表'!U82/(1+参数输入表!$I$436)*参数输入表!$I$436</f>
        <v>894.491973194763</v>
      </c>
      <c r="V41" s="42">
        <f>'表3-成本费用表'!V82/(1+参数输入表!$I$436)*参数输入表!$I$436</f>
        <v>894.491973194763</v>
      </c>
      <c r="W41" s="42">
        <f>'表3-成本费用表'!W82/(1+参数输入表!$I$436)*参数输入表!$I$436</f>
        <v>894.491973194763</v>
      </c>
      <c r="X41" s="42">
        <f>'表3-成本费用表'!X82/(1+参数输入表!$I$436)*参数输入表!$I$436</f>
        <v>894.491973194763</v>
      </c>
      <c r="Y41" s="42">
        <f>'表3-成本费用表'!Y82/(1+参数输入表!$I$436)*参数输入表!$I$436</f>
        <v>894.491973194763</v>
      </c>
      <c r="Z41" s="42">
        <f>'表3-成本费用表'!Z82/(1+参数输入表!$I$436)*参数输入表!$I$436</f>
        <v>894.491973194763</v>
      </c>
      <c r="AA41" s="42">
        <f>'表3-成本费用表'!AA82/(1+参数输入表!$I$436)*参数输入表!$I$436</f>
        <v>894.491973194763</v>
      </c>
      <c r="AB41" s="42">
        <f>'表3-成本费用表'!AB82/(1+参数输入表!$I$436)*参数输入表!$I$436</f>
        <v>894.491973194763</v>
      </c>
      <c r="AC41" s="42">
        <f>'表3-成本费用表'!AC82/(1+参数输入表!$I$436)*参数输入表!$I$436</f>
        <v>894.491973194763</v>
      </c>
      <c r="AD41" s="42">
        <f>'表3-成本费用表'!AD82/(1+参数输入表!$I$436)*参数输入表!$I$436</f>
        <v>894.491973194763</v>
      </c>
      <c r="AE41" s="42">
        <f>'表3-成本费用表'!AE82/(1+参数输入表!$I$436)*参数输入表!$I$436</f>
        <v>894.491973194763</v>
      </c>
      <c r="AF41" s="42">
        <f>'表3-成本费用表'!AF82/(1+参数输入表!$I$436)*参数输入表!$I$436</f>
        <v>894.491973194763</v>
      </c>
      <c r="AG41" s="42">
        <f>'表3-成本费用表'!AG82/(1+参数输入表!$I$436)*参数输入表!$I$436</f>
        <v>894.491973194763</v>
      </c>
      <c r="AH41" s="42">
        <f>'表3-成本费用表'!AH82/(1+参数输入表!$I$436)*参数输入表!$I$436</f>
        <v>894.491973194763</v>
      </c>
      <c r="AI41" s="42">
        <f>'表3-成本费用表'!AI82/(1+参数输入表!$I$436)*参数输入表!$I$436</f>
        <v>894.491973194763</v>
      </c>
      <c r="AJ41" s="42">
        <f>'表3-成本费用表'!AJ82/(1+参数输入表!$I$436)*参数输入表!$I$436</f>
        <v>894.491973194763</v>
      </c>
      <c r="AK41" s="42">
        <f>'表3-成本费用表'!AK82/(1+参数输入表!$I$436)*参数输入表!$I$436</f>
        <v>894.491973194763</v>
      </c>
      <c r="AL41" s="42">
        <f>'表3-成本费用表'!AL82/(1+参数输入表!$I$436)*参数输入表!$I$436</f>
        <v>894.491973194763</v>
      </c>
      <c r="AM41" s="42">
        <f>'表3-成本费用表'!AM82/(1+参数输入表!$I$436)*参数输入表!$I$436</f>
        <v>894.491973194763</v>
      </c>
      <c r="AN41" s="42">
        <f>'表3-成本费用表'!AN82/(1+参数输入表!$I$436)*参数输入表!$I$436</f>
        <v>894.491973194763</v>
      </c>
      <c r="AO41" s="42">
        <f>'表3-成本费用表'!AO82/(1+参数输入表!$I$436)*参数输入表!$I$436</f>
        <v>894.491973194763</v>
      </c>
      <c r="AP41" s="42">
        <f>'表3-成本费用表'!AP82/(1+参数输入表!$I$436)*参数输入表!$I$436</f>
        <v>894.491973194763</v>
      </c>
      <c r="AQ41" s="42">
        <f>'表3-成本费用表'!AQ82/(1+参数输入表!$I$436)*参数输入表!$I$436</f>
        <v>894.491973194763</v>
      </c>
      <c r="AR41" s="42">
        <f>'表3-成本费用表'!AR82/(1+参数输入表!$I$436)*参数输入表!$I$436</f>
        <v>894.491973194763</v>
      </c>
      <c r="AS41" s="42">
        <f>'表3-成本费用表'!AS82/(1+参数输入表!$I$436)*参数输入表!$I$436</f>
        <v>894.491973194763</v>
      </c>
      <c r="AT41" s="42">
        <f>'表3-成本费用表'!AT82/(1+参数输入表!$I$436)*参数输入表!$I$436</f>
        <v>894.491973194763</v>
      </c>
      <c r="AU41" s="42">
        <f>'表3-成本费用表'!AU82/(1+参数输入表!$I$436)*参数输入表!$I$436</f>
        <v>894.491973194763</v>
      </c>
      <c r="AV41" s="42">
        <f>'表3-成本费用表'!AV82/(1+参数输入表!$I$436)*参数输入表!$I$436</f>
        <v>894.491973194763</v>
      </c>
      <c r="AW41" s="42">
        <f>'表3-成本费用表'!AW82/(1+参数输入表!$I$436)*参数输入表!$I$436</f>
        <v>894.491973194763</v>
      </c>
      <c r="AX41" s="42">
        <f>'表3-成本费用表'!AX82/(1+参数输入表!$I$436)*参数输入表!$I$436</f>
        <v>894.491973194763</v>
      </c>
      <c r="AY41" s="42">
        <f>'表3-成本费用表'!AY82/(1+参数输入表!$I$436)*参数输入表!$I$436</f>
        <v>894.491973194763</v>
      </c>
      <c r="AZ41" s="42">
        <f>'表3-成本费用表'!AZ82/(1+参数输入表!$I$436)*参数输入表!$I$436</f>
        <v>894.491973194763</v>
      </c>
      <c r="BA41" s="43">
        <f>'表3-成本费用表'!BA82/(1+参数输入表!$I$436)*参数输入表!$I$436</f>
        <v>521.786984363612</v>
      </c>
    </row>
    <row r="42" spans="2:53">
      <c r="B42" s="32"/>
      <c r="C42" s="219" t="s">
        <v>269</v>
      </c>
      <c r="D42" s="42">
        <f t="shared" si="42"/>
        <v>0</v>
      </c>
      <c r="E42" s="29" t="s">
        <v>130</v>
      </c>
      <c r="F42" s="42">
        <f>'表3-成本费用表'!F83/(1+参数输入表!$I$499)*参数输入表!$I$499</f>
        <v>0</v>
      </c>
      <c r="G42" s="42">
        <f>'表3-成本费用表'!G83/(1+参数输入表!$I$499)*参数输入表!$I$499</f>
        <v>0</v>
      </c>
      <c r="H42" s="42">
        <f>'表3-成本费用表'!H83/(1+参数输入表!$I$499)*参数输入表!$I$499</f>
        <v>0</v>
      </c>
      <c r="I42" s="42">
        <f>'表3-成本费用表'!I83/(1+参数输入表!$I$499)*参数输入表!$I$499</f>
        <v>0</v>
      </c>
      <c r="J42" s="42">
        <f>'表3-成本费用表'!J83/(1+参数输入表!$I$499)*参数输入表!$I$499</f>
        <v>0</v>
      </c>
      <c r="K42" s="42">
        <f>'表3-成本费用表'!K83/(1+参数输入表!$I$499)*参数输入表!$I$499</f>
        <v>0</v>
      </c>
      <c r="L42" s="42">
        <f>'表3-成本费用表'!L83/(1+参数输入表!$I$499)*参数输入表!$I$499</f>
        <v>0</v>
      </c>
      <c r="M42" s="42">
        <f>'表3-成本费用表'!M83/(1+参数输入表!$I$499)*参数输入表!$I$499</f>
        <v>0</v>
      </c>
      <c r="N42" s="42">
        <f>'表3-成本费用表'!N83/(1+参数输入表!$I$499)*参数输入表!$I$499</f>
        <v>0</v>
      </c>
      <c r="O42" s="42">
        <f>'表3-成本费用表'!O83/(1+参数输入表!$I$499)*参数输入表!$I$499</f>
        <v>0</v>
      </c>
      <c r="P42" s="42">
        <f>'表3-成本费用表'!P83/(1+参数输入表!$I$499)*参数输入表!$I$499</f>
        <v>0</v>
      </c>
      <c r="Q42" s="42">
        <f>'表3-成本费用表'!Q83/(1+参数输入表!$I$499)*参数输入表!$I$499</f>
        <v>0</v>
      </c>
      <c r="R42" s="42">
        <f>'表3-成本费用表'!R83/(1+参数输入表!$I$499)*参数输入表!$I$499</f>
        <v>0</v>
      </c>
      <c r="S42" s="42">
        <f>'表3-成本费用表'!S83/(1+参数输入表!$I$499)*参数输入表!$I$499</f>
        <v>0</v>
      </c>
      <c r="T42" s="42">
        <f>'表3-成本费用表'!T83/(1+参数输入表!$I$499)*参数输入表!$I$499</f>
        <v>0</v>
      </c>
      <c r="U42" s="42">
        <f>'表3-成本费用表'!U83/(1+参数输入表!$I$499)*参数输入表!$I$499</f>
        <v>0</v>
      </c>
      <c r="V42" s="42">
        <f>'表3-成本费用表'!V83/(1+参数输入表!$I$499)*参数输入表!$I$499</f>
        <v>0</v>
      </c>
      <c r="W42" s="42">
        <f>'表3-成本费用表'!W83/(1+参数输入表!$I$499)*参数输入表!$I$499</f>
        <v>0</v>
      </c>
      <c r="X42" s="42">
        <f>'表3-成本费用表'!X83/(1+参数输入表!$I$499)*参数输入表!$I$499</f>
        <v>0</v>
      </c>
      <c r="Y42" s="42">
        <f>'表3-成本费用表'!Y83/(1+参数输入表!$I$499)*参数输入表!$I$499</f>
        <v>0</v>
      </c>
      <c r="Z42" s="42">
        <f>'表3-成本费用表'!Z83/(1+参数输入表!$I$499)*参数输入表!$I$499</f>
        <v>0</v>
      </c>
      <c r="AA42" s="42">
        <f>'表3-成本费用表'!AA83/(1+参数输入表!$I$499)*参数输入表!$I$499</f>
        <v>0</v>
      </c>
      <c r="AB42" s="42">
        <f>'表3-成本费用表'!AB83/(1+参数输入表!$I$499)*参数输入表!$I$499</f>
        <v>0</v>
      </c>
      <c r="AC42" s="42">
        <f>'表3-成本费用表'!AC83/(1+参数输入表!$I$499)*参数输入表!$I$499</f>
        <v>0</v>
      </c>
      <c r="AD42" s="42">
        <f>'表3-成本费用表'!AD83/(1+参数输入表!$I$499)*参数输入表!$I$499</f>
        <v>0</v>
      </c>
      <c r="AE42" s="42">
        <f>'表3-成本费用表'!AE83/(1+参数输入表!$I$499)*参数输入表!$I$499</f>
        <v>0</v>
      </c>
      <c r="AF42" s="42">
        <f>'表3-成本费用表'!AF83/(1+参数输入表!$I$499)*参数输入表!$I$499</f>
        <v>0</v>
      </c>
      <c r="AG42" s="42">
        <f>'表3-成本费用表'!AG83/(1+参数输入表!$I$499)*参数输入表!$I$499</f>
        <v>0</v>
      </c>
      <c r="AH42" s="42">
        <f>'表3-成本费用表'!AH83/(1+参数输入表!$I$499)*参数输入表!$I$499</f>
        <v>0</v>
      </c>
      <c r="AI42" s="42">
        <f>'表3-成本费用表'!AI83/(1+参数输入表!$I$499)*参数输入表!$I$499</f>
        <v>0</v>
      </c>
      <c r="AJ42" s="42">
        <f>'表3-成本费用表'!AJ83/(1+参数输入表!$I$499)*参数输入表!$I$499</f>
        <v>0</v>
      </c>
      <c r="AK42" s="42">
        <f>'表3-成本费用表'!AK83/(1+参数输入表!$I$499)*参数输入表!$I$499</f>
        <v>0</v>
      </c>
      <c r="AL42" s="42">
        <f>'表3-成本费用表'!AL83/(1+参数输入表!$I$499)*参数输入表!$I$499</f>
        <v>0</v>
      </c>
      <c r="AM42" s="42">
        <f>'表3-成本费用表'!AM83/(1+参数输入表!$I$499)*参数输入表!$I$499</f>
        <v>0</v>
      </c>
      <c r="AN42" s="42">
        <f>'表3-成本费用表'!AN83/(1+参数输入表!$I$499)*参数输入表!$I$499</f>
        <v>0</v>
      </c>
      <c r="AO42" s="42">
        <f>'表3-成本费用表'!AO83/(1+参数输入表!$I$499)*参数输入表!$I$499</f>
        <v>0</v>
      </c>
      <c r="AP42" s="42">
        <f>'表3-成本费用表'!AP83/(1+参数输入表!$I$499)*参数输入表!$I$499</f>
        <v>0</v>
      </c>
      <c r="AQ42" s="42">
        <f>'表3-成本费用表'!AQ83/(1+参数输入表!$I$499)*参数输入表!$I$499</f>
        <v>0</v>
      </c>
      <c r="AR42" s="42">
        <f>'表3-成本费用表'!AR83/(1+参数输入表!$I$499)*参数输入表!$I$499</f>
        <v>0</v>
      </c>
      <c r="AS42" s="42">
        <f>'表3-成本费用表'!AS83/(1+参数输入表!$I$499)*参数输入表!$I$499</f>
        <v>0</v>
      </c>
      <c r="AT42" s="42">
        <f>'表3-成本费用表'!AT83/(1+参数输入表!$I$499)*参数输入表!$I$499</f>
        <v>0</v>
      </c>
      <c r="AU42" s="42">
        <f>'表3-成本费用表'!AU83/(1+参数输入表!$I$499)*参数输入表!$I$499</f>
        <v>0</v>
      </c>
      <c r="AV42" s="42">
        <f>'表3-成本费用表'!AV83/(1+参数输入表!$I$499)*参数输入表!$I$499</f>
        <v>0</v>
      </c>
      <c r="AW42" s="42">
        <f>'表3-成本费用表'!AW83/(1+参数输入表!$I$499)*参数输入表!$I$499</f>
        <v>0</v>
      </c>
      <c r="AX42" s="42">
        <f>'表3-成本费用表'!AX83/(1+参数输入表!$I$499)*参数输入表!$I$499</f>
        <v>0</v>
      </c>
      <c r="AY42" s="42">
        <f>'表3-成本费用表'!AY83/(1+参数输入表!$I$499)*参数输入表!$I$499</f>
        <v>0</v>
      </c>
      <c r="AZ42" s="42">
        <f>'表3-成本费用表'!AZ83/(1+参数输入表!$I$499)*参数输入表!$I$499</f>
        <v>0</v>
      </c>
      <c r="BA42" s="43">
        <f>'表3-成本费用表'!BA83/(1+参数输入表!$I$499)*参数输入表!$I$499</f>
        <v>0</v>
      </c>
    </row>
    <row r="43" spans="2:53">
      <c r="B43" s="32"/>
      <c r="C43" s="219" t="s">
        <v>771</v>
      </c>
      <c r="D43" s="42">
        <f t="shared" si="42"/>
        <v>3169.81132075472</v>
      </c>
      <c r="E43" s="29" t="s">
        <v>130</v>
      </c>
      <c r="F43" s="42">
        <f>'表3-成本费用表'!F85/(1+参数输入表!$I$617)*参数输入表!$I$617</f>
        <v>0</v>
      </c>
      <c r="G43" s="42">
        <f>'表3-成本费用表'!G85/(1+参数输入表!$I$617)*参数输入表!$I$617</f>
        <v>0</v>
      </c>
      <c r="H43" s="42">
        <f>'表3-成本费用表'!H85/(1+参数输入表!$I$617)*参数输入表!$I$617</f>
        <v>0</v>
      </c>
      <c r="I43" s="42">
        <f>'表3-成本费用表'!I85/(1+参数输入表!$I$617)*参数输入表!$I$617</f>
        <v>0</v>
      </c>
      <c r="J43" s="42">
        <f>'表3-成本费用表'!J85/(1+参数输入表!$I$617)*参数输入表!$I$617</f>
        <v>0</v>
      </c>
      <c r="K43" s="42">
        <f>'表3-成本费用表'!K85/(1+参数输入表!$I$617)*参数输入表!$I$617</f>
        <v>0</v>
      </c>
      <c r="L43" s="42">
        <f>'表3-成本费用表'!L85/(1+参数输入表!$I$617)*参数输入表!$I$617</f>
        <v>0</v>
      </c>
      <c r="M43" s="42">
        <f>'表3-成本费用表'!M85/(1+参数输入表!$I$617)*参数输入表!$I$617</f>
        <v>33.0188679245283</v>
      </c>
      <c r="N43" s="42">
        <f>'表3-成本费用表'!N85/(1+参数输入表!$I$617)*参数输入表!$I$617</f>
        <v>79.2452830188679</v>
      </c>
      <c r="O43" s="42">
        <f>'表3-成本费用表'!O85/(1+参数输入表!$I$617)*参数输入表!$I$617</f>
        <v>79.2452830188679</v>
      </c>
      <c r="P43" s="42">
        <f>'表3-成本费用表'!P85/(1+参数输入表!$I$617)*参数输入表!$I$617</f>
        <v>79.2452830188679</v>
      </c>
      <c r="Q43" s="42">
        <f>'表3-成本费用表'!Q85/(1+参数输入表!$I$617)*参数输入表!$I$617</f>
        <v>79.2452830188679</v>
      </c>
      <c r="R43" s="42">
        <f>'表3-成本费用表'!R85/(1+参数输入表!$I$617)*参数输入表!$I$617</f>
        <v>79.2452830188679</v>
      </c>
      <c r="S43" s="42">
        <f>'表3-成本费用表'!S85/(1+参数输入表!$I$617)*参数输入表!$I$617</f>
        <v>79.2452830188679</v>
      </c>
      <c r="T43" s="42">
        <f>'表3-成本费用表'!T85/(1+参数输入表!$I$617)*参数输入表!$I$617</f>
        <v>79.2452830188679</v>
      </c>
      <c r="U43" s="42">
        <f>'表3-成本费用表'!U85/(1+参数输入表!$I$617)*参数输入表!$I$617</f>
        <v>79.2452830188679</v>
      </c>
      <c r="V43" s="42">
        <f>'表3-成本费用表'!V85/(1+参数输入表!$I$617)*参数输入表!$I$617</f>
        <v>79.2452830188679</v>
      </c>
      <c r="W43" s="42">
        <f>'表3-成本费用表'!W85/(1+参数输入表!$I$617)*参数输入表!$I$617</f>
        <v>79.2452830188679</v>
      </c>
      <c r="X43" s="42">
        <f>'表3-成本费用表'!X85/(1+参数输入表!$I$617)*参数输入表!$I$617</f>
        <v>79.2452830188679</v>
      </c>
      <c r="Y43" s="42">
        <f>'表3-成本费用表'!Y85/(1+参数输入表!$I$617)*参数输入表!$I$617</f>
        <v>79.2452830188679</v>
      </c>
      <c r="Z43" s="42">
        <f>'表3-成本费用表'!Z85/(1+参数输入表!$I$617)*参数输入表!$I$617</f>
        <v>79.2452830188679</v>
      </c>
      <c r="AA43" s="42">
        <f>'表3-成本费用表'!AA85/(1+参数输入表!$I$617)*参数输入表!$I$617</f>
        <v>79.2452830188679</v>
      </c>
      <c r="AB43" s="42">
        <f>'表3-成本费用表'!AB85/(1+参数输入表!$I$617)*参数输入表!$I$617</f>
        <v>79.2452830188679</v>
      </c>
      <c r="AC43" s="42">
        <f>'表3-成本费用表'!AC85/(1+参数输入表!$I$617)*参数输入表!$I$617</f>
        <v>79.2452830188679</v>
      </c>
      <c r="AD43" s="42">
        <f>'表3-成本费用表'!AD85/(1+参数输入表!$I$617)*参数输入表!$I$617</f>
        <v>79.2452830188679</v>
      </c>
      <c r="AE43" s="42">
        <f>'表3-成本费用表'!AE85/(1+参数输入表!$I$617)*参数输入表!$I$617</f>
        <v>79.2452830188679</v>
      </c>
      <c r="AF43" s="42">
        <f>'表3-成本费用表'!AF85/(1+参数输入表!$I$617)*参数输入表!$I$617</f>
        <v>79.2452830188679</v>
      </c>
      <c r="AG43" s="42">
        <f>'表3-成本费用表'!AG85/(1+参数输入表!$I$617)*参数输入表!$I$617</f>
        <v>79.2452830188679</v>
      </c>
      <c r="AH43" s="42">
        <f>'表3-成本费用表'!AH85/(1+参数输入表!$I$617)*参数输入表!$I$617</f>
        <v>79.2452830188679</v>
      </c>
      <c r="AI43" s="42">
        <f>'表3-成本费用表'!AI85/(1+参数输入表!$I$617)*参数输入表!$I$617</f>
        <v>79.2452830188679</v>
      </c>
      <c r="AJ43" s="42">
        <f>'表3-成本费用表'!AJ85/(1+参数输入表!$I$617)*参数输入表!$I$617</f>
        <v>79.2452830188679</v>
      </c>
      <c r="AK43" s="42">
        <f>'表3-成本费用表'!AK85/(1+参数输入表!$I$617)*参数输入表!$I$617</f>
        <v>79.2452830188679</v>
      </c>
      <c r="AL43" s="42">
        <f>'表3-成本费用表'!AL85/(1+参数输入表!$I$617)*参数输入表!$I$617</f>
        <v>79.2452830188679</v>
      </c>
      <c r="AM43" s="42">
        <f>'表3-成本费用表'!AM85/(1+参数输入表!$I$617)*参数输入表!$I$617</f>
        <v>79.2452830188679</v>
      </c>
      <c r="AN43" s="42">
        <f>'表3-成本费用表'!AN85/(1+参数输入表!$I$617)*参数输入表!$I$617</f>
        <v>79.2452830188679</v>
      </c>
      <c r="AO43" s="42">
        <f>'表3-成本费用表'!AO85/(1+参数输入表!$I$617)*参数输入表!$I$617</f>
        <v>79.2452830188679</v>
      </c>
      <c r="AP43" s="42">
        <f>'表3-成本费用表'!AP85/(1+参数输入表!$I$617)*参数输入表!$I$617</f>
        <v>79.2452830188679</v>
      </c>
      <c r="AQ43" s="42">
        <f>'表3-成本费用表'!AQ85/(1+参数输入表!$I$617)*参数输入表!$I$617</f>
        <v>79.2452830188679</v>
      </c>
      <c r="AR43" s="42">
        <f>'表3-成本费用表'!AR85/(1+参数输入表!$I$617)*参数输入表!$I$617</f>
        <v>79.2452830188679</v>
      </c>
      <c r="AS43" s="42">
        <f>'表3-成本费用表'!AS85/(1+参数输入表!$I$617)*参数输入表!$I$617</f>
        <v>79.2452830188679</v>
      </c>
      <c r="AT43" s="42">
        <f>'表3-成本费用表'!AT85/(1+参数输入表!$I$617)*参数输入表!$I$617</f>
        <v>79.2452830188679</v>
      </c>
      <c r="AU43" s="42">
        <f>'表3-成本费用表'!AU85/(1+参数输入表!$I$617)*参数输入表!$I$617</f>
        <v>79.2452830188679</v>
      </c>
      <c r="AV43" s="42">
        <f>'表3-成本费用表'!AV85/(1+参数输入表!$I$617)*参数输入表!$I$617</f>
        <v>79.2452830188679</v>
      </c>
      <c r="AW43" s="42">
        <f>'表3-成本费用表'!AW85/(1+参数输入表!$I$617)*参数输入表!$I$617</f>
        <v>79.2452830188679</v>
      </c>
      <c r="AX43" s="42">
        <f>'表3-成本费用表'!AX85/(1+参数输入表!$I$617)*参数输入表!$I$617</f>
        <v>79.2452830188679</v>
      </c>
      <c r="AY43" s="42">
        <f>'表3-成本费用表'!AY85/(1+参数输入表!$I$617)*参数输入表!$I$617</f>
        <v>79.2452830188679</v>
      </c>
      <c r="AZ43" s="42">
        <f>'表3-成本费用表'!AZ85/(1+参数输入表!$I$617)*参数输入表!$I$617</f>
        <v>79.2452830188679</v>
      </c>
      <c r="BA43" s="43">
        <f>'表3-成本费用表'!BA85/(1+参数输入表!$I$617)*参数输入表!$I$617</f>
        <v>46.2264150943396</v>
      </c>
    </row>
    <row r="44" spans="2:53">
      <c r="B44" s="32"/>
      <c r="C44" s="219" t="s">
        <v>296</v>
      </c>
      <c r="D44" s="42">
        <f t="shared" si="42"/>
        <v>0</v>
      </c>
      <c r="E44" s="29" t="s">
        <v>130</v>
      </c>
      <c r="F44" s="42">
        <f>'表3-成本费用表'!F86/(1+参数输入表!$I$613)*参数输入表!$I$613</f>
        <v>0</v>
      </c>
      <c r="G44" s="42">
        <f>'表3-成本费用表'!G86/(1+参数输入表!$I$613)*参数输入表!$I$613</f>
        <v>0</v>
      </c>
      <c r="H44" s="42">
        <f>'表3-成本费用表'!H86/(1+参数输入表!$I$613)*参数输入表!$I$613</f>
        <v>0</v>
      </c>
      <c r="I44" s="42">
        <f>'表3-成本费用表'!I86/(1+参数输入表!$I$613)*参数输入表!$I$613</f>
        <v>0</v>
      </c>
      <c r="J44" s="42">
        <f>'表3-成本费用表'!J86/(1+参数输入表!$I$613)*参数输入表!$I$613</f>
        <v>0</v>
      </c>
      <c r="K44" s="42">
        <f>'表3-成本费用表'!K86/(1+参数输入表!$I$613)*参数输入表!$I$613</f>
        <v>0</v>
      </c>
      <c r="L44" s="42">
        <f>'表3-成本费用表'!L86/(1+参数输入表!$I$613)*参数输入表!$I$613</f>
        <v>0</v>
      </c>
      <c r="M44" s="42">
        <f>'表3-成本费用表'!M86/(1+参数输入表!$I$613)*参数输入表!$I$613</f>
        <v>0</v>
      </c>
      <c r="N44" s="42">
        <f>'表3-成本费用表'!N86/(1+参数输入表!$I$613)*参数输入表!$I$613</f>
        <v>0</v>
      </c>
      <c r="O44" s="42">
        <f>'表3-成本费用表'!O86/(1+参数输入表!$I$613)*参数输入表!$I$613</f>
        <v>0</v>
      </c>
      <c r="P44" s="42">
        <f>'表3-成本费用表'!P86/(1+参数输入表!$I$613)*参数输入表!$I$613</f>
        <v>0</v>
      </c>
      <c r="Q44" s="42">
        <f>'表3-成本费用表'!Q86/(1+参数输入表!$I$613)*参数输入表!$I$613</f>
        <v>0</v>
      </c>
      <c r="R44" s="42">
        <f>'表3-成本费用表'!R86/(1+参数输入表!$I$613)*参数输入表!$I$613</f>
        <v>0</v>
      </c>
      <c r="S44" s="42">
        <f>'表3-成本费用表'!S86/(1+参数输入表!$I$613)*参数输入表!$I$613</f>
        <v>0</v>
      </c>
      <c r="T44" s="42">
        <f>'表3-成本费用表'!T86/(1+参数输入表!$I$613)*参数输入表!$I$613</f>
        <v>0</v>
      </c>
      <c r="U44" s="42">
        <f>'表3-成本费用表'!U86/(1+参数输入表!$I$613)*参数输入表!$I$613</f>
        <v>0</v>
      </c>
      <c r="V44" s="42">
        <f>'表3-成本费用表'!V86/(1+参数输入表!$I$613)*参数输入表!$I$613</f>
        <v>0</v>
      </c>
      <c r="W44" s="42">
        <f>'表3-成本费用表'!W86/(1+参数输入表!$I$613)*参数输入表!$I$613</f>
        <v>0</v>
      </c>
      <c r="X44" s="42">
        <f>'表3-成本费用表'!X86/(1+参数输入表!$I$613)*参数输入表!$I$613</f>
        <v>0</v>
      </c>
      <c r="Y44" s="42">
        <f>'表3-成本费用表'!Y86/(1+参数输入表!$I$613)*参数输入表!$I$613</f>
        <v>0</v>
      </c>
      <c r="Z44" s="42">
        <f>'表3-成本费用表'!Z86/(1+参数输入表!$I$613)*参数输入表!$I$613</f>
        <v>0</v>
      </c>
      <c r="AA44" s="42">
        <f>'表3-成本费用表'!AA86/(1+参数输入表!$I$613)*参数输入表!$I$613</f>
        <v>0</v>
      </c>
      <c r="AB44" s="42">
        <f>'表3-成本费用表'!AB86/(1+参数输入表!$I$613)*参数输入表!$I$613</f>
        <v>0</v>
      </c>
      <c r="AC44" s="42">
        <f>'表3-成本费用表'!AC86/(1+参数输入表!$I$613)*参数输入表!$I$613</f>
        <v>0</v>
      </c>
      <c r="AD44" s="42">
        <f>'表3-成本费用表'!AD86/(1+参数输入表!$I$613)*参数输入表!$I$613</f>
        <v>0</v>
      </c>
      <c r="AE44" s="42">
        <f>'表3-成本费用表'!AE86/(1+参数输入表!$I$613)*参数输入表!$I$613</f>
        <v>0</v>
      </c>
      <c r="AF44" s="42">
        <f>'表3-成本费用表'!AF86/(1+参数输入表!$I$613)*参数输入表!$I$613</f>
        <v>0</v>
      </c>
      <c r="AG44" s="42">
        <f>'表3-成本费用表'!AG86/(1+参数输入表!$I$613)*参数输入表!$I$613</f>
        <v>0</v>
      </c>
      <c r="AH44" s="42">
        <f>'表3-成本费用表'!AH86/(1+参数输入表!$I$613)*参数输入表!$I$613</f>
        <v>0</v>
      </c>
      <c r="AI44" s="42">
        <f>'表3-成本费用表'!AI86/(1+参数输入表!$I$613)*参数输入表!$I$613</f>
        <v>0</v>
      </c>
      <c r="AJ44" s="42">
        <f>'表3-成本费用表'!AJ86/(1+参数输入表!$I$613)*参数输入表!$I$613</f>
        <v>0</v>
      </c>
      <c r="AK44" s="42">
        <f>'表3-成本费用表'!AK86/(1+参数输入表!$I$613)*参数输入表!$I$613</f>
        <v>0</v>
      </c>
      <c r="AL44" s="42">
        <f>'表3-成本费用表'!AL86/(1+参数输入表!$I$613)*参数输入表!$I$613</f>
        <v>0</v>
      </c>
      <c r="AM44" s="42">
        <f>'表3-成本费用表'!AM86/(1+参数输入表!$I$613)*参数输入表!$I$613</f>
        <v>0</v>
      </c>
      <c r="AN44" s="42">
        <f>'表3-成本费用表'!AN86/(1+参数输入表!$I$613)*参数输入表!$I$613</f>
        <v>0</v>
      </c>
      <c r="AO44" s="42">
        <f>'表3-成本费用表'!AO86/(1+参数输入表!$I$613)*参数输入表!$I$613</f>
        <v>0</v>
      </c>
      <c r="AP44" s="42">
        <f>'表3-成本费用表'!AP86/(1+参数输入表!$I$613)*参数输入表!$I$613</f>
        <v>0</v>
      </c>
      <c r="AQ44" s="42">
        <f>'表3-成本费用表'!AQ86/(1+参数输入表!$I$613)*参数输入表!$I$613</f>
        <v>0</v>
      </c>
      <c r="AR44" s="42">
        <f>'表3-成本费用表'!AR86/(1+参数输入表!$I$613)*参数输入表!$I$613</f>
        <v>0</v>
      </c>
      <c r="AS44" s="42">
        <f>'表3-成本费用表'!AS86/(1+参数输入表!$I$613)*参数输入表!$I$613</f>
        <v>0</v>
      </c>
      <c r="AT44" s="42">
        <f>'表3-成本费用表'!AT86/(1+参数输入表!$I$613)*参数输入表!$I$613</f>
        <v>0</v>
      </c>
      <c r="AU44" s="42">
        <f>'表3-成本费用表'!AU86/(1+参数输入表!$I$613)*参数输入表!$I$613</f>
        <v>0</v>
      </c>
      <c r="AV44" s="42">
        <f>'表3-成本费用表'!AV86/(1+参数输入表!$I$613)*参数输入表!$I$613</f>
        <v>0</v>
      </c>
      <c r="AW44" s="42">
        <f>'表3-成本费用表'!AW86/(1+参数输入表!$I$613)*参数输入表!$I$613</f>
        <v>0</v>
      </c>
      <c r="AX44" s="42">
        <f>'表3-成本费用表'!AX86/(1+参数输入表!$I$613)*参数输入表!$I$613</f>
        <v>0</v>
      </c>
      <c r="AY44" s="42">
        <f>'表3-成本费用表'!AY86/(1+参数输入表!$I$613)*参数输入表!$I$613</f>
        <v>0</v>
      </c>
      <c r="AZ44" s="42">
        <f>'表3-成本费用表'!AZ86/(1+参数输入表!$I$613)*参数输入表!$I$613</f>
        <v>0</v>
      </c>
      <c r="BA44" s="43">
        <f>'表3-成本费用表'!BA86/(1+参数输入表!$I$613)*参数输入表!$I$613</f>
        <v>0</v>
      </c>
    </row>
    <row r="45" spans="2:53">
      <c r="B45" s="32"/>
      <c r="C45" s="219" t="s">
        <v>812</v>
      </c>
      <c r="D45" s="42">
        <f t="shared" si="42"/>
        <v>371.559633027523</v>
      </c>
      <c r="E45" s="29" t="s">
        <v>130</v>
      </c>
      <c r="F45" s="42">
        <f>'表3-成本费用表'!F84/(1+参数输入表!$I$692)*参数输入表!$I$692</f>
        <v>0</v>
      </c>
      <c r="G45" s="42">
        <f>'表3-成本费用表'!G84/(1+参数输入表!$I$692)*参数输入表!$I$692</f>
        <v>0</v>
      </c>
      <c r="H45" s="42">
        <f>'表3-成本费用表'!H84/(1+参数输入表!$I$692)*参数输入表!$I$692</f>
        <v>0</v>
      </c>
      <c r="I45" s="42">
        <f>'表3-成本费用表'!I84/(1+参数输入表!$I$692)*参数输入表!$I$692</f>
        <v>0</v>
      </c>
      <c r="J45" s="42">
        <f>'表3-成本费用表'!J84/(1+参数输入表!$I$692)*参数输入表!$I$692</f>
        <v>0</v>
      </c>
      <c r="K45" s="42">
        <f>'表3-成本费用表'!K84/(1+参数输入表!$I$692)*参数输入表!$I$692</f>
        <v>0</v>
      </c>
      <c r="L45" s="42">
        <f>'表3-成本费用表'!L84/(1+参数输入表!$I$692)*参数输入表!$I$692</f>
        <v>0</v>
      </c>
      <c r="M45" s="42">
        <f>'表3-成本费用表'!M84/(1+参数输入表!$I$692)*参数输入表!$I$692</f>
        <v>0</v>
      </c>
      <c r="N45" s="42">
        <f>'表3-成本费用表'!N84/(1+参数输入表!$I$692)*参数输入表!$I$692</f>
        <v>41.2844036697248</v>
      </c>
      <c r="O45" s="42">
        <f>'表3-成本费用表'!O84/(1+参数输入表!$I$692)*参数输入表!$I$692</f>
        <v>0</v>
      </c>
      <c r="P45" s="42">
        <f>'表3-成本费用表'!P84/(1+参数输入表!$I$692)*参数输入表!$I$692</f>
        <v>0</v>
      </c>
      <c r="Q45" s="42">
        <f>'表3-成本费用表'!Q84/(1+参数输入表!$I$692)*参数输入表!$I$692</f>
        <v>0</v>
      </c>
      <c r="R45" s="42">
        <f>'表3-成本费用表'!R84/(1+参数输入表!$I$692)*参数输入表!$I$692</f>
        <v>0</v>
      </c>
      <c r="S45" s="42">
        <f>'表3-成本费用表'!S84/(1+参数输入表!$I$692)*参数输入表!$I$692</f>
        <v>41.2844036697248</v>
      </c>
      <c r="T45" s="42">
        <f>'表3-成本费用表'!T84/(1+参数输入表!$I$692)*参数输入表!$I$692</f>
        <v>0</v>
      </c>
      <c r="U45" s="42">
        <f>'表3-成本费用表'!U84/(1+参数输入表!$I$692)*参数输入表!$I$692</f>
        <v>0</v>
      </c>
      <c r="V45" s="42">
        <f>'表3-成本费用表'!V84/(1+参数输入表!$I$692)*参数输入表!$I$692</f>
        <v>0</v>
      </c>
      <c r="W45" s="42">
        <f>'表3-成本费用表'!W84/(1+参数输入表!$I$692)*参数输入表!$I$692</f>
        <v>0</v>
      </c>
      <c r="X45" s="42">
        <f>'表3-成本费用表'!X84/(1+参数输入表!$I$692)*参数输入表!$I$692</f>
        <v>41.2844036697248</v>
      </c>
      <c r="Y45" s="42">
        <f>'表3-成本费用表'!Y84/(1+参数输入表!$I$692)*参数输入表!$I$692</f>
        <v>0</v>
      </c>
      <c r="Z45" s="42">
        <f>'表3-成本费用表'!Z84/(1+参数输入表!$I$692)*参数输入表!$I$692</f>
        <v>0</v>
      </c>
      <c r="AA45" s="42">
        <f>'表3-成本费用表'!AA84/(1+参数输入表!$I$692)*参数输入表!$I$692</f>
        <v>0</v>
      </c>
      <c r="AB45" s="42">
        <f>'表3-成本费用表'!AB84/(1+参数输入表!$I$692)*参数输入表!$I$692</f>
        <v>0</v>
      </c>
      <c r="AC45" s="42">
        <f>'表3-成本费用表'!AC84/(1+参数输入表!$I$692)*参数输入表!$I$692</f>
        <v>41.2844036697248</v>
      </c>
      <c r="AD45" s="42">
        <f>'表3-成本费用表'!AD84/(1+参数输入表!$I$692)*参数输入表!$I$692</f>
        <v>0</v>
      </c>
      <c r="AE45" s="42">
        <f>'表3-成本费用表'!AE84/(1+参数输入表!$I$692)*参数输入表!$I$692</f>
        <v>0</v>
      </c>
      <c r="AF45" s="42">
        <f>'表3-成本费用表'!AF84/(1+参数输入表!$I$692)*参数输入表!$I$692</f>
        <v>0</v>
      </c>
      <c r="AG45" s="42">
        <f>'表3-成本费用表'!AG84/(1+参数输入表!$I$692)*参数输入表!$I$692</f>
        <v>0</v>
      </c>
      <c r="AH45" s="42">
        <f>'表3-成本费用表'!AH84/(1+参数输入表!$I$692)*参数输入表!$I$692</f>
        <v>41.2844036697248</v>
      </c>
      <c r="AI45" s="42">
        <f>'表3-成本费用表'!AI84/(1+参数输入表!$I$692)*参数输入表!$I$692</f>
        <v>0</v>
      </c>
      <c r="AJ45" s="42">
        <f>'表3-成本费用表'!AJ84/(1+参数输入表!$I$692)*参数输入表!$I$692</f>
        <v>0</v>
      </c>
      <c r="AK45" s="42">
        <f>'表3-成本费用表'!AK84/(1+参数输入表!$I$692)*参数输入表!$I$692</f>
        <v>0</v>
      </c>
      <c r="AL45" s="42">
        <f>'表3-成本费用表'!AL84/(1+参数输入表!$I$692)*参数输入表!$I$692</f>
        <v>0</v>
      </c>
      <c r="AM45" s="42">
        <f>'表3-成本费用表'!AM84/(1+参数输入表!$I$692)*参数输入表!$I$692</f>
        <v>41.2844036697248</v>
      </c>
      <c r="AN45" s="42">
        <f>'表3-成本费用表'!AN84/(1+参数输入表!$I$692)*参数输入表!$I$692</f>
        <v>0</v>
      </c>
      <c r="AO45" s="42">
        <f>'表3-成本费用表'!AO84/(1+参数输入表!$I$692)*参数输入表!$I$692</f>
        <v>0</v>
      </c>
      <c r="AP45" s="42">
        <f>'表3-成本费用表'!AP84/(1+参数输入表!$I$692)*参数输入表!$I$692</f>
        <v>0</v>
      </c>
      <c r="AQ45" s="42">
        <f>'表3-成本费用表'!AQ84/(1+参数输入表!$I$692)*参数输入表!$I$692</f>
        <v>0</v>
      </c>
      <c r="AR45" s="42">
        <f>'表3-成本费用表'!AR84/(1+参数输入表!$I$692)*参数输入表!$I$692</f>
        <v>41.2844036697248</v>
      </c>
      <c r="AS45" s="42">
        <f>'表3-成本费用表'!AS84/(1+参数输入表!$I$692)*参数输入表!$I$692</f>
        <v>0</v>
      </c>
      <c r="AT45" s="42">
        <f>'表3-成本费用表'!AT84/(1+参数输入表!$I$692)*参数输入表!$I$692</f>
        <v>0</v>
      </c>
      <c r="AU45" s="42">
        <f>'表3-成本费用表'!AU84/(1+参数输入表!$I$692)*参数输入表!$I$692</f>
        <v>0</v>
      </c>
      <c r="AV45" s="42">
        <f>'表3-成本费用表'!AV84/(1+参数输入表!$I$692)*参数输入表!$I$692</f>
        <v>0</v>
      </c>
      <c r="AW45" s="42">
        <f>'表3-成本费用表'!AW84/(1+参数输入表!$I$692)*参数输入表!$I$692</f>
        <v>41.2844036697248</v>
      </c>
      <c r="AX45" s="42">
        <f>'表3-成本费用表'!AX84/(1+参数输入表!$I$692)*参数输入表!$I$692</f>
        <v>0</v>
      </c>
      <c r="AY45" s="42">
        <f>'表3-成本费用表'!AY84/(1+参数输入表!$I$692)*参数输入表!$I$692</f>
        <v>41.2844036697248</v>
      </c>
      <c r="AZ45" s="42">
        <f>'表3-成本费用表'!AZ84/(1+参数输入表!$I$692)*参数输入表!$I$692</f>
        <v>0</v>
      </c>
      <c r="BA45" s="43">
        <f>'表3-成本费用表'!BA84/(1+参数输入表!$I$692)*参数输入表!$I$692</f>
        <v>0</v>
      </c>
    </row>
    <row r="46" spans="2:53">
      <c r="B46" s="32" t="s">
        <v>813</v>
      </c>
      <c r="C46" s="148" t="s">
        <v>814</v>
      </c>
      <c r="D46" s="42">
        <f t="shared" si="42"/>
        <v>0</v>
      </c>
      <c r="E46" s="29" t="s">
        <v>130</v>
      </c>
      <c r="F46" s="42">
        <v>0</v>
      </c>
      <c r="G46" s="42">
        <v>0</v>
      </c>
      <c r="H46" s="42">
        <v>0</v>
      </c>
      <c r="I46" s="42">
        <v>0</v>
      </c>
      <c r="J46" s="42">
        <v>0</v>
      </c>
      <c r="K46" s="42">
        <v>0</v>
      </c>
      <c r="L46" s="42">
        <v>0</v>
      </c>
      <c r="M46" s="42">
        <v>0</v>
      </c>
      <c r="N46" s="42">
        <v>0</v>
      </c>
      <c r="O46" s="42">
        <v>0</v>
      </c>
      <c r="P46" s="42">
        <v>0</v>
      </c>
      <c r="Q46" s="42">
        <v>0</v>
      </c>
      <c r="R46" s="42">
        <v>0</v>
      </c>
      <c r="S46" s="42">
        <v>0</v>
      </c>
      <c r="T46" s="42">
        <v>0</v>
      </c>
      <c r="U46" s="42">
        <v>0</v>
      </c>
      <c r="V46" s="42">
        <v>0</v>
      </c>
      <c r="W46" s="42">
        <v>0</v>
      </c>
      <c r="X46" s="42">
        <v>0</v>
      </c>
      <c r="Y46" s="42">
        <v>0</v>
      </c>
      <c r="Z46" s="42">
        <v>0</v>
      </c>
      <c r="AA46" s="42">
        <v>0</v>
      </c>
      <c r="AB46" s="42">
        <v>0</v>
      </c>
      <c r="AC46" s="42">
        <v>0</v>
      </c>
      <c r="AD46" s="42">
        <v>0</v>
      </c>
      <c r="AE46" s="42">
        <v>0</v>
      </c>
      <c r="AF46" s="42">
        <v>0</v>
      </c>
      <c r="AG46" s="42">
        <v>0</v>
      </c>
      <c r="AH46" s="42">
        <v>0</v>
      </c>
      <c r="AI46" s="42">
        <v>0</v>
      </c>
      <c r="AJ46" s="42">
        <v>0</v>
      </c>
      <c r="AK46" s="42">
        <v>0</v>
      </c>
      <c r="AL46" s="42">
        <v>0</v>
      </c>
      <c r="AM46" s="42">
        <v>0</v>
      </c>
      <c r="AN46" s="42">
        <v>0</v>
      </c>
      <c r="AO46" s="42">
        <v>0</v>
      </c>
      <c r="AP46" s="42">
        <v>0</v>
      </c>
      <c r="AQ46" s="42">
        <v>0</v>
      </c>
      <c r="AR46" s="42">
        <v>0</v>
      </c>
      <c r="AS46" s="42">
        <v>0</v>
      </c>
      <c r="AT46" s="42">
        <v>0</v>
      </c>
      <c r="AU46" s="42">
        <v>0</v>
      </c>
      <c r="AV46" s="42">
        <v>0</v>
      </c>
      <c r="AW46" s="42">
        <v>0</v>
      </c>
      <c r="AX46" s="42">
        <v>0</v>
      </c>
      <c r="AY46" s="42">
        <v>0</v>
      </c>
      <c r="AZ46" s="42">
        <v>0</v>
      </c>
      <c r="BA46" s="43">
        <v>0</v>
      </c>
    </row>
    <row r="47" spans="2:53">
      <c r="B47" s="32" t="s">
        <v>815</v>
      </c>
      <c r="C47" s="148" t="s">
        <v>816</v>
      </c>
      <c r="D47" s="42">
        <f t="shared" si="42"/>
        <v>0</v>
      </c>
      <c r="E47" s="29" t="s">
        <v>130</v>
      </c>
      <c r="F47" s="42">
        <f>SUM(F48:F48)</f>
        <v>0</v>
      </c>
      <c r="G47" s="42">
        <f t="shared" ref="G47:BA47" si="43">SUM(G48:G48)</f>
        <v>0</v>
      </c>
      <c r="H47" s="42">
        <f t="shared" si="43"/>
        <v>0</v>
      </c>
      <c r="I47" s="42">
        <f t="shared" si="43"/>
        <v>0</v>
      </c>
      <c r="J47" s="42">
        <f t="shared" si="43"/>
        <v>0</v>
      </c>
      <c r="K47" s="42">
        <f t="shared" si="43"/>
        <v>0</v>
      </c>
      <c r="L47" s="42">
        <f t="shared" si="43"/>
        <v>0</v>
      </c>
      <c r="M47" s="42">
        <f t="shared" si="43"/>
        <v>0</v>
      </c>
      <c r="N47" s="42">
        <f t="shared" si="43"/>
        <v>0</v>
      </c>
      <c r="O47" s="42">
        <f t="shared" si="43"/>
        <v>0</v>
      </c>
      <c r="P47" s="42">
        <f t="shared" si="43"/>
        <v>0</v>
      </c>
      <c r="Q47" s="42">
        <f t="shared" si="43"/>
        <v>0</v>
      </c>
      <c r="R47" s="42">
        <f t="shared" si="43"/>
        <v>0</v>
      </c>
      <c r="S47" s="42">
        <f t="shared" si="43"/>
        <v>0</v>
      </c>
      <c r="T47" s="42">
        <f t="shared" si="43"/>
        <v>0</v>
      </c>
      <c r="U47" s="42">
        <f t="shared" si="43"/>
        <v>0</v>
      </c>
      <c r="V47" s="42">
        <f t="shared" si="43"/>
        <v>0</v>
      </c>
      <c r="W47" s="42">
        <f t="shared" si="43"/>
        <v>0</v>
      </c>
      <c r="X47" s="42">
        <f t="shared" si="43"/>
        <v>0</v>
      </c>
      <c r="Y47" s="42">
        <f t="shared" si="43"/>
        <v>0</v>
      </c>
      <c r="Z47" s="42">
        <f t="shared" si="43"/>
        <v>0</v>
      </c>
      <c r="AA47" s="42">
        <f t="shared" si="43"/>
        <v>0</v>
      </c>
      <c r="AB47" s="42">
        <f t="shared" si="43"/>
        <v>0</v>
      </c>
      <c r="AC47" s="42">
        <f t="shared" si="43"/>
        <v>0</v>
      </c>
      <c r="AD47" s="42">
        <f t="shared" si="43"/>
        <v>0</v>
      </c>
      <c r="AE47" s="42">
        <f t="shared" si="43"/>
        <v>0</v>
      </c>
      <c r="AF47" s="42">
        <f t="shared" si="43"/>
        <v>0</v>
      </c>
      <c r="AG47" s="42">
        <f t="shared" si="43"/>
        <v>0</v>
      </c>
      <c r="AH47" s="42">
        <f t="shared" si="43"/>
        <v>0</v>
      </c>
      <c r="AI47" s="42">
        <f t="shared" si="43"/>
        <v>0</v>
      </c>
      <c r="AJ47" s="42">
        <f t="shared" si="43"/>
        <v>0</v>
      </c>
      <c r="AK47" s="42">
        <f t="shared" si="43"/>
        <v>0</v>
      </c>
      <c r="AL47" s="42">
        <f t="shared" si="43"/>
        <v>0</v>
      </c>
      <c r="AM47" s="42">
        <f t="shared" si="43"/>
        <v>0</v>
      </c>
      <c r="AN47" s="42">
        <f t="shared" si="43"/>
        <v>0</v>
      </c>
      <c r="AO47" s="42">
        <f t="shared" si="43"/>
        <v>0</v>
      </c>
      <c r="AP47" s="42">
        <f t="shared" si="43"/>
        <v>0</v>
      </c>
      <c r="AQ47" s="42">
        <f t="shared" si="43"/>
        <v>0</v>
      </c>
      <c r="AR47" s="42">
        <f t="shared" si="43"/>
        <v>0</v>
      </c>
      <c r="AS47" s="42">
        <f t="shared" si="43"/>
        <v>0</v>
      </c>
      <c r="AT47" s="42">
        <f t="shared" si="43"/>
        <v>0</v>
      </c>
      <c r="AU47" s="42">
        <f t="shared" si="43"/>
        <v>0</v>
      </c>
      <c r="AV47" s="42">
        <f t="shared" si="43"/>
        <v>0</v>
      </c>
      <c r="AW47" s="42">
        <f t="shared" si="43"/>
        <v>0</v>
      </c>
      <c r="AX47" s="42">
        <f t="shared" si="43"/>
        <v>0</v>
      </c>
      <c r="AY47" s="42">
        <f t="shared" si="43"/>
        <v>0</v>
      </c>
      <c r="AZ47" s="42">
        <f t="shared" si="43"/>
        <v>0</v>
      </c>
      <c r="BA47" s="43">
        <f t="shared" si="43"/>
        <v>0</v>
      </c>
    </row>
    <row r="48" spans="2:53">
      <c r="B48" s="32"/>
      <c r="C48" s="219" t="s">
        <v>774</v>
      </c>
      <c r="D48" s="42">
        <f t="shared" si="42"/>
        <v>0</v>
      </c>
      <c r="E48" s="29" t="s">
        <v>130</v>
      </c>
      <c r="F48" s="42">
        <f>'表3-成本费用表'!F89/(1+参数输入表!$I$489)*参数输入表!$I$489</f>
        <v>0</v>
      </c>
      <c r="G48" s="42">
        <f>'表3-成本费用表'!G89/(1+参数输入表!$I$489)*参数输入表!$I$489</f>
        <v>0</v>
      </c>
      <c r="H48" s="42">
        <f>'表3-成本费用表'!H89/(1+参数输入表!$I$489)*参数输入表!$I$489</f>
        <v>0</v>
      </c>
      <c r="I48" s="42">
        <f>'表3-成本费用表'!I89/(1+参数输入表!$I$489)*参数输入表!$I$489</f>
        <v>0</v>
      </c>
      <c r="J48" s="42">
        <f>'表3-成本费用表'!J89/(1+参数输入表!$I$489)*参数输入表!$I$489</f>
        <v>0</v>
      </c>
      <c r="K48" s="42">
        <f>'表3-成本费用表'!K89/(1+参数输入表!$I$489)*参数输入表!$I$489</f>
        <v>0</v>
      </c>
      <c r="L48" s="42">
        <f>'表3-成本费用表'!L89/(1+参数输入表!$I$489)*参数输入表!$I$489</f>
        <v>0</v>
      </c>
      <c r="M48" s="42">
        <f>'表3-成本费用表'!M89/(1+参数输入表!$I$489)*参数输入表!$I$489</f>
        <v>0</v>
      </c>
      <c r="N48" s="42">
        <f>'表3-成本费用表'!N89/(1+参数输入表!$I$489)*参数输入表!$I$489</f>
        <v>0</v>
      </c>
      <c r="O48" s="42">
        <f>'表3-成本费用表'!O89/(1+参数输入表!$I$489)*参数输入表!$I$489</f>
        <v>0</v>
      </c>
      <c r="P48" s="42">
        <f>'表3-成本费用表'!P89/(1+参数输入表!$I$489)*参数输入表!$I$489</f>
        <v>0</v>
      </c>
      <c r="Q48" s="42">
        <f>'表3-成本费用表'!Q89/(1+参数输入表!$I$489)*参数输入表!$I$489</f>
        <v>0</v>
      </c>
      <c r="R48" s="42">
        <f>'表3-成本费用表'!R89/(1+参数输入表!$I$489)*参数输入表!$I$489</f>
        <v>0</v>
      </c>
      <c r="S48" s="42">
        <f>'表3-成本费用表'!S89/(1+参数输入表!$I$489)*参数输入表!$I$489</f>
        <v>0</v>
      </c>
      <c r="T48" s="42">
        <f>'表3-成本费用表'!T89/(1+参数输入表!$I$489)*参数输入表!$I$489</f>
        <v>0</v>
      </c>
      <c r="U48" s="42">
        <f>'表3-成本费用表'!U89/(1+参数输入表!$I$489)*参数输入表!$I$489</f>
        <v>0</v>
      </c>
      <c r="V48" s="42">
        <f>'表3-成本费用表'!V89/(1+参数输入表!$I$489)*参数输入表!$I$489</f>
        <v>0</v>
      </c>
      <c r="W48" s="42">
        <f>'表3-成本费用表'!W89/(1+参数输入表!$I$489)*参数输入表!$I$489</f>
        <v>0</v>
      </c>
      <c r="X48" s="42">
        <f>'表3-成本费用表'!X89/(1+参数输入表!$I$489)*参数输入表!$I$489</f>
        <v>0</v>
      </c>
      <c r="Y48" s="42">
        <f>'表3-成本费用表'!Y89/(1+参数输入表!$I$489)*参数输入表!$I$489</f>
        <v>0</v>
      </c>
      <c r="Z48" s="42">
        <f>'表3-成本费用表'!Z89/(1+参数输入表!$I$489)*参数输入表!$I$489</f>
        <v>0</v>
      </c>
      <c r="AA48" s="42">
        <f>'表3-成本费用表'!AA89/(1+参数输入表!$I$489)*参数输入表!$I$489</f>
        <v>0</v>
      </c>
      <c r="AB48" s="42">
        <f>'表3-成本费用表'!AB89/(1+参数输入表!$I$489)*参数输入表!$I$489</f>
        <v>0</v>
      </c>
      <c r="AC48" s="42">
        <f>'表3-成本费用表'!AC89/(1+参数输入表!$I$489)*参数输入表!$I$489</f>
        <v>0</v>
      </c>
      <c r="AD48" s="42">
        <f>'表3-成本费用表'!AD89/(1+参数输入表!$I$489)*参数输入表!$I$489</f>
        <v>0</v>
      </c>
      <c r="AE48" s="42">
        <f>'表3-成本费用表'!AE89/(1+参数输入表!$I$489)*参数输入表!$I$489</f>
        <v>0</v>
      </c>
      <c r="AF48" s="42">
        <f>'表3-成本费用表'!AF89/(1+参数输入表!$I$489)*参数输入表!$I$489</f>
        <v>0</v>
      </c>
      <c r="AG48" s="42">
        <f>'表3-成本费用表'!AG89/(1+参数输入表!$I$489)*参数输入表!$I$489</f>
        <v>0</v>
      </c>
      <c r="AH48" s="42">
        <f>'表3-成本费用表'!AH89/(1+参数输入表!$I$489)*参数输入表!$I$489</f>
        <v>0</v>
      </c>
      <c r="AI48" s="42">
        <f>'表3-成本费用表'!AI89/(1+参数输入表!$I$489)*参数输入表!$I$489</f>
        <v>0</v>
      </c>
      <c r="AJ48" s="42">
        <f>'表3-成本费用表'!AJ89/(1+参数输入表!$I$489)*参数输入表!$I$489</f>
        <v>0</v>
      </c>
      <c r="AK48" s="42">
        <f>'表3-成本费用表'!AK89/(1+参数输入表!$I$489)*参数输入表!$I$489</f>
        <v>0</v>
      </c>
      <c r="AL48" s="42">
        <f>'表3-成本费用表'!AL89/(1+参数输入表!$I$489)*参数输入表!$I$489</f>
        <v>0</v>
      </c>
      <c r="AM48" s="42">
        <f>'表3-成本费用表'!AM89/(1+参数输入表!$I$489)*参数输入表!$I$489</f>
        <v>0</v>
      </c>
      <c r="AN48" s="42">
        <f>'表3-成本费用表'!AN89/(1+参数输入表!$I$489)*参数输入表!$I$489</f>
        <v>0</v>
      </c>
      <c r="AO48" s="42">
        <f>'表3-成本费用表'!AO89/(1+参数输入表!$I$489)*参数输入表!$I$489</f>
        <v>0</v>
      </c>
      <c r="AP48" s="42">
        <f>'表3-成本费用表'!AP89/(1+参数输入表!$I$489)*参数输入表!$I$489</f>
        <v>0</v>
      </c>
      <c r="AQ48" s="42">
        <f>'表3-成本费用表'!AQ89/(1+参数输入表!$I$489)*参数输入表!$I$489</f>
        <v>0</v>
      </c>
      <c r="AR48" s="42">
        <f>'表3-成本费用表'!AR89/(1+参数输入表!$I$489)*参数输入表!$I$489</f>
        <v>0</v>
      </c>
      <c r="AS48" s="42">
        <f>'表3-成本费用表'!AS89/(1+参数输入表!$I$489)*参数输入表!$I$489</f>
        <v>0</v>
      </c>
      <c r="AT48" s="42">
        <f>'表3-成本费用表'!AT89/(1+参数输入表!$I$489)*参数输入表!$I$489</f>
        <v>0</v>
      </c>
      <c r="AU48" s="42">
        <f>'表3-成本费用表'!AU89/(1+参数输入表!$I$489)*参数输入表!$I$489</f>
        <v>0</v>
      </c>
      <c r="AV48" s="42">
        <f>'表3-成本费用表'!AV89/(1+参数输入表!$I$489)*参数输入表!$I$489</f>
        <v>0</v>
      </c>
      <c r="AW48" s="42">
        <f>'表3-成本费用表'!AW89/(1+参数输入表!$I$489)*参数输入表!$I$489</f>
        <v>0</v>
      </c>
      <c r="AX48" s="42">
        <f>'表3-成本费用表'!AX89/(1+参数输入表!$I$489)*参数输入表!$I$489</f>
        <v>0</v>
      </c>
      <c r="AY48" s="42">
        <f>'表3-成本费用表'!AY89/(1+参数输入表!$I$489)*参数输入表!$I$489</f>
        <v>0</v>
      </c>
      <c r="AZ48" s="42">
        <f>'表3-成本费用表'!AZ89/(1+参数输入表!$I$489)*参数输入表!$I$489</f>
        <v>0</v>
      </c>
      <c r="BA48" s="43">
        <f>'表3-成本费用表'!BA89/(1+参数输入表!$I$489)*参数输入表!$I$489</f>
        <v>0</v>
      </c>
    </row>
    <row r="49" spans="1:53">
      <c r="B49" s="32" t="s">
        <v>817</v>
      </c>
      <c r="C49" s="148" t="s">
        <v>818</v>
      </c>
      <c r="D49" s="42">
        <f t="shared" si="42"/>
        <v>0</v>
      </c>
      <c r="E49" s="29" t="s">
        <v>130</v>
      </c>
      <c r="F49" s="42">
        <v>0</v>
      </c>
      <c r="G49" s="42">
        <v>0</v>
      </c>
      <c r="H49" s="42">
        <v>0</v>
      </c>
      <c r="I49" s="42">
        <v>0</v>
      </c>
      <c r="J49" s="42">
        <v>0</v>
      </c>
      <c r="K49" s="42">
        <v>0</v>
      </c>
      <c r="L49" s="42">
        <v>0</v>
      </c>
      <c r="M49" s="42">
        <v>0</v>
      </c>
      <c r="N49" s="42">
        <v>0</v>
      </c>
      <c r="O49" s="42">
        <v>0</v>
      </c>
      <c r="P49" s="42">
        <v>0</v>
      </c>
      <c r="Q49" s="42">
        <v>0</v>
      </c>
      <c r="R49" s="42">
        <v>0</v>
      </c>
      <c r="S49" s="42">
        <v>0</v>
      </c>
      <c r="T49" s="42">
        <v>0</v>
      </c>
      <c r="U49" s="42">
        <v>0</v>
      </c>
      <c r="V49" s="42">
        <v>0</v>
      </c>
      <c r="W49" s="42">
        <v>0</v>
      </c>
      <c r="X49" s="42">
        <v>0</v>
      </c>
      <c r="Y49" s="42">
        <v>0</v>
      </c>
      <c r="Z49" s="42">
        <v>0</v>
      </c>
      <c r="AA49" s="42">
        <v>0</v>
      </c>
      <c r="AB49" s="42">
        <v>0</v>
      </c>
      <c r="AC49" s="42">
        <v>0</v>
      </c>
      <c r="AD49" s="42">
        <v>0</v>
      </c>
      <c r="AE49" s="42">
        <v>0</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3">
        <v>0</v>
      </c>
    </row>
    <row r="50" spans="1:53">
      <c r="B50" s="27">
        <v>3.3</v>
      </c>
      <c r="C50" s="236" t="s">
        <v>819</v>
      </c>
      <c r="D50" s="134">
        <f t="shared" si="42"/>
        <v>0</v>
      </c>
      <c r="E50" s="29" t="s">
        <v>130</v>
      </c>
      <c r="F50" s="134">
        <f>'表3-成本费用表'!F91/(1+参数输入表!$I$850)*参数输入表!$I$850</f>
        <v>0</v>
      </c>
      <c r="G50" s="134">
        <f>'表3-成本费用表'!G91/(1+参数输入表!$I$850)*参数输入表!$I$850</f>
        <v>0</v>
      </c>
      <c r="H50" s="134">
        <f>'表3-成本费用表'!H91/(1+参数输入表!$I$850)*参数输入表!$I$850</f>
        <v>0</v>
      </c>
      <c r="I50" s="134">
        <f>'表3-成本费用表'!I91/(1+参数输入表!$I$850)*参数输入表!$I$850</f>
        <v>0</v>
      </c>
      <c r="J50" s="134">
        <f>'表3-成本费用表'!J91/(1+参数输入表!$I$850)*参数输入表!$I$850</f>
        <v>0</v>
      </c>
      <c r="K50" s="134">
        <f>'表3-成本费用表'!K91/(1+参数输入表!$I$850)*参数输入表!$I$850</f>
        <v>0</v>
      </c>
      <c r="L50" s="134">
        <f>'表3-成本费用表'!L91/(1+参数输入表!$I$850)*参数输入表!$I$850</f>
        <v>0</v>
      </c>
      <c r="M50" s="134">
        <f>'表3-成本费用表'!M91/(1+参数输入表!$I$850)*参数输入表!$I$850</f>
        <v>0</v>
      </c>
      <c r="N50" s="134">
        <f>'表3-成本费用表'!N91/(1+参数输入表!$I$850)*参数输入表!$I$850</f>
        <v>0</v>
      </c>
      <c r="O50" s="134">
        <f>'表3-成本费用表'!O91/(1+参数输入表!$I$850)*参数输入表!$I$850</f>
        <v>0</v>
      </c>
      <c r="P50" s="134">
        <f>'表3-成本费用表'!P91/(1+参数输入表!$I$850)*参数输入表!$I$850</f>
        <v>0</v>
      </c>
      <c r="Q50" s="134">
        <f>'表3-成本费用表'!Q91/(1+参数输入表!$I$850)*参数输入表!$I$850</f>
        <v>0</v>
      </c>
      <c r="R50" s="134">
        <f>'表3-成本费用表'!R91/(1+参数输入表!$I$850)*参数输入表!$I$850</f>
        <v>0</v>
      </c>
      <c r="S50" s="134">
        <f>'表3-成本费用表'!S91/(1+参数输入表!$I$850)*参数输入表!$I$850</f>
        <v>0</v>
      </c>
      <c r="T50" s="134">
        <f>'表3-成本费用表'!T91/(1+参数输入表!$I$850)*参数输入表!$I$850</f>
        <v>0</v>
      </c>
      <c r="U50" s="134">
        <f>'表3-成本费用表'!U91/(1+参数输入表!$I$850)*参数输入表!$I$850</f>
        <v>0</v>
      </c>
      <c r="V50" s="134">
        <f>'表3-成本费用表'!V91/(1+参数输入表!$I$850)*参数输入表!$I$850</f>
        <v>0</v>
      </c>
      <c r="W50" s="134">
        <f>'表3-成本费用表'!W91/(1+参数输入表!$I$850)*参数输入表!$I$850</f>
        <v>0</v>
      </c>
      <c r="X50" s="134">
        <f>'表3-成本费用表'!X91/(1+参数输入表!$I$850)*参数输入表!$I$850</f>
        <v>0</v>
      </c>
      <c r="Y50" s="134">
        <f>'表3-成本费用表'!Y91/(1+参数输入表!$I$850)*参数输入表!$I$850</f>
        <v>0</v>
      </c>
      <c r="Z50" s="134">
        <f>'表3-成本费用表'!Z91/(1+参数输入表!$I$850)*参数输入表!$I$850</f>
        <v>0</v>
      </c>
      <c r="AA50" s="134">
        <f>'表3-成本费用表'!AA91/(1+参数输入表!$I$850)*参数输入表!$I$850</f>
        <v>0</v>
      </c>
      <c r="AB50" s="134">
        <f>'表3-成本费用表'!AB91/(1+参数输入表!$I$850)*参数输入表!$I$850</f>
        <v>0</v>
      </c>
      <c r="AC50" s="134">
        <f>'表3-成本费用表'!AC91/(1+参数输入表!$I$850)*参数输入表!$I$850</f>
        <v>0</v>
      </c>
      <c r="AD50" s="134">
        <f>'表3-成本费用表'!AD91/(1+参数输入表!$I$850)*参数输入表!$I$850</f>
        <v>0</v>
      </c>
      <c r="AE50" s="134">
        <f>'表3-成本费用表'!AE91/(1+参数输入表!$I$850)*参数输入表!$I$850</f>
        <v>0</v>
      </c>
      <c r="AF50" s="134">
        <f>'表3-成本费用表'!AF91/(1+参数输入表!$I$850)*参数输入表!$I$850</f>
        <v>0</v>
      </c>
      <c r="AG50" s="134">
        <f>'表3-成本费用表'!AG91/(1+参数输入表!$I$850)*参数输入表!$I$850</f>
        <v>0</v>
      </c>
      <c r="AH50" s="134">
        <f>'表3-成本费用表'!AH91/(1+参数输入表!$I$850)*参数输入表!$I$850</f>
        <v>0</v>
      </c>
      <c r="AI50" s="134">
        <f>'表3-成本费用表'!AI91/(1+参数输入表!$I$850)*参数输入表!$I$850</f>
        <v>0</v>
      </c>
      <c r="AJ50" s="134">
        <f>'表3-成本费用表'!AJ91/(1+参数输入表!$I$850)*参数输入表!$I$850</f>
        <v>0</v>
      </c>
      <c r="AK50" s="134">
        <f>'表3-成本费用表'!AK91/(1+参数输入表!$I$850)*参数输入表!$I$850</f>
        <v>0</v>
      </c>
      <c r="AL50" s="134">
        <f>'表3-成本费用表'!AL91/(1+参数输入表!$I$850)*参数输入表!$I$850</f>
        <v>0</v>
      </c>
      <c r="AM50" s="134">
        <f>'表3-成本费用表'!AM91/(1+参数输入表!$I$850)*参数输入表!$I$850</f>
        <v>0</v>
      </c>
      <c r="AN50" s="134">
        <f>'表3-成本费用表'!AN91/(1+参数输入表!$I$850)*参数输入表!$I$850</f>
        <v>0</v>
      </c>
      <c r="AO50" s="134">
        <f>'表3-成本费用表'!AO91/(1+参数输入表!$I$850)*参数输入表!$I$850</f>
        <v>0</v>
      </c>
      <c r="AP50" s="134">
        <f>'表3-成本费用表'!AP91/(1+参数输入表!$I$850)*参数输入表!$I$850</f>
        <v>0</v>
      </c>
      <c r="AQ50" s="134">
        <f>'表3-成本费用表'!AQ91/(1+参数输入表!$I$850)*参数输入表!$I$850</f>
        <v>0</v>
      </c>
      <c r="AR50" s="134">
        <f>'表3-成本费用表'!AR91/(1+参数输入表!$I$850)*参数输入表!$I$850</f>
        <v>0</v>
      </c>
      <c r="AS50" s="134">
        <f>'表3-成本费用表'!AS91/(1+参数输入表!$I$850)*参数输入表!$I$850</f>
        <v>0</v>
      </c>
      <c r="AT50" s="134">
        <f>'表3-成本费用表'!AT91/(1+参数输入表!$I$850)*参数输入表!$I$850</f>
        <v>0</v>
      </c>
      <c r="AU50" s="134">
        <f>'表3-成本费用表'!AU91/(1+参数输入表!$I$850)*参数输入表!$I$850</f>
        <v>0</v>
      </c>
      <c r="AV50" s="134">
        <f>'表3-成本费用表'!AV91/(1+参数输入表!$I$850)*参数输入表!$I$850</f>
        <v>0</v>
      </c>
      <c r="AW50" s="134">
        <f>'表3-成本费用表'!AW91/(1+参数输入表!$I$850)*参数输入表!$I$850</f>
        <v>0</v>
      </c>
      <c r="AX50" s="134">
        <f>'表3-成本费用表'!AX91/(1+参数输入表!$I$850)*参数输入表!$I$850</f>
        <v>0</v>
      </c>
      <c r="AY50" s="134">
        <f>'表3-成本费用表'!AY91/(1+参数输入表!$I$850)*参数输入表!$I$850</f>
        <v>0</v>
      </c>
      <c r="AZ50" s="134">
        <f>'表3-成本费用表'!AZ91/(1+参数输入表!$I$850)*参数输入表!$I$850</f>
        <v>0</v>
      </c>
      <c r="BA50" s="143">
        <f>'表3-成本费用表'!BA91/(1+参数输入表!$I$850)*参数输入表!$I$850</f>
        <v>0</v>
      </c>
    </row>
    <row r="51" spans="1:53">
      <c r="B51" s="27">
        <v>3.4</v>
      </c>
      <c r="C51" s="236" t="s">
        <v>820</v>
      </c>
      <c r="D51" s="134">
        <f t="shared" si="42"/>
        <v>4954.12844036697</v>
      </c>
      <c r="E51" s="29" t="s">
        <v>130</v>
      </c>
      <c r="F51" s="119">
        <f>参数输入表!I695/(1+参数输入表!$I$745)*参数输入表!$I$745</f>
        <v>0</v>
      </c>
      <c r="G51" s="119">
        <f>参数输入表!I696/(1+参数输入表!$I$745)*参数输入表!$I$745</f>
        <v>0</v>
      </c>
      <c r="H51" s="119">
        <f>参数输入表!I697/(1+参数输入表!$I$745)*参数输入表!$I$745</f>
        <v>0</v>
      </c>
      <c r="I51" s="119">
        <f>参数输入表!I698/(1+参数输入表!$I$745)*参数输入表!$I$745</f>
        <v>0</v>
      </c>
      <c r="J51" s="119">
        <f>参数输入表!I699/(1+参数输入表!$I$745)*参数输入表!$I$745</f>
        <v>0</v>
      </c>
      <c r="K51" s="119">
        <f>参数输入表!I700/(1+参数输入表!$I$745)*参数输入表!$I$745</f>
        <v>0</v>
      </c>
      <c r="L51" s="119">
        <f>参数输入表!I701/(1+参数输入表!$I$745)*参数输入表!$I$745</f>
        <v>0</v>
      </c>
      <c r="M51" s="119">
        <f>参数输入表!I702/(1+参数输入表!$I$745)*参数输入表!$I$745</f>
        <v>0</v>
      </c>
      <c r="N51" s="134">
        <f>参数输入表!I703/(1+参数输入表!$I$745)*参数输入表!$I$745</f>
        <v>0</v>
      </c>
      <c r="O51" s="134">
        <f>参数输入表!I704/(1+参数输入表!$I$745)*参数输入表!$I$745</f>
        <v>0</v>
      </c>
      <c r="P51" s="134">
        <f>参数输入表!I705/(1+参数输入表!$I$745)*参数输入表!$I$745</f>
        <v>0</v>
      </c>
      <c r="Q51" s="134">
        <f>参数输入表!I706/(1+参数输入表!$I$745)*参数输入表!$I$745</f>
        <v>0</v>
      </c>
      <c r="R51" s="134">
        <f>参数输入表!I707/(1+参数输入表!$I$745)*参数输入表!$I$745</f>
        <v>0</v>
      </c>
      <c r="S51" s="134">
        <f>参数输入表!I708/(1+参数输入表!$I$745)*参数输入表!$I$745</f>
        <v>0</v>
      </c>
      <c r="T51" s="134">
        <f>参数输入表!I709/(1+参数输入表!$I$745)*参数输入表!$I$745</f>
        <v>0</v>
      </c>
      <c r="U51" s="134">
        <f>参数输入表!I710/(1+参数输入表!$I$745)*参数输入表!$I$745</f>
        <v>0</v>
      </c>
      <c r="V51" s="134">
        <f>参数输入表!I711/(1+参数输入表!$I$745)*参数输入表!$I$745</f>
        <v>0</v>
      </c>
      <c r="W51" s="134">
        <f>参数输入表!I712/(1+参数输入表!$I$745)*参数输入表!$I$745</f>
        <v>0</v>
      </c>
      <c r="X51" s="134">
        <f>参数输入表!I713/(1+参数输入表!$I$745)*参数输入表!$I$745</f>
        <v>0</v>
      </c>
      <c r="Y51" s="134">
        <f>参数输入表!I714/(1+参数输入表!$I$745)*参数输入表!$I$745</f>
        <v>1651.37614678899</v>
      </c>
      <c r="Z51" s="134">
        <f>参数输入表!I715/(1+参数输入表!$I$745)*参数输入表!$I$745</f>
        <v>0</v>
      </c>
      <c r="AA51" s="134">
        <f>参数输入表!I716/(1+参数输入表!$I$745)*参数输入表!$I$745</f>
        <v>0</v>
      </c>
      <c r="AB51" s="134">
        <f>参数输入表!I717/(1+参数输入表!$I$745)*参数输入表!$I$745</f>
        <v>0</v>
      </c>
      <c r="AC51" s="134">
        <f>参数输入表!I718/(1+参数输入表!$I$745)*参数输入表!$I$745</f>
        <v>0</v>
      </c>
      <c r="AD51" s="134">
        <f>参数输入表!I719/(1+参数输入表!$I$745)*参数输入表!$I$745</f>
        <v>0</v>
      </c>
      <c r="AE51" s="134">
        <f>参数输入表!I720/(1+参数输入表!$I$745)*参数输入表!$I$745</f>
        <v>0</v>
      </c>
      <c r="AF51" s="134">
        <f>参数输入表!I721/(1+参数输入表!$I$745)*参数输入表!$I$745</f>
        <v>0</v>
      </c>
      <c r="AG51" s="134">
        <f>参数输入表!I722/(1+参数输入表!$I$745)*参数输入表!$I$745</f>
        <v>0</v>
      </c>
      <c r="AH51" s="134">
        <f>参数输入表!I723/(1+参数输入表!$I$745)*参数输入表!$I$745</f>
        <v>0</v>
      </c>
      <c r="AI51" s="134">
        <f>参数输入表!I724/(1+参数输入表!$I$745)*参数输入表!$I$745</f>
        <v>1651.37614678899</v>
      </c>
      <c r="AJ51" s="134">
        <f>参数输入表!I725/(1+参数输入表!$I$745)*参数输入表!$I$745</f>
        <v>0</v>
      </c>
      <c r="AK51" s="134">
        <f>参数输入表!I726/(1+参数输入表!$I$745)*参数输入表!$I$745</f>
        <v>0</v>
      </c>
      <c r="AL51" s="134">
        <f>参数输入表!I727/(1+参数输入表!$I$745)*参数输入表!$I$745</f>
        <v>0</v>
      </c>
      <c r="AM51" s="134">
        <f>参数输入表!I728/(1+参数输入表!$I$745)*参数输入表!$I$745</f>
        <v>0</v>
      </c>
      <c r="AN51" s="134">
        <f>参数输入表!I729/(1+参数输入表!$I$745)*参数输入表!$I$745</f>
        <v>0</v>
      </c>
      <c r="AO51" s="134">
        <f>参数输入表!I730/(1+参数输入表!$I$745)*参数输入表!$I$745</f>
        <v>0</v>
      </c>
      <c r="AP51" s="134">
        <f>参数输入表!I731/(1+参数输入表!$I$745)*参数输入表!$I$745</f>
        <v>0</v>
      </c>
      <c r="AQ51" s="134">
        <f>参数输入表!I732/(1+参数输入表!$I$745)*参数输入表!$I$745</f>
        <v>0</v>
      </c>
      <c r="AR51" s="134">
        <f>参数输入表!I733/(1+参数输入表!$I$745)*参数输入表!$I$745</f>
        <v>0</v>
      </c>
      <c r="AS51" s="134">
        <f>参数输入表!I734/(1+参数输入表!$I$745)*参数输入表!$I$745</f>
        <v>1651.37614678899</v>
      </c>
      <c r="AT51" s="134">
        <f>参数输入表!I735/(1+参数输入表!$I$745)*参数输入表!$I$745</f>
        <v>0</v>
      </c>
      <c r="AU51" s="134">
        <f>参数输入表!I736/(1+参数输入表!$I$745)*参数输入表!$I$745</f>
        <v>0</v>
      </c>
      <c r="AV51" s="134">
        <f>参数输入表!I737/(1+参数输入表!$I$745)*参数输入表!$I$745</f>
        <v>0</v>
      </c>
      <c r="AW51" s="134">
        <f>参数输入表!I738/(1+参数输入表!$I$745)*参数输入表!$I$745</f>
        <v>0</v>
      </c>
      <c r="AX51" s="134">
        <f>参数输入表!I739/(1+参数输入表!$I$745)*参数输入表!$I$745</f>
        <v>0</v>
      </c>
      <c r="AY51" s="134">
        <f>参数输入表!I740/(1+参数输入表!$I$745)*参数输入表!$I$745</f>
        <v>0</v>
      </c>
      <c r="AZ51" s="134">
        <f>参数输入表!I741/(1+参数输入表!$I$745)*参数输入表!$I$745</f>
        <v>0</v>
      </c>
      <c r="BA51" s="143">
        <f>参数输入表!I742/(1+参数输入表!$I$745)*参数输入表!$I$745</f>
        <v>0</v>
      </c>
    </row>
    <row r="52" spans="1:53">
      <c r="B52" s="27">
        <v>3.5</v>
      </c>
      <c r="C52" s="236" t="s">
        <v>821</v>
      </c>
      <c r="D52" s="134">
        <f t="shared" si="42"/>
        <v>690.265486725664</v>
      </c>
      <c r="E52" s="29" t="s">
        <v>130</v>
      </c>
      <c r="F52" s="119">
        <f>参数输入表!$I$749/(1+参数输入表!$I$799)*参数输入表!$I$799</f>
        <v>0</v>
      </c>
      <c r="G52" s="119">
        <f>参数输入表!$I$750/(1+参数输入表!$I$799)*参数输入表!$I$799</f>
        <v>0</v>
      </c>
      <c r="H52" s="119">
        <f>参数输入表!$I$751/(1+参数输入表!$I$799)*参数输入表!$I$799</f>
        <v>0</v>
      </c>
      <c r="I52" s="119">
        <f>参数输入表!$I$752/(1+参数输入表!$I$799)*参数输入表!$I$799</f>
        <v>0</v>
      </c>
      <c r="J52" s="119">
        <f>参数输入表!$I$753/(1+参数输入表!$I$799)*参数输入表!$I$799</f>
        <v>0</v>
      </c>
      <c r="K52" s="119">
        <f>参数输入表!$I$754/(1+参数输入表!$I$799)*参数输入表!$I$799</f>
        <v>0</v>
      </c>
      <c r="L52" s="119">
        <f>参数输入表!$I$755/(1+参数输入表!$I$799)*参数输入表!$I$799</f>
        <v>0</v>
      </c>
      <c r="M52" s="119">
        <f>参数输入表!$I$756/(1+参数输入表!$I$799)*参数输入表!$I$799</f>
        <v>0</v>
      </c>
      <c r="N52" s="119">
        <f>参数输入表!$I$757/(1+参数输入表!$I$799)*参数输入表!$I$799</f>
        <v>0</v>
      </c>
      <c r="O52" s="119">
        <f>参数输入表!$I$758/(1+参数输入表!$I$799)*参数输入表!$I$799</f>
        <v>0</v>
      </c>
      <c r="P52" s="119">
        <f>参数输入表!$I$759/(1+参数输入表!$I$799)*参数输入表!$I$799</f>
        <v>0</v>
      </c>
      <c r="Q52" s="119">
        <f>参数输入表!$I$760/(1+参数输入表!$I$799)*参数输入表!$I$799</f>
        <v>0</v>
      </c>
      <c r="R52" s="119">
        <f>参数输入表!$I$761/(1+参数输入表!$I$799)*参数输入表!$I$799</f>
        <v>0</v>
      </c>
      <c r="S52" s="119">
        <f>参数输入表!$I$762/(1+参数输入表!$I$799)*参数输入表!$I$799</f>
        <v>0</v>
      </c>
      <c r="T52" s="119">
        <f>参数输入表!$I$763/(1+参数输入表!$I$799)*参数输入表!$I$799</f>
        <v>0</v>
      </c>
      <c r="U52" s="119">
        <f>参数输入表!$I$764/(1+参数输入表!$I$799)*参数输入表!$I$799</f>
        <v>0</v>
      </c>
      <c r="V52" s="119">
        <f>参数输入表!$I$765/(1+参数输入表!$I$799)*参数输入表!$I$799</f>
        <v>0</v>
      </c>
      <c r="W52" s="119">
        <f>参数输入表!$I$766/(1+参数输入表!$I$799)*参数输入表!$I$799</f>
        <v>0</v>
      </c>
      <c r="X52" s="119">
        <f>参数输入表!$I$767/(1+参数输入表!$I$799)*参数输入表!$I$799</f>
        <v>172.566371681416</v>
      </c>
      <c r="Y52" s="119">
        <f>参数输入表!$I$768/(1+参数输入表!$I$799)*参数输入表!$I$799</f>
        <v>0</v>
      </c>
      <c r="Z52" s="119">
        <f>参数输入表!$I$769/(1+参数输入表!$I$799)*参数输入表!$I$799</f>
        <v>0</v>
      </c>
      <c r="AA52" s="119">
        <f>参数输入表!$I$770/(1+参数输入表!$I$799)*参数输入表!$I$799</f>
        <v>0</v>
      </c>
      <c r="AB52" s="119">
        <f>参数输入表!$I$771/(1+参数输入表!$I$799)*参数输入表!$I$799</f>
        <v>0</v>
      </c>
      <c r="AC52" s="119">
        <f>参数输入表!$I$772/(1+参数输入表!$I$799)*参数输入表!$I$799</f>
        <v>0</v>
      </c>
      <c r="AD52" s="119">
        <f>参数输入表!$I$773/(1+参数输入表!$I$799)*参数输入表!$I$799</f>
        <v>0</v>
      </c>
      <c r="AE52" s="119">
        <f>参数输入表!$I$774/(1+参数输入表!$I$799)*参数输入表!$I$799</f>
        <v>0</v>
      </c>
      <c r="AF52" s="119">
        <f>参数输入表!$I$775/(1+参数输入表!$I$799)*参数输入表!$I$799</f>
        <v>172.566371681416</v>
      </c>
      <c r="AG52" s="119">
        <f>参数输入表!$I$776/(1+参数输入表!$I$799)*参数输入表!$I$799</f>
        <v>0</v>
      </c>
      <c r="AH52" s="119">
        <f>参数输入表!$I$777/(1+参数输入表!$I$799)*参数输入表!$I$799</f>
        <v>0</v>
      </c>
      <c r="AI52" s="119">
        <f>参数输入表!$I$778/(1+参数输入表!$I$799)*参数输入表!$I$799</f>
        <v>0</v>
      </c>
      <c r="AJ52" s="119">
        <f>参数输入表!$I$779/(1+参数输入表!$I$799)*参数输入表!$I$799</f>
        <v>0</v>
      </c>
      <c r="AK52" s="119">
        <f>参数输入表!$I$780/(1+参数输入表!$I$799)*参数输入表!$I$799</f>
        <v>0</v>
      </c>
      <c r="AL52" s="119">
        <f>参数输入表!$I$781/(1+参数输入表!$I$799)*参数输入表!$I$799</f>
        <v>0</v>
      </c>
      <c r="AM52" s="119">
        <f>参数输入表!$I$782/(1+参数输入表!$I$799)*参数输入表!$I$799</f>
        <v>0</v>
      </c>
      <c r="AN52" s="119">
        <f>参数输入表!$I$783/(1+参数输入表!$I$799)*参数输入表!$I$799</f>
        <v>172.566371681416</v>
      </c>
      <c r="AO52" s="119">
        <f>参数输入表!$I$784/(1+参数输入表!$I$799)*参数输入表!$I$799</f>
        <v>0</v>
      </c>
      <c r="AP52" s="119">
        <f>参数输入表!$I$785/(1+参数输入表!$I$799)*参数输入表!$I$799</f>
        <v>0</v>
      </c>
      <c r="AQ52" s="119">
        <f>参数输入表!$I$786/(1+参数输入表!$I$799)*参数输入表!$I$799</f>
        <v>0</v>
      </c>
      <c r="AR52" s="119">
        <f>参数输入表!$I$787/(1+参数输入表!$I$799)*参数输入表!$I$799</f>
        <v>0</v>
      </c>
      <c r="AS52" s="119">
        <f>参数输入表!$I$788/(1+参数输入表!$I$799)*参数输入表!$I$799</f>
        <v>0</v>
      </c>
      <c r="AT52" s="119">
        <f>参数输入表!$I$789/(1+参数输入表!$I$799)*参数输入表!$I$799</f>
        <v>0</v>
      </c>
      <c r="AU52" s="119">
        <f>参数输入表!$I$790/(1+参数输入表!$I$799)*参数输入表!$I$799</f>
        <v>0</v>
      </c>
      <c r="AV52" s="119">
        <f>参数输入表!$I$791/(1+参数输入表!$I$799)*参数输入表!$I$799</f>
        <v>172.566371681416</v>
      </c>
      <c r="AW52" s="119">
        <f>参数输入表!$I$792/(1+参数输入表!$I$799)*参数输入表!$I$799</f>
        <v>0</v>
      </c>
      <c r="AX52" s="119">
        <f>参数输入表!$I$793/(1+参数输入表!$I$799)*参数输入表!$I$799</f>
        <v>0</v>
      </c>
      <c r="AY52" s="119">
        <f>参数输入表!$I$794/(1+参数输入表!$I$799)*参数输入表!$I$799</f>
        <v>0</v>
      </c>
      <c r="AZ52" s="119">
        <f>参数输入表!$I$795/(1+参数输入表!$I$799)*参数输入表!$I$799</f>
        <v>0</v>
      </c>
      <c r="BA52" s="120">
        <f>参数输入表!$I$796/(1+参数输入表!$I$799)*参数输入表!$I$799</f>
        <v>0</v>
      </c>
    </row>
    <row r="53" spans="1:53">
      <c r="B53" s="71">
        <v>4</v>
      </c>
      <c r="C53" s="225" t="s">
        <v>822</v>
      </c>
      <c r="D53" s="119">
        <f t="shared" si="42"/>
        <v>367413.123781626</v>
      </c>
      <c r="E53" s="29" t="s">
        <v>130</v>
      </c>
      <c r="F53" s="134">
        <f>F24-F32</f>
        <v>-7299.30102643838</v>
      </c>
      <c r="G53" s="134">
        <f t="shared" ref="G53:BA53" si="44">G24-G32</f>
        <v>-7050.28417094949</v>
      </c>
      <c r="H53" s="134">
        <f t="shared" si="44"/>
        <v>-8153.04311364413</v>
      </c>
      <c r="I53" s="134">
        <f t="shared" si="44"/>
        <v>-8993.55040188357</v>
      </c>
      <c r="J53" s="134">
        <f t="shared" si="44"/>
        <v>-12158.9535799577</v>
      </c>
      <c r="K53" s="134">
        <f t="shared" si="44"/>
        <v>-11146.1916305122</v>
      </c>
      <c r="L53" s="134">
        <f t="shared" si="44"/>
        <v>-9321.82498903954</v>
      </c>
      <c r="M53" s="134">
        <f t="shared" si="44"/>
        <v>966.972881949277</v>
      </c>
      <c r="N53" s="134">
        <f t="shared" si="44"/>
        <v>10988.3051542759</v>
      </c>
      <c r="O53" s="134">
        <f t="shared" si="44"/>
        <v>11029.5895579457</v>
      </c>
      <c r="P53" s="134">
        <f t="shared" si="44"/>
        <v>11029.5895579457</v>
      </c>
      <c r="Q53" s="134">
        <f t="shared" si="44"/>
        <v>11029.5895579457</v>
      </c>
      <c r="R53" s="134">
        <f t="shared" si="44"/>
        <v>11029.5895579457</v>
      </c>
      <c r="S53" s="134">
        <f t="shared" si="44"/>
        <v>10988.3051542759</v>
      </c>
      <c r="T53" s="134">
        <f t="shared" si="44"/>
        <v>11029.5895579457</v>
      </c>
      <c r="U53" s="134">
        <f t="shared" si="44"/>
        <v>11029.5895579457</v>
      </c>
      <c r="V53" s="134">
        <f t="shared" si="44"/>
        <v>11029.5895579457</v>
      </c>
      <c r="W53" s="134">
        <f t="shared" si="44"/>
        <v>11029.5895579457</v>
      </c>
      <c r="X53" s="134">
        <f t="shared" si="44"/>
        <v>10815.7387825945</v>
      </c>
      <c r="Y53" s="134">
        <f t="shared" si="44"/>
        <v>9378.21341115667</v>
      </c>
      <c r="Z53" s="134">
        <f t="shared" si="44"/>
        <v>11029.5895579457</v>
      </c>
      <c r="AA53" s="134">
        <f t="shared" si="44"/>
        <v>11029.5895579457</v>
      </c>
      <c r="AB53" s="134">
        <f t="shared" si="44"/>
        <v>11029.5895579457</v>
      </c>
      <c r="AC53" s="134">
        <f t="shared" si="44"/>
        <v>10988.3051542759</v>
      </c>
      <c r="AD53" s="134">
        <f t="shared" si="44"/>
        <v>11029.5895579457</v>
      </c>
      <c r="AE53" s="134">
        <f t="shared" si="44"/>
        <v>11029.5895579457</v>
      </c>
      <c r="AF53" s="134">
        <f t="shared" si="44"/>
        <v>10857.0231862642</v>
      </c>
      <c r="AG53" s="134">
        <f t="shared" si="44"/>
        <v>11029.5895579457</v>
      </c>
      <c r="AH53" s="134">
        <f t="shared" si="44"/>
        <v>10988.3051542759</v>
      </c>
      <c r="AI53" s="134">
        <f t="shared" si="44"/>
        <v>9378.21341115667</v>
      </c>
      <c r="AJ53" s="134">
        <f t="shared" si="44"/>
        <v>11029.5895579457</v>
      </c>
      <c r="AK53" s="134">
        <f t="shared" si="44"/>
        <v>11029.5895579457</v>
      </c>
      <c r="AL53" s="134">
        <f t="shared" si="44"/>
        <v>11029.5895579457</v>
      </c>
      <c r="AM53" s="134">
        <f t="shared" si="44"/>
        <v>10988.3051542759</v>
      </c>
      <c r="AN53" s="134">
        <f t="shared" si="44"/>
        <v>10857.0231862642</v>
      </c>
      <c r="AO53" s="134">
        <f t="shared" si="44"/>
        <v>11029.5895579457</v>
      </c>
      <c r="AP53" s="134">
        <f t="shared" si="44"/>
        <v>11029.5895579457</v>
      </c>
      <c r="AQ53" s="134">
        <f t="shared" si="44"/>
        <v>11029.5895579457</v>
      </c>
      <c r="AR53" s="134">
        <f t="shared" si="44"/>
        <v>10988.3051542759</v>
      </c>
      <c r="AS53" s="134">
        <f t="shared" si="44"/>
        <v>9378.21341115667</v>
      </c>
      <c r="AT53" s="134">
        <f t="shared" si="44"/>
        <v>11029.5895579457</v>
      </c>
      <c r="AU53" s="134">
        <f t="shared" si="44"/>
        <v>11029.5895579457</v>
      </c>
      <c r="AV53" s="134">
        <f t="shared" si="44"/>
        <v>10857.0231862642</v>
      </c>
      <c r="AW53" s="134">
        <f t="shared" si="44"/>
        <v>10988.3051542759</v>
      </c>
      <c r="AX53" s="134">
        <f t="shared" si="44"/>
        <v>11029.5895579457</v>
      </c>
      <c r="AY53" s="134">
        <f t="shared" si="44"/>
        <v>10988.3051542759</v>
      </c>
      <c r="AZ53" s="134">
        <f t="shared" si="44"/>
        <v>11029.5895579457</v>
      </c>
      <c r="BA53" s="143">
        <f t="shared" si="44"/>
        <v>6431.26061234146</v>
      </c>
    </row>
    <row r="54" spans="1:53">
      <c r="B54" s="48">
        <v>5</v>
      </c>
      <c r="C54" s="237" t="s">
        <v>823</v>
      </c>
      <c r="D54" s="124"/>
      <c r="E54" s="29" t="s">
        <v>130</v>
      </c>
      <c r="F54" s="42">
        <f>IF(F53&lt;0,-F53,0)</f>
        <v>7299.30102643838</v>
      </c>
      <c r="G54" s="42">
        <f>IF(F54-G53&gt;0,F54-G53,0)</f>
        <v>14349.5851973879</v>
      </c>
      <c r="H54" s="42">
        <f t="shared" ref="H54:R54" si="45">IF(G54-H53&gt;0,G54-H53,0)</f>
        <v>22502.628311032</v>
      </c>
      <c r="I54" s="42">
        <f t="shared" si="45"/>
        <v>31496.1787129156</v>
      </c>
      <c r="J54" s="42">
        <f t="shared" si="45"/>
        <v>43655.1322928733</v>
      </c>
      <c r="K54" s="42">
        <f t="shared" si="45"/>
        <v>54801.3239233855</v>
      </c>
      <c r="L54" s="42">
        <f t="shared" si="45"/>
        <v>64123.1489124251</v>
      </c>
      <c r="M54" s="42">
        <f t="shared" si="45"/>
        <v>63156.1760304758</v>
      </c>
      <c r="N54" s="42">
        <f t="shared" si="45"/>
        <v>52167.8708761999</v>
      </c>
      <c r="O54" s="42">
        <f t="shared" si="45"/>
        <v>41138.2813182542</v>
      </c>
      <c r="P54" s="42">
        <f t="shared" si="45"/>
        <v>30108.6917603085</v>
      </c>
      <c r="Q54" s="42">
        <f t="shared" si="45"/>
        <v>19079.1022023629</v>
      </c>
      <c r="R54" s="42">
        <f t="shared" si="45"/>
        <v>8049.51264441722</v>
      </c>
      <c r="S54" s="42">
        <f t="shared" ref="S54" si="46">IF(R54-S53&gt;0,R54-S53,0)</f>
        <v>0</v>
      </c>
      <c r="T54" s="42">
        <f t="shared" ref="T54" si="47">IF(S54-T53&gt;0,S54-T53,0)</f>
        <v>0</v>
      </c>
      <c r="U54" s="42">
        <f t="shared" ref="U54" si="48">IF(T54-U53&gt;0,T54-U53,0)</f>
        <v>0</v>
      </c>
      <c r="V54" s="42">
        <f t="shared" ref="V54:AL54" si="49">IF(U54-V53&gt;0,U54-V53,0)</f>
        <v>0</v>
      </c>
      <c r="W54" s="42">
        <f t="shared" si="49"/>
        <v>0</v>
      </c>
      <c r="X54" s="42">
        <f t="shared" si="49"/>
        <v>0</v>
      </c>
      <c r="Y54" s="42">
        <f t="shared" si="49"/>
        <v>0</v>
      </c>
      <c r="Z54" s="42">
        <f t="shared" si="49"/>
        <v>0</v>
      </c>
      <c r="AA54" s="42">
        <f t="shared" si="49"/>
        <v>0</v>
      </c>
      <c r="AB54" s="42">
        <f t="shared" si="49"/>
        <v>0</v>
      </c>
      <c r="AC54" s="42">
        <f t="shared" si="49"/>
        <v>0</v>
      </c>
      <c r="AD54" s="42">
        <f t="shared" si="49"/>
        <v>0</v>
      </c>
      <c r="AE54" s="42">
        <f t="shared" si="49"/>
        <v>0</v>
      </c>
      <c r="AF54" s="42">
        <f t="shared" si="49"/>
        <v>0</v>
      </c>
      <c r="AG54" s="42">
        <f t="shared" si="49"/>
        <v>0</v>
      </c>
      <c r="AH54" s="42">
        <f t="shared" si="49"/>
        <v>0</v>
      </c>
      <c r="AI54" s="42">
        <f t="shared" si="49"/>
        <v>0</v>
      </c>
      <c r="AJ54" s="42">
        <f t="shared" si="49"/>
        <v>0</v>
      </c>
      <c r="AK54" s="42">
        <f t="shared" si="49"/>
        <v>0</v>
      </c>
      <c r="AL54" s="42">
        <f t="shared" si="49"/>
        <v>0</v>
      </c>
      <c r="AM54" s="42">
        <f t="shared" ref="AM54" si="50">IF(AL54-AM53&gt;0,AL54-AM53,0)</f>
        <v>0</v>
      </c>
      <c r="AN54" s="42">
        <f t="shared" ref="AN54" si="51">IF(AM54-AN53&gt;0,AM54-AN53,0)</f>
        <v>0</v>
      </c>
      <c r="AO54" s="42">
        <f t="shared" ref="AO54" si="52">IF(AN54-AO53&gt;0,AN54-AO53,0)</f>
        <v>0</v>
      </c>
      <c r="AP54" s="42">
        <f t="shared" ref="AP54" si="53">IF(AO54-AP53&gt;0,AO54-AP53,0)</f>
        <v>0</v>
      </c>
      <c r="AQ54" s="42">
        <f t="shared" ref="AQ54" si="54">IF(AP54-AQ53&gt;0,AP54-AQ53,0)</f>
        <v>0</v>
      </c>
      <c r="AR54" s="42">
        <f t="shared" ref="AR54" si="55">IF(AQ54-AR53&gt;0,AQ54-AR53,0)</f>
        <v>0</v>
      </c>
      <c r="AS54" s="42">
        <f t="shared" ref="AS54" si="56">IF(AR54-AS53&gt;0,AR54-AS53,0)</f>
        <v>0</v>
      </c>
      <c r="AT54" s="42">
        <f t="shared" ref="AT54" si="57">IF(AS54-AT53&gt;0,AS54-AT53,0)</f>
        <v>0</v>
      </c>
      <c r="AU54" s="42">
        <f t="shared" ref="AU54" si="58">IF(AT54-AU53&gt;0,AT54-AU53,0)</f>
        <v>0</v>
      </c>
      <c r="AV54" s="42">
        <f t="shared" ref="AV54" si="59">IF(AU54-AV53&gt;0,AU54-AV53,0)</f>
        <v>0</v>
      </c>
      <c r="AW54" s="42">
        <f t="shared" ref="AW54" si="60">IF(AV54-AW53&gt;0,AV54-AW53,0)</f>
        <v>0</v>
      </c>
      <c r="AX54" s="42">
        <f t="shared" ref="AX54" si="61">IF(AW54-AX53&gt;0,AW54-AX53,0)</f>
        <v>0</v>
      </c>
      <c r="AY54" s="42">
        <f t="shared" ref="AY54" si="62">IF(AX54-AY53&gt;0,AX54-AY53,0)</f>
        <v>0</v>
      </c>
      <c r="AZ54" s="42">
        <f t="shared" ref="AZ54" si="63">IF(AY54-AZ53&gt;0,AY54-AZ53,0)</f>
        <v>0</v>
      </c>
      <c r="BA54" s="43">
        <f t="shared" ref="BA54" si="64">IF(AZ54-BA53&gt;0,AZ54-BA53,0)</f>
        <v>0</v>
      </c>
    </row>
    <row r="55" spans="1:53">
      <c r="B55" s="71">
        <v>6</v>
      </c>
      <c r="C55" s="225" t="s">
        <v>824</v>
      </c>
      <c r="D55" s="119">
        <f t="shared" ref="D55:D61" si="65">SUM(F55:BA55)</f>
        <v>44089.5748537951</v>
      </c>
      <c r="E55" s="29" t="s">
        <v>130</v>
      </c>
      <c r="F55" s="134">
        <f>SUM(F56:F58)</f>
        <v>0</v>
      </c>
      <c r="G55" s="134">
        <f t="shared" ref="G55:R55" si="66">SUM(G56:G58)</f>
        <v>0</v>
      </c>
      <c r="H55" s="134">
        <f t="shared" si="66"/>
        <v>0</v>
      </c>
      <c r="I55" s="134">
        <f t="shared" si="66"/>
        <v>0</v>
      </c>
      <c r="J55" s="134">
        <f t="shared" si="66"/>
        <v>0</v>
      </c>
      <c r="K55" s="134">
        <f t="shared" si="66"/>
        <v>0</v>
      </c>
      <c r="L55" s="134">
        <f t="shared" si="66"/>
        <v>0</v>
      </c>
      <c r="M55" s="134">
        <f t="shared" si="66"/>
        <v>0</v>
      </c>
      <c r="N55" s="134">
        <f t="shared" si="66"/>
        <v>0</v>
      </c>
      <c r="O55" s="134">
        <f t="shared" si="66"/>
        <v>0</v>
      </c>
      <c r="P55" s="134">
        <f t="shared" si="66"/>
        <v>0</v>
      </c>
      <c r="Q55" s="134">
        <f t="shared" si="66"/>
        <v>0</v>
      </c>
      <c r="R55" s="134">
        <f t="shared" si="66"/>
        <v>0</v>
      </c>
      <c r="S55" s="134">
        <f t="shared" ref="S55:AL55" si="67">SUM(S56:S58)</f>
        <v>352.655101183045</v>
      </c>
      <c r="T55" s="134">
        <f t="shared" si="67"/>
        <v>1323.55074695348</v>
      </c>
      <c r="U55" s="134">
        <f t="shared" si="67"/>
        <v>1323.55074695348</v>
      </c>
      <c r="V55" s="134">
        <f t="shared" si="67"/>
        <v>1323.55074695348</v>
      </c>
      <c r="W55" s="134">
        <f t="shared" si="67"/>
        <v>1323.55074695348</v>
      </c>
      <c r="X55" s="134">
        <f t="shared" si="67"/>
        <v>1297.88865391134</v>
      </c>
      <c r="Y55" s="134">
        <f t="shared" si="67"/>
        <v>1125.3856093388</v>
      </c>
      <c r="Z55" s="134">
        <f t="shared" si="67"/>
        <v>1323.55074695348</v>
      </c>
      <c r="AA55" s="134">
        <f t="shared" si="67"/>
        <v>1323.55074695348</v>
      </c>
      <c r="AB55" s="134">
        <f t="shared" si="67"/>
        <v>1323.55074695348</v>
      </c>
      <c r="AC55" s="134">
        <f t="shared" si="67"/>
        <v>1318.59661851311</v>
      </c>
      <c r="AD55" s="134">
        <f t="shared" si="67"/>
        <v>1323.55074695348</v>
      </c>
      <c r="AE55" s="134">
        <f t="shared" si="67"/>
        <v>1323.55074695348</v>
      </c>
      <c r="AF55" s="134">
        <f t="shared" si="67"/>
        <v>1302.84278235171</v>
      </c>
      <c r="AG55" s="134">
        <f t="shared" si="67"/>
        <v>1323.55074695348</v>
      </c>
      <c r="AH55" s="134">
        <f t="shared" si="67"/>
        <v>1318.59661851311</v>
      </c>
      <c r="AI55" s="134">
        <f t="shared" si="67"/>
        <v>1125.3856093388</v>
      </c>
      <c r="AJ55" s="134">
        <f t="shared" si="67"/>
        <v>1323.55074695348</v>
      </c>
      <c r="AK55" s="134">
        <f t="shared" si="67"/>
        <v>1323.55074695348</v>
      </c>
      <c r="AL55" s="134">
        <f t="shared" si="67"/>
        <v>1323.55074695348</v>
      </c>
      <c r="AM55" s="134">
        <f t="shared" ref="AM55:BA55" si="68">SUM(AM56:AM58)</f>
        <v>1318.59661851311</v>
      </c>
      <c r="AN55" s="134">
        <f t="shared" si="68"/>
        <v>1302.84278235171</v>
      </c>
      <c r="AO55" s="134">
        <f t="shared" si="68"/>
        <v>1323.55074695348</v>
      </c>
      <c r="AP55" s="134">
        <f t="shared" si="68"/>
        <v>1323.55074695348</v>
      </c>
      <c r="AQ55" s="134">
        <f t="shared" si="68"/>
        <v>1323.55074695348</v>
      </c>
      <c r="AR55" s="134">
        <f t="shared" si="68"/>
        <v>1318.59661851311</v>
      </c>
      <c r="AS55" s="134">
        <f t="shared" si="68"/>
        <v>1125.3856093388</v>
      </c>
      <c r="AT55" s="134">
        <f t="shared" si="68"/>
        <v>1323.55074695348</v>
      </c>
      <c r="AU55" s="134">
        <f t="shared" si="68"/>
        <v>1323.55074695348</v>
      </c>
      <c r="AV55" s="134">
        <f t="shared" si="68"/>
        <v>1302.84278235171</v>
      </c>
      <c r="AW55" s="134">
        <f t="shared" si="68"/>
        <v>1318.59661851311</v>
      </c>
      <c r="AX55" s="134">
        <f t="shared" si="68"/>
        <v>1323.55074695348</v>
      </c>
      <c r="AY55" s="134">
        <f t="shared" si="68"/>
        <v>1318.59661851311</v>
      </c>
      <c r="AZ55" s="134">
        <f t="shared" si="68"/>
        <v>1323.55074695348</v>
      </c>
      <c r="BA55" s="143">
        <f t="shared" si="68"/>
        <v>771.751273480975</v>
      </c>
    </row>
    <row r="56" spans="1:53">
      <c r="B56" s="48">
        <v>6.1</v>
      </c>
      <c r="C56" s="74" t="s">
        <v>825</v>
      </c>
      <c r="D56" s="124">
        <f t="shared" si="65"/>
        <v>25718.9186647138</v>
      </c>
      <c r="E56" s="29" t="s">
        <v>130</v>
      </c>
      <c r="F56" s="42">
        <f>F23*参数输入表!$I$983</f>
        <v>0</v>
      </c>
      <c r="G56" s="42">
        <f>G23*参数输入表!$I$983</f>
        <v>0</v>
      </c>
      <c r="H56" s="42">
        <f>H23*参数输入表!$I$983</f>
        <v>0</v>
      </c>
      <c r="I56" s="42">
        <f>I23*参数输入表!$I$983</f>
        <v>0</v>
      </c>
      <c r="J56" s="42">
        <f>J23*参数输入表!$I$983</f>
        <v>0</v>
      </c>
      <c r="K56" s="42">
        <f>K23*参数输入表!$I$983</f>
        <v>0</v>
      </c>
      <c r="L56" s="42">
        <f>L23*参数输入表!$I$983</f>
        <v>0</v>
      </c>
      <c r="M56" s="42">
        <f>M23*参数输入表!$I$983</f>
        <v>0</v>
      </c>
      <c r="N56" s="42">
        <f>N23*参数输入表!$I$983</f>
        <v>0</v>
      </c>
      <c r="O56" s="42">
        <f>O23*参数输入表!$I$983</f>
        <v>0</v>
      </c>
      <c r="P56" s="42">
        <f>P23*参数输入表!$I$983</f>
        <v>0</v>
      </c>
      <c r="Q56" s="42">
        <f>Q23*参数输入表!$I$983</f>
        <v>0</v>
      </c>
      <c r="R56" s="42">
        <f>R23*参数输入表!$I$983</f>
        <v>0</v>
      </c>
      <c r="S56" s="42">
        <f>S23*参数输入表!$I$983</f>
        <v>205.71547569011</v>
      </c>
      <c r="T56" s="42">
        <f>T23*参数输入表!$I$983</f>
        <v>772.071269056196</v>
      </c>
      <c r="U56" s="42">
        <f>U23*参数输入表!$I$983</f>
        <v>772.071269056196</v>
      </c>
      <c r="V56" s="42">
        <f>V23*参数输入表!$I$983</f>
        <v>772.071269056196</v>
      </c>
      <c r="W56" s="42">
        <f>W23*参数输入表!$I$983</f>
        <v>772.071269056196</v>
      </c>
      <c r="X56" s="42">
        <f>X23*参数输入表!$I$983</f>
        <v>757.101714781616</v>
      </c>
      <c r="Y56" s="42">
        <f>Y23*参数输入表!$I$983</f>
        <v>656.474938780967</v>
      </c>
      <c r="Z56" s="42">
        <f>Z23*参数输入表!$I$983</f>
        <v>772.071269056196</v>
      </c>
      <c r="AA56" s="42">
        <f>AA23*参数输入表!$I$983</f>
        <v>772.071269056196</v>
      </c>
      <c r="AB56" s="42">
        <f>AB23*参数输入表!$I$983</f>
        <v>772.071269056196</v>
      </c>
      <c r="AC56" s="42">
        <f>AC23*参数输入表!$I$983</f>
        <v>769.181360799315</v>
      </c>
      <c r="AD56" s="42">
        <f>AD23*参数输入表!$I$983</f>
        <v>772.071269056196</v>
      </c>
      <c r="AE56" s="42">
        <f>AE23*参数输入表!$I$983</f>
        <v>772.071269056196</v>
      </c>
      <c r="AF56" s="42">
        <f>AF23*参数输入表!$I$983</f>
        <v>759.991623038497</v>
      </c>
      <c r="AG56" s="42">
        <f>AG23*参数输入表!$I$983</f>
        <v>772.071269056196</v>
      </c>
      <c r="AH56" s="42">
        <f>AH23*参数输入表!$I$983</f>
        <v>769.181360799315</v>
      </c>
      <c r="AI56" s="42">
        <f>AI23*参数输入表!$I$983</f>
        <v>656.474938780967</v>
      </c>
      <c r="AJ56" s="42">
        <f>AJ23*参数输入表!$I$983</f>
        <v>772.071269056196</v>
      </c>
      <c r="AK56" s="42">
        <f>AK23*参数输入表!$I$983</f>
        <v>772.071269056196</v>
      </c>
      <c r="AL56" s="42">
        <f>AL23*参数输入表!$I$983</f>
        <v>772.071269056196</v>
      </c>
      <c r="AM56" s="42">
        <f>AM23*参数输入表!$I$983</f>
        <v>769.181360799315</v>
      </c>
      <c r="AN56" s="42">
        <f>AN23*参数输入表!$I$983</f>
        <v>759.991623038497</v>
      </c>
      <c r="AO56" s="42">
        <f>AO23*参数输入表!$I$983</f>
        <v>772.071269056196</v>
      </c>
      <c r="AP56" s="42">
        <f>AP23*参数输入表!$I$983</f>
        <v>772.071269056196</v>
      </c>
      <c r="AQ56" s="42">
        <f>AQ23*参数输入表!$I$983</f>
        <v>772.071269056196</v>
      </c>
      <c r="AR56" s="42">
        <f>AR23*参数输入表!$I$983</f>
        <v>769.181360799315</v>
      </c>
      <c r="AS56" s="42">
        <f>AS23*参数输入表!$I$983</f>
        <v>656.474938780967</v>
      </c>
      <c r="AT56" s="42">
        <f>AT23*参数输入表!$I$983</f>
        <v>772.071269056196</v>
      </c>
      <c r="AU56" s="42">
        <f>AU23*参数输入表!$I$983</f>
        <v>772.071269056196</v>
      </c>
      <c r="AV56" s="42">
        <f>AV23*参数输入表!$I$983</f>
        <v>759.991623038497</v>
      </c>
      <c r="AW56" s="42">
        <f>AW23*参数输入表!$I$983</f>
        <v>769.181360799315</v>
      </c>
      <c r="AX56" s="42">
        <f>AX23*参数输入表!$I$983</f>
        <v>772.071269056196</v>
      </c>
      <c r="AY56" s="42">
        <f>AY23*参数输入表!$I$983</f>
        <v>769.181360799315</v>
      </c>
      <c r="AZ56" s="42">
        <f>AZ23*参数输入表!$I$983</f>
        <v>772.071269056196</v>
      </c>
      <c r="BA56" s="43">
        <f>BA23*参数输入表!$I$983</f>
        <v>450.188242863902</v>
      </c>
    </row>
    <row r="57" spans="1:53">
      <c r="B57" s="48">
        <v>6.2</v>
      </c>
      <c r="C57" s="74" t="s">
        <v>826</v>
      </c>
      <c r="D57" s="124">
        <f t="shared" si="65"/>
        <v>11022.3937134488</v>
      </c>
      <c r="E57" s="29" t="s">
        <v>130</v>
      </c>
      <c r="F57" s="42">
        <f>F23*参数输入表!$I$987</f>
        <v>0</v>
      </c>
      <c r="G57" s="42">
        <f>G23*参数输入表!$I$987</f>
        <v>0</v>
      </c>
      <c r="H57" s="42">
        <f>H23*参数输入表!$I$987</f>
        <v>0</v>
      </c>
      <c r="I57" s="42">
        <f>I23*参数输入表!$I$987</f>
        <v>0</v>
      </c>
      <c r="J57" s="42">
        <f>J23*参数输入表!$I$987</f>
        <v>0</v>
      </c>
      <c r="K57" s="42">
        <f>K23*参数输入表!$I$987</f>
        <v>0</v>
      </c>
      <c r="L57" s="42">
        <f>L23*参数输入表!$I$987</f>
        <v>0</v>
      </c>
      <c r="M57" s="42">
        <f>M23*参数输入表!$I$987</f>
        <v>0</v>
      </c>
      <c r="N57" s="42">
        <f>N23*参数输入表!$I$987</f>
        <v>0</v>
      </c>
      <c r="O57" s="42">
        <f>O23*参数输入表!$I$987</f>
        <v>0</v>
      </c>
      <c r="P57" s="42">
        <f>P23*参数输入表!$I$987</f>
        <v>0</v>
      </c>
      <c r="Q57" s="42">
        <f>Q23*参数输入表!$I$987</f>
        <v>0</v>
      </c>
      <c r="R57" s="42">
        <f>R23*参数输入表!$I$987</f>
        <v>0</v>
      </c>
      <c r="S57" s="42">
        <f>S23*参数输入表!$I$987</f>
        <v>88.1637752957613</v>
      </c>
      <c r="T57" s="42">
        <f>T23*参数输入表!$I$987</f>
        <v>330.88768673837</v>
      </c>
      <c r="U57" s="42">
        <f>U23*参数输入表!$I$987</f>
        <v>330.88768673837</v>
      </c>
      <c r="V57" s="42">
        <f>V23*参数输入表!$I$987</f>
        <v>330.88768673837</v>
      </c>
      <c r="W57" s="42">
        <f>W23*参数输入表!$I$987</f>
        <v>330.88768673837</v>
      </c>
      <c r="X57" s="42">
        <f>X23*参数输入表!$I$987</f>
        <v>324.472163477836</v>
      </c>
      <c r="Y57" s="42">
        <f>Y23*参数输入表!$I$987</f>
        <v>281.3464023347</v>
      </c>
      <c r="Z57" s="42">
        <f>Z23*参数输入表!$I$987</f>
        <v>330.88768673837</v>
      </c>
      <c r="AA57" s="42">
        <f>AA23*参数输入表!$I$987</f>
        <v>330.88768673837</v>
      </c>
      <c r="AB57" s="42">
        <f>AB23*参数输入表!$I$987</f>
        <v>330.88768673837</v>
      </c>
      <c r="AC57" s="42">
        <f>AC23*参数输入表!$I$987</f>
        <v>329.649154628278</v>
      </c>
      <c r="AD57" s="42">
        <f>AD23*参数输入表!$I$987</f>
        <v>330.88768673837</v>
      </c>
      <c r="AE57" s="42">
        <f>AE23*参数输入表!$I$987</f>
        <v>330.88768673837</v>
      </c>
      <c r="AF57" s="42">
        <f>AF23*参数输入表!$I$987</f>
        <v>325.710695587927</v>
      </c>
      <c r="AG57" s="42">
        <f>AG23*参数输入表!$I$987</f>
        <v>330.88768673837</v>
      </c>
      <c r="AH57" s="42">
        <f>AH23*参数输入表!$I$987</f>
        <v>329.649154628278</v>
      </c>
      <c r="AI57" s="42">
        <f>AI23*参数输入表!$I$987</f>
        <v>281.3464023347</v>
      </c>
      <c r="AJ57" s="42">
        <f>AJ23*参数输入表!$I$987</f>
        <v>330.88768673837</v>
      </c>
      <c r="AK57" s="42">
        <f>AK23*参数输入表!$I$987</f>
        <v>330.88768673837</v>
      </c>
      <c r="AL57" s="42">
        <f>AL23*参数输入表!$I$987</f>
        <v>330.88768673837</v>
      </c>
      <c r="AM57" s="42">
        <f>AM23*参数输入表!$I$987</f>
        <v>329.649154628278</v>
      </c>
      <c r="AN57" s="42">
        <f>AN23*参数输入表!$I$987</f>
        <v>325.710695587927</v>
      </c>
      <c r="AO57" s="42">
        <f>AO23*参数输入表!$I$987</f>
        <v>330.88768673837</v>
      </c>
      <c r="AP57" s="42">
        <f>AP23*参数输入表!$I$987</f>
        <v>330.88768673837</v>
      </c>
      <c r="AQ57" s="42">
        <f>AQ23*参数输入表!$I$987</f>
        <v>330.88768673837</v>
      </c>
      <c r="AR57" s="42">
        <f>AR23*参数输入表!$I$987</f>
        <v>329.649154628278</v>
      </c>
      <c r="AS57" s="42">
        <f>AS23*参数输入表!$I$987</f>
        <v>281.3464023347</v>
      </c>
      <c r="AT57" s="42">
        <f>AT23*参数输入表!$I$987</f>
        <v>330.88768673837</v>
      </c>
      <c r="AU57" s="42">
        <f>AU23*参数输入表!$I$987</f>
        <v>330.88768673837</v>
      </c>
      <c r="AV57" s="42">
        <f>AV23*参数输入表!$I$987</f>
        <v>325.710695587927</v>
      </c>
      <c r="AW57" s="42">
        <f>AW23*参数输入表!$I$987</f>
        <v>329.649154628278</v>
      </c>
      <c r="AX57" s="42">
        <f>AX23*参数输入表!$I$987</f>
        <v>330.88768673837</v>
      </c>
      <c r="AY57" s="42">
        <f>AY23*参数输入表!$I$987</f>
        <v>329.649154628278</v>
      </c>
      <c r="AZ57" s="42">
        <f>AZ23*参数输入表!$I$987</f>
        <v>330.88768673837</v>
      </c>
      <c r="BA57" s="43">
        <f>BA23*参数输入表!$I$987</f>
        <v>192.937818370244</v>
      </c>
    </row>
    <row r="58" spans="1:53">
      <c r="B58" s="48">
        <v>6.3</v>
      </c>
      <c r="C58" s="74" t="s">
        <v>827</v>
      </c>
      <c r="D58" s="124">
        <f t="shared" si="65"/>
        <v>7348.26247563252</v>
      </c>
      <c r="E58" s="29" t="s">
        <v>130</v>
      </c>
      <c r="F58" s="42">
        <f>F23*参数输入表!$I$988</f>
        <v>0</v>
      </c>
      <c r="G58" s="42">
        <f>G23*参数输入表!$I$988</f>
        <v>0</v>
      </c>
      <c r="H58" s="42">
        <f>H23*参数输入表!$I$988</f>
        <v>0</v>
      </c>
      <c r="I58" s="42">
        <f>I23*参数输入表!$I$988</f>
        <v>0</v>
      </c>
      <c r="J58" s="42">
        <f>J23*参数输入表!$I$988</f>
        <v>0</v>
      </c>
      <c r="K58" s="42">
        <f>K23*参数输入表!$I$988</f>
        <v>0</v>
      </c>
      <c r="L58" s="42">
        <f>L23*参数输入表!$I$988</f>
        <v>0</v>
      </c>
      <c r="M58" s="42">
        <f>M23*参数输入表!$I$988</f>
        <v>0</v>
      </c>
      <c r="N58" s="42">
        <f>N23*参数输入表!$I$988</f>
        <v>0</v>
      </c>
      <c r="O58" s="42">
        <f>O23*参数输入表!$I$988</f>
        <v>0</v>
      </c>
      <c r="P58" s="42">
        <f>P23*参数输入表!$I$988</f>
        <v>0</v>
      </c>
      <c r="Q58" s="42">
        <f>Q23*参数输入表!$I$988</f>
        <v>0</v>
      </c>
      <c r="R58" s="42">
        <f>R23*参数输入表!$I$988</f>
        <v>0</v>
      </c>
      <c r="S58" s="42">
        <f>S23*参数输入表!$I$988</f>
        <v>58.7758501971742</v>
      </c>
      <c r="T58" s="42">
        <f>T23*参数输入表!$I$988</f>
        <v>220.591791158913</v>
      </c>
      <c r="U58" s="42">
        <f>U23*参数输入表!$I$988</f>
        <v>220.591791158913</v>
      </c>
      <c r="V58" s="42">
        <f>V23*参数输入表!$I$988</f>
        <v>220.591791158913</v>
      </c>
      <c r="W58" s="42">
        <f>W23*参数输入表!$I$988</f>
        <v>220.591791158913</v>
      </c>
      <c r="X58" s="42">
        <f>X23*参数输入表!$I$988</f>
        <v>216.31477565189</v>
      </c>
      <c r="Y58" s="42">
        <f>Y23*参数输入表!$I$988</f>
        <v>187.564268223133</v>
      </c>
      <c r="Z58" s="42">
        <f>Z23*参数输入表!$I$988</f>
        <v>220.591791158913</v>
      </c>
      <c r="AA58" s="42">
        <f>AA23*参数输入表!$I$988</f>
        <v>220.591791158913</v>
      </c>
      <c r="AB58" s="42">
        <f>AB23*参数输入表!$I$988</f>
        <v>220.591791158913</v>
      </c>
      <c r="AC58" s="42">
        <f>AC23*参数输入表!$I$988</f>
        <v>219.766103085519</v>
      </c>
      <c r="AD58" s="42">
        <f>AD23*参数输入表!$I$988</f>
        <v>220.591791158913</v>
      </c>
      <c r="AE58" s="42">
        <f>AE23*参数输入表!$I$988</f>
        <v>220.591791158913</v>
      </c>
      <c r="AF58" s="42">
        <f>AF23*参数输入表!$I$988</f>
        <v>217.140463725285</v>
      </c>
      <c r="AG58" s="42">
        <f>AG23*参数输入表!$I$988</f>
        <v>220.591791158913</v>
      </c>
      <c r="AH58" s="42">
        <f>AH23*参数输入表!$I$988</f>
        <v>219.766103085519</v>
      </c>
      <c r="AI58" s="42">
        <f>AI23*参数输入表!$I$988</f>
        <v>187.564268223133</v>
      </c>
      <c r="AJ58" s="42">
        <f>AJ23*参数输入表!$I$988</f>
        <v>220.591791158913</v>
      </c>
      <c r="AK58" s="42">
        <f>AK23*参数输入表!$I$988</f>
        <v>220.591791158913</v>
      </c>
      <c r="AL58" s="42">
        <f>AL23*参数输入表!$I$988</f>
        <v>220.591791158913</v>
      </c>
      <c r="AM58" s="42">
        <f>AM23*参数输入表!$I$988</f>
        <v>219.766103085519</v>
      </c>
      <c r="AN58" s="42">
        <f>AN23*参数输入表!$I$988</f>
        <v>217.140463725285</v>
      </c>
      <c r="AO58" s="42">
        <f>AO23*参数输入表!$I$988</f>
        <v>220.591791158913</v>
      </c>
      <c r="AP58" s="42">
        <f>AP23*参数输入表!$I$988</f>
        <v>220.591791158913</v>
      </c>
      <c r="AQ58" s="42">
        <f>AQ23*参数输入表!$I$988</f>
        <v>220.591791158913</v>
      </c>
      <c r="AR58" s="42">
        <f>AR23*参数输入表!$I$988</f>
        <v>219.766103085519</v>
      </c>
      <c r="AS58" s="42">
        <f>AS23*参数输入表!$I$988</f>
        <v>187.564268223133</v>
      </c>
      <c r="AT58" s="42">
        <f>AT23*参数输入表!$I$988</f>
        <v>220.591791158913</v>
      </c>
      <c r="AU58" s="42">
        <f>AU23*参数输入表!$I$988</f>
        <v>220.591791158913</v>
      </c>
      <c r="AV58" s="42">
        <f>AV23*参数输入表!$I$988</f>
        <v>217.140463725285</v>
      </c>
      <c r="AW58" s="42">
        <f>AW23*参数输入表!$I$988</f>
        <v>219.766103085519</v>
      </c>
      <c r="AX58" s="42">
        <f>AX23*参数输入表!$I$988</f>
        <v>220.591791158913</v>
      </c>
      <c r="AY58" s="42">
        <f>AY23*参数输入表!$I$988</f>
        <v>219.766103085519</v>
      </c>
      <c r="AZ58" s="42">
        <f>AZ23*参数输入表!$I$988</f>
        <v>220.591791158913</v>
      </c>
      <c r="BA58" s="43">
        <f>BA23*参数输入表!$I$988</f>
        <v>128.625212246829</v>
      </c>
    </row>
    <row r="59" s="4" customFormat="1" spans="1:53">
      <c r="B59" s="76">
        <v>7</v>
      </c>
      <c r="C59" s="225" t="s">
        <v>399</v>
      </c>
      <c r="D59" s="119">
        <f t="shared" si="65"/>
        <v>6000</v>
      </c>
      <c r="E59" s="50" t="s">
        <v>130</v>
      </c>
      <c r="F59" s="119">
        <f>IF(F22-参数输入表!$I$4&lt;=0,0,参数输入表!$I$990*参数输入表!$I$991/10000)</f>
        <v>0</v>
      </c>
      <c r="G59" s="119">
        <f>IF(G22-参数输入表!$I$4&lt;=0,0,参数输入表!$I$990*参数输入表!$I$991/10000)</f>
        <v>0</v>
      </c>
      <c r="H59" s="119">
        <f>IF(H22-参数输入表!$I$4&lt;=0,0,参数输入表!$I$990*参数输入表!$I$991/10000)</f>
        <v>0</v>
      </c>
      <c r="I59" s="119">
        <f>IF(I22-参数输入表!$I$4&lt;=0,0,参数输入表!$I$990*参数输入表!$I$991/10000)</f>
        <v>0</v>
      </c>
      <c r="J59" s="119">
        <f>IF(J22-参数输入表!$I$4&lt;=0,0,参数输入表!$I$990*参数输入表!$I$991/10000)</f>
        <v>0</v>
      </c>
      <c r="K59" s="119">
        <f>IF(K22-参数输入表!$I$4&lt;=0,0,参数输入表!$I$990*参数输入表!$I$991/10000)</f>
        <v>0</v>
      </c>
      <c r="L59" s="119">
        <f>IF(L22-参数输入表!$I$4&lt;=0,0,参数输入表!$I$990*参数输入表!$I$991/10000)</f>
        <v>0</v>
      </c>
      <c r="M59" s="119">
        <f>IF(M22-参数输入表!$I$4&lt;=0,0,参数输入表!$I$990*参数输入表!$I$991/10000)</f>
        <v>0</v>
      </c>
      <c r="N59" s="119">
        <f>IF(N22-参数输入表!$I$4&lt;=0,0,参数输入表!$I$990*参数输入表!$I$991/10000)</f>
        <v>150</v>
      </c>
      <c r="O59" s="119">
        <f>IF(O22-参数输入表!$I$4&lt;=0,0,参数输入表!$I$990*参数输入表!$I$991/10000)</f>
        <v>150</v>
      </c>
      <c r="P59" s="119">
        <f>IF(P22-参数输入表!$I$4&lt;=0,0,参数输入表!$I$990*参数输入表!$I$991/10000)</f>
        <v>150</v>
      </c>
      <c r="Q59" s="119">
        <f>IF(Q22-参数输入表!$I$4&lt;=0,0,参数输入表!$I$990*参数输入表!$I$991/10000)</f>
        <v>150</v>
      </c>
      <c r="R59" s="119">
        <f>IF(R22-参数输入表!$I$4&lt;=0,0,参数输入表!$I$990*参数输入表!$I$991/10000)</f>
        <v>150</v>
      </c>
      <c r="S59" s="119">
        <f>IF(S22-参数输入表!$I$4&lt;=0,0,参数输入表!$I$990*参数输入表!$I$991/10000)</f>
        <v>150</v>
      </c>
      <c r="T59" s="119">
        <f>IF(T22-参数输入表!$I$4&lt;=0,0,参数输入表!$I$990*参数输入表!$I$991/10000)</f>
        <v>150</v>
      </c>
      <c r="U59" s="119">
        <f>IF(U22-参数输入表!$I$4&lt;=0,0,参数输入表!$I$990*参数输入表!$I$991/10000)</f>
        <v>150</v>
      </c>
      <c r="V59" s="119">
        <f>IF(V22-参数输入表!$I$4&lt;=0,0,参数输入表!$I$990*参数输入表!$I$991/10000)</f>
        <v>150</v>
      </c>
      <c r="W59" s="119">
        <f>IF(W22-参数输入表!$I$4&lt;=0,0,参数输入表!$I$990*参数输入表!$I$991/10000)</f>
        <v>150</v>
      </c>
      <c r="X59" s="119">
        <f>IF(X22-参数输入表!$I$4&lt;=0,0,参数输入表!$I$990*参数输入表!$I$991/10000)</f>
        <v>150</v>
      </c>
      <c r="Y59" s="119">
        <f>IF(Y22-参数输入表!$I$4&lt;=0,0,参数输入表!$I$990*参数输入表!$I$991/10000)</f>
        <v>150</v>
      </c>
      <c r="Z59" s="119">
        <f>IF(Z22-参数输入表!$I$4&lt;=0,0,参数输入表!$I$990*参数输入表!$I$991/10000)</f>
        <v>150</v>
      </c>
      <c r="AA59" s="119">
        <f>IF(AA22-参数输入表!$I$4&lt;=0,0,参数输入表!$I$990*参数输入表!$I$991/10000)</f>
        <v>150</v>
      </c>
      <c r="AB59" s="119">
        <f>IF(AB22-参数输入表!$I$4&lt;=0,0,参数输入表!$I$990*参数输入表!$I$991/10000)</f>
        <v>150</v>
      </c>
      <c r="AC59" s="119">
        <f>IF(AC22-参数输入表!$I$4&lt;=0,0,参数输入表!$I$990*参数输入表!$I$991/10000)</f>
        <v>150</v>
      </c>
      <c r="AD59" s="119">
        <f>IF(AD22-参数输入表!$I$4&lt;=0,0,参数输入表!$I$990*参数输入表!$I$991/10000)</f>
        <v>150</v>
      </c>
      <c r="AE59" s="119">
        <f>IF(AE22-参数输入表!$I$4&lt;=0,0,参数输入表!$I$990*参数输入表!$I$991/10000)</f>
        <v>150</v>
      </c>
      <c r="AF59" s="119">
        <f>IF(AF22-参数输入表!$I$4&lt;=0,0,参数输入表!$I$990*参数输入表!$I$991/10000)</f>
        <v>150</v>
      </c>
      <c r="AG59" s="119">
        <f>IF(AG22-参数输入表!$I$4&lt;=0,0,参数输入表!$I$990*参数输入表!$I$991/10000)</f>
        <v>150</v>
      </c>
      <c r="AH59" s="119">
        <f>IF(AH22-参数输入表!$I$4&lt;=0,0,参数输入表!$I$990*参数输入表!$I$991/10000)</f>
        <v>150</v>
      </c>
      <c r="AI59" s="119">
        <f>IF(AI22-参数输入表!$I$4&lt;=0,0,参数输入表!$I$990*参数输入表!$I$991/10000)</f>
        <v>150</v>
      </c>
      <c r="AJ59" s="119">
        <f>IF(AJ22-参数输入表!$I$4&lt;=0,0,参数输入表!$I$990*参数输入表!$I$991/10000)</f>
        <v>150</v>
      </c>
      <c r="AK59" s="119">
        <f>IF(AK22-参数输入表!$I$4&lt;=0,0,参数输入表!$I$990*参数输入表!$I$991/10000)</f>
        <v>150</v>
      </c>
      <c r="AL59" s="119">
        <f>IF(AL22-参数输入表!$I$4&lt;=0,0,参数输入表!$I$990*参数输入表!$I$991/10000)</f>
        <v>150</v>
      </c>
      <c r="AM59" s="119">
        <f>IF(AM22-参数输入表!$I$4&lt;=0,0,参数输入表!$I$990*参数输入表!$I$991/10000)</f>
        <v>150</v>
      </c>
      <c r="AN59" s="119">
        <f>IF(AN22-参数输入表!$I$4&lt;=0,0,参数输入表!$I$990*参数输入表!$I$991/10000)</f>
        <v>150</v>
      </c>
      <c r="AO59" s="119">
        <f>IF(AO22-参数输入表!$I$4&lt;=0,0,参数输入表!$I$990*参数输入表!$I$991/10000)</f>
        <v>150</v>
      </c>
      <c r="AP59" s="119">
        <f>IF(AP22-参数输入表!$I$4&lt;=0,0,参数输入表!$I$990*参数输入表!$I$991/10000)</f>
        <v>150</v>
      </c>
      <c r="AQ59" s="119">
        <f>IF(AQ22-参数输入表!$I$4&lt;=0,0,参数输入表!$I$990*参数输入表!$I$991/10000)</f>
        <v>150</v>
      </c>
      <c r="AR59" s="119">
        <f>IF(AR22-参数输入表!$I$4&lt;=0,0,参数输入表!$I$990*参数输入表!$I$991/10000)</f>
        <v>150</v>
      </c>
      <c r="AS59" s="119">
        <f>IF(AS22-参数输入表!$I$4&lt;=0,0,参数输入表!$I$990*参数输入表!$I$991/10000)</f>
        <v>150</v>
      </c>
      <c r="AT59" s="119">
        <f>IF(AT22-参数输入表!$I$4&lt;=0,0,参数输入表!$I$990*参数输入表!$I$991/10000)</f>
        <v>150</v>
      </c>
      <c r="AU59" s="119">
        <f>IF(AU22-参数输入表!$I$4&lt;=0,0,参数输入表!$I$990*参数输入表!$I$991/10000)</f>
        <v>150</v>
      </c>
      <c r="AV59" s="119">
        <f>IF(AV22-参数输入表!$I$4&lt;=0,0,参数输入表!$I$990*参数输入表!$I$991/10000)</f>
        <v>150</v>
      </c>
      <c r="AW59" s="119">
        <f>IF(AW22-参数输入表!$I$4&lt;=0,0,参数输入表!$I$990*参数输入表!$I$991/10000)</f>
        <v>150</v>
      </c>
      <c r="AX59" s="119">
        <f>IF(AX22-参数输入表!$I$4&lt;=0,0,参数输入表!$I$990*参数输入表!$I$991/10000)</f>
        <v>150</v>
      </c>
      <c r="AY59" s="119">
        <f>IF(AY22-参数输入表!$I$4&lt;=0,0,参数输入表!$I$990*参数输入表!$I$991/10000)</f>
        <v>150</v>
      </c>
      <c r="AZ59" s="119">
        <f>IF(AZ22-参数输入表!$I$4&lt;=0,0,参数输入表!$I$990*参数输入表!$I$991/10000)</f>
        <v>150</v>
      </c>
      <c r="BA59" s="119">
        <f>IF(BA22-参数输入表!$I$4&lt;=0,0,参数输入表!$I$990*参数输入表!$I$991/10000)</f>
        <v>150</v>
      </c>
    </row>
    <row r="60" s="4" customFormat="1" spans="1:53">
      <c r="A60" s="4"/>
      <c r="B60" s="208">
        <v>8</v>
      </c>
      <c r="C60" s="238" t="s">
        <v>828</v>
      </c>
      <c r="D60" s="170">
        <f ca="1" t="shared" si="65"/>
        <v>37919.1535474399</v>
      </c>
      <c r="E60" s="80" t="s">
        <v>130</v>
      </c>
      <c r="F60" s="170">
        <f ca="1">'表9-现金流量表-财务计划'!F32*参数输入表!$I$1047</f>
        <v>0</v>
      </c>
      <c r="G60" s="170">
        <f ca="1">'表9-现金流量表-财务计划'!G32*参数输入表!$I$1047</f>
        <v>0</v>
      </c>
      <c r="H60" s="170">
        <f ca="1">'表9-现金流量表-财务计划'!H32*参数输入表!$I$1047</f>
        <v>0</v>
      </c>
      <c r="I60" s="170">
        <f ca="1">'表9-现金流量表-财务计划'!I32*参数输入表!$I$1047</f>
        <v>0</v>
      </c>
      <c r="J60" s="170">
        <f ca="1">'表9-现金流量表-财务计划'!J32*参数输入表!$I$1047</f>
        <v>0</v>
      </c>
      <c r="K60" s="170">
        <f ca="1">'表9-现金流量表-财务计划'!K32*参数输入表!$I$1047</f>
        <v>0</v>
      </c>
      <c r="L60" s="170">
        <f ca="1">'表9-现金流量表-财务计划'!L32*参数输入表!$I$1047</f>
        <v>0</v>
      </c>
      <c r="M60" s="170">
        <f ca="1">'表9-现金流量表-财务计划'!M32*参数输入表!$I$1047</f>
        <v>322.022127556754</v>
      </c>
      <c r="N60" s="170">
        <f ca="1">'表9-现金流量表-财务计划'!N32*参数输入表!$I$1047</f>
        <v>996.436764632881</v>
      </c>
      <c r="O60" s="170">
        <f ca="1">'表9-现金流量表-财务计划'!O32*参数输入表!$I$1047</f>
        <v>1271.65389056959</v>
      </c>
      <c r="P60" s="170">
        <f ca="1">'表9-现金流量表-财务计划'!P32*参数输入表!$I$1047</f>
        <v>1243.16101201963</v>
      </c>
      <c r="Q60" s="170">
        <f ca="1">'表9-现金流量表-财务计划'!Q32*参数输入表!$I$1047</f>
        <v>1238.12103154205</v>
      </c>
      <c r="R60" s="170">
        <f ca="1">'表9-现金流量表-财务计划'!R32*参数输入表!$I$1047</f>
        <v>1233.37177190797</v>
      </c>
      <c r="S60" s="170">
        <f ca="1">'表9-现金流量表-财务计划'!S32*参数输入表!$I$1047</f>
        <v>1136.72168342062</v>
      </c>
      <c r="T60" s="170">
        <f ca="1">'表9-现金流量表-财务计划'!T32*参数输入表!$I$1047</f>
        <v>1007.291558388</v>
      </c>
      <c r="U60" s="170">
        <f ca="1">'表9-现金流量表-财务计划'!U32*参数输入表!$I$1047</f>
        <v>1003.09845980066</v>
      </c>
      <c r="V60" s="170">
        <f ca="1">'表9-现金流量表-财务计划'!V32*参数输入表!$I$1047</f>
        <v>998.837823670242</v>
      </c>
      <c r="W60" s="170">
        <f ca="1">'表9-现金流量表-财务计划'!W32*参数输入表!$I$1047</f>
        <v>994.539568322599</v>
      </c>
      <c r="X60" s="170">
        <f ca="1">'表9-现金流量表-财务计划'!X32*参数输入表!$I$1047</f>
        <v>987.1634713426</v>
      </c>
      <c r="Y60" s="170">
        <f ca="1">'表9-现金流量表-财务计划'!Y32*参数输入表!$I$1047</f>
        <v>1023.97033531074</v>
      </c>
      <c r="Z60" s="170">
        <f ca="1">'表9-现金流量表-财务计划'!Z32*参数输入表!$I$1047</f>
        <v>993.907561554552</v>
      </c>
      <c r="AA60" s="170">
        <f ca="1">'表9-现金流量表-财务计划'!AA32*参数输入表!$I$1047</f>
        <v>989.063672985854</v>
      </c>
      <c r="AB60" s="170">
        <f ca="1">'表9-现金流量表-财务计划'!AB32*参数输入表!$I$1047</f>
        <v>982.141377789114</v>
      </c>
      <c r="AC60" s="170">
        <f ca="1">'表9-现金流量表-财务计划'!AC32*参数输入表!$I$1047</f>
        <v>966.274921720605</v>
      </c>
      <c r="AD60" s="170">
        <f ca="1">'表9-现金流量表-财务计划'!AD32*参数输入表!$I$1047</f>
        <v>961.510057946167</v>
      </c>
      <c r="AE60" s="170">
        <f ca="1">'表9-现金流量表-财务计划'!AE32*参数输入表!$I$1047</f>
        <v>942.031468332116</v>
      </c>
      <c r="AF60" s="170">
        <f ca="1">'表9-现金流量表-财务计划'!AF32*参数输入表!$I$1047</f>
        <v>922.87972823204</v>
      </c>
      <c r="AG60" s="170">
        <f ca="1">'表9-现金流量表-财务计划'!AG32*参数输入表!$I$1047</f>
        <v>908.524247680744</v>
      </c>
      <c r="AH60" s="170">
        <f ca="1">'表9-现金流量表-财务计划'!AH32*参数输入表!$I$1047</f>
        <v>892.891778996191</v>
      </c>
      <c r="AI60" s="170">
        <f ca="1">'表9-现金流量表-财务计划'!AI32*参数输入表!$I$1047</f>
        <v>924.569199358367</v>
      </c>
      <c r="AJ60" s="170">
        <f ca="1">'表9-现金流量表-财务计划'!AJ32*参数输入表!$I$1047</f>
        <v>897.717823211577</v>
      </c>
      <c r="AK60" s="170">
        <f ca="1">'表9-现金流量表-财务计划'!AK32*参数输入表!$I$1047</f>
        <v>897.717823211577</v>
      </c>
      <c r="AL60" s="170">
        <f ca="1">'表9-现金流量表-财务计划'!AL32*参数输入表!$I$1047</f>
        <v>897.717823211577</v>
      </c>
      <c r="AM60" s="170">
        <f ca="1">'表9-现金流量表-财务计划'!AM32*参数输入表!$I$1047</f>
        <v>890.889107615247</v>
      </c>
      <c r="AN60" s="170">
        <f ca="1">'表9-现金流量表-财务计划'!AN32*参数输入表!$I$1047</f>
        <v>900.523752415117</v>
      </c>
      <c r="AO60" s="170">
        <f ca="1">'表9-现金流量表-财务计划'!AO32*参数输入表!$I$1047</f>
        <v>897.717823211577</v>
      </c>
      <c r="AP60" s="170">
        <f ca="1">'表9-现金流量表-财务计划'!AP32*参数输入表!$I$1047</f>
        <v>848.580433968939</v>
      </c>
      <c r="AQ60" s="170">
        <f ca="1">'表9-现金流量表-财务计划'!AQ32*参数输入表!$I$1047</f>
        <v>779.788089029244</v>
      </c>
      <c r="AR60" s="170">
        <f ca="1">'表9-现金流量表-财务计划'!AR32*参数输入表!$I$1047</f>
        <v>772.959373432914</v>
      </c>
      <c r="AS60" s="170">
        <f ca="1">'表9-现金流量表-财务计划'!AS32*参数输入表!$I$1047</f>
        <v>807.556896368694</v>
      </c>
      <c r="AT60" s="170">
        <f ca="1">'表9-现金流量表-财务计划'!AT32*参数输入表!$I$1047</f>
        <v>780.705520221905</v>
      </c>
      <c r="AU60" s="170">
        <f ca="1">'表9-现金流量表-财务计划'!AU32*参数输入表!$I$1047</f>
        <v>780.705520221905</v>
      </c>
      <c r="AV60" s="170">
        <f ca="1">'表9-现金流量表-财务计划'!AV32*参数输入表!$I$1047</f>
        <v>783.760343230754</v>
      </c>
      <c r="AW60" s="170">
        <f ca="1">'表9-现金流量表-财务计划'!AW32*参数输入表!$I$1047</f>
        <v>774.125698430884</v>
      </c>
      <c r="AX60" s="170">
        <f ca="1">'表9-现金流量表-财务计划'!AX32*参数输入表!$I$1047</f>
        <v>780.954414027215</v>
      </c>
      <c r="AY60" s="170">
        <f ca="1">'表9-现金流量表-财务计划'!AY32*参数输入表!$I$1047</f>
        <v>774.813771825379</v>
      </c>
      <c r="AZ60" s="170">
        <f ca="1">'表9-现金流量表-财务计划'!AZ32*参数输入表!$I$1047</f>
        <v>781.64248742171</v>
      </c>
      <c r="BA60" s="170">
        <f ca="1">'表9-现金流量表-财务计划'!BA32*参数输入表!$I$1047</f>
        <v>931.09333330364</v>
      </c>
    </row>
    <row r="61" s="4" customFormat="1" spans="1:53">
      <c r="A61" s="4"/>
      <c r="B61" s="208">
        <v>9</v>
      </c>
      <c r="C61" s="238" t="s">
        <v>829</v>
      </c>
      <c r="D61" s="170">
        <f ca="1" t="shared" si="65"/>
        <v>75223.5153519629</v>
      </c>
      <c r="E61" s="80" t="s">
        <v>130</v>
      </c>
      <c r="F61" s="170">
        <v>0</v>
      </c>
      <c r="G61" s="170">
        <f ca="1">('表10-资产负债表'!E6+'表10-资产负债表'!E42)*参数输入表!$I$1046</f>
        <v>29.1972041057535</v>
      </c>
      <c r="H61" s="170">
        <f ca="1">('表10-资产负债表'!F6+'表10-资产负债表'!F42)*参数输入表!$I$1046</f>
        <v>57.3983407895516</v>
      </c>
      <c r="I61" s="170">
        <f ca="1">('表10-资产负债表'!G6+'表10-资产负债表'!G42)*参数输入表!$I$1046</f>
        <v>90.010513244128</v>
      </c>
      <c r="J61" s="170">
        <f ca="1">('表10-资产负债表'!H6+'表10-资产负债表'!H42)*参数输入表!$I$1046</f>
        <v>125.984714851662</v>
      </c>
      <c r="K61" s="170">
        <f ca="1">('表10-资产负债表'!I6+'表10-资产负债表'!I42)*参数输入表!$I$1046</f>
        <v>174.620529171493</v>
      </c>
      <c r="L61" s="170">
        <f ca="1">('表10-资产负债表'!J6+'表10-资产负债表'!J42)*参数输入表!$I$1046</f>
        <v>219.205295693542</v>
      </c>
      <c r="M61" s="170">
        <f ca="1">('表10-资产负债表'!K6+'表10-资产负债表'!K42)*参数输入表!$I$1046</f>
        <v>256.4925956497</v>
      </c>
      <c r="N61" s="170">
        <f ca="1">('表10-资产负债表'!L6+'表10-资产负债表'!L42)*参数输入表!$I$1046</f>
        <v>3558.09810845608</v>
      </c>
      <c r="O61" s="170">
        <f ca="1">('表10-资产负债表'!M6+'表10-资产负债表'!M42)*参数输入表!$I$1046</f>
        <v>3476.36937078802</v>
      </c>
      <c r="P61" s="170">
        <f ca="1">('表10-资产负债表'!N6+'表10-资产负债表'!N42)*参数输入表!$I$1046</f>
        <v>3322.98458217194</v>
      </c>
      <c r="Q61" s="170">
        <f ca="1">('表10-资产负债表'!O6+'表10-资产负债表'!O42)*参数输入表!$I$1046</f>
        <v>3169.59979355586</v>
      </c>
      <c r="R61" s="170">
        <f ca="1">('表10-资产负债表'!P6+'表10-资产负债表'!P42)*参数输入表!$I$1046</f>
        <v>3016.21500493978</v>
      </c>
      <c r="S61" s="170">
        <f ca="1">('表10-资产负债表'!Q6+'表10-资产负债表'!Q42)*参数输入表!$I$1046</f>
        <v>2862.8302163237</v>
      </c>
      <c r="T61" s="170">
        <f ca="1">('表10-资产负债表'!R6+'表10-资产负债表'!R42)*参数输入表!$I$1046</f>
        <v>2721.36573536174</v>
      </c>
      <c r="U61" s="170">
        <f ca="1">('表10-资产负债表'!S6+'表10-资产负债表'!S42)*参数输入表!$I$1046</f>
        <v>2612.09930497744</v>
      </c>
      <c r="V61" s="170">
        <f ca="1">('表10-资产负债表'!T6+'表10-资产负债表'!T42)*参数输入表!$I$1046</f>
        <v>2502.83287459315</v>
      </c>
      <c r="W61" s="170">
        <f ca="1">('表10-资产负债表'!U6+'表10-资产负债表'!U42)*参数输入表!$I$1046</f>
        <v>2393.56644420885</v>
      </c>
      <c r="X61" s="170">
        <f ca="1">('表10-资产负债表'!V6+'表10-资产负债表'!V42)*参数输入表!$I$1046</f>
        <v>2284.30001382455</v>
      </c>
      <c r="Y61" s="170">
        <f ca="1">('表10-资产负债表'!W6+'表10-资产负债表'!W42)*参数输入表!$I$1046</f>
        <v>2179.67960113937</v>
      </c>
      <c r="Z61" s="170">
        <f ca="1">('表10-资产负债表'!X6+'表10-资产负债表'!X42)*参数输入表!$I$1046</f>
        <v>2136.70449981248</v>
      </c>
      <c r="AA61" s="170">
        <f ca="1">('表10-资产负债表'!Y6+'表10-资产负债表'!Y42)*参数输入表!$I$1046</f>
        <v>2021.59490307274</v>
      </c>
      <c r="AB61" s="170">
        <f ca="1">('表10-资产负债表'!Z6+'表10-资产负债表'!Z42)*参数输入表!$I$1046</f>
        <v>1906.485306333</v>
      </c>
      <c r="AC61" s="170">
        <f ca="1">('表10-资产负债表'!AA6+'表10-资产负债表'!AA42)*参数输入表!$I$1046</f>
        <v>1791.37570959326</v>
      </c>
      <c r="AD61" s="170">
        <f ca="1">('表10-资产负债表'!AB6+'表10-资产负债表'!AB42)*参数输入表!$I$1046</f>
        <v>1676.26611285352</v>
      </c>
      <c r="AE61" s="170">
        <f ca="1">('表10-资产负债表'!AC6+'表10-资产负债表'!AC42)*参数输入表!$I$1046</f>
        <v>1561.15651611378</v>
      </c>
      <c r="AF61" s="170">
        <f ca="1">('表10-资产负债表'!AD6+'表10-资产负债表'!AD42)*参数输入表!$I$1046</f>
        <v>1446.04691937404</v>
      </c>
      <c r="AG61" s="170">
        <f ca="1">('表10-资产负债表'!AE6+'表10-资产负债表'!AE42)*参数输入表!$I$1046</f>
        <v>1336.24705714757</v>
      </c>
      <c r="AH61" s="170">
        <f ca="1">('表10-资产负债表'!AF6+'表10-资产负债表'!AF42)*参数输入表!$I$1046</f>
        <v>1222.08746040783</v>
      </c>
      <c r="AI61" s="170">
        <f ca="1">('表10-资产负债表'!AG6+'表10-资产负债表'!AG42)*参数输入表!$I$1046</f>
        <v>1185.69938699468</v>
      </c>
      <c r="AJ61" s="170">
        <f ca="1">('表10-资产负债表'!AH6+'表10-资产负债表'!AH42)*参数输入表!$I$1046</f>
        <v>1198.29067684771</v>
      </c>
      <c r="AK61" s="170">
        <f ca="1">('表10-资产负债表'!AI6+'表10-资产负债表'!AI42)*参数输入表!$I$1046</f>
        <v>1209.34609633354</v>
      </c>
      <c r="AL61" s="170">
        <f ca="1">('表10-资产负债表'!AJ6+'表10-资产负债表'!AJ42)*参数输入表!$I$1046</f>
        <v>1220.02873278626</v>
      </c>
      <c r="AM61" s="170">
        <f ca="1">('表10-资产负债表'!AK6+'表10-资产负债表'!AK42)*参数输入表!$I$1046</f>
        <v>1230.5697116864</v>
      </c>
      <c r="AN61" s="170">
        <f ca="1">('表10-资产负债表'!AL6+'表10-资产负债表'!AL42)*参数输入表!$I$1046</f>
        <v>1239.22796310188</v>
      </c>
      <c r="AO61" s="170">
        <f ca="1">('表10-资产负债表'!AM6+'表10-资产负债表'!AM42)*参数输入表!$I$1046</f>
        <v>1249.71658459101</v>
      </c>
      <c r="AP61" s="170">
        <f ca="1">('表10-资产负债表'!AN6+'表10-资产负债表'!AN42)*参数输入表!$I$1046</f>
        <v>1260.16180453064</v>
      </c>
      <c r="AQ61" s="170">
        <f ca="1">('表10-资产负债表'!AO6+'表10-资产负债表'!AO42)*参数输入表!$I$1046</f>
        <v>1283.75954663317</v>
      </c>
      <c r="AR61" s="170">
        <f ca="1">('表10-资产负债表'!AP6+'表10-资产负债表'!AP42)*参数输入表!$I$1046</f>
        <v>1319.14275852499</v>
      </c>
      <c r="AS61" s="170">
        <f ca="1">('表10-资产负债表'!AQ6+'表10-资产负债表'!AQ42)*参数输入表!$I$1046</f>
        <v>1340.90998354075</v>
      </c>
      <c r="AT61" s="170">
        <f ca="1">('表10-资产负债表'!AR6+'表10-资产负债表'!AR42)*参数输入表!$I$1046</f>
        <v>1360.01713468531</v>
      </c>
      <c r="AU61" s="170">
        <f ca="1">('表10-资产负债表'!AS6+'表10-资产负债表'!AS42)*参数输入表!$I$1046</f>
        <v>1377.1889642216</v>
      </c>
      <c r="AV61" s="170">
        <f ca="1">('表10-资产负债表'!AT6+'表10-资产负债表'!AT42)*参数输入表!$I$1046</f>
        <v>1393.83621925318</v>
      </c>
      <c r="AW61" s="170">
        <f ca="1">('表10-资产负债表'!AU6+'表10-资产负债表'!AU42)*参数输入表!$I$1046</f>
        <v>1410.24247544198</v>
      </c>
      <c r="AX61" s="170">
        <f ca="1">('表10-资产负债表'!AV6+'表10-资产负债表'!AV42)*参数输入表!$I$1046</f>
        <v>1424.74013834967</v>
      </c>
      <c r="AY61" s="170">
        <f ca="1">('表10-资产负债表'!AW6+'表10-资产负债表'!AW42)*参数输入表!$I$1046</f>
        <v>1441.0554432133</v>
      </c>
      <c r="AZ61" s="170">
        <f ca="1">('表10-资产负债表'!AX6+'表10-资产负债表'!AX42)*参数输入表!$I$1046</f>
        <v>1455.96810082753</v>
      </c>
      <c r="BA61" s="170">
        <f ca="1">('表10-资产负债表'!AY6+'表10-资产负债表'!AY42)*参数输入表!$I$1046</f>
        <v>1472.79890184479</v>
      </c>
    </row>
    <row r="62" spans="1:53">
      <c r="N62" s="234"/>
      <c r="O62" s="234"/>
      <c r="P62" s="234"/>
      <c r="Q62" s="234"/>
      <c r="R62" s="234"/>
      <c r="S62" s="234"/>
      <c r="T62" s="234"/>
      <c r="U62" s="234"/>
      <c r="V62" s="234"/>
      <c r="W62" s="234"/>
      <c r="X62" s="234"/>
      <c r="Y62" s="234"/>
      <c r="Z62" s="234"/>
      <c r="AA62" s="234"/>
      <c r="AB62" s="234"/>
      <c r="AC62" s="234"/>
      <c r="AD62" s="234"/>
      <c r="AE62" s="234"/>
      <c r="AF62" s="234"/>
      <c r="AG62" s="234"/>
      <c r="AH62" s="234"/>
      <c r="AI62" s="234"/>
      <c r="AJ62" s="234"/>
      <c r="AK62" s="234"/>
      <c r="AL62" s="234"/>
    </row>
    <row r="63" ht="19" spans="1:53">
      <c r="C63" s="239"/>
    </row>
    <row r="64" ht="24" customHeight="1" spans="1:53">
      <c r="B64" s="142" t="s">
        <v>830</v>
      </c>
    </row>
    <row r="65" spans="2:53">
      <c r="B65" s="240" t="s">
        <v>2</v>
      </c>
      <c r="C65" s="241" t="s">
        <v>430</v>
      </c>
      <c r="D65" s="241" t="s">
        <v>491</v>
      </c>
      <c r="E65" s="241" t="s">
        <v>9</v>
      </c>
      <c r="F65" s="242">
        <v>2023</v>
      </c>
      <c r="G65" s="242">
        <v>2024</v>
      </c>
      <c r="H65" s="242">
        <v>2025</v>
      </c>
      <c r="I65" s="242">
        <v>2026</v>
      </c>
      <c r="J65" s="242">
        <v>2027</v>
      </c>
      <c r="K65" s="242">
        <v>2028</v>
      </c>
      <c r="L65" s="242">
        <v>2029</v>
      </c>
      <c r="M65" s="242">
        <v>2030</v>
      </c>
      <c r="N65" s="242">
        <v>2031</v>
      </c>
      <c r="O65" s="242">
        <v>2032</v>
      </c>
      <c r="P65" s="242">
        <v>2033</v>
      </c>
      <c r="Q65" s="242">
        <v>2034</v>
      </c>
      <c r="R65" s="242">
        <v>2035</v>
      </c>
      <c r="S65" s="242">
        <v>2036</v>
      </c>
      <c r="T65" s="242">
        <v>2037</v>
      </c>
      <c r="U65" s="242">
        <v>2038</v>
      </c>
      <c r="V65" s="242">
        <v>2039</v>
      </c>
      <c r="W65" s="242">
        <v>2040</v>
      </c>
      <c r="X65" s="242">
        <v>2041</v>
      </c>
      <c r="Y65" s="242">
        <v>2042</v>
      </c>
      <c r="Z65" s="242">
        <v>2043</v>
      </c>
      <c r="AA65" s="242">
        <v>2044</v>
      </c>
      <c r="AB65" s="242">
        <v>2045</v>
      </c>
      <c r="AC65" s="242">
        <v>2046</v>
      </c>
      <c r="AD65" s="242">
        <v>2047</v>
      </c>
      <c r="AE65" s="242">
        <v>2048</v>
      </c>
      <c r="AF65" s="242">
        <v>2049</v>
      </c>
      <c r="AG65" s="242">
        <v>2050</v>
      </c>
      <c r="AH65" s="242">
        <v>2051</v>
      </c>
      <c r="AI65" s="242">
        <v>2052</v>
      </c>
      <c r="AJ65" s="242">
        <v>2053</v>
      </c>
      <c r="AK65" s="242">
        <v>2054</v>
      </c>
      <c r="AL65" s="242">
        <v>2055</v>
      </c>
      <c r="AM65" s="242">
        <v>2056</v>
      </c>
      <c r="AN65" s="242">
        <v>2057</v>
      </c>
      <c r="AO65" s="242">
        <v>2058</v>
      </c>
      <c r="AP65" s="242">
        <v>2059</v>
      </c>
      <c r="AQ65" s="242">
        <v>2060</v>
      </c>
      <c r="AR65" s="242">
        <v>2061</v>
      </c>
      <c r="AS65" s="242">
        <v>2062</v>
      </c>
      <c r="AT65" s="242">
        <v>2063</v>
      </c>
      <c r="AU65" s="242">
        <v>2064</v>
      </c>
      <c r="AV65" s="242">
        <v>2065</v>
      </c>
      <c r="AW65" s="242">
        <v>2066</v>
      </c>
      <c r="AX65" s="242">
        <v>2067</v>
      </c>
      <c r="AY65" s="242">
        <v>2068</v>
      </c>
      <c r="AZ65" s="242">
        <v>2069</v>
      </c>
      <c r="BA65" s="243">
        <v>2070</v>
      </c>
    </row>
    <row r="66" spans="2:53">
      <c r="B66" s="244"/>
      <c r="C66" s="245"/>
      <c r="D66" s="245"/>
      <c r="E66" s="245"/>
      <c r="F66" s="246">
        <v>1</v>
      </c>
      <c r="G66" s="246">
        <v>2</v>
      </c>
      <c r="H66" s="246">
        <v>3</v>
      </c>
      <c r="I66" s="246">
        <v>4</v>
      </c>
      <c r="J66" s="246">
        <v>5</v>
      </c>
      <c r="K66" s="246">
        <v>6</v>
      </c>
      <c r="L66" s="246">
        <v>7</v>
      </c>
      <c r="M66" s="246">
        <v>8</v>
      </c>
      <c r="N66" s="246">
        <v>9</v>
      </c>
      <c r="O66" s="246">
        <v>10</v>
      </c>
      <c r="P66" s="246">
        <v>11</v>
      </c>
      <c r="Q66" s="246">
        <v>12</v>
      </c>
      <c r="R66" s="246">
        <v>13</v>
      </c>
      <c r="S66" s="246">
        <v>14</v>
      </c>
      <c r="T66" s="246">
        <v>15</v>
      </c>
      <c r="U66" s="246">
        <v>16</v>
      </c>
      <c r="V66" s="246">
        <v>17</v>
      </c>
      <c r="W66" s="246">
        <v>18</v>
      </c>
      <c r="X66" s="246">
        <v>19</v>
      </c>
      <c r="Y66" s="246">
        <v>20</v>
      </c>
      <c r="Z66" s="246">
        <v>21</v>
      </c>
      <c r="AA66" s="246">
        <v>22</v>
      </c>
      <c r="AB66" s="246">
        <v>23</v>
      </c>
      <c r="AC66" s="246">
        <v>24</v>
      </c>
      <c r="AD66" s="246">
        <v>25</v>
      </c>
      <c r="AE66" s="246">
        <v>26</v>
      </c>
      <c r="AF66" s="246">
        <v>27</v>
      </c>
      <c r="AG66" s="246">
        <v>28</v>
      </c>
      <c r="AH66" s="246">
        <v>29</v>
      </c>
      <c r="AI66" s="246">
        <v>30</v>
      </c>
      <c r="AJ66" s="246">
        <v>31</v>
      </c>
      <c r="AK66" s="246">
        <v>32</v>
      </c>
      <c r="AL66" s="246">
        <v>33</v>
      </c>
      <c r="AM66" s="246">
        <v>34</v>
      </c>
      <c r="AN66" s="246">
        <v>35</v>
      </c>
      <c r="AO66" s="246">
        <v>36</v>
      </c>
      <c r="AP66" s="246">
        <v>37</v>
      </c>
      <c r="AQ66" s="246">
        <v>38</v>
      </c>
      <c r="AR66" s="246">
        <v>39</v>
      </c>
      <c r="AS66" s="246">
        <v>40</v>
      </c>
      <c r="AT66" s="246">
        <v>41</v>
      </c>
      <c r="AU66" s="246">
        <v>42</v>
      </c>
      <c r="AV66" s="246">
        <v>43</v>
      </c>
      <c r="AW66" s="246">
        <v>44</v>
      </c>
      <c r="AX66" s="246">
        <v>45</v>
      </c>
      <c r="AY66" s="246">
        <v>46</v>
      </c>
      <c r="AZ66" s="246">
        <v>47</v>
      </c>
      <c r="BA66" s="247">
        <v>48</v>
      </c>
    </row>
    <row r="67" ht="30.6" customHeight="1" spans="2:53">
      <c r="B67" s="248"/>
      <c r="C67" s="249" t="s">
        <v>831</v>
      </c>
      <c r="D67" s="250"/>
      <c r="E67" s="251" t="s">
        <v>130</v>
      </c>
      <c r="F67" s="250">
        <f>('表4-收入税金表'!F7+'表4-收入税金表'!F26)*(1-参数输入表!$I$857)+('表4-收入税金表'!F10+'表4-收入税金表'!F27)*(1-参数输入表!$I$865)+('表4-收入税金表'!F16+'表4-收入税金表'!F29)*(1-参数输入表!$I$873)</f>
        <v>0</v>
      </c>
      <c r="G67" s="250">
        <f>('表4-收入税金表'!G7+'表4-收入税金表'!G26)*(1-参数输入表!$I$857)+('表4-收入税金表'!G10+'表4-收入税金表'!G27)*(1-参数输入表!$I$865)+('表4-收入税金表'!G16+'表4-收入税金表'!G29)*(1-参数输入表!$I$873)</f>
        <v>0</v>
      </c>
      <c r="H67" s="250">
        <f>('表4-收入税金表'!H7+'表4-收入税金表'!H26)*(1-参数输入表!$I$857)+('表4-收入税金表'!H10+'表4-收入税金表'!H27)*(1-参数输入表!$I$865)+('表4-收入税金表'!H16+'表4-收入税金表'!H29)*(1-参数输入表!$I$873)</f>
        <v>0</v>
      </c>
      <c r="I67" s="250">
        <f>('表4-收入税金表'!I7+'表4-收入税金表'!I26)*(1-参数输入表!$I$857)+('表4-收入税金表'!I10+'表4-收入税金表'!I27)*(1-参数输入表!$I$865)+('表4-收入税金表'!I16+'表4-收入税金表'!I29)*(1-参数输入表!$I$873)</f>
        <v>0</v>
      </c>
      <c r="J67" s="250">
        <f>('表4-收入税金表'!J7+'表4-收入税金表'!J26)*(1-参数输入表!$I$857)+('表4-收入税金表'!J10+'表4-收入税金表'!J27)*(1-参数输入表!$I$865)+('表4-收入税金表'!J16+'表4-收入税金表'!J29)*(1-参数输入表!$I$873)</f>
        <v>0</v>
      </c>
      <c r="K67" s="250">
        <f>('表4-收入税金表'!K7+'表4-收入税金表'!K26)*(1-参数输入表!$I$857)+('表4-收入税金表'!K10+'表4-收入税金表'!K27)*(1-参数输入表!$I$865)+('表4-收入税金表'!K16+'表4-收入税金表'!K29)*(1-参数输入表!$I$873)</f>
        <v>0</v>
      </c>
      <c r="L67" s="250">
        <f>('表4-收入税金表'!L7+'表4-收入税金表'!L26)*(1-参数输入表!$I$857)+('表4-收入税金表'!L10+'表4-收入税金表'!L27)*(1-参数输入表!$I$865)+('表4-收入税金表'!L16+'表4-收入税金表'!L29)*(1-参数输入表!$I$873)</f>
        <v>0</v>
      </c>
      <c r="M67" s="250">
        <f>('表4-收入税金表'!M7+'表4-收入税金表'!M26)*(1-参数输入表!$I$857)+('表4-收入税金表'!M10+'表4-收入税金表'!M27)*(1-参数输入表!$I$865)+('表4-收入税金表'!M16+'表4-收入税金表'!M29)*(1-参数输入表!$I$873)</f>
        <v>13096.5916666666</v>
      </c>
      <c r="N67" s="250">
        <f>('表4-收入税金表'!N7+'表4-收入税金表'!N26)*(1-参数输入表!$I$857)+('表4-收入税金表'!N10+'表4-收入税金表'!N27)*(1-参数输入表!$I$865)+('表4-收入税金表'!N16+'表4-收入税金表'!N29)*(1-参数输入表!$I$873)</f>
        <v>31431.82</v>
      </c>
      <c r="O67" s="250">
        <f>('表4-收入税金表'!O7+'表4-收入税金表'!O26)*(1-参数输入表!$I$857)+('表4-收入税金表'!O10+'表4-收入税金表'!O27)*(1-参数输入表!$I$865)+('表4-收入税金表'!O16+'表4-收入税金表'!O29)*(1-参数输入表!$I$873)</f>
        <v>31431.82</v>
      </c>
      <c r="P67" s="250">
        <f>('表4-收入税金表'!P7+'表4-收入税金表'!P26)*(1-参数输入表!$I$857)+('表4-收入税金表'!P10+'表4-收入税金表'!P27)*(1-参数输入表!$I$865)+('表4-收入税金表'!P16+'表4-收入税金表'!P29)*(1-参数输入表!$I$873)</f>
        <v>31431.82</v>
      </c>
      <c r="Q67" s="250">
        <f>('表4-收入税金表'!Q7+'表4-收入税金表'!Q26)*(1-参数输入表!$I$857)+('表4-收入税金表'!Q10+'表4-收入税金表'!Q27)*(1-参数输入表!$I$865)+('表4-收入税金表'!Q16+'表4-收入税金表'!Q29)*(1-参数输入表!$I$873)</f>
        <v>31431.82</v>
      </c>
      <c r="R67" s="250">
        <f>('表4-收入税金表'!R7+'表4-收入税金表'!R26)*(1-参数输入表!$I$857)+('表4-收入税金表'!R10+'表4-收入税金表'!R27)*(1-参数输入表!$I$865)+('表4-收入税金表'!R16+'表4-收入税金表'!R29)*(1-参数输入表!$I$873)</f>
        <v>31431.82</v>
      </c>
      <c r="S67" s="250">
        <f>('表4-收入税金表'!S7+'表4-收入税金表'!S26)*(1-参数输入表!$I$857)+('表4-收入税金表'!S10+'表4-收入税金表'!S27)*(1-参数输入表!$I$865)+('表4-收入税金表'!S16+'表4-收入税金表'!S29)*(1-参数输入表!$I$873)</f>
        <v>31431.82</v>
      </c>
      <c r="T67" s="250">
        <f>('表4-收入税金表'!T7+'表4-收入税金表'!T26)*(1-参数输入表!$I$857)+('表4-收入税金表'!T10+'表4-收入税金表'!T27)*(1-参数输入表!$I$865)+('表4-收入税金表'!T16+'表4-收入税金表'!T29)*(1-参数输入表!$I$873)</f>
        <v>31431.82</v>
      </c>
      <c r="U67" s="250">
        <f>('表4-收入税金表'!U7+'表4-收入税金表'!U26)*(1-参数输入表!$I$857)+('表4-收入税金表'!U10+'表4-收入税金表'!U27)*(1-参数输入表!$I$865)+('表4-收入税金表'!U16+'表4-收入税金表'!U29)*(1-参数输入表!$I$873)</f>
        <v>31431.82</v>
      </c>
      <c r="V67" s="250">
        <f>('表4-收入税金表'!V7+'表4-收入税金表'!V26)*(1-参数输入表!$I$857)+('表4-收入税金表'!V10+'表4-收入税金表'!V27)*(1-参数输入表!$I$865)+('表4-收入税金表'!V16+'表4-收入税金表'!V29)*(1-参数输入表!$I$873)</f>
        <v>31431.82</v>
      </c>
      <c r="W67" s="250">
        <f>('表4-收入税金表'!W7+'表4-收入税金表'!W26)*(1-参数输入表!$I$857)+('表4-收入税金表'!W10+'表4-收入税金表'!W27)*(1-参数输入表!$I$865)+('表4-收入税金表'!W16+'表4-收入税金表'!W29)*(1-参数输入表!$I$873)</f>
        <v>31431.82</v>
      </c>
      <c r="X67" s="250">
        <f>('表4-收入税金表'!X7+'表4-收入税金表'!X26)*(1-参数输入表!$I$857)+('表4-收入税金表'!X10+'表4-收入税金表'!X27)*(1-参数输入表!$I$865)+('表4-收入税金表'!X16+'表4-收入税金表'!X29)*(1-参数输入表!$I$873)</f>
        <v>31431.82</v>
      </c>
      <c r="Y67" s="250">
        <f>('表4-收入税金表'!Y7+'表4-收入税金表'!Y26)*(1-参数输入表!$I$857)+('表4-收入税金表'!Y10+'表4-收入税金表'!Y27)*(1-参数输入表!$I$865)+('表4-收入税金表'!Y16+'表4-收入税金表'!Y29)*(1-参数输入表!$I$873)</f>
        <v>31431.82</v>
      </c>
      <c r="Z67" s="250">
        <f>('表4-收入税金表'!Z7+'表4-收入税金表'!Z26)*(1-参数输入表!$I$857)+('表4-收入税金表'!Z10+'表4-收入税金表'!Z27)*(1-参数输入表!$I$865)+('表4-收入税金表'!Z16+'表4-收入税金表'!Z29)*(1-参数输入表!$I$873)</f>
        <v>31431.82</v>
      </c>
      <c r="AA67" s="250">
        <f>('表4-收入税金表'!AA7+'表4-收入税金表'!AA26)*(1-参数输入表!$I$857)+('表4-收入税金表'!AA10+'表4-收入税金表'!AA27)*(1-参数输入表!$I$865)+('表4-收入税金表'!AA16+'表4-收入税金表'!AA29)*(1-参数输入表!$I$873)</f>
        <v>31431.82</v>
      </c>
      <c r="AB67" s="250">
        <f>('表4-收入税金表'!AB7+'表4-收入税金表'!AB26)*(1-参数输入表!$I$857)+('表4-收入税金表'!AB10+'表4-收入税金表'!AB27)*(1-参数输入表!$I$865)+('表4-收入税金表'!AB16+'表4-收入税金表'!AB29)*(1-参数输入表!$I$873)</f>
        <v>31431.82</v>
      </c>
      <c r="AC67" s="250">
        <f>('表4-收入税金表'!AC7+'表4-收入税金表'!AC26)*(1-参数输入表!$I$857)+('表4-收入税金表'!AC10+'表4-收入税金表'!AC27)*(1-参数输入表!$I$865)+('表4-收入税金表'!AC16+'表4-收入税金表'!AC29)*(1-参数输入表!$I$873)</f>
        <v>31431.82</v>
      </c>
      <c r="AD67" s="250">
        <f>('表4-收入税金表'!AD7+'表4-收入税金表'!AD26)*(1-参数输入表!$I$857)+('表4-收入税金表'!AD10+'表4-收入税金表'!AD27)*(1-参数输入表!$I$865)+('表4-收入税金表'!AD16+'表4-收入税金表'!AD29)*(1-参数输入表!$I$873)</f>
        <v>31431.82</v>
      </c>
      <c r="AE67" s="250">
        <f>('表4-收入税金表'!AE7+'表4-收入税金表'!AE26)*(1-参数输入表!$I$857)+('表4-收入税金表'!AE10+'表4-收入税金表'!AE27)*(1-参数输入表!$I$865)+('表4-收入税金表'!AE16+'表4-收入税金表'!AE29)*(1-参数输入表!$I$873)</f>
        <v>31431.82</v>
      </c>
      <c r="AF67" s="250">
        <f>('表4-收入税金表'!AF7+'表4-收入税金表'!AF26)*(1-参数输入表!$I$857)+('表4-收入税金表'!AF10+'表4-收入税金表'!AF27)*(1-参数输入表!$I$865)+('表4-收入税金表'!AF16+'表4-收入税金表'!AF29)*(1-参数输入表!$I$873)</f>
        <v>31431.82</v>
      </c>
      <c r="AG67" s="250">
        <f>('表4-收入税金表'!AG7+'表4-收入税金表'!AG26)*(1-参数输入表!$I$857)+('表4-收入税金表'!AG10+'表4-收入税金表'!AG27)*(1-参数输入表!$I$865)+('表4-收入税金表'!AG16+'表4-收入税金表'!AG29)*(1-参数输入表!$I$873)</f>
        <v>31431.82</v>
      </c>
      <c r="AH67" s="250">
        <f>('表4-收入税金表'!AH7+'表4-收入税金表'!AH26)*(1-参数输入表!$I$857)+('表4-收入税金表'!AH10+'表4-收入税金表'!AH27)*(1-参数输入表!$I$865)+('表4-收入税金表'!AH16+'表4-收入税金表'!AH29)*(1-参数输入表!$I$873)</f>
        <v>31431.82</v>
      </c>
      <c r="AI67" s="250">
        <f>('表4-收入税金表'!AI7+'表4-收入税金表'!AI26)*(1-参数输入表!$I$857)+('表4-收入税金表'!AI10+'表4-收入税金表'!AI27)*(1-参数输入表!$I$865)+('表4-收入税金表'!AI16+'表4-收入税金表'!AI29)*(1-参数输入表!$I$873)</f>
        <v>31431.82</v>
      </c>
      <c r="AJ67" s="250">
        <f>('表4-收入税金表'!AJ7+'表4-收入税金表'!AJ26)*(1-参数输入表!$I$857)+('表4-收入税金表'!AJ10+'表4-收入税金表'!AJ27)*(1-参数输入表!$I$865)+('表4-收入税金表'!AJ16+'表4-收入税金表'!AJ29)*(1-参数输入表!$I$873)</f>
        <v>31431.82</v>
      </c>
      <c r="AK67" s="250">
        <f>('表4-收入税金表'!AK7+'表4-收入税金表'!AK26)*(1-参数输入表!$I$857)+('表4-收入税金表'!AK10+'表4-收入税金表'!AK27)*(1-参数输入表!$I$865)+('表4-收入税金表'!AK16+'表4-收入税金表'!AK29)*(1-参数输入表!$I$873)</f>
        <v>31431.82</v>
      </c>
      <c r="AL67" s="250">
        <f>('表4-收入税金表'!AL7+'表4-收入税金表'!AL26)*(1-参数输入表!$I$857)+('表4-收入税金表'!AL10+'表4-收入税金表'!AL27)*(1-参数输入表!$I$865)+('表4-收入税金表'!AL16+'表4-收入税金表'!AL29)*(1-参数输入表!$I$873)</f>
        <v>31431.82</v>
      </c>
      <c r="AM67" s="250">
        <f>('表4-收入税金表'!AM7+'表4-收入税金表'!AM26)*(1-参数输入表!$I$857)+('表4-收入税金表'!AM10+'表4-收入税金表'!AM27)*(1-参数输入表!$I$865)+('表4-收入税金表'!AM16+'表4-收入税金表'!AM29)*(1-参数输入表!$I$873)</f>
        <v>31431.82</v>
      </c>
      <c r="AN67" s="250">
        <f>('表4-收入税金表'!AN7+'表4-收入税金表'!AN26)*(1-参数输入表!$I$857)+('表4-收入税金表'!AN10+'表4-收入税金表'!AN27)*(1-参数输入表!$I$865)+('表4-收入税金表'!AN16+'表4-收入税金表'!AN29)*(1-参数输入表!$I$873)</f>
        <v>31431.82</v>
      </c>
      <c r="AO67" s="250">
        <f>('表4-收入税金表'!AO7+'表4-收入税金表'!AO26)*(1-参数输入表!$I$857)+('表4-收入税金表'!AO10+'表4-收入税金表'!AO27)*(1-参数输入表!$I$865)+('表4-收入税金表'!AO16+'表4-收入税金表'!AO29)*(1-参数输入表!$I$873)</f>
        <v>31431.82</v>
      </c>
      <c r="AP67" s="250">
        <f>('表4-收入税金表'!AP7+'表4-收入税金表'!AP26)*(1-参数输入表!$I$857)+('表4-收入税金表'!AP10+'表4-收入税金表'!AP27)*(1-参数输入表!$I$865)+('表4-收入税金表'!AP16+'表4-收入税金表'!AP29)*(1-参数输入表!$I$873)</f>
        <v>31431.82</v>
      </c>
      <c r="AQ67" s="250">
        <f>('表4-收入税金表'!AQ7+'表4-收入税金表'!AQ26)*(1-参数输入表!$I$857)+('表4-收入税金表'!AQ10+'表4-收入税金表'!AQ27)*(1-参数输入表!$I$865)+('表4-收入税金表'!AQ16+'表4-收入税金表'!AQ29)*(1-参数输入表!$I$873)</f>
        <v>31431.82</v>
      </c>
      <c r="AR67" s="250">
        <f>('表4-收入税金表'!AR7+'表4-收入税金表'!AR26)*(1-参数输入表!$I$857)+('表4-收入税金表'!AR10+'表4-收入税金表'!AR27)*(1-参数输入表!$I$865)+('表4-收入税金表'!AR16+'表4-收入税金表'!AR29)*(1-参数输入表!$I$873)</f>
        <v>31431.82</v>
      </c>
      <c r="AS67" s="250">
        <f>('表4-收入税金表'!AS7+'表4-收入税金表'!AS26)*(1-参数输入表!$I$857)+('表4-收入税金表'!AS10+'表4-收入税金表'!AS27)*(1-参数输入表!$I$865)+('表4-收入税金表'!AS16+'表4-收入税金表'!AS29)*(1-参数输入表!$I$873)</f>
        <v>31431.82</v>
      </c>
      <c r="AT67" s="250">
        <f>('表4-收入税金表'!AT7+'表4-收入税金表'!AT26)*(1-参数输入表!$I$857)+('表4-收入税金表'!AT10+'表4-收入税金表'!AT27)*(1-参数输入表!$I$865)+('表4-收入税金表'!AT16+'表4-收入税金表'!AT29)*(1-参数输入表!$I$873)</f>
        <v>31431.82</v>
      </c>
      <c r="AU67" s="250">
        <f>('表4-收入税金表'!AU7+'表4-收入税金表'!AU26)*(1-参数输入表!$I$857)+('表4-收入税金表'!AU10+'表4-收入税金表'!AU27)*(1-参数输入表!$I$865)+('表4-收入税金表'!AU16+'表4-收入税金表'!AU29)*(1-参数输入表!$I$873)</f>
        <v>31431.82</v>
      </c>
      <c r="AV67" s="250">
        <f>('表4-收入税金表'!AV7+'表4-收入税金表'!AV26)*(1-参数输入表!$I$857)+('表4-收入税金表'!AV10+'表4-收入税金表'!AV27)*(1-参数输入表!$I$865)+('表4-收入税金表'!AV16+'表4-收入税金表'!AV29)*(1-参数输入表!$I$873)</f>
        <v>31431.82</v>
      </c>
      <c r="AW67" s="250">
        <f>('表4-收入税金表'!AW7+'表4-收入税金表'!AW26)*(1-参数输入表!$I$857)+('表4-收入税金表'!AW10+'表4-收入税金表'!AW27)*(1-参数输入表!$I$865)+('表4-收入税金表'!AW16+'表4-收入税金表'!AW29)*(1-参数输入表!$I$873)</f>
        <v>31431.82</v>
      </c>
      <c r="AX67" s="250">
        <f>('表4-收入税金表'!AX7+'表4-收入税金表'!AX26)*(1-参数输入表!$I$857)+('表4-收入税金表'!AX10+'表4-收入税金表'!AX27)*(1-参数输入表!$I$865)+('表4-收入税金表'!AX16+'表4-收入税金表'!AX29)*(1-参数输入表!$I$873)</f>
        <v>31431.82</v>
      </c>
      <c r="AY67" s="250">
        <f>('表4-收入税金表'!AY7+'表4-收入税金表'!AY26)*(1-参数输入表!$I$857)+('表4-收入税金表'!AY10+'表4-收入税金表'!AY27)*(1-参数输入表!$I$865)+('表4-收入税金表'!AY16+'表4-收入税金表'!AY29)*(1-参数输入表!$I$873)</f>
        <v>31431.82</v>
      </c>
      <c r="AZ67" s="250">
        <f>('表4-收入税金表'!AZ7+'表4-收入税金表'!AZ26)*(1-参数输入表!$I$857)+('表4-收入税金表'!AZ10+'表4-收入税金表'!AZ27)*(1-参数输入表!$I$865)+('表4-收入税金表'!AZ16+'表4-收入税金表'!AZ29)*(1-参数输入表!$I$873)</f>
        <v>31431.82</v>
      </c>
      <c r="BA67" s="252">
        <v>0</v>
      </c>
    </row>
    <row r="69" ht="21.5" spans="2:53">
      <c r="C69" s="253"/>
    </row>
    <row r="70" ht="22.5" spans="2:53">
      <c r="C70" s="254"/>
      <c r="E70" s="6" t="s">
        <v>832</v>
      </c>
    </row>
  </sheetData>
  <mergeCells count="12">
    <mergeCell ref="B3:B4"/>
    <mergeCell ref="B21:B22"/>
    <mergeCell ref="B65:B66"/>
    <mergeCell ref="C3:C4"/>
    <mergeCell ref="C21:C22"/>
    <mergeCell ref="C65:C66"/>
    <mergeCell ref="D3:D4"/>
    <mergeCell ref="D21:D22"/>
    <mergeCell ref="D65:D66"/>
    <mergeCell ref="E3:E4"/>
    <mergeCell ref="E21:E22"/>
    <mergeCell ref="E65:E66"/>
  </mergeCells>
  <pageMargins left="0.7" right="0.7" top="0.75" bottom="0.75" header="0.3" footer="0.3"/>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FF00"/>
  </sheetPr>
  <dimension ref="B1:BA136"/>
  <sheetViews>
    <sheetView showGridLines="0" zoomScale="70" zoomScaleNormal="70" workbookViewId="0">
      <pane xSplit="5" ySplit="4" topLeftCell="F90" activePane="bottomRight" state="frozen"/>
      <selection/>
      <selection pane="topRight"/>
      <selection pane="bottomLeft"/>
      <selection pane="bottomRight" activeCell="F56" sqref="F56"/>
    </sheetView>
  </sheetViews>
  <sheetFormatPr defaultColWidth="9" defaultRowHeight="16.5"/>
  <cols>
    <col min="1" max="1" width="2.89090909090909" style="6" customWidth="1"/>
    <col min="2" max="2" width="7.10909090909091" style="7" customWidth="1"/>
    <col min="3" max="3" width="56.6636363636364" style="6" customWidth="1"/>
    <col min="4" max="4" width="16.8909090909091" style="7" customWidth="1"/>
    <col min="5" max="5" width="9" style="7"/>
    <col min="6" max="11" width="12.7545454545455" style="6" customWidth="1"/>
    <col min="12" max="12" width="13.5545454545455" style="6" customWidth="1"/>
    <col min="13" max="52" width="15.3363636363636" style="6" customWidth="1"/>
    <col min="53" max="53" width="13.5545454545455" style="6" customWidth="1"/>
    <col min="54" max="16384" width="9" style="6"/>
  </cols>
  <sheetData>
    <row r="1" ht="7.95" customHeight="1"/>
    <row r="2" ht="24" customHeight="1" spans="2:53">
      <c r="B2" s="142" t="s">
        <v>833</v>
      </c>
    </row>
    <row r="3" spans="2:53">
      <c r="B3" s="8" t="s">
        <v>2</v>
      </c>
      <c r="C3" s="9" t="s">
        <v>430</v>
      </c>
      <c r="D3" s="10" t="s">
        <v>491</v>
      </c>
      <c r="E3" s="10" t="s">
        <v>9</v>
      </c>
      <c r="F3" s="11">
        <v>2023</v>
      </c>
      <c r="G3" s="11">
        <v>2024</v>
      </c>
      <c r="H3" s="11">
        <v>2025</v>
      </c>
      <c r="I3" s="11">
        <v>2026</v>
      </c>
      <c r="J3" s="11">
        <v>2027</v>
      </c>
      <c r="K3" s="11">
        <v>2028</v>
      </c>
      <c r="L3" s="12">
        <v>2029</v>
      </c>
      <c r="M3" s="12">
        <v>2030</v>
      </c>
      <c r="N3" s="13">
        <v>2031</v>
      </c>
      <c r="O3" s="13">
        <v>2032</v>
      </c>
      <c r="P3" s="13">
        <v>2033</v>
      </c>
      <c r="Q3" s="13">
        <v>2034</v>
      </c>
      <c r="R3" s="13">
        <v>2035</v>
      </c>
      <c r="S3" s="13">
        <v>2036</v>
      </c>
      <c r="T3" s="13">
        <v>2037</v>
      </c>
      <c r="U3" s="13">
        <v>2038</v>
      </c>
      <c r="V3" s="13">
        <v>2039</v>
      </c>
      <c r="W3" s="13">
        <v>2040</v>
      </c>
      <c r="X3" s="13">
        <v>2041</v>
      </c>
      <c r="Y3" s="13">
        <v>2042</v>
      </c>
      <c r="Z3" s="13">
        <v>2043</v>
      </c>
      <c r="AA3" s="13">
        <v>2044</v>
      </c>
      <c r="AB3" s="13">
        <v>2045</v>
      </c>
      <c r="AC3" s="13">
        <v>2046</v>
      </c>
      <c r="AD3" s="13">
        <v>2047</v>
      </c>
      <c r="AE3" s="13">
        <v>2048</v>
      </c>
      <c r="AF3" s="13">
        <v>2049</v>
      </c>
      <c r="AG3" s="13">
        <v>2050</v>
      </c>
      <c r="AH3" s="13">
        <v>2051</v>
      </c>
      <c r="AI3" s="13">
        <v>2052</v>
      </c>
      <c r="AJ3" s="13">
        <v>2053</v>
      </c>
      <c r="AK3" s="13">
        <v>2054</v>
      </c>
      <c r="AL3" s="13">
        <v>2055</v>
      </c>
      <c r="AM3" s="13">
        <v>2056</v>
      </c>
      <c r="AN3" s="13">
        <v>2057</v>
      </c>
      <c r="AO3" s="13">
        <v>2058</v>
      </c>
      <c r="AP3" s="13">
        <v>2059</v>
      </c>
      <c r="AQ3" s="13">
        <v>2060</v>
      </c>
      <c r="AR3" s="13">
        <v>2061</v>
      </c>
      <c r="AS3" s="13">
        <v>2062</v>
      </c>
      <c r="AT3" s="13">
        <v>2063</v>
      </c>
      <c r="AU3" s="13">
        <v>2064</v>
      </c>
      <c r="AV3" s="13">
        <v>2065</v>
      </c>
      <c r="AW3" s="13">
        <v>2066</v>
      </c>
      <c r="AX3" s="13">
        <v>2067</v>
      </c>
      <c r="AY3" s="13">
        <v>2068</v>
      </c>
      <c r="AZ3" s="13">
        <v>2069</v>
      </c>
      <c r="BA3" s="14">
        <v>2070</v>
      </c>
    </row>
    <row r="4" spans="2:53">
      <c r="B4" s="15"/>
      <c r="C4" s="16"/>
      <c r="D4" s="17"/>
      <c r="E4" s="17"/>
      <c r="F4" s="18">
        <v>1</v>
      </c>
      <c r="G4" s="18">
        <v>2</v>
      </c>
      <c r="H4" s="18">
        <v>3</v>
      </c>
      <c r="I4" s="18">
        <v>4</v>
      </c>
      <c r="J4" s="18">
        <v>5</v>
      </c>
      <c r="K4" s="18">
        <v>6</v>
      </c>
      <c r="L4" s="19">
        <v>7</v>
      </c>
      <c r="M4" s="19">
        <v>8</v>
      </c>
      <c r="N4" s="20">
        <v>9</v>
      </c>
      <c r="O4" s="20">
        <v>10</v>
      </c>
      <c r="P4" s="20">
        <v>11</v>
      </c>
      <c r="Q4" s="20">
        <v>12</v>
      </c>
      <c r="R4" s="20">
        <v>13</v>
      </c>
      <c r="S4" s="20">
        <v>14</v>
      </c>
      <c r="T4" s="20">
        <v>15</v>
      </c>
      <c r="U4" s="20">
        <v>16</v>
      </c>
      <c r="V4" s="20">
        <v>17</v>
      </c>
      <c r="W4" s="20">
        <v>18</v>
      </c>
      <c r="X4" s="20">
        <v>19</v>
      </c>
      <c r="Y4" s="20">
        <v>20</v>
      </c>
      <c r="Z4" s="20">
        <v>21</v>
      </c>
      <c r="AA4" s="20">
        <v>22</v>
      </c>
      <c r="AB4" s="20">
        <v>23</v>
      </c>
      <c r="AC4" s="20">
        <v>24</v>
      </c>
      <c r="AD4" s="20">
        <v>25</v>
      </c>
      <c r="AE4" s="20">
        <v>26</v>
      </c>
      <c r="AF4" s="20">
        <v>27</v>
      </c>
      <c r="AG4" s="20">
        <v>28</v>
      </c>
      <c r="AH4" s="20">
        <v>29</v>
      </c>
      <c r="AI4" s="20">
        <v>30</v>
      </c>
      <c r="AJ4" s="20">
        <v>31</v>
      </c>
      <c r="AK4" s="20">
        <v>32</v>
      </c>
      <c r="AL4" s="20">
        <v>33</v>
      </c>
      <c r="AM4" s="20">
        <v>34</v>
      </c>
      <c r="AN4" s="20">
        <v>35</v>
      </c>
      <c r="AO4" s="20">
        <v>36</v>
      </c>
      <c r="AP4" s="20">
        <v>37</v>
      </c>
      <c r="AQ4" s="20">
        <v>38</v>
      </c>
      <c r="AR4" s="20">
        <v>39</v>
      </c>
      <c r="AS4" s="20">
        <v>40</v>
      </c>
      <c r="AT4" s="20">
        <v>41</v>
      </c>
      <c r="AU4" s="20">
        <v>42</v>
      </c>
      <c r="AV4" s="20">
        <v>43</v>
      </c>
      <c r="AW4" s="20">
        <v>44</v>
      </c>
      <c r="AX4" s="20">
        <v>45</v>
      </c>
      <c r="AY4" s="20">
        <v>46</v>
      </c>
      <c r="AZ4" s="20">
        <v>47</v>
      </c>
      <c r="BA4" s="21">
        <v>48</v>
      </c>
    </row>
    <row r="5" s="139" customFormat="1" spans="2:53">
      <c r="B5" s="27" t="s">
        <v>834</v>
      </c>
      <c r="C5" s="28" t="s">
        <v>835</v>
      </c>
      <c r="D5" s="30">
        <f t="shared" ref="D5:D11" si="0">SUM(F5:BA5)</f>
        <v>5439260.17699115</v>
      </c>
      <c r="E5" s="29" t="s">
        <v>130</v>
      </c>
      <c r="F5" s="30">
        <f>SUM(F6:F9)</f>
        <v>0</v>
      </c>
      <c r="G5" s="134">
        <f t="shared" ref="G5:N5" si="1">SUM(G6:G9)</f>
        <v>0</v>
      </c>
      <c r="H5" s="134">
        <f t="shared" si="1"/>
        <v>0</v>
      </c>
      <c r="I5" s="134">
        <f t="shared" si="1"/>
        <v>0</v>
      </c>
      <c r="J5" s="134">
        <f t="shared" si="1"/>
        <v>0</v>
      </c>
      <c r="K5" s="134">
        <f t="shared" si="1"/>
        <v>0</v>
      </c>
      <c r="L5" s="134">
        <f t="shared" si="1"/>
        <v>0</v>
      </c>
      <c r="M5" s="134">
        <f t="shared" si="1"/>
        <v>56658.9601769911</v>
      </c>
      <c r="N5" s="134">
        <f t="shared" si="1"/>
        <v>135981.504424779</v>
      </c>
      <c r="O5" s="134">
        <f t="shared" ref="O5:AL5" si="2">SUM(O6:O9)</f>
        <v>135981.504424779</v>
      </c>
      <c r="P5" s="134">
        <f t="shared" si="2"/>
        <v>135981.504424779</v>
      </c>
      <c r="Q5" s="134">
        <f t="shared" si="2"/>
        <v>135981.504424779</v>
      </c>
      <c r="R5" s="134">
        <f t="shared" si="2"/>
        <v>135981.504424779</v>
      </c>
      <c r="S5" s="134">
        <f t="shared" si="2"/>
        <v>135981.504424779</v>
      </c>
      <c r="T5" s="134">
        <f t="shared" si="2"/>
        <v>135981.504424779</v>
      </c>
      <c r="U5" s="134">
        <f t="shared" si="2"/>
        <v>135981.504424779</v>
      </c>
      <c r="V5" s="134">
        <f t="shared" si="2"/>
        <v>135981.504424779</v>
      </c>
      <c r="W5" s="134">
        <f t="shared" si="2"/>
        <v>135981.504424779</v>
      </c>
      <c r="X5" s="134">
        <f t="shared" si="2"/>
        <v>135981.504424779</v>
      </c>
      <c r="Y5" s="134">
        <f t="shared" si="2"/>
        <v>135981.504424779</v>
      </c>
      <c r="Z5" s="134">
        <f t="shared" si="2"/>
        <v>135981.504424779</v>
      </c>
      <c r="AA5" s="134">
        <f t="shared" si="2"/>
        <v>135981.504424779</v>
      </c>
      <c r="AB5" s="134">
        <f t="shared" si="2"/>
        <v>135981.504424779</v>
      </c>
      <c r="AC5" s="134">
        <f t="shared" si="2"/>
        <v>135981.504424779</v>
      </c>
      <c r="AD5" s="134">
        <f t="shared" si="2"/>
        <v>135981.504424779</v>
      </c>
      <c r="AE5" s="134">
        <f t="shared" si="2"/>
        <v>135981.504424779</v>
      </c>
      <c r="AF5" s="134">
        <f t="shared" si="2"/>
        <v>135981.504424779</v>
      </c>
      <c r="AG5" s="134">
        <f t="shared" si="2"/>
        <v>135981.504424779</v>
      </c>
      <c r="AH5" s="134">
        <f t="shared" si="2"/>
        <v>135981.504424779</v>
      </c>
      <c r="AI5" s="134">
        <f t="shared" si="2"/>
        <v>135981.504424779</v>
      </c>
      <c r="AJ5" s="134">
        <f t="shared" si="2"/>
        <v>135981.504424779</v>
      </c>
      <c r="AK5" s="134">
        <f t="shared" si="2"/>
        <v>135981.504424779</v>
      </c>
      <c r="AL5" s="134">
        <f t="shared" si="2"/>
        <v>135981.504424779</v>
      </c>
      <c r="AM5" s="134">
        <f t="shared" ref="AM5:BA5" si="3">SUM(AM6:AM9)</f>
        <v>135981.504424779</v>
      </c>
      <c r="AN5" s="134">
        <f t="shared" si="3"/>
        <v>135981.504424779</v>
      </c>
      <c r="AO5" s="134">
        <f t="shared" si="3"/>
        <v>135981.504424779</v>
      </c>
      <c r="AP5" s="134">
        <f t="shared" si="3"/>
        <v>135981.504424779</v>
      </c>
      <c r="AQ5" s="134">
        <f t="shared" si="3"/>
        <v>135981.504424779</v>
      </c>
      <c r="AR5" s="134">
        <f t="shared" si="3"/>
        <v>135981.504424779</v>
      </c>
      <c r="AS5" s="134">
        <f t="shared" si="3"/>
        <v>135981.504424779</v>
      </c>
      <c r="AT5" s="134">
        <f t="shared" si="3"/>
        <v>135981.504424779</v>
      </c>
      <c r="AU5" s="134">
        <f t="shared" si="3"/>
        <v>135981.504424779</v>
      </c>
      <c r="AV5" s="134">
        <f t="shared" si="3"/>
        <v>135981.504424779</v>
      </c>
      <c r="AW5" s="134">
        <f t="shared" si="3"/>
        <v>135981.504424779</v>
      </c>
      <c r="AX5" s="134">
        <f t="shared" si="3"/>
        <v>135981.504424779</v>
      </c>
      <c r="AY5" s="134">
        <f t="shared" si="3"/>
        <v>135981.504424779</v>
      </c>
      <c r="AZ5" s="134">
        <f t="shared" si="3"/>
        <v>135981.504424779</v>
      </c>
      <c r="BA5" s="143">
        <f t="shared" si="3"/>
        <v>79322.5442477875</v>
      </c>
    </row>
    <row r="6" spans="2:53">
      <c r="B6" s="32"/>
      <c r="C6" s="144" t="s">
        <v>836</v>
      </c>
      <c r="D6" s="34">
        <f t="shared" si="0"/>
        <v>5439260.17699115</v>
      </c>
      <c r="E6" s="29" t="s">
        <v>130</v>
      </c>
      <c r="F6" s="34">
        <f>'表4-收入税金表'!F6</f>
        <v>0</v>
      </c>
      <c r="G6" s="34">
        <f>'表4-收入税金表'!G6</f>
        <v>0</v>
      </c>
      <c r="H6" s="34">
        <f>'表4-收入税金表'!H6</f>
        <v>0</v>
      </c>
      <c r="I6" s="34">
        <f>'表4-收入税金表'!I6</f>
        <v>0</v>
      </c>
      <c r="J6" s="34">
        <f>'表4-收入税金表'!J6</f>
        <v>0</v>
      </c>
      <c r="K6" s="34">
        <f>'表4-收入税金表'!K6</f>
        <v>0</v>
      </c>
      <c r="L6" s="34">
        <f>'表4-收入税金表'!L6</f>
        <v>0</v>
      </c>
      <c r="M6" s="34">
        <f>'表4-收入税金表'!M6</f>
        <v>56658.9601769911</v>
      </c>
      <c r="N6" s="34">
        <f>'表4-收入税金表'!N6</f>
        <v>135981.504424779</v>
      </c>
      <c r="O6" s="34">
        <f>'表4-收入税金表'!O6</f>
        <v>135981.504424779</v>
      </c>
      <c r="P6" s="34">
        <f>'表4-收入税金表'!P6</f>
        <v>135981.504424779</v>
      </c>
      <c r="Q6" s="34">
        <f>'表4-收入税金表'!Q6</f>
        <v>135981.504424779</v>
      </c>
      <c r="R6" s="34">
        <f>'表4-收入税金表'!R6</f>
        <v>135981.504424779</v>
      </c>
      <c r="S6" s="34">
        <f>'表4-收入税金表'!S6</f>
        <v>135981.504424779</v>
      </c>
      <c r="T6" s="34">
        <f>'表4-收入税金表'!T6</f>
        <v>135981.504424779</v>
      </c>
      <c r="U6" s="34">
        <f>'表4-收入税金表'!U6</f>
        <v>135981.504424779</v>
      </c>
      <c r="V6" s="34">
        <f>'表4-收入税金表'!V6</f>
        <v>135981.504424779</v>
      </c>
      <c r="W6" s="34">
        <f>'表4-收入税金表'!W6</f>
        <v>135981.504424779</v>
      </c>
      <c r="X6" s="34">
        <f>'表4-收入税金表'!X6</f>
        <v>135981.504424779</v>
      </c>
      <c r="Y6" s="34">
        <f>'表4-收入税金表'!Y6</f>
        <v>135981.504424779</v>
      </c>
      <c r="Z6" s="34">
        <f>'表4-收入税金表'!Z6</f>
        <v>135981.504424779</v>
      </c>
      <c r="AA6" s="34">
        <f>'表4-收入税金表'!AA6</f>
        <v>135981.504424779</v>
      </c>
      <c r="AB6" s="34">
        <f>'表4-收入税金表'!AB6</f>
        <v>135981.504424779</v>
      </c>
      <c r="AC6" s="34">
        <f>'表4-收入税金表'!AC6</f>
        <v>135981.504424779</v>
      </c>
      <c r="AD6" s="34">
        <f>'表4-收入税金表'!AD6</f>
        <v>135981.504424779</v>
      </c>
      <c r="AE6" s="34">
        <f>'表4-收入税金表'!AE6</f>
        <v>135981.504424779</v>
      </c>
      <c r="AF6" s="34">
        <f>'表4-收入税金表'!AF6</f>
        <v>135981.504424779</v>
      </c>
      <c r="AG6" s="34">
        <f>'表4-收入税金表'!AG6</f>
        <v>135981.504424779</v>
      </c>
      <c r="AH6" s="34">
        <f>'表4-收入税金表'!AH6</f>
        <v>135981.504424779</v>
      </c>
      <c r="AI6" s="34">
        <f>'表4-收入税金表'!AI6</f>
        <v>135981.504424779</v>
      </c>
      <c r="AJ6" s="34">
        <f>'表4-收入税金表'!AJ6</f>
        <v>135981.504424779</v>
      </c>
      <c r="AK6" s="34">
        <f>'表4-收入税金表'!AK6</f>
        <v>135981.504424779</v>
      </c>
      <c r="AL6" s="34">
        <f>'表4-收入税金表'!AL6</f>
        <v>135981.504424779</v>
      </c>
      <c r="AM6" s="34">
        <f>'表4-收入税金表'!AM6</f>
        <v>135981.504424779</v>
      </c>
      <c r="AN6" s="34">
        <f>'表4-收入税金表'!AN6</f>
        <v>135981.504424779</v>
      </c>
      <c r="AO6" s="34">
        <f>'表4-收入税金表'!AO6</f>
        <v>135981.504424779</v>
      </c>
      <c r="AP6" s="34">
        <f>'表4-收入税金表'!AP6</f>
        <v>135981.504424779</v>
      </c>
      <c r="AQ6" s="34">
        <f>'表4-收入税金表'!AQ6</f>
        <v>135981.504424779</v>
      </c>
      <c r="AR6" s="34">
        <f>'表4-收入税金表'!AR6</f>
        <v>135981.504424779</v>
      </c>
      <c r="AS6" s="34">
        <f>'表4-收入税金表'!AS6</f>
        <v>135981.504424779</v>
      </c>
      <c r="AT6" s="34">
        <f>'表4-收入税金表'!AT6</f>
        <v>135981.504424779</v>
      </c>
      <c r="AU6" s="34">
        <f>'表4-收入税金表'!AU6</f>
        <v>135981.504424779</v>
      </c>
      <c r="AV6" s="34">
        <f>'表4-收入税金表'!AV6</f>
        <v>135981.504424779</v>
      </c>
      <c r="AW6" s="34">
        <f>'表4-收入税金表'!AW6</f>
        <v>135981.504424779</v>
      </c>
      <c r="AX6" s="34">
        <f>'表4-收入税金表'!AX6</f>
        <v>135981.504424779</v>
      </c>
      <c r="AY6" s="34">
        <f>'表4-收入税金表'!AY6</f>
        <v>135981.504424779</v>
      </c>
      <c r="AZ6" s="34">
        <f>'表4-收入税金表'!AZ6</f>
        <v>135981.504424779</v>
      </c>
      <c r="BA6" s="35">
        <f>'表4-收入税金表'!BA6</f>
        <v>79322.5442477875</v>
      </c>
    </row>
    <row r="7" spans="2:53">
      <c r="B7" s="32"/>
      <c r="C7" s="145" t="s">
        <v>837</v>
      </c>
      <c r="D7" s="34"/>
      <c r="E7" s="29" t="s">
        <v>130</v>
      </c>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5"/>
    </row>
    <row r="8" spans="2:53">
      <c r="B8" s="32"/>
      <c r="C8" s="145" t="s">
        <v>838</v>
      </c>
      <c r="D8" s="34"/>
      <c r="E8" s="29" t="s">
        <v>130</v>
      </c>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5"/>
    </row>
    <row r="9" spans="2:53">
      <c r="B9" s="32"/>
      <c r="C9" s="145" t="s">
        <v>839</v>
      </c>
      <c r="D9" s="34"/>
      <c r="E9" s="29" t="s">
        <v>130</v>
      </c>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5"/>
    </row>
    <row r="10" s="139" customFormat="1" spans="2:53">
      <c r="B10" s="27" t="s">
        <v>840</v>
      </c>
      <c r="C10" s="28" t="s">
        <v>841</v>
      </c>
      <c r="D10" s="30">
        <f ca="1" t="shared" si="0"/>
        <v>3847187.5896565</v>
      </c>
      <c r="E10" s="29" t="s">
        <v>130</v>
      </c>
      <c r="F10" s="134">
        <f ca="1">SUM(F11:F23)+F27</f>
        <v>0</v>
      </c>
      <c r="G10" s="134">
        <f ca="1" t="shared" ref="G10:Q10" si="4">SUM(G11:G23)+G27</f>
        <v>0</v>
      </c>
      <c r="H10" s="134">
        <f ca="1" t="shared" si="4"/>
        <v>0</v>
      </c>
      <c r="I10" s="134">
        <f ca="1" t="shared" si="4"/>
        <v>0</v>
      </c>
      <c r="J10" s="134">
        <f ca="1" t="shared" si="4"/>
        <v>0</v>
      </c>
      <c r="K10" s="134">
        <f ca="1" t="shared" si="4"/>
        <v>0</v>
      </c>
      <c r="L10" s="134">
        <f ca="1" t="shared" si="4"/>
        <v>0</v>
      </c>
      <c r="M10" s="134">
        <f ca="1" t="shared" si="4"/>
        <v>49337.5235074423</v>
      </c>
      <c r="N10" s="134">
        <f ca="1" t="shared" si="4"/>
        <v>125946.567746746</v>
      </c>
      <c r="O10" s="134">
        <f ca="1" t="shared" si="4"/>
        <v>124198.168995703</v>
      </c>
      <c r="P10" s="134">
        <f ca="1" t="shared" si="4"/>
        <v>122223.934416318</v>
      </c>
      <c r="Q10" s="134">
        <f ca="1" t="shared" si="4"/>
        <v>120303.941853429</v>
      </c>
      <c r="R10" s="134">
        <f ca="1" t="shared" ref="R10:AL10" si="5">SUM(R11:R23)+R27</f>
        <v>118494.700088066</v>
      </c>
      <c r="S10" s="134">
        <f ca="1" t="shared" si="5"/>
        <v>117211.620678994</v>
      </c>
      <c r="T10" s="134">
        <f ca="1" t="shared" si="5"/>
        <v>116988.346317935</v>
      </c>
      <c r="U10" s="134">
        <f ca="1" t="shared" si="5"/>
        <v>116056.54663186</v>
      </c>
      <c r="V10" s="134">
        <f ca="1" t="shared" si="5"/>
        <v>115109.738602878</v>
      </c>
      <c r="W10" s="134">
        <f ca="1" t="shared" si="5"/>
        <v>114154.570747846</v>
      </c>
      <c r="X10" s="134">
        <f ca="1" t="shared" si="5"/>
        <v>113383.728524313</v>
      </c>
      <c r="Y10" s="134">
        <f ca="1" t="shared" si="5"/>
        <v>114529.603574976</v>
      </c>
      <c r="Z10" s="134">
        <f ca="1" t="shared" si="5"/>
        <v>114014.124799391</v>
      </c>
      <c r="AA10" s="134">
        <f ca="1" t="shared" si="5"/>
        <v>112937.705117458</v>
      </c>
      <c r="AB10" s="134">
        <f ca="1" t="shared" si="5"/>
        <v>111399.41729596</v>
      </c>
      <c r="AC10" s="134">
        <f ca="1" t="shared" si="5"/>
        <v>109386.076395925</v>
      </c>
      <c r="AD10" s="134">
        <f ca="1" t="shared" si="5"/>
        <v>106814.679553083</v>
      </c>
      <c r="AE10" s="134">
        <f ca="1" t="shared" si="5"/>
        <v>102486.104083294</v>
      </c>
      <c r="AF10" s="134">
        <f ca="1" t="shared" si="5"/>
        <v>97585.914051222</v>
      </c>
      <c r="AG10" s="134">
        <f ca="1" t="shared" si="5"/>
        <v>95040.0550496559</v>
      </c>
      <c r="AH10" s="134">
        <f ca="1" t="shared" si="5"/>
        <v>93078.7113460551</v>
      </c>
      <c r="AI10" s="134">
        <f ca="1" t="shared" si="5"/>
        <v>92440.4622522264</v>
      </c>
      <c r="AJ10" s="134">
        <f ca="1" t="shared" si="5"/>
        <v>92638.6273898411</v>
      </c>
      <c r="AK10" s="134">
        <f ca="1" t="shared" si="5"/>
        <v>92638.6273898411</v>
      </c>
      <c r="AL10" s="134">
        <f ca="1" t="shared" si="5"/>
        <v>92638.6273898411</v>
      </c>
      <c r="AM10" s="134">
        <f ca="1" t="shared" ref="AM10:BA10" si="6">SUM(AM11:AM23)+AM27</f>
        <v>92633.6732614007</v>
      </c>
      <c r="AN10" s="134">
        <f ca="1" t="shared" si="6"/>
        <v>92617.9194252393</v>
      </c>
      <c r="AO10" s="134">
        <f ca="1" t="shared" si="6"/>
        <v>92638.6273898411</v>
      </c>
      <c r="AP10" s="134">
        <f ca="1" t="shared" si="6"/>
        <v>81719.2075581435</v>
      </c>
      <c r="AQ10" s="134">
        <f ca="1" t="shared" si="6"/>
        <v>66432.019793767</v>
      </c>
      <c r="AR10" s="134">
        <f ca="1" t="shared" si="6"/>
        <v>66427.0656653266</v>
      </c>
      <c r="AS10" s="134">
        <f ca="1" t="shared" si="6"/>
        <v>66437.7282545213</v>
      </c>
      <c r="AT10" s="134">
        <f ca="1" t="shared" si="6"/>
        <v>66635.893392136</v>
      </c>
      <c r="AU10" s="134">
        <f ca="1" t="shared" si="6"/>
        <v>66635.893392136</v>
      </c>
      <c r="AV10" s="134">
        <f ca="1" t="shared" si="6"/>
        <v>66670.4951620475</v>
      </c>
      <c r="AW10" s="134">
        <f ca="1" t="shared" si="6"/>
        <v>66686.2489982089</v>
      </c>
      <c r="AX10" s="134">
        <f ca="1" t="shared" si="6"/>
        <v>66691.2031266493</v>
      </c>
      <c r="AY10" s="134">
        <f ca="1" t="shared" si="6"/>
        <v>66839.1541969857</v>
      </c>
      <c r="AZ10" s="134">
        <f ca="1" t="shared" si="6"/>
        <v>66844.1083254261</v>
      </c>
      <c r="BA10" s="143">
        <f ca="1" t="shared" si="6"/>
        <v>40240.2279143739</v>
      </c>
    </row>
    <row r="11" spans="2:53">
      <c r="B11" s="32"/>
      <c r="C11" s="144" t="s">
        <v>842</v>
      </c>
      <c r="D11" s="34">
        <f ca="1" t="shared" si="0"/>
        <v>3354193.41517324</v>
      </c>
      <c r="E11" s="29" t="s">
        <v>130</v>
      </c>
      <c r="F11" s="34">
        <f ca="1">'表3-成本费用表'!F7</f>
        <v>0</v>
      </c>
      <c r="G11" s="34">
        <f ca="1">'表3-成本费用表'!G7</f>
        <v>0</v>
      </c>
      <c r="H11" s="34">
        <f ca="1">'表3-成本费用表'!H7</f>
        <v>0</v>
      </c>
      <c r="I11" s="34">
        <f ca="1">'表3-成本费用表'!I7</f>
        <v>0</v>
      </c>
      <c r="J11" s="34">
        <f ca="1">'表3-成本费用表'!J7</f>
        <v>0</v>
      </c>
      <c r="K11" s="34">
        <f ca="1">'表3-成本费用表'!K7</f>
        <v>0</v>
      </c>
      <c r="L11" s="34">
        <f ca="1">'表3-成本费用表'!L7</f>
        <v>0</v>
      </c>
      <c r="M11" s="34">
        <f ca="1">'表3-成本费用表'!M7</f>
        <v>37909.9306004087</v>
      </c>
      <c r="N11" s="34">
        <f ca="1">'表3-成本费用表'!N7</f>
        <v>92989.0166487427</v>
      </c>
      <c r="O11" s="34">
        <f ca="1">'表3-成本费用表'!O7</f>
        <v>92526.5166487427</v>
      </c>
      <c r="P11" s="34">
        <f ca="1">'表3-成本费用表'!P7</f>
        <v>92526.5166487427</v>
      </c>
      <c r="Q11" s="34">
        <f ca="1">'表3-成本费用表'!Q7</f>
        <v>92526.5166487427</v>
      </c>
      <c r="R11" s="34">
        <f ca="1">'表3-成本费用表'!R7</f>
        <v>92526.5166487427</v>
      </c>
      <c r="S11" s="34">
        <f ca="1">'表3-成本费用表'!S7</f>
        <v>92526.5166487427</v>
      </c>
      <c r="T11" s="34">
        <f ca="1">'表3-成本费用表'!T7</f>
        <v>92526.5166487427</v>
      </c>
      <c r="U11" s="34">
        <f ca="1">'表3-成本费用表'!U7</f>
        <v>92526.5166487427</v>
      </c>
      <c r="V11" s="34">
        <f ca="1">'表3-成本费用表'!V7</f>
        <v>92526.5166487427</v>
      </c>
      <c r="W11" s="34">
        <f ca="1">'表3-成本费用表'!W7</f>
        <v>92526.5166487427</v>
      </c>
      <c r="X11" s="34">
        <f ca="1">'表3-成本费用表'!X7</f>
        <v>92692.4458522825</v>
      </c>
      <c r="Y11" s="34">
        <f ca="1">'表3-成本费用表'!Y7</f>
        <v>94302.3082376036</v>
      </c>
      <c r="Z11" s="34">
        <f ca="1">'表3-成本费用表'!Z7</f>
        <v>93987.3082376036</v>
      </c>
      <c r="AA11" s="34">
        <f ca="1">'表3-成本费用表'!AA7</f>
        <v>93987.3082376036</v>
      </c>
      <c r="AB11" s="34">
        <f ca="1">'表3-成本费用表'!AB7</f>
        <v>93987.3082376036</v>
      </c>
      <c r="AC11" s="34">
        <f ca="1">'表3-成本费用表'!AC7</f>
        <v>93987.3082376036</v>
      </c>
      <c r="AD11" s="34">
        <f ca="1">'表3-成本费用表'!AD7</f>
        <v>93987.3082376036</v>
      </c>
      <c r="AE11" s="34">
        <f ca="1">'表3-成本费用表'!AE7</f>
        <v>92228.0489783444</v>
      </c>
      <c r="AF11" s="34">
        <f ca="1">'表3-成本费用表'!AF7</f>
        <v>89765.0860153814</v>
      </c>
      <c r="AG11" s="34">
        <f ca="1">'表3-成本费用表'!AG7</f>
        <v>89527.5860153814</v>
      </c>
      <c r="AH11" s="34">
        <f ca="1">'表3-成本费用表'!AH7</f>
        <v>89195.0860153814</v>
      </c>
      <c r="AI11" s="34">
        <f ca="1">'表3-成本费用表'!AI7</f>
        <v>89195.0860153814</v>
      </c>
      <c r="AJ11" s="34">
        <f ca="1">'表3-成本费用表'!AJ7</f>
        <v>89195.0860153814</v>
      </c>
      <c r="AK11" s="34">
        <f ca="1">'表3-成本费用表'!AK7</f>
        <v>89195.0860153814</v>
      </c>
      <c r="AL11" s="34">
        <f ca="1">'表3-成本费用表'!AL7</f>
        <v>89195.0860153814</v>
      </c>
      <c r="AM11" s="34">
        <f ca="1">'表3-成本费用表'!AM7</f>
        <v>89195.0860153814</v>
      </c>
      <c r="AN11" s="34">
        <f ca="1">'表3-成本费用表'!AN7</f>
        <v>89195.0860153814</v>
      </c>
      <c r="AO11" s="34">
        <f ca="1">'表3-成本费用表'!AO7</f>
        <v>89195.0860153814</v>
      </c>
      <c r="AP11" s="34">
        <f ca="1">'表3-成本费用表'!AP7</f>
        <v>78275.6661836839</v>
      </c>
      <c r="AQ11" s="34">
        <f ca="1">'表3-成本费用表'!AQ7</f>
        <v>62988.4784193074</v>
      </c>
      <c r="AR11" s="34">
        <f ca="1">'表3-成本费用表'!AR7</f>
        <v>62988.4784193074</v>
      </c>
      <c r="AS11" s="34">
        <f ca="1">'表3-成本费用表'!AS7</f>
        <v>63192.3520176764</v>
      </c>
      <c r="AT11" s="34">
        <f ca="1">'表3-成本费用表'!AT7</f>
        <v>63192.3520176764</v>
      </c>
      <c r="AU11" s="34">
        <f ca="1">'表3-成本费用表'!AU7</f>
        <v>63192.3520176764</v>
      </c>
      <c r="AV11" s="34">
        <f ca="1">'表3-成本费用表'!AV7</f>
        <v>63247.6617521897</v>
      </c>
      <c r="AW11" s="34">
        <f ca="1">'表3-成本费用表'!AW7</f>
        <v>63247.6617521897</v>
      </c>
      <c r="AX11" s="34">
        <f ca="1">'表3-成本费用表'!AX7</f>
        <v>63247.6617521897</v>
      </c>
      <c r="AY11" s="34">
        <f ca="1">'表3-成本费用表'!AY7</f>
        <v>63400.5669509664</v>
      </c>
      <c r="AZ11" s="34">
        <f ca="1">'表3-成本费用表'!AZ7</f>
        <v>63400.5669509664</v>
      </c>
      <c r="BA11" s="35">
        <f ca="1">'表3-成本费用表'!BA7</f>
        <v>38169.3154415144</v>
      </c>
    </row>
    <row r="12" spans="2:53">
      <c r="B12" s="32"/>
      <c r="C12" s="145" t="s">
        <v>843</v>
      </c>
      <c r="D12" s="34"/>
      <c r="E12" s="29" t="s">
        <v>130</v>
      </c>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5"/>
    </row>
    <row r="13" spans="2:53">
      <c r="B13" s="32"/>
      <c r="C13" s="145" t="s">
        <v>844</v>
      </c>
      <c r="D13" s="34"/>
      <c r="E13" s="29" t="s">
        <v>130</v>
      </c>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5"/>
    </row>
    <row r="14" spans="2:53">
      <c r="B14" s="32"/>
      <c r="C14" s="145" t="s">
        <v>845</v>
      </c>
      <c r="D14" s="34"/>
      <c r="E14" s="29" t="s">
        <v>130</v>
      </c>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5"/>
    </row>
    <row r="15" spans="2:53">
      <c r="B15" s="32"/>
      <c r="C15" s="145" t="s">
        <v>846</v>
      </c>
      <c r="D15" s="34"/>
      <c r="E15" s="29" t="s">
        <v>130</v>
      </c>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5"/>
    </row>
    <row r="16" spans="2:53">
      <c r="B16" s="32"/>
      <c r="C16" s="145" t="s">
        <v>847</v>
      </c>
      <c r="D16" s="34"/>
      <c r="E16" s="29" t="s">
        <v>130</v>
      </c>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5"/>
    </row>
    <row r="17" spans="2:53">
      <c r="B17" s="32"/>
      <c r="C17" s="145" t="s">
        <v>848</v>
      </c>
      <c r="D17" s="34"/>
      <c r="E17" s="29" t="s">
        <v>130</v>
      </c>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5"/>
    </row>
    <row r="18" spans="2:53">
      <c r="B18" s="32"/>
      <c r="C18" s="145" t="s">
        <v>849</v>
      </c>
      <c r="D18" s="34"/>
      <c r="E18" s="29" t="s">
        <v>130</v>
      </c>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5"/>
    </row>
    <row r="19" spans="2:53">
      <c r="B19" s="32"/>
      <c r="C19" s="33" t="s">
        <v>850</v>
      </c>
      <c r="D19" s="34">
        <f t="shared" ref="D19:D24" si="7">SUM(F19:BA19)</f>
        <v>50089.5748537951</v>
      </c>
      <c r="E19" s="29" t="s">
        <v>130</v>
      </c>
      <c r="F19" s="34">
        <f>'表4-收入税金表'!F55+'表4-收入税金表'!F59</f>
        <v>0</v>
      </c>
      <c r="G19" s="34">
        <f>'表4-收入税金表'!G55+'表4-收入税金表'!G59</f>
        <v>0</v>
      </c>
      <c r="H19" s="34">
        <f>'表4-收入税金表'!H55+'表4-收入税金表'!H59</f>
        <v>0</v>
      </c>
      <c r="I19" s="34">
        <f>'表4-收入税金表'!I55+'表4-收入税金表'!I59</f>
        <v>0</v>
      </c>
      <c r="J19" s="34">
        <f>'表4-收入税金表'!J55+'表4-收入税金表'!J59</f>
        <v>0</v>
      </c>
      <c r="K19" s="34">
        <f>'表4-收入税金表'!K55+'表4-收入税金表'!K59</f>
        <v>0</v>
      </c>
      <c r="L19" s="34">
        <f>'表4-收入税金表'!L55+'表4-收入税金表'!L59</f>
        <v>0</v>
      </c>
      <c r="M19" s="34">
        <f>'表4-收入税金表'!M55+'表4-收入税金表'!M59</f>
        <v>0</v>
      </c>
      <c r="N19" s="34">
        <f>'表4-收入税金表'!N55+'表4-收入税金表'!N59</f>
        <v>150</v>
      </c>
      <c r="O19" s="34">
        <f>'表4-收入税金表'!O55+'表4-收入税金表'!O59</f>
        <v>150</v>
      </c>
      <c r="P19" s="34">
        <f>'表4-收入税金表'!P55+'表4-收入税金表'!P59</f>
        <v>150</v>
      </c>
      <c r="Q19" s="34">
        <f>'表4-收入税金表'!Q55+'表4-收入税金表'!Q59</f>
        <v>150</v>
      </c>
      <c r="R19" s="34">
        <f>'表4-收入税金表'!R55+'表4-收入税金表'!R59</f>
        <v>150</v>
      </c>
      <c r="S19" s="34">
        <f>'表4-收入税金表'!S55+'表4-收入税金表'!S59</f>
        <v>502.655101183045</v>
      </c>
      <c r="T19" s="34">
        <f>'表4-收入税金表'!T55+'表4-收入税金表'!T59</f>
        <v>1473.55074695348</v>
      </c>
      <c r="U19" s="34">
        <f>'表4-收入税金表'!U55+'表4-收入税金表'!U59</f>
        <v>1473.55074695348</v>
      </c>
      <c r="V19" s="34">
        <f>'表4-收入税金表'!V55+'表4-收入税金表'!V59</f>
        <v>1473.55074695348</v>
      </c>
      <c r="W19" s="34">
        <f>'表4-收入税金表'!W55+'表4-收入税金表'!W59</f>
        <v>1473.55074695348</v>
      </c>
      <c r="X19" s="34">
        <f>'表4-收入税金表'!X55+'表4-收入税金表'!X59</f>
        <v>1447.88865391134</v>
      </c>
      <c r="Y19" s="34">
        <f>'表4-收入税金表'!Y55+'表4-收入税金表'!Y59</f>
        <v>1275.3856093388</v>
      </c>
      <c r="Z19" s="34">
        <f>'表4-收入税金表'!Z55+'表4-收入税金表'!Z59</f>
        <v>1473.55074695348</v>
      </c>
      <c r="AA19" s="34">
        <f>'表4-收入税金表'!AA55+'表4-收入税金表'!AA59</f>
        <v>1473.55074695348</v>
      </c>
      <c r="AB19" s="34">
        <f>'表4-收入税金表'!AB55+'表4-收入税金表'!AB59</f>
        <v>1473.55074695348</v>
      </c>
      <c r="AC19" s="34">
        <f>'表4-收入税金表'!AC55+'表4-收入税金表'!AC59</f>
        <v>1468.59661851311</v>
      </c>
      <c r="AD19" s="34">
        <f>'表4-收入税金表'!AD55+'表4-收入税金表'!AD59</f>
        <v>1473.55074695348</v>
      </c>
      <c r="AE19" s="34">
        <f>'表4-收入税金表'!AE55+'表4-收入税金表'!AE59</f>
        <v>1473.55074695348</v>
      </c>
      <c r="AF19" s="34">
        <f>'表4-收入税金表'!AF55+'表4-收入税金表'!AF59</f>
        <v>1452.84278235171</v>
      </c>
      <c r="AG19" s="34">
        <f>'表4-收入税金表'!AG55+'表4-收入税金表'!AG59</f>
        <v>1473.55074695348</v>
      </c>
      <c r="AH19" s="34">
        <f>'表4-收入税金表'!AH55+'表4-收入税金表'!AH59</f>
        <v>1468.59661851311</v>
      </c>
      <c r="AI19" s="34">
        <f>'表4-收入税金表'!AI55+'表4-收入税金表'!AI59</f>
        <v>1275.3856093388</v>
      </c>
      <c r="AJ19" s="34">
        <f>'表4-收入税金表'!AJ55+'表4-收入税金表'!AJ59</f>
        <v>1473.55074695348</v>
      </c>
      <c r="AK19" s="34">
        <f>'表4-收入税金表'!AK55+'表4-收入税金表'!AK59</f>
        <v>1473.55074695348</v>
      </c>
      <c r="AL19" s="34">
        <f>'表4-收入税金表'!AL55+'表4-收入税金表'!AL59</f>
        <v>1473.55074695348</v>
      </c>
      <c r="AM19" s="34">
        <f>'表4-收入税金表'!AM55+'表4-收入税金表'!AM59</f>
        <v>1468.59661851311</v>
      </c>
      <c r="AN19" s="34">
        <f>'表4-收入税金表'!AN55+'表4-收入税金表'!AN59</f>
        <v>1452.84278235171</v>
      </c>
      <c r="AO19" s="34">
        <f>'表4-收入税金表'!AO55+'表4-收入税金表'!AO59</f>
        <v>1473.55074695348</v>
      </c>
      <c r="AP19" s="34">
        <f>'表4-收入税金表'!AP55+'表4-收入税金表'!AP59</f>
        <v>1473.55074695348</v>
      </c>
      <c r="AQ19" s="34">
        <f>'表4-收入税金表'!AQ55+'表4-收入税金表'!AQ59</f>
        <v>1473.55074695348</v>
      </c>
      <c r="AR19" s="34">
        <f>'表4-收入税金表'!AR55+'表4-收入税金表'!AR59</f>
        <v>1468.59661851311</v>
      </c>
      <c r="AS19" s="34">
        <f>'表4-收入税金表'!AS55+'表4-收入税金表'!AS59</f>
        <v>1275.3856093388</v>
      </c>
      <c r="AT19" s="34">
        <f>'表4-收入税金表'!AT55+'表4-收入税金表'!AT59</f>
        <v>1473.55074695348</v>
      </c>
      <c r="AU19" s="34">
        <f>'表4-收入税金表'!AU55+'表4-收入税金表'!AU59</f>
        <v>1473.55074695348</v>
      </c>
      <c r="AV19" s="34">
        <f>'表4-收入税金表'!AV55+'表4-收入税金表'!AV59</f>
        <v>1452.84278235171</v>
      </c>
      <c r="AW19" s="34">
        <f>'表4-收入税金表'!AW55+'表4-收入税金表'!AW59</f>
        <v>1468.59661851311</v>
      </c>
      <c r="AX19" s="34">
        <f>'表4-收入税金表'!AX55+'表4-收入税金表'!AX59</f>
        <v>1473.55074695348</v>
      </c>
      <c r="AY19" s="34">
        <f>'表4-收入税金表'!AY55+'表4-收入税金表'!AY59</f>
        <v>1468.59661851311</v>
      </c>
      <c r="AZ19" s="34">
        <f>'表4-收入税金表'!AZ55+'表4-收入税金表'!AZ59</f>
        <v>1473.55074695348</v>
      </c>
      <c r="BA19" s="35">
        <f>'表4-收入税金表'!BA55+'表4-收入税金表'!BA59</f>
        <v>921.751273480975</v>
      </c>
    </row>
    <row r="20" spans="2:53">
      <c r="B20" s="32"/>
      <c r="C20" s="33" t="s">
        <v>773</v>
      </c>
      <c r="D20" s="34">
        <f t="shared" si="7"/>
        <v>0</v>
      </c>
      <c r="E20" s="29" t="s">
        <v>130</v>
      </c>
      <c r="F20" s="34">
        <f>'表3-成本费用表'!F27</f>
        <v>0</v>
      </c>
      <c r="G20" s="34">
        <f>'表3-成本费用表'!G27</f>
        <v>0</v>
      </c>
      <c r="H20" s="34">
        <f>'表3-成本费用表'!H27</f>
        <v>0</v>
      </c>
      <c r="I20" s="34">
        <f>'表3-成本费用表'!I27</f>
        <v>0</v>
      </c>
      <c r="J20" s="34">
        <f>'表3-成本费用表'!J27</f>
        <v>0</v>
      </c>
      <c r="K20" s="34">
        <f>'表3-成本费用表'!K27</f>
        <v>0</v>
      </c>
      <c r="L20" s="34">
        <f>'表3-成本费用表'!L27</f>
        <v>0</v>
      </c>
      <c r="M20" s="34">
        <f>'表3-成本费用表'!M27</f>
        <v>0</v>
      </c>
      <c r="N20" s="34">
        <f>'表3-成本费用表'!N27</f>
        <v>0</v>
      </c>
      <c r="O20" s="34">
        <f>'表3-成本费用表'!O27</f>
        <v>0</v>
      </c>
      <c r="P20" s="34">
        <f>'表3-成本费用表'!P27</f>
        <v>0</v>
      </c>
      <c r="Q20" s="34">
        <f>'表3-成本费用表'!Q27</f>
        <v>0</v>
      </c>
      <c r="R20" s="34">
        <f>'表3-成本费用表'!R27</f>
        <v>0</v>
      </c>
      <c r="S20" s="34">
        <f>'表3-成本费用表'!S27</f>
        <v>0</v>
      </c>
      <c r="T20" s="34">
        <f>'表3-成本费用表'!T27</f>
        <v>0</v>
      </c>
      <c r="U20" s="34">
        <f>'表3-成本费用表'!U27</f>
        <v>0</v>
      </c>
      <c r="V20" s="34">
        <f>'表3-成本费用表'!V27</f>
        <v>0</v>
      </c>
      <c r="W20" s="34">
        <f>'表3-成本费用表'!W27</f>
        <v>0</v>
      </c>
      <c r="X20" s="34">
        <f>'表3-成本费用表'!X27</f>
        <v>0</v>
      </c>
      <c r="Y20" s="34">
        <f>'表3-成本费用表'!Y27</f>
        <v>0</v>
      </c>
      <c r="Z20" s="34">
        <f>'表3-成本费用表'!Z27</f>
        <v>0</v>
      </c>
      <c r="AA20" s="34">
        <f>'表3-成本费用表'!AA27</f>
        <v>0</v>
      </c>
      <c r="AB20" s="34">
        <f>'表3-成本费用表'!AB27</f>
        <v>0</v>
      </c>
      <c r="AC20" s="34">
        <f>'表3-成本费用表'!AC27</f>
        <v>0</v>
      </c>
      <c r="AD20" s="34">
        <f>'表3-成本费用表'!AD27</f>
        <v>0</v>
      </c>
      <c r="AE20" s="34">
        <f>'表3-成本费用表'!AE27</f>
        <v>0</v>
      </c>
      <c r="AF20" s="34">
        <f>'表3-成本费用表'!AF27</f>
        <v>0</v>
      </c>
      <c r="AG20" s="34">
        <f>'表3-成本费用表'!AG27</f>
        <v>0</v>
      </c>
      <c r="AH20" s="34">
        <f>'表3-成本费用表'!AH27</f>
        <v>0</v>
      </c>
      <c r="AI20" s="34">
        <f>'表3-成本费用表'!AI27</f>
        <v>0</v>
      </c>
      <c r="AJ20" s="34">
        <f>'表3-成本费用表'!AJ27</f>
        <v>0</v>
      </c>
      <c r="AK20" s="34">
        <f>'表3-成本费用表'!AK27</f>
        <v>0</v>
      </c>
      <c r="AL20" s="34">
        <f>'表3-成本费用表'!AL27</f>
        <v>0</v>
      </c>
      <c r="AM20" s="34">
        <f>'表3-成本费用表'!AM27</f>
        <v>0</v>
      </c>
      <c r="AN20" s="34">
        <f>'表3-成本费用表'!AN27</f>
        <v>0</v>
      </c>
      <c r="AO20" s="34">
        <f>'表3-成本费用表'!AO27</f>
        <v>0</v>
      </c>
      <c r="AP20" s="34">
        <f>'表3-成本费用表'!AP27</f>
        <v>0</v>
      </c>
      <c r="AQ20" s="34">
        <f>'表3-成本费用表'!AQ27</f>
        <v>0</v>
      </c>
      <c r="AR20" s="34">
        <f>'表3-成本费用表'!AR27</f>
        <v>0</v>
      </c>
      <c r="AS20" s="34">
        <f>'表3-成本费用表'!AS27</f>
        <v>0</v>
      </c>
      <c r="AT20" s="34">
        <f>'表3-成本费用表'!AT27</f>
        <v>0</v>
      </c>
      <c r="AU20" s="34">
        <f>'表3-成本费用表'!AU27</f>
        <v>0</v>
      </c>
      <c r="AV20" s="34">
        <f>'表3-成本费用表'!AV27</f>
        <v>0</v>
      </c>
      <c r="AW20" s="34">
        <f>'表3-成本费用表'!AW27</f>
        <v>0</v>
      </c>
      <c r="AX20" s="34">
        <f>'表3-成本费用表'!AX27</f>
        <v>0</v>
      </c>
      <c r="AY20" s="34">
        <f>'表3-成本费用表'!AY27</f>
        <v>0</v>
      </c>
      <c r="AZ20" s="34">
        <f>'表3-成本费用表'!AZ27</f>
        <v>0</v>
      </c>
      <c r="BA20" s="35">
        <f>'表3-成本费用表'!BA27</f>
        <v>0</v>
      </c>
    </row>
    <row r="21" spans="2:53">
      <c r="B21" s="32"/>
      <c r="C21" s="33" t="s">
        <v>265</v>
      </c>
      <c r="D21" s="34">
        <f t="shared" si="7"/>
        <v>72221.944502392</v>
      </c>
      <c r="E21" s="29" t="s">
        <v>130</v>
      </c>
      <c r="F21" s="34">
        <f>'表3-成本费用表'!F28</f>
        <v>0</v>
      </c>
      <c r="G21" s="34">
        <f>'表3-成本费用表'!G28</f>
        <v>0</v>
      </c>
      <c r="H21" s="34">
        <f>'表3-成本费用表'!H28</f>
        <v>0</v>
      </c>
      <c r="I21" s="34">
        <f>'表3-成本费用表'!I28</f>
        <v>0</v>
      </c>
      <c r="J21" s="34">
        <f>'表3-成本费用表'!J28</f>
        <v>0</v>
      </c>
      <c r="K21" s="34">
        <f>'表3-成本费用表'!K28</f>
        <v>0</v>
      </c>
      <c r="L21" s="34">
        <f>'表3-成本费用表'!L28</f>
        <v>0</v>
      </c>
      <c r="M21" s="34">
        <f>'表3-成本费用表'!M28</f>
        <v>752.311921899917</v>
      </c>
      <c r="N21" s="34">
        <f>'表3-成本费用表'!N28</f>
        <v>1805.5486125598</v>
      </c>
      <c r="O21" s="34">
        <f>'表3-成本费用表'!O28</f>
        <v>1805.5486125598</v>
      </c>
      <c r="P21" s="34">
        <f>'表3-成本费用表'!P28</f>
        <v>1805.5486125598</v>
      </c>
      <c r="Q21" s="34">
        <f>'表3-成本费用表'!Q28</f>
        <v>1805.5486125598</v>
      </c>
      <c r="R21" s="34">
        <f>'表3-成本费用表'!R28</f>
        <v>1805.5486125598</v>
      </c>
      <c r="S21" s="34">
        <f>'表3-成本费用表'!S28</f>
        <v>1805.5486125598</v>
      </c>
      <c r="T21" s="34">
        <f>'表3-成本费用表'!T28</f>
        <v>1805.5486125598</v>
      </c>
      <c r="U21" s="34">
        <f>'表3-成本费用表'!U28</f>
        <v>1805.5486125598</v>
      </c>
      <c r="V21" s="34">
        <f>'表3-成本费用表'!V28</f>
        <v>1805.5486125598</v>
      </c>
      <c r="W21" s="34">
        <f>'表3-成本费用表'!W28</f>
        <v>1805.5486125598</v>
      </c>
      <c r="X21" s="34">
        <f>'表3-成本费用表'!X28</f>
        <v>1805.5486125598</v>
      </c>
      <c r="Y21" s="34">
        <f>'表3-成本费用表'!Y28</f>
        <v>1805.5486125598</v>
      </c>
      <c r="Z21" s="34">
        <f>'表3-成本费用表'!Z28</f>
        <v>1805.5486125598</v>
      </c>
      <c r="AA21" s="34">
        <f>'表3-成本费用表'!AA28</f>
        <v>1805.5486125598</v>
      </c>
      <c r="AB21" s="34">
        <f>'表3-成本费用表'!AB28</f>
        <v>1805.5486125598</v>
      </c>
      <c r="AC21" s="34">
        <f>'表3-成本费用表'!AC28</f>
        <v>1805.5486125598</v>
      </c>
      <c r="AD21" s="34">
        <f>'表3-成本费用表'!AD28</f>
        <v>1805.5486125598</v>
      </c>
      <c r="AE21" s="34">
        <f>'表3-成本费用表'!AE28</f>
        <v>1805.5486125598</v>
      </c>
      <c r="AF21" s="34">
        <f>'表3-成本费用表'!AF28</f>
        <v>1805.5486125598</v>
      </c>
      <c r="AG21" s="34">
        <f>'表3-成本费用表'!AG28</f>
        <v>1805.5486125598</v>
      </c>
      <c r="AH21" s="34">
        <f>'表3-成本费用表'!AH28</f>
        <v>1805.5486125598</v>
      </c>
      <c r="AI21" s="34">
        <f>'表3-成本费用表'!AI28</f>
        <v>1805.5486125598</v>
      </c>
      <c r="AJ21" s="34">
        <f>'表3-成本费用表'!AJ28</f>
        <v>1805.5486125598</v>
      </c>
      <c r="AK21" s="34">
        <f>'表3-成本费用表'!AK28</f>
        <v>1805.5486125598</v>
      </c>
      <c r="AL21" s="34">
        <f>'表3-成本费用表'!AL28</f>
        <v>1805.5486125598</v>
      </c>
      <c r="AM21" s="34">
        <f>'表3-成本费用表'!AM28</f>
        <v>1805.5486125598</v>
      </c>
      <c r="AN21" s="34">
        <f>'表3-成本费用表'!AN28</f>
        <v>1805.5486125598</v>
      </c>
      <c r="AO21" s="34">
        <f>'表3-成本费用表'!AO28</f>
        <v>1805.5486125598</v>
      </c>
      <c r="AP21" s="34">
        <f>'表3-成本费用表'!AP28</f>
        <v>1805.5486125598</v>
      </c>
      <c r="AQ21" s="34">
        <f>'表3-成本费用表'!AQ28</f>
        <v>1805.5486125598</v>
      </c>
      <c r="AR21" s="34">
        <f>'表3-成本费用表'!AR28</f>
        <v>1805.5486125598</v>
      </c>
      <c r="AS21" s="34">
        <f>'表3-成本费用表'!AS28</f>
        <v>1805.5486125598</v>
      </c>
      <c r="AT21" s="34">
        <f>'表3-成本费用表'!AT28</f>
        <v>1805.5486125598</v>
      </c>
      <c r="AU21" s="34">
        <f>'表3-成本费用表'!AU28</f>
        <v>1805.5486125598</v>
      </c>
      <c r="AV21" s="34">
        <f>'表3-成本费用表'!AV28</f>
        <v>1805.5486125598</v>
      </c>
      <c r="AW21" s="34">
        <f>'表3-成本费用表'!AW28</f>
        <v>1805.5486125598</v>
      </c>
      <c r="AX21" s="34">
        <f>'表3-成本费用表'!AX28</f>
        <v>1805.5486125598</v>
      </c>
      <c r="AY21" s="34">
        <f>'表3-成本费用表'!AY28</f>
        <v>1805.5486125598</v>
      </c>
      <c r="AZ21" s="34">
        <f>'表3-成本费用表'!AZ28</f>
        <v>1805.5486125598</v>
      </c>
      <c r="BA21" s="35">
        <f>'表3-成本费用表'!BA28</f>
        <v>1053.23669065988</v>
      </c>
    </row>
    <row r="22" spans="2:53">
      <c r="B22" s="32"/>
      <c r="C22" s="33" t="s">
        <v>775</v>
      </c>
      <c r="D22" s="34">
        <f t="shared" si="7"/>
        <v>0</v>
      </c>
      <c r="E22" s="29" t="s">
        <v>130</v>
      </c>
      <c r="F22" s="34">
        <f>'表3-成本费用表'!F30</f>
        <v>0</v>
      </c>
      <c r="G22" s="34">
        <f>'表3-成本费用表'!G30</f>
        <v>0</v>
      </c>
      <c r="H22" s="34">
        <f>'表3-成本费用表'!H30</f>
        <v>0</v>
      </c>
      <c r="I22" s="34">
        <f>'表3-成本费用表'!I30</f>
        <v>0</v>
      </c>
      <c r="J22" s="34">
        <f>'表3-成本费用表'!J30</f>
        <v>0</v>
      </c>
      <c r="K22" s="34">
        <f>'表3-成本费用表'!K30</f>
        <v>0</v>
      </c>
      <c r="L22" s="34">
        <f>'表3-成本费用表'!L30</f>
        <v>0</v>
      </c>
      <c r="M22" s="34">
        <f>'表3-成本费用表'!M30</f>
        <v>0</v>
      </c>
      <c r="N22" s="34">
        <f>'表3-成本费用表'!N30</f>
        <v>0</v>
      </c>
      <c r="O22" s="34">
        <f>'表3-成本费用表'!O30</f>
        <v>0</v>
      </c>
      <c r="P22" s="34">
        <f>'表3-成本费用表'!P30</f>
        <v>0</v>
      </c>
      <c r="Q22" s="34">
        <f>'表3-成本费用表'!Q30</f>
        <v>0</v>
      </c>
      <c r="R22" s="34">
        <f>'表3-成本费用表'!R30</f>
        <v>0</v>
      </c>
      <c r="S22" s="34">
        <f>'表3-成本费用表'!S30</f>
        <v>0</v>
      </c>
      <c r="T22" s="34">
        <f>'表3-成本费用表'!T30</f>
        <v>0</v>
      </c>
      <c r="U22" s="34">
        <f>'表3-成本费用表'!U30</f>
        <v>0</v>
      </c>
      <c r="V22" s="34">
        <f>'表3-成本费用表'!V30</f>
        <v>0</v>
      </c>
      <c r="W22" s="34">
        <f>'表3-成本费用表'!W30</f>
        <v>0</v>
      </c>
      <c r="X22" s="34">
        <f>'表3-成本费用表'!X30</f>
        <v>0</v>
      </c>
      <c r="Y22" s="34">
        <f>'表3-成本费用表'!Y30</f>
        <v>0</v>
      </c>
      <c r="Z22" s="34">
        <f>'表3-成本费用表'!Z30</f>
        <v>0</v>
      </c>
      <c r="AA22" s="34">
        <f>'表3-成本费用表'!AA30</f>
        <v>0</v>
      </c>
      <c r="AB22" s="34">
        <f>'表3-成本费用表'!AB30</f>
        <v>0</v>
      </c>
      <c r="AC22" s="34">
        <f>'表3-成本费用表'!AC30</f>
        <v>0</v>
      </c>
      <c r="AD22" s="34">
        <f>'表3-成本费用表'!AD30</f>
        <v>0</v>
      </c>
      <c r="AE22" s="34">
        <f>'表3-成本费用表'!AE30</f>
        <v>0</v>
      </c>
      <c r="AF22" s="34">
        <f>'表3-成本费用表'!AF30</f>
        <v>0</v>
      </c>
      <c r="AG22" s="34">
        <f>'表3-成本费用表'!AG30</f>
        <v>0</v>
      </c>
      <c r="AH22" s="34">
        <f>'表3-成本费用表'!AH30</f>
        <v>0</v>
      </c>
      <c r="AI22" s="34">
        <f>'表3-成本费用表'!AI30</f>
        <v>0</v>
      </c>
      <c r="AJ22" s="34">
        <f>'表3-成本费用表'!AJ30</f>
        <v>0</v>
      </c>
      <c r="AK22" s="34">
        <f>'表3-成本费用表'!AK30</f>
        <v>0</v>
      </c>
      <c r="AL22" s="34">
        <f>'表3-成本费用表'!AL30</f>
        <v>0</v>
      </c>
      <c r="AM22" s="34">
        <f>'表3-成本费用表'!AM30</f>
        <v>0</v>
      </c>
      <c r="AN22" s="34">
        <f>'表3-成本费用表'!AN30</f>
        <v>0</v>
      </c>
      <c r="AO22" s="34">
        <f>'表3-成本费用表'!AO30</f>
        <v>0</v>
      </c>
      <c r="AP22" s="34">
        <f>'表3-成本费用表'!AP30</f>
        <v>0</v>
      </c>
      <c r="AQ22" s="34">
        <f>'表3-成本费用表'!AQ30</f>
        <v>0</v>
      </c>
      <c r="AR22" s="34">
        <f>'表3-成本费用表'!AR30</f>
        <v>0</v>
      </c>
      <c r="AS22" s="34">
        <f>'表3-成本费用表'!AS30</f>
        <v>0</v>
      </c>
      <c r="AT22" s="34">
        <f>'表3-成本费用表'!AT30</f>
        <v>0</v>
      </c>
      <c r="AU22" s="34">
        <f>'表3-成本费用表'!AU30</f>
        <v>0</v>
      </c>
      <c r="AV22" s="34">
        <f>'表3-成本费用表'!AV30</f>
        <v>0</v>
      </c>
      <c r="AW22" s="34">
        <f>'表3-成本费用表'!AW30</f>
        <v>0</v>
      </c>
      <c r="AX22" s="34">
        <f>'表3-成本费用表'!AX30</f>
        <v>0</v>
      </c>
      <c r="AY22" s="34">
        <f>'表3-成本费用表'!AY30</f>
        <v>0</v>
      </c>
      <c r="AZ22" s="34">
        <f>'表3-成本费用表'!AZ30</f>
        <v>0</v>
      </c>
      <c r="BA22" s="35">
        <f>'表3-成本费用表'!BA30</f>
        <v>0</v>
      </c>
    </row>
    <row r="23" spans="2:53">
      <c r="B23" s="32"/>
      <c r="C23" s="33" t="s">
        <v>776</v>
      </c>
      <c r="D23" s="34">
        <f ca="1" t="shared" si="7"/>
        <v>370682.655127073</v>
      </c>
      <c r="E23" s="29" t="s">
        <v>130</v>
      </c>
      <c r="F23" s="34">
        <f ca="1">F24-F25+F26</f>
        <v>0</v>
      </c>
      <c r="G23" s="34">
        <f ca="1">G24-G25+G26</f>
        <v>0</v>
      </c>
      <c r="H23" s="34">
        <f ca="1" t="shared" ref="H23:S23" si="8">H24-H25+H26</f>
        <v>0</v>
      </c>
      <c r="I23" s="34">
        <f ca="1" t="shared" si="8"/>
        <v>0</v>
      </c>
      <c r="J23" s="34">
        <f ca="1" t="shared" si="8"/>
        <v>0</v>
      </c>
      <c r="K23" s="34">
        <f ca="1" t="shared" si="8"/>
        <v>0</v>
      </c>
      <c r="L23" s="34">
        <f ca="1" t="shared" si="8"/>
        <v>0</v>
      </c>
      <c r="M23" s="34">
        <f ca="1" t="shared" si="8"/>
        <v>10675.2809851337</v>
      </c>
      <c r="N23" s="34">
        <f ca="1" t="shared" si="8"/>
        <v>31002.0024854438</v>
      </c>
      <c r="O23" s="34">
        <f ca="1" t="shared" si="8"/>
        <v>29716.1037344006</v>
      </c>
      <c r="P23" s="34">
        <f ca="1" t="shared" si="8"/>
        <v>27741.8691550155</v>
      </c>
      <c r="Q23" s="34">
        <f ca="1" t="shared" si="8"/>
        <v>25821.8765921267</v>
      </c>
      <c r="R23" s="34">
        <f ca="1" t="shared" si="8"/>
        <v>24012.6348267633</v>
      </c>
      <c r="S23" s="34">
        <f ca="1" t="shared" si="8"/>
        <v>22376.9003165086</v>
      </c>
      <c r="T23" s="34">
        <f ca="1" t="shared" ref="T23:AL23" si="9">T24-T25+T26</f>
        <v>21182.7303096789</v>
      </c>
      <c r="U23" s="34">
        <f ca="1" t="shared" si="9"/>
        <v>20250.9306236042</v>
      </c>
      <c r="V23" s="34">
        <f ca="1" t="shared" si="9"/>
        <v>19304.1225946216</v>
      </c>
      <c r="W23" s="34">
        <f ca="1" t="shared" si="9"/>
        <v>18348.9547395898</v>
      </c>
      <c r="X23" s="34">
        <f ca="1" t="shared" si="9"/>
        <v>17437.8454055595</v>
      </c>
      <c r="Y23" s="34">
        <f ca="1" t="shared" si="9"/>
        <v>17146.3611154738</v>
      </c>
      <c r="Z23" s="34">
        <f ca="1" t="shared" si="9"/>
        <v>16747.7172022741</v>
      </c>
      <c r="AA23" s="34">
        <f ca="1" t="shared" si="9"/>
        <v>15671.297520341</v>
      </c>
      <c r="AB23" s="34">
        <f ca="1" t="shared" si="9"/>
        <v>14133.0096988433</v>
      </c>
      <c r="AC23" s="34">
        <f ca="1" t="shared" si="9"/>
        <v>12124.6229272481</v>
      </c>
      <c r="AD23" s="34">
        <f ca="1" t="shared" si="9"/>
        <v>9548.2719559663</v>
      </c>
      <c r="AE23" s="34">
        <f ca="1" t="shared" si="9"/>
        <v>6978.95574543632</v>
      </c>
      <c r="AF23" s="34">
        <f ca="1" t="shared" si="9"/>
        <v>4562.4366409291</v>
      </c>
      <c r="AG23" s="34">
        <f ca="1" t="shared" si="9"/>
        <v>2233.36967476118</v>
      </c>
      <c r="AH23" s="34">
        <f ca="1" t="shared" si="9"/>
        <v>609.480099600724</v>
      </c>
      <c r="AI23" s="34">
        <f ca="1" t="shared" si="9"/>
        <v>164.442014946359</v>
      </c>
      <c r="AJ23" s="34">
        <f ca="1" t="shared" si="9"/>
        <v>164.442014946359</v>
      </c>
      <c r="AK23" s="34">
        <f ca="1" t="shared" si="9"/>
        <v>164.442014946359</v>
      </c>
      <c r="AL23" s="34">
        <f ca="1" t="shared" si="9"/>
        <v>164.442014946359</v>
      </c>
      <c r="AM23" s="34">
        <f ca="1" t="shared" ref="AM23:BA23" si="10">AM24-AM25+AM26</f>
        <v>164.442014946359</v>
      </c>
      <c r="AN23" s="34">
        <f ca="1" t="shared" si="10"/>
        <v>164.442014946359</v>
      </c>
      <c r="AO23" s="34">
        <f ca="1" t="shared" si="10"/>
        <v>164.442014946359</v>
      </c>
      <c r="AP23" s="34">
        <f ca="1" t="shared" si="10"/>
        <v>164.442014946359</v>
      </c>
      <c r="AQ23" s="34">
        <f ca="1" t="shared" si="10"/>
        <v>164.442014946359</v>
      </c>
      <c r="AR23" s="34">
        <f ca="1" t="shared" si="10"/>
        <v>164.442014946359</v>
      </c>
      <c r="AS23" s="34">
        <f ca="1" t="shared" si="10"/>
        <v>164.442014946359</v>
      </c>
      <c r="AT23" s="34">
        <f ca="1" t="shared" si="10"/>
        <v>164.442014946359</v>
      </c>
      <c r="AU23" s="34">
        <f ca="1" t="shared" si="10"/>
        <v>164.442014946359</v>
      </c>
      <c r="AV23" s="34">
        <f ca="1" t="shared" si="10"/>
        <v>164.442014946359</v>
      </c>
      <c r="AW23" s="34">
        <f ca="1" t="shared" si="10"/>
        <v>164.442014946359</v>
      </c>
      <c r="AX23" s="34">
        <f ca="1" t="shared" si="10"/>
        <v>164.442014946359</v>
      </c>
      <c r="AY23" s="34">
        <f ca="1" t="shared" si="10"/>
        <v>164.442014946359</v>
      </c>
      <c r="AZ23" s="34">
        <f ca="1" t="shared" si="10"/>
        <v>164.442014946359</v>
      </c>
      <c r="BA23" s="35">
        <f ca="1" t="shared" si="10"/>
        <v>95.9245087187097</v>
      </c>
    </row>
    <row r="24" spans="2:53">
      <c r="B24" s="32"/>
      <c r="C24" s="146" t="s">
        <v>851</v>
      </c>
      <c r="D24" s="34">
        <f ca="1" t="shared" si="7"/>
        <v>370682.655127073</v>
      </c>
      <c r="E24" s="29" t="s">
        <v>130</v>
      </c>
      <c r="F24" s="34">
        <f ca="1">'表3-成本费用表'!F31</f>
        <v>0</v>
      </c>
      <c r="G24" s="34">
        <f ca="1">'表3-成本费用表'!G31</f>
        <v>0</v>
      </c>
      <c r="H24" s="34">
        <f ca="1">'表3-成本费用表'!H31</f>
        <v>0</v>
      </c>
      <c r="I24" s="34">
        <f ca="1">'表3-成本费用表'!I31</f>
        <v>0</v>
      </c>
      <c r="J24" s="34">
        <f ca="1">'表3-成本费用表'!J31</f>
        <v>0</v>
      </c>
      <c r="K24" s="34">
        <f ca="1">'表3-成本费用表'!K31</f>
        <v>0</v>
      </c>
      <c r="L24" s="34">
        <f ca="1">'表3-成本费用表'!L31</f>
        <v>0</v>
      </c>
      <c r="M24" s="34">
        <f ca="1">'表3-成本费用表'!M31</f>
        <v>10675.2809851337</v>
      </c>
      <c r="N24" s="34">
        <f ca="1">'表3-成本费用表'!N31</f>
        <v>31002.0024854438</v>
      </c>
      <c r="O24" s="34">
        <f ca="1">'表3-成本费用表'!O31</f>
        <v>29716.1037344006</v>
      </c>
      <c r="P24" s="34">
        <f ca="1">'表3-成本费用表'!P31</f>
        <v>27741.8691550155</v>
      </c>
      <c r="Q24" s="34">
        <f ca="1">'表3-成本费用表'!Q31</f>
        <v>25821.8765921267</v>
      </c>
      <c r="R24" s="34">
        <f ca="1">'表3-成本费用表'!R31</f>
        <v>24012.6348267633</v>
      </c>
      <c r="S24" s="34">
        <f ca="1">'表3-成本费用表'!S31</f>
        <v>22376.9003165086</v>
      </c>
      <c r="T24" s="34">
        <f ca="1">'表3-成本费用表'!T31</f>
        <v>21182.7303096789</v>
      </c>
      <c r="U24" s="34">
        <f ca="1">'表3-成本费用表'!U31</f>
        <v>20250.9306236042</v>
      </c>
      <c r="V24" s="34">
        <f ca="1">'表3-成本费用表'!V31</f>
        <v>19304.1225946216</v>
      </c>
      <c r="W24" s="34">
        <f ca="1">'表3-成本费用表'!W31</f>
        <v>18348.9547395898</v>
      </c>
      <c r="X24" s="34">
        <f ca="1">'表3-成本费用表'!X31</f>
        <v>17437.8454055595</v>
      </c>
      <c r="Y24" s="34">
        <f ca="1">'表3-成本费用表'!Y31</f>
        <v>17146.3611154738</v>
      </c>
      <c r="Z24" s="34">
        <f ca="1">'表3-成本费用表'!Z31</f>
        <v>16747.7172022741</v>
      </c>
      <c r="AA24" s="34">
        <f ca="1">'表3-成本费用表'!AA31</f>
        <v>15671.297520341</v>
      </c>
      <c r="AB24" s="34">
        <f ca="1">'表3-成本费用表'!AB31</f>
        <v>14133.0096988433</v>
      </c>
      <c r="AC24" s="34">
        <f ca="1">'表3-成本费用表'!AC31</f>
        <v>12124.6229272481</v>
      </c>
      <c r="AD24" s="34">
        <f ca="1">'表3-成本费用表'!AD31</f>
        <v>9548.2719559663</v>
      </c>
      <c r="AE24" s="34">
        <f ca="1">'表3-成本费用表'!AE31</f>
        <v>6978.95574543632</v>
      </c>
      <c r="AF24" s="34">
        <f ca="1">'表3-成本费用表'!AF31</f>
        <v>4562.4366409291</v>
      </c>
      <c r="AG24" s="34">
        <f ca="1">'表3-成本费用表'!AG31</f>
        <v>2233.36967476118</v>
      </c>
      <c r="AH24" s="34">
        <f ca="1">'表3-成本费用表'!AH31</f>
        <v>609.480099600724</v>
      </c>
      <c r="AI24" s="34">
        <f ca="1">'表3-成本费用表'!AI31</f>
        <v>164.442014946359</v>
      </c>
      <c r="AJ24" s="34">
        <f ca="1">'表3-成本费用表'!AJ31</f>
        <v>164.442014946359</v>
      </c>
      <c r="AK24" s="34">
        <f ca="1">'表3-成本费用表'!AK31</f>
        <v>164.442014946359</v>
      </c>
      <c r="AL24" s="34">
        <f ca="1">'表3-成本费用表'!AL31</f>
        <v>164.442014946359</v>
      </c>
      <c r="AM24" s="34">
        <f ca="1">'表3-成本费用表'!AM31</f>
        <v>164.442014946359</v>
      </c>
      <c r="AN24" s="34">
        <f ca="1">'表3-成本费用表'!AN31</f>
        <v>164.442014946359</v>
      </c>
      <c r="AO24" s="34">
        <f ca="1">'表3-成本费用表'!AO31</f>
        <v>164.442014946359</v>
      </c>
      <c r="AP24" s="34">
        <f ca="1">'表3-成本费用表'!AP31</f>
        <v>164.442014946359</v>
      </c>
      <c r="AQ24" s="34">
        <f ca="1">'表3-成本费用表'!AQ31</f>
        <v>164.442014946359</v>
      </c>
      <c r="AR24" s="34">
        <f ca="1">'表3-成本费用表'!AR31</f>
        <v>164.442014946359</v>
      </c>
      <c r="AS24" s="34">
        <f ca="1">'表3-成本费用表'!AS31</f>
        <v>164.442014946359</v>
      </c>
      <c r="AT24" s="34">
        <f ca="1">'表3-成本费用表'!AT31</f>
        <v>164.442014946359</v>
      </c>
      <c r="AU24" s="34">
        <f ca="1">'表3-成本费用表'!AU31</f>
        <v>164.442014946359</v>
      </c>
      <c r="AV24" s="34">
        <f ca="1">'表3-成本费用表'!AV31</f>
        <v>164.442014946359</v>
      </c>
      <c r="AW24" s="34">
        <f ca="1">'表3-成本费用表'!AW31</f>
        <v>164.442014946359</v>
      </c>
      <c r="AX24" s="34">
        <f ca="1">'表3-成本费用表'!AX31</f>
        <v>164.442014946359</v>
      </c>
      <c r="AY24" s="34">
        <f ca="1">'表3-成本费用表'!AY31</f>
        <v>164.442014946359</v>
      </c>
      <c r="AZ24" s="34">
        <f ca="1">'表3-成本费用表'!AZ31</f>
        <v>164.442014946359</v>
      </c>
      <c r="BA24" s="35">
        <f ca="1">'表3-成本费用表'!BA31</f>
        <v>95.9245087187097</v>
      </c>
    </row>
    <row r="25" spans="2:53">
      <c r="B25" s="32"/>
      <c r="C25" s="55" t="s">
        <v>852</v>
      </c>
      <c r="D25" s="34"/>
      <c r="E25" s="29" t="s">
        <v>130</v>
      </c>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5"/>
    </row>
    <row r="26" spans="2:53">
      <c r="B26" s="32"/>
      <c r="C26" s="55" t="s">
        <v>853</v>
      </c>
      <c r="D26" s="34"/>
      <c r="E26" s="29" t="s">
        <v>130</v>
      </c>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5"/>
    </row>
    <row r="27" spans="2:53">
      <c r="B27" s="32"/>
      <c r="C27" s="33" t="s">
        <v>421</v>
      </c>
      <c r="D27" s="34"/>
      <c r="E27" s="29" t="s">
        <v>130</v>
      </c>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5"/>
    </row>
    <row r="28" spans="2:53">
      <c r="B28" s="32"/>
      <c r="C28" s="144" t="s">
        <v>854</v>
      </c>
      <c r="D28" s="34">
        <f>SUM(F28:BA28)</f>
        <v>49557.5221238938</v>
      </c>
      <c r="E28" s="29" t="s">
        <v>130</v>
      </c>
      <c r="F28" s="34">
        <f>'表4-收入税金表'!F14</f>
        <v>0</v>
      </c>
      <c r="G28" s="34">
        <f>'表4-收入税金表'!G14</f>
        <v>0</v>
      </c>
      <c r="H28" s="34">
        <f>'表4-收入税金表'!H14</f>
        <v>0</v>
      </c>
      <c r="I28" s="34">
        <f>'表4-收入税金表'!I14</f>
        <v>0</v>
      </c>
      <c r="J28" s="34">
        <f>'表4-收入税金表'!J14</f>
        <v>0</v>
      </c>
      <c r="K28" s="34">
        <f>'表4-收入税金表'!K14</f>
        <v>0</v>
      </c>
      <c r="L28" s="34">
        <f>'表4-收入税金表'!L14</f>
        <v>0</v>
      </c>
      <c r="M28" s="34">
        <f>'表4-收入税金表'!M14</f>
        <v>516.224188790561</v>
      </c>
      <c r="N28" s="34">
        <f>'表4-收入税金表'!N14</f>
        <v>1238.93805309735</v>
      </c>
      <c r="O28" s="34">
        <f>'表4-收入税金表'!O14</f>
        <v>1238.93805309735</v>
      </c>
      <c r="P28" s="34">
        <f>'表4-收入税金表'!P14</f>
        <v>1238.93805309735</v>
      </c>
      <c r="Q28" s="34">
        <f>'表4-收入税金表'!Q14</f>
        <v>1238.93805309735</v>
      </c>
      <c r="R28" s="34">
        <f>'表4-收入税金表'!R14</f>
        <v>1238.93805309735</v>
      </c>
      <c r="S28" s="34">
        <f>'表4-收入税金表'!S14</f>
        <v>1238.93805309735</v>
      </c>
      <c r="T28" s="34">
        <f>'表4-收入税金表'!T14</f>
        <v>1238.93805309735</v>
      </c>
      <c r="U28" s="34">
        <f>'表4-收入税金表'!U14</f>
        <v>1238.93805309735</v>
      </c>
      <c r="V28" s="34">
        <f>'表4-收入税金表'!V14</f>
        <v>1238.93805309735</v>
      </c>
      <c r="W28" s="34">
        <f>'表4-收入税金表'!W14</f>
        <v>1238.93805309735</v>
      </c>
      <c r="X28" s="34">
        <f>'表4-收入税金表'!X14</f>
        <v>1238.93805309735</v>
      </c>
      <c r="Y28" s="34">
        <f>'表4-收入税金表'!Y14</f>
        <v>1238.93805309735</v>
      </c>
      <c r="Z28" s="34">
        <f>'表4-收入税金表'!Z14</f>
        <v>1238.93805309735</v>
      </c>
      <c r="AA28" s="34">
        <f>'表4-收入税金表'!AA14</f>
        <v>1238.93805309735</v>
      </c>
      <c r="AB28" s="34">
        <f>'表4-收入税金表'!AB14</f>
        <v>1238.93805309735</v>
      </c>
      <c r="AC28" s="34">
        <f>'表4-收入税金表'!AC14</f>
        <v>1238.93805309735</v>
      </c>
      <c r="AD28" s="34">
        <f>'表4-收入税金表'!AD14</f>
        <v>1238.93805309735</v>
      </c>
      <c r="AE28" s="34">
        <f>'表4-收入税金表'!AE14</f>
        <v>1238.93805309735</v>
      </c>
      <c r="AF28" s="34">
        <f>'表4-收入税金表'!AF14</f>
        <v>1238.93805309735</v>
      </c>
      <c r="AG28" s="34">
        <f>'表4-收入税金表'!AG14</f>
        <v>1238.93805309735</v>
      </c>
      <c r="AH28" s="34">
        <f>'表4-收入税金表'!AH14</f>
        <v>1238.93805309735</v>
      </c>
      <c r="AI28" s="34">
        <f>'表4-收入税金表'!AI14</f>
        <v>1238.93805309735</v>
      </c>
      <c r="AJ28" s="34">
        <f>'表4-收入税金表'!AJ14</f>
        <v>1238.93805309735</v>
      </c>
      <c r="AK28" s="34">
        <f>'表4-收入税金表'!AK14</f>
        <v>1238.93805309735</v>
      </c>
      <c r="AL28" s="34">
        <f>'表4-收入税金表'!AL14</f>
        <v>1238.93805309735</v>
      </c>
      <c r="AM28" s="34">
        <f>'表4-收入税金表'!AM14</f>
        <v>1238.93805309735</v>
      </c>
      <c r="AN28" s="34">
        <f>'表4-收入税金表'!AN14</f>
        <v>1238.93805309735</v>
      </c>
      <c r="AO28" s="34">
        <f>'表4-收入税金表'!AO14</f>
        <v>1238.93805309735</v>
      </c>
      <c r="AP28" s="34">
        <f>'表4-收入税金表'!AP14</f>
        <v>1238.93805309735</v>
      </c>
      <c r="AQ28" s="34">
        <f>'表4-收入税金表'!AQ14</f>
        <v>1238.93805309735</v>
      </c>
      <c r="AR28" s="34">
        <f>'表4-收入税金表'!AR14</f>
        <v>1238.93805309735</v>
      </c>
      <c r="AS28" s="34">
        <f>'表4-收入税金表'!AS14</f>
        <v>1238.93805309735</v>
      </c>
      <c r="AT28" s="34">
        <f>'表4-收入税金表'!AT14</f>
        <v>1238.93805309735</v>
      </c>
      <c r="AU28" s="34">
        <f>'表4-收入税金表'!AU14</f>
        <v>1238.93805309735</v>
      </c>
      <c r="AV28" s="34">
        <f>'表4-收入税金表'!AV14</f>
        <v>1238.93805309735</v>
      </c>
      <c r="AW28" s="34">
        <f>'表4-收入税金表'!AW14</f>
        <v>1238.93805309735</v>
      </c>
      <c r="AX28" s="34">
        <f>'表4-收入税金表'!AX14</f>
        <v>1238.93805309735</v>
      </c>
      <c r="AY28" s="34">
        <f>'表4-收入税金表'!AY14</f>
        <v>1238.93805309735</v>
      </c>
      <c r="AZ28" s="34">
        <f>'表4-收入税金表'!AZ14</f>
        <v>1238.93805309735</v>
      </c>
      <c r="BA28" s="35">
        <f>'表4-收入税金表'!BA14</f>
        <v>722.713864306785</v>
      </c>
    </row>
    <row r="29" spans="2:53">
      <c r="B29" s="32"/>
      <c r="C29" s="33" t="s">
        <v>855</v>
      </c>
      <c r="D29" s="34"/>
      <c r="E29" s="29" t="s">
        <v>130</v>
      </c>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5"/>
    </row>
    <row r="30" spans="2:53">
      <c r="B30" s="32"/>
      <c r="C30" s="146" t="s">
        <v>856</v>
      </c>
      <c r="D30" s="34"/>
      <c r="E30" s="29" t="s">
        <v>130</v>
      </c>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5"/>
    </row>
    <row r="31" spans="2:53">
      <c r="B31" s="32"/>
      <c r="C31" s="55" t="s">
        <v>857</v>
      </c>
      <c r="D31" s="34"/>
      <c r="E31" s="29" t="s">
        <v>130</v>
      </c>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5"/>
    </row>
    <row r="32" spans="2:53">
      <c r="B32" s="32"/>
      <c r="C32" s="145" t="s">
        <v>858</v>
      </c>
      <c r="D32" s="34"/>
      <c r="E32" s="29" t="s">
        <v>130</v>
      </c>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5"/>
    </row>
    <row r="33" spans="2:53">
      <c r="B33" s="32"/>
      <c r="C33" s="33" t="s">
        <v>859</v>
      </c>
      <c r="D33" s="34"/>
      <c r="E33" s="29" t="s">
        <v>130</v>
      </c>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5"/>
    </row>
    <row r="34" spans="2:53">
      <c r="B34" s="32"/>
      <c r="C34" s="33" t="s">
        <v>860</v>
      </c>
      <c r="D34" s="34"/>
      <c r="E34" s="29" t="s">
        <v>130</v>
      </c>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5"/>
    </row>
    <row r="35" spans="2:53">
      <c r="B35" s="32"/>
      <c r="C35" s="33" t="s">
        <v>861</v>
      </c>
      <c r="D35" s="34"/>
      <c r="E35" s="29" t="s">
        <v>130</v>
      </c>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5"/>
    </row>
    <row r="36" spans="2:53">
      <c r="B36" s="32"/>
      <c r="C36" s="33" t="s">
        <v>862</v>
      </c>
      <c r="D36" s="34"/>
      <c r="E36" s="29" t="s">
        <v>130</v>
      </c>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5"/>
    </row>
    <row r="37" spans="2:53">
      <c r="B37" s="32"/>
      <c r="C37" s="33" t="s">
        <v>863</v>
      </c>
      <c r="D37" s="34"/>
      <c r="E37" s="29" t="s">
        <v>130</v>
      </c>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row>
    <row r="38" s="139" customFormat="1" spans="2:53">
      <c r="B38" s="27" t="s">
        <v>864</v>
      </c>
      <c r="C38" s="28" t="s">
        <v>865</v>
      </c>
      <c r="D38" s="30">
        <f ca="1" t="shared" ref="D38:D43" si="11">SUM(F38:BA38)</f>
        <v>1641630.10945855</v>
      </c>
      <c r="E38" s="29" t="s">
        <v>130</v>
      </c>
      <c r="F38" s="134">
        <f ca="1">F5-F10+F28+F29+SUM(F32:F37)</f>
        <v>0</v>
      </c>
      <c r="G38" s="134">
        <f ca="1" t="shared" ref="G38:R38" si="12">G5-G10+G28+G29+SUM(G32:G37)</f>
        <v>0</v>
      </c>
      <c r="H38" s="134">
        <f ca="1" t="shared" si="12"/>
        <v>0</v>
      </c>
      <c r="I38" s="134">
        <f ca="1" t="shared" si="12"/>
        <v>0</v>
      </c>
      <c r="J38" s="134">
        <f ca="1" t="shared" si="12"/>
        <v>0</v>
      </c>
      <c r="K38" s="134">
        <f ca="1" t="shared" si="12"/>
        <v>0</v>
      </c>
      <c r="L38" s="134">
        <f ca="1" t="shared" si="12"/>
        <v>0</v>
      </c>
      <c r="M38" s="134">
        <f ca="1" t="shared" si="12"/>
        <v>7837.66085833932</v>
      </c>
      <c r="N38" s="134">
        <f ca="1" t="shared" ref="N38:BA38" si="13">N5-N10+N28+N29+SUM(N32:N37)</f>
        <v>11273.87473113</v>
      </c>
      <c r="O38" s="134">
        <f ca="1" t="shared" ref="O38:AA38" si="14">O5-O10+O28+O29+SUM(O32:O37)</f>
        <v>13022.2734821733</v>
      </c>
      <c r="P38" s="134">
        <f ca="1" t="shared" si="14"/>
        <v>14996.5080615583</v>
      </c>
      <c r="Q38" s="134">
        <f ca="1" t="shared" si="14"/>
        <v>16916.5006244471</v>
      </c>
      <c r="R38" s="134">
        <f ca="1" t="shared" si="14"/>
        <v>18725.7423898106</v>
      </c>
      <c r="S38" s="134">
        <f ca="1" t="shared" si="14"/>
        <v>20008.8217988822</v>
      </c>
      <c r="T38" s="134">
        <f ca="1" t="shared" si="14"/>
        <v>20232.0961599414</v>
      </c>
      <c r="U38" s="134">
        <f ca="1" t="shared" si="14"/>
        <v>21163.8958460161</v>
      </c>
      <c r="V38" s="134">
        <f ca="1" t="shared" si="14"/>
        <v>22110.7038749987</v>
      </c>
      <c r="W38" s="134">
        <f ca="1" t="shared" si="14"/>
        <v>23065.8717300306</v>
      </c>
      <c r="X38" s="134">
        <f ca="1" t="shared" si="14"/>
        <v>23836.7139535632</v>
      </c>
      <c r="Y38" s="134">
        <f ca="1" t="shared" si="14"/>
        <v>22690.8389029003</v>
      </c>
      <c r="Z38" s="134">
        <f ca="1" t="shared" si="14"/>
        <v>23206.3176784853</v>
      </c>
      <c r="AA38" s="134">
        <f ca="1" t="shared" si="14"/>
        <v>24282.7373604184</v>
      </c>
      <c r="AB38" s="134">
        <f ca="1" t="shared" si="13"/>
        <v>25821.0251819161</v>
      </c>
      <c r="AC38" s="134">
        <f ca="1" t="shared" si="13"/>
        <v>27834.3660819516</v>
      </c>
      <c r="AD38" s="134">
        <f ca="1" t="shared" si="13"/>
        <v>30405.7629247931</v>
      </c>
      <c r="AE38" s="134">
        <f ca="1" t="shared" si="13"/>
        <v>34734.3383945824</v>
      </c>
      <c r="AF38" s="134">
        <f ca="1" t="shared" si="13"/>
        <v>39634.5284266543</v>
      </c>
      <c r="AG38" s="134">
        <f ca="1" t="shared" si="13"/>
        <v>42180.3874282205</v>
      </c>
      <c r="AH38" s="134">
        <f ca="1" t="shared" si="13"/>
        <v>44141.7311318213</v>
      </c>
      <c r="AI38" s="134">
        <f ca="1" t="shared" si="13"/>
        <v>44779.98022565</v>
      </c>
      <c r="AJ38" s="134">
        <f ca="1" t="shared" si="13"/>
        <v>44581.8150880353</v>
      </c>
      <c r="AK38" s="134">
        <f ca="1" t="shared" si="13"/>
        <v>44581.8150880353</v>
      </c>
      <c r="AL38" s="134">
        <f ca="1" t="shared" si="13"/>
        <v>44581.8150880353</v>
      </c>
      <c r="AM38" s="134">
        <f ca="1" t="shared" si="13"/>
        <v>44586.7692164757</v>
      </c>
      <c r="AN38" s="134">
        <f ca="1" t="shared" si="13"/>
        <v>44602.5230526371</v>
      </c>
      <c r="AO38" s="134">
        <f ca="1" t="shared" si="13"/>
        <v>44581.8150880353</v>
      </c>
      <c r="AP38" s="134">
        <f ca="1" t="shared" si="13"/>
        <v>55501.2349197328</v>
      </c>
      <c r="AQ38" s="134">
        <f ca="1" t="shared" si="13"/>
        <v>70788.4226841093</v>
      </c>
      <c r="AR38" s="134">
        <f ca="1" t="shared" si="13"/>
        <v>70793.3768125497</v>
      </c>
      <c r="AS38" s="134">
        <f ca="1" t="shared" si="13"/>
        <v>70782.714223355</v>
      </c>
      <c r="AT38" s="134">
        <f ca="1" t="shared" si="13"/>
        <v>70584.5490857403</v>
      </c>
      <c r="AU38" s="134">
        <f ca="1" t="shared" si="13"/>
        <v>70584.5490857403</v>
      </c>
      <c r="AV38" s="134">
        <f ca="1" t="shared" si="13"/>
        <v>70549.9473158288</v>
      </c>
      <c r="AW38" s="134">
        <f ca="1" t="shared" si="13"/>
        <v>70534.1934796674</v>
      </c>
      <c r="AX38" s="134">
        <f ca="1" t="shared" si="13"/>
        <v>70529.2393512271</v>
      </c>
      <c r="AY38" s="134">
        <f ca="1" t="shared" si="13"/>
        <v>70381.2882808907</v>
      </c>
      <c r="AZ38" s="134">
        <f ca="1" t="shared" si="13"/>
        <v>70376.3341524503</v>
      </c>
      <c r="BA38" s="134">
        <f ca="1" t="shared" si="13"/>
        <v>39805.0301977204</v>
      </c>
    </row>
    <row r="39" spans="2:53">
      <c r="B39" s="32"/>
      <c r="C39" s="144" t="s">
        <v>866</v>
      </c>
      <c r="D39" s="34">
        <f t="shared" si="11"/>
        <v>400</v>
      </c>
      <c r="E39" s="29" t="s">
        <v>130</v>
      </c>
      <c r="F39" s="34">
        <f>'表4-收入税金表'!F17</f>
        <v>0</v>
      </c>
      <c r="G39" s="34">
        <f>'表4-收入税金表'!G17</f>
        <v>0</v>
      </c>
      <c r="H39" s="34">
        <f>'表4-收入税金表'!H17</f>
        <v>0</v>
      </c>
      <c r="I39" s="34">
        <f>'表4-收入税金表'!I17</f>
        <v>0</v>
      </c>
      <c r="J39" s="34">
        <f>'表4-收入税金表'!J17</f>
        <v>0</v>
      </c>
      <c r="K39" s="34">
        <f>'表4-收入税金表'!K17</f>
        <v>0</v>
      </c>
      <c r="L39" s="34">
        <f>'表4-收入税金表'!L17</f>
        <v>0</v>
      </c>
      <c r="M39" s="34">
        <f>'表4-收入税金表'!M17</f>
        <v>0</v>
      </c>
      <c r="N39" s="34">
        <f>'表4-收入税金表'!N17</f>
        <v>10</v>
      </c>
      <c r="O39" s="34">
        <f>'表4-收入税金表'!O17</f>
        <v>10</v>
      </c>
      <c r="P39" s="34">
        <f>'表4-收入税金表'!P17</f>
        <v>10</v>
      </c>
      <c r="Q39" s="34">
        <f>'表4-收入税金表'!Q17</f>
        <v>10</v>
      </c>
      <c r="R39" s="34">
        <f>'表4-收入税金表'!R17</f>
        <v>10</v>
      </c>
      <c r="S39" s="34">
        <f>'表4-收入税金表'!S17</f>
        <v>10</v>
      </c>
      <c r="T39" s="34">
        <f>'表4-收入税金表'!T17</f>
        <v>10</v>
      </c>
      <c r="U39" s="34">
        <f>'表4-收入税金表'!U17</f>
        <v>10</v>
      </c>
      <c r="V39" s="34">
        <f>'表4-收入税金表'!V17</f>
        <v>10</v>
      </c>
      <c r="W39" s="34">
        <f>'表4-收入税金表'!W17</f>
        <v>10</v>
      </c>
      <c r="X39" s="34">
        <f>'表4-收入税金表'!X17</f>
        <v>10</v>
      </c>
      <c r="Y39" s="34">
        <f>'表4-收入税金表'!Y17</f>
        <v>10</v>
      </c>
      <c r="Z39" s="34">
        <f>'表4-收入税金表'!Z17</f>
        <v>10</v>
      </c>
      <c r="AA39" s="34">
        <f>'表4-收入税金表'!AA17</f>
        <v>10</v>
      </c>
      <c r="AB39" s="34">
        <f>'表4-收入税金表'!AB17</f>
        <v>10</v>
      </c>
      <c r="AC39" s="34">
        <f>'表4-收入税金表'!AC17</f>
        <v>10</v>
      </c>
      <c r="AD39" s="34">
        <f>'表4-收入税金表'!AD17</f>
        <v>10</v>
      </c>
      <c r="AE39" s="34">
        <f>'表4-收入税金表'!AE17</f>
        <v>10</v>
      </c>
      <c r="AF39" s="34">
        <f>'表4-收入税金表'!AF17</f>
        <v>10</v>
      </c>
      <c r="AG39" s="34">
        <f>'表4-收入税金表'!AG17</f>
        <v>10</v>
      </c>
      <c r="AH39" s="34">
        <f>'表4-收入税金表'!AH17</f>
        <v>10</v>
      </c>
      <c r="AI39" s="34">
        <f>'表4-收入税金表'!AI17</f>
        <v>10</v>
      </c>
      <c r="AJ39" s="34">
        <f>'表4-收入税金表'!AJ17</f>
        <v>10</v>
      </c>
      <c r="AK39" s="34">
        <f>'表4-收入税金表'!AK17</f>
        <v>10</v>
      </c>
      <c r="AL39" s="34">
        <f>'表4-收入税金表'!AL17</f>
        <v>10</v>
      </c>
      <c r="AM39" s="34">
        <f>'表4-收入税金表'!AM17</f>
        <v>10</v>
      </c>
      <c r="AN39" s="34">
        <f>'表4-收入税金表'!AN17</f>
        <v>10</v>
      </c>
      <c r="AO39" s="34">
        <f>'表4-收入税金表'!AO17</f>
        <v>10</v>
      </c>
      <c r="AP39" s="34">
        <f>'表4-收入税金表'!AP17</f>
        <v>10</v>
      </c>
      <c r="AQ39" s="34">
        <f>'表4-收入税金表'!AQ17</f>
        <v>10</v>
      </c>
      <c r="AR39" s="34">
        <f>'表4-收入税金表'!AR17</f>
        <v>10</v>
      </c>
      <c r="AS39" s="34">
        <f>'表4-收入税金表'!AS17</f>
        <v>10</v>
      </c>
      <c r="AT39" s="34">
        <f>'表4-收入税金表'!AT17</f>
        <v>10</v>
      </c>
      <c r="AU39" s="34">
        <f>'表4-收入税金表'!AU17</f>
        <v>10</v>
      </c>
      <c r="AV39" s="34">
        <f>'表4-收入税金表'!AV17</f>
        <v>10</v>
      </c>
      <c r="AW39" s="34">
        <f>'表4-收入税金表'!AW17</f>
        <v>10</v>
      </c>
      <c r="AX39" s="34">
        <f>'表4-收入税金表'!AX17</f>
        <v>10</v>
      </c>
      <c r="AY39" s="34">
        <f>'表4-收入税金表'!AY17</f>
        <v>10</v>
      </c>
      <c r="AZ39" s="34">
        <f>'表4-收入税金表'!AZ17</f>
        <v>10</v>
      </c>
      <c r="BA39" s="35">
        <f>'表4-收入税金表'!BA17</f>
        <v>10</v>
      </c>
    </row>
    <row r="40" s="4" customFormat="1" spans="2:53">
      <c r="B40" s="48"/>
      <c r="C40" s="54" t="s">
        <v>867</v>
      </c>
      <c r="D40" s="34">
        <f t="shared" si="11"/>
        <v>400</v>
      </c>
      <c r="E40" s="50" t="s">
        <v>130</v>
      </c>
      <c r="F40" s="51">
        <f>'表4-收入税金表'!F18</f>
        <v>0</v>
      </c>
      <c r="G40" s="51">
        <f>'表4-收入税金表'!G18</f>
        <v>0</v>
      </c>
      <c r="H40" s="51">
        <f>'表4-收入税金表'!H18</f>
        <v>0</v>
      </c>
      <c r="I40" s="51">
        <f>'表4-收入税金表'!I18</f>
        <v>0</v>
      </c>
      <c r="J40" s="51">
        <f>'表4-收入税金表'!J18</f>
        <v>0</v>
      </c>
      <c r="K40" s="51">
        <f>'表4-收入税金表'!K18</f>
        <v>0</v>
      </c>
      <c r="L40" s="51">
        <f>'表4-收入税金表'!L18</f>
        <v>0</v>
      </c>
      <c r="M40" s="51">
        <f>'表4-收入税金表'!M18</f>
        <v>0</v>
      </c>
      <c r="N40" s="51">
        <f>'表4-收入税金表'!N18</f>
        <v>10</v>
      </c>
      <c r="O40" s="51">
        <f>'表4-收入税金表'!O18</f>
        <v>10</v>
      </c>
      <c r="P40" s="51">
        <f>'表4-收入税金表'!P18</f>
        <v>10</v>
      </c>
      <c r="Q40" s="51">
        <f>'表4-收入税金表'!Q18</f>
        <v>10</v>
      </c>
      <c r="R40" s="51">
        <f>'表4-收入税金表'!R18</f>
        <v>10</v>
      </c>
      <c r="S40" s="51">
        <f>'表4-收入税金表'!S18</f>
        <v>10</v>
      </c>
      <c r="T40" s="51">
        <f>'表4-收入税金表'!T18</f>
        <v>10</v>
      </c>
      <c r="U40" s="51">
        <f>'表4-收入税金表'!U18</f>
        <v>10</v>
      </c>
      <c r="V40" s="51">
        <f>'表4-收入税金表'!V18</f>
        <v>10</v>
      </c>
      <c r="W40" s="51">
        <f>'表4-收入税金表'!W18</f>
        <v>10</v>
      </c>
      <c r="X40" s="51">
        <f>'表4-收入税金表'!X18</f>
        <v>10</v>
      </c>
      <c r="Y40" s="51">
        <f>'表4-收入税金表'!Y18</f>
        <v>10</v>
      </c>
      <c r="Z40" s="51">
        <f>'表4-收入税金表'!Z18</f>
        <v>10</v>
      </c>
      <c r="AA40" s="51">
        <f>'表4-收入税金表'!AA18</f>
        <v>10</v>
      </c>
      <c r="AB40" s="51">
        <f>'表4-收入税金表'!AB18</f>
        <v>10</v>
      </c>
      <c r="AC40" s="51">
        <f>'表4-收入税金表'!AC18</f>
        <v>10</v>
      </c>
      <c r="AD40" s="51">
        <f>'表4-收入税金表'!AD18</f>
        <v>10</v>
      </c>
      <c r="AE40" s="51">
        <f>'表4-收入税金表'!AE18</f>
        <v>10</v>
      </c>
      <c r="AF40" s="51">
        <f>'表4-收入税金表'!AF18</f>
        <v>10</v>
      </c>
      <c r="AG40" s="51">
        <f>'表4-收入税金表'!AG18</f>
        <v>10</v>
      </c>
      <c r="AH40" s="51">
        <f>'表4-收入税金表'!AH18</f>
        <v>10</v>
      </c>
      <c r="AI40" s="51">
        <f>'表4-收入税金表'!AI18</f>
        <v>10</v>
      </c>
      <c r="AJ40" s="51">
        <f>'表4-收入税金表'!AJ18</f>
        <v>10</v>
      </c>
      <c r="AK40" s="51">
        <f>'表4-收入税金表'!AK18</f>
        <v>10</v>
      </c>
      <c r="AL40" s="51">
        <f>'表4-收入税金表'!AL18</f>
        <v>10</v>
      </c>
      <c r="AM40" s="51">
        <f>'表4-收入税金表'!AM18</f>
        <v>10</v>
      </c>
      <c r="AN40" s="51">
        <f>'表4-收入税金表'!AN18</f>
        <v>10</v>
      </c>
      <c r="AO40" s="51">
        <f>'表4-收入税金表'!AO18</f>
        <v>10</v>
      </c>
      <c r="AP40" s="51">
        <f>'表4-收入税金表'!AP18</f>
        <v>10</v>
      </c>
      <c r="AQ40" s="51">
        <f>'表4-收入税金表'!AQ18</f>
        <v>10</v>
      </c>
      <c r="AR40" s="51">
        <f>'表4-收入税金表'!AR18</f>
        <v>10</v>
      </c>
      <c r="AS40" s="51">
        <f>'表4-收入税金表'!AS18</f>
        <v>10</v>
      </c>
      <c r="AT40" s="51">
        <f>'表4-收入税金表'!AT18</f>
        <v>10</v>
      </c>
      <c r="AU40" s="51">
        <f>'表4-收入税金表'!AU18</f>
        <v>10</v>
      </c>
      <c r="AV40" s="51">
        <f>'表4-收入税金表'!AV18</f>
        <v>10</v>
      </c>
      <c r="AW40" s="51">
        <f>'表4-收入税金表'!AW18</f>
        <v>10</v>
      </c>
      <c r="AX40" s="51">
        <f>'表4-收入税金表'!AX18</f>
        <v>10</v>
      </c>
      <c r="AY40" s="51">
        <f>'表4-收入税金表'!AY18</f>
        <v>10</v>
      </c>
      <c r="AZ40" s="51">
        <f>'表4-收入税金表'!AZ18</f>
        <v>10</v>
      </c>
      <c r="BA40" s="53">
        <f>'表4-收入税金表'!BA18</f>
        <v>10</v>
      </c>
    </row>
    <row r="41" spans="2:53">
      <c r="B41" s="32"/>
      <c r="C41" s="144" t="s">
        <v>868</v>
      </c>
      <c r="D41" s="34">
        <f t="shared" si="11"/>
        <v>0</v>
      </c>
      <c r="E41" s="29" t="s">
        <v>130</v>
      </c>
      <c r="F41" s="34">
        <f>'表3-成本费用表'!F35</f>
        <v>0</v>
      </c>
      <c r="G41" s="34">
        <f>'表3-成本费用表'!G35</f>
        <v>0</v>
      </c>
      <c r="H41" s="34">
        <f>'表3-成本费用表'!H35</f>
        <v>0</v>
      </c>
      <c r="I41" s="34">
        <f>'表3-成本费用表'!I35</f>
        <v>0</v>
      </c>
      <c r="J41" s="34">
        <f>'表3-成本费用表'!J35</f>
        <v>0</v>
      </c>
      <c r="K41" s="34">
        <f>'表3-成本费用表'!K35</f>
        <v>0</v>
      </c>
      <c r="L41" s="34">
        <f>'表3-成本费用表'!L35</f>
        <v>0</v>
      </c>
      <c r="M41" s="34">
        <f>'表3-成本费用表'!M35</f>
        <v>0</v>
      </c>
      <c r="N41" s="34">
        <f>'表3-成本费用表'!N35</f>
        <v>0</v>
      </c>
      <c r="O41" s="34">
        <f>'表3-成本费用表'!O35</f>
        <v>0</v>
      </c>
      <c r="P41" s="34">
        <f>'表3-成本费用表'!P35</f>
        <v>0</v>
      </c>
      <c r="Q41" s="34">
        <f>'表3-成本费用表'!Q35</f>
        <v>0</v>
      </c>
      <c r="R41" s="34">
        <f>'表3-成本费用表'!R35</f>
        <v>0</v>
      </c>
      <c r="S41" s="34">
        <f>'表3-成本费用表'!S35</f>
        <v>0</v>
      </c>
      <c r="T41" s="34">
        <f>'表3-成本费用表'!T35</f>
        <v>0</v>
      </c>
      <c r="U41" s="34">
        <f>'表3-成本费用表'!U35</f>
        <v>0</v>
      </c>
      <c r="V41" s="34">
        <f>'表3-成本费用表'!V35</f>
        <v>0</v>
      </c>
      <c r="W41" s="34">
        <f>'表3-成本费用表'!W35</f>
        <v>0</v>
      </c>
      <c r="X41" s="34">
        <f>'表3-成本费用表'!X35</f>
        <v>0</v>
      </c>
      <c r="Y41" s="34">
        <f>'表3-成本费用表'!Y35</f>
        <v>0</v>
      </c>
      <c r="Z41" s="34">
        <f>'表3-成本费用表'!Z35</f>
        <v>0</v>
      </c>
      <c r="AA41" s="34">
        <f>'表3-成本费用表'!AA35</f>
        <v>0</v>
      </c>
      <c r="AB41" s="34">
        <f>'表3-成本费用表'!AB35</f>
        <v>0</v>
      </c>
      <c r="AC41" s="34">
        <f>'表3-成本费用表'!AC35</f>
        <v>0</v>
      </c>
      <c r="AD41" s="34">
        <f>'表3-成本费用表'!AD35</f>
        <v>0</v>
      </c>
      <c r="AE41" s="34">
        <f>'表3-成本费用表'!AE35</f>
        <v>0</v>
      </c>
      <c r="AF41" s="34">
        <f>'表3-成本费用表'!AF35</f>
        <v>0</v>
      </c>
      <c r="AG41" s="34">
        <f>'表3-成本费用表'!AG35</f>
        <v>0</v>
      </c>
      <c r="AH41" s="34">
        <f>'表3-成本费用表'!AH35</f>
        <v>0</v>
      </c>
      <c r="AI41" s="34">
        <f>'表3-成本费用表'!AI35</f>
        <v>0</v>
      </c>
      <c r="AJ41" s="34">
        <f>'表3-成本费用表'!AJ35</f>
        <v>0</v>
      </c>
      <c r="AK41" s="34">
        <f>'表3-成本费用表'!AK35</f>
        <v>0</v>
      </c>
      <c r="AL41" s="34">
        <f>'表3-成本费用表'!AL35</f>
        <v>0</v>
      </c>
      <c r="AM41" s="34">
        <f>'表3-成本费用表'!AM35</f>
        <v>0</v>
      </c>
      <c r="AN41" s="34">
        <f>'表3-成本费用表'!AN35</f>
        <v>0</v>
      </c>
      <c r="AO41" s="34">
        <f>'表3-成本费用表'!AO35</f>
        <v>0</v>
      </c>
      <c r="AP41" s="34">
        <f>'表3-成本费用表'!AP35</f>
        <v>0</v>
      </c>
      <c r="AQ41" s="34">
        <f>'表3-成本费用表'!AQ35</f>
        <v>0</v>
      </c>
      <c r="AR41" s="34">
        <f>'表3-成本费用表'!AR35</f>
        <v>0</v>
      </c>
      <c r="AS41" s="34">
        <f>'表3-成本费用表'!AS35</f>
        <v>0</v>
      </c>
      <c r="AT41" s="34">
        <f>'表3-成本费用表'!AT35</f>
        <v>0</v>
      </c>
      <c r="AU41" s="34">
        <f>'表3-成本费用表'!AU35</f>
        <v>0</v>
      </c>
      <c r="AV41" s="34">
        <f>'表3-成本费用表'!AV35</f>
        <v>0</v>
      </c>
      <c r="AW41" s="34">
        <f>'表3-成本费用表'!AW35</f>
        <v>0</v>
      </c>
      <c r="AX41" s="34">
        <f>'表3-成本费用表'!AX35</f>
        <v>0</v>
      </c>
      <c r="AY41" s="34">
        <f>'表3-成本费用表'!AY35</f>
        <v>0</v>
      </c>
      <c r="AZ41" s="34">
        <f>'表3-成本费用表'!AZ35</f>
        <v>0</v>
      </c>
      <c r="BA41" s="35">
        <f>'表3-成本费用表'!BA35</f>
        <v>0</v>
      </c>
    </row>
    <row r="42" s="139" customFormat="1" spans="2:53">
      <c r="B42" s="27" t="s">
        <v>869</v>
      </c>
      <c r="C42" s="28" t="s">
        <v>870</v>
      </c>
      <c r="D42" s="30">
        <f ca="1" t="shared" si="11"/>
        <v>1642030.10945855</v>
      </c>
      <c r="E42" s="29" t="s">
        <v>130</v>
      </c>
      <c r="F42" s="134">
        <f ca="1">F38+F39-F41</f>
        <v>0</v>
      </c>
      <c r="G42" s="134">
        <f ca="1" t="shared" ref="G42:R42" si="15">G38+G39-G41</f>
        <v>0</v>
      </c>
      <c r="H42" s="134">
        <f ca="1" t="shared" si="15"/>
        <v>0</v>
      </c>
      <c r="I42" s="134">
        <f ca="1" t="shared" si="15"/>
        <v>0</v>
      </c>
      <c r="J42" s="134">
        <f ca="1" t="shared" si="15"/>
        <v>0</v>
      </c>
      <c r="K42" s="134">
        <f ca="1" t="shared" si="15"/>
        <v>0</v>
      </c>
      <c r="L42" s="134">
        <f ca="1" t="shared" si="15"/>
        <v>0</v>
      </c>
      <c r="M42" s="134">
        <f ca="1" t="shared" si="15"/>
        <v>7837.66085833932</v>
      </c>
      <c r="N42" s="134">
        <f ca="1" t="shared" si="15"/>
        <v>11283.87473113</v>
      </c>
      <c r="O42" s="134">
        <f ca="1" t="shared" si="15"/>
        <v>13032.2734821733</v>
      </c>
      <c r="P42" s="134">
        <f ca="1" t="shared" si="15"/>
        <v>15006.5080615583</v>
      </c>
      <c r="Q42" s="134">
        <f ca="1" t="shared" si="15"/>
        <v>16926.5006244471</v>
      </c>
      <c r="R42" s="134">
        <f ca="1" t="shared" si="15"/>
        <v>18735.7423898106</v>
      </c>
      <c r="S42" s="134">
        <f ca="1" t="shared" ref="S42:AL42" si="16">S38+S39-S41</f>
        <v>20018.8217988822</v>
      </c>
      <c r="T42" s="134">
        <f ca="1" t="shared" si="16"/>
        <v>20242.0961599414</v>
      </c>
      <c r="U42" s="134">
        <f ca="1" t="shared" si="16"/>
        <v>21173.8958460161</v>
      </c>
      <c r="V42" s="134">
        <f ca="1" t="shared" si="16"/>
        <v>22120.7038749987</v>
      </c>
      <c r="W42" s="134">
        <f ca="1" t="shared" si="16"/>
        <v>23075.8717300306</v>
      </c>
      <c r="X42" s="134">
        <f ca="1" t="shared" si="16"/>
        <v>23846.7139535632</v>
      </c>
      <c r="Y42" s="134">
        <f ca="1" t="shared" si="16"/>
        <v>22700.8389029003</v>
      </c>
      <c r="Z42" s="134">
        <f ca="1" t="shared" si="16"/>
        <v>23216.3176784853</v>
      </c>
      <c r="AA42" s="134">
        <f ca="1" t="shared" si="16"/>
        <v>24292.7373604184</v>
      </c>
      <c r="AB42" s="134">
        <f ca="1" t="shared" si="16"/>
        <v>25831.0251819161</v>
      </c>
      <c r="AC42" s="134">
        <f ca="1" t="shared" si="16"/>
        <v>27844.3660819516</v>
      </c>
      <c r="AD42" s="134">
        <f ca="1" t="shared" si="16"/>
        <v>30415.7629247931</v>
      </c>
      <c r="AE42" s="134">
        <f ca="1" t="shared" si="16"/>
        <v>34744.3383945824</v>
      </c>
      <c r="AF42" s="134">
        <f ca="1" t="shared" si="16"/>
        <v>39644.5284266543</v>
      </c>
      <c r="AG42" s="134">
        <f ca="1" t="shared" si="16"/>
        <v>42190.3874282205</v>
      </c>
      <c r="AH42" s="134">
        <f ca="1" t="shared" si="16"/>
        <v>44151.7311318213</v>
      </c>
      <c r="AI42" s="134">
        <f ca="1" t="shared" si="16"/>
        <v>44789.98022565</v>
      </c>
      <c r="AJ42" s="134">
        <f ca="1" t="shared" si="16"/>
        <v>44591.8150880353</v>
      </c>
      <c r="AK42" s="134">
        <f ca="1" t="shared" si="16"/>
        <v>44591.8150880353</v>
      </c>
      <c r="AL42" s="134">
        <f ca="1" t="shared" si="16"/>
        <v>44591.8150880353</v>
      </c>
      <c r="AM42" s="134">
        <f ca="1" t="shared" ref="AM42:BA42" si="17">AM38+AM39-AM41</f>
        <v>44596.7692164757</v>
      </c>
      <c r="AN42" s="134">
        <f ca="1" t="shared" si="17"/>
        <v>44612.5230526371</v>
      </c>
      <c r="AO42" s="134">
        <f ca="1" t="shared" si="17"/>
        <v>44591.8150880353</v>
      </c>
      <c r="AP42" s="134">
        <f ca="1" t="shared" si="17"/>
        <v>55511.2349197328</v>
      </c>
      <c r="AQ42" s="134">
        <f ca="1" t="shared" si="17"/>
        <v>70798.4226841093</v>
      </c>
      <c r="AR42" s="134">
        <f ca="1" t="shared" si="17"/>
        <v>70803.3768125497</v>
      </c>
      <c r="AS42" s="134">
        <f ca="1" t="shared" si="17"/>
        <v>70792.714223355</v>
      </c>
      <c r="AT42" s="134">
        <f ca="1" t="shared" si="17"/>
        <v>70594.5490857403</v>
      </c>
      <c r="AU42" s="134">
        <f ca="1" t="shared" si="17"/>
        <v>70594.5490857403</v>
      </c>
      <c r="AV42" s="134">
        <f ca="1" t="shared" si="17"/>
        <v>70559.9473158288</v>
      </c>
      <c r="AW42" s="134">
        <f ca="1" t="shared" si="17"/>
        <v>70544.1934796674</v>
      </c>
      <c r="AX42" s="134">
        <f ca="1" t="shared" si="17"/>
        <v>70539.2393512271</v>
      </c>
      <c r="AY42" s="134">
        <f ca="1" t="shared" si="17"/>
        <v>70391.2882808907</v>
      </c>
      <c r="AZ42" s="134">
        <f ca="1" t="shared" si="17"/>
        <v>70386.3341524503</v>
      </c>
      <c r="BA42" s="143">
        <f ca="1" t="shared" si="17"/>
        <v>39815.0301977204</v>
      </c>
    </row>
    <row r="43" s="139" customFormat="1" spans="2:53">
      <c r="B43" s="27"/>
      <c r="C43" s="147" t="s">
        <v>871</v>
      </c>
      <c r="D43" s="30">
        <f ca="1" t="shared" si="11"/>
        <v>0</v>
      </c>
      <c r="E43" s="29" t="s">
        <v>130</v>
      </c>
      <c r="F43" s="30">
        <f>SUM(F44:F53)</f>
        <v>0</v>
      </c>
      <c r="G43" s="30">
        <f t="shared" ref="G43:BA43" si="18">SUM(G44:G53)</f>
        <v>0</v>
      </c>
      <c r="H43" s="30">
        <f t="shared" si="18"/>
        <v>0</v>
      </c>
      <c r="I43" s="30">
        <f t="shared" si="18"/>
        <v>0</v>
      </c>
      <c r="J43" s="30">
        <f t="shared" si="18"/>
        <v>0</v>
      </c>
      <c r="K43" s="30">
        <f t="shared" si="18"/>
        <v>0</v>
      </c>
      <c r="L43" s="30">
        <f t="shared" si="18"/>
        <v>0</v>
      </c>
      <c r="M43" s="30">
        <f ca="1" t="shared" si="18"/>
        <v>0</v>
      </c>
      <c r="N43" s="30">
        <f ca="1" t="shared" si="18"/>
        <v>0</v>
      </c>
      <c r="O43" s="30">
        <f ca="1" t="shared" si="18"/>
        <v>0</v>
      </c>
      <c r="P43" s="30">
        <f ca="1" t="shared" si="18"/>
        <v>0</v>
      </c>
      <c r="Q43" s="30">
        <f ca="1" t="shared" si="18"/>
        <v>0</v>
      </c>
      <c r="R43" s="30">
        <f ca="1" t="shared" si="18"/>
        <v>0</v>
      </c>
      <c r="S43" s="30">
        <f ca="1" t="shared" si="18"/>
        <v>0</v>
      </c>
      <c r="T43" s="30">
        <f ca="1" t="shared" si="18"/>
        <v>0</v>
      </c>
      <c r="U43" s="30">
        <f ca="1" t="shared" si="18"/>
        <v>0</v>
      </c>
      <c r="V43" s="30">
        <f ca="1" t="shared" si="18"/>
        <v>0</v>
      </c>
      <c r="W43" s="30">
        <f ca="1" t="shared" si="18"/>
        <v>0</v>
      </c>
      <c r="X43" s="30">
        <f ca="1" t="shared" si="18"/>
        <v>0</v>
      </c>
      <c r="Y43" s="30">
        <f ca="1" t="shared" si="18"/>
        <v>0</v>
      </c>
      <c r="Z43" s="30">
        <f ca="1" t="shared" si="18"/>
        <v>0</v>
      </c>
      <c r="AA43" s="30">
        <f ca="1" t="shared" si="18"/>
        <v>0</v>
      </c>
      <c r="AB43" s="30">
        <f ca="1" t="shared" si="18"/>
        <v>0</v>
      </c>
      <c r="AC43" s="30">
        <f ca="1" t="shared" si="18"/>
        <v>0</v>
      </c>
      <c r="AD43" s="30">
        <f ca="1" t="shared" si="18"/>
        <v>0</v>
      </c>
      <c r="AE43" s="30">
        <f ca="1" t="shared" si="18"/>
        <v>0</v>
      </c>
      <c r="AF43" s="30">
        <f ca="1" t="shared" si="18"/>
        <v>0</v>
      </c>
      <c r="AG43" s="30">
        <f ca="1" t="shared" si="18"/>
        <v>0</v>
      </c>
      <c r="AH43" s="30">
        <f ca="1" t="shared" si="18"/>
        <v>0</v>
      </c>
      <c r="AI43" s="30">
        <f ca="1" t="shared" si="18"/>
        <v>0</v>
      </c>
      <c r="AJ43" s="30">
        <f ca="1" t="shared" si="18"/>
        <v>0</v>
      </c>
      <c r="AK43" s="30">
        <f ca="1" t="shared" si="18"/>
        <v>0</v>
      </c>
      <c r="AL43" s="30">
        <f ca="1" t="shared" si="18"/>
        <v>0</v>
      </c>
      <c r="AM43" s="30">
        <f ca="1" t="shared" si="18"/>
        <v>0</v>
      </c>
      <c r="AN43" s="30">
        <f ca="1" t="shared" si="18"/>
        <v>0</v>
      </c>
      <c r="AO43" s="30">
        <f ca="1" t="shared" si="18"/>
        <v>0</v>
      </c>
      <c r="AP43" s="30">
        <f ca="1" t="shared" si="18"/>
        <v>0</v>
      </c>
      <c r="AQ43" s="30">
        <f ca="1" t="shared" si="18"/>
        <v>0</v>
      </c>
      <c r="AR43" s="30">
        <f ca="1" t="shared" si="18"/>
        <v>0</v>
      </c>
      <c r="AS43" s="30">
        <f ca="1" t="shared" si="18"/>
        <v>0</v>
      </c>
      <c r="AT43" s="30">
        <f ca="1" t="shared" si="18"/>
        <v>0</v>
      </c>
      <c r="AU43" s="30">
        <f ca="1" t="shared" si="18"/>
        <v>0</v>
      </c>
      <c r="AV43" s="30">
        <f ca="1" t="shared" si="18"/>
        <v>0</v>
      </c>
      <c r="AW43" s="30">
        <f ca="1" t="shared" si="18"/>
        <v>0</v>
      </c>
      <c r="AX43" s="30">
        <f ca="1" t="shared" si="18"/>
        <v>0</v>
      </c>
      <c r="AY43" s="30">
        <f ca="1" t="shared" si="18"/>
        <v>0</v>
      </c>
      <c r="AZ43" s="30">
        <f ca="1" t="shared" si="18"/>
        <v>0</v>
      </c>
      <c r="BA43" s="30">
        <f ca="1" t="shared" si="18"/>
        <v>0</v>
      </c>
    </row>
    <row r="44" s="139" customFormat="1" spans="2:53">
      <c r="B44" s="27"/>
      <c r="C44" s="148" t="s">
        <v>872</v>
      </c>
      <c r="D44" s="30"/>
      <c r="E44" s="29" t="s">
        <v>130</v>
      </c>
      <c r="F44" s="30"/>
      <c r="G44" s="30"/>
      <c r="H44" s="30"/>
      <c r="I44" s="30"/>
      <c r="J44" s="30"/>
      <c r="K44" s="30"/>
      <c r="L44" s="30"/>
      <c r="M44" s="177">
        <f ca="1">IF(L42&gt;0,0,IF(M42*参数输入表!$I$377&lt;0,0,MIN(M42*参数输入表!$I$377-SUM(M45:M53),-L42)))</f>
        <v>0</v>
      </c>
      <c r="N44" s="177">
        <f ca="1">IF(M42&gt;0,0,IF(N42*参数输入表!$I$377&lt;0,0,MIN(N42*参数输入表!$I$377-SUM(N45:N53),-M42)))</f>
        <v>0</v>
      </c>
      <c r="O44" s="177">
        <f ca="1">IF(N42&gt;0,0,IF(O42*参数输入表!$I$377&lt;0,0,MIN(O42*参数输入表!$I$377-SUM(O45:O53),-N42)))</f>
        <v>0</v>
      </c>
      <c r="P44" s="177">
        <f ca="1">IF(O42&gt;0,0,IF(P42*参数输入表!$I$377&lt;0,0,MIN(P42*参数输入表!$I$377-SUM(P45:P53),-O42)))</f>
        <v>0</v>
      </c>
      <c r="Q44" s="177">
        <f ca="1">IF(P42&gt;0,0,IF(Q42*参数输入表!$I$377&lt;0,0,MIN(Q42*参数输入表!$I$377-SUM(Q45:Q53),-P42)))</f>
        <v>0</v>
      </c>
      <c r="R44" s="177">
        <f ca="1">IF(Q42&gt;0,0,IF(R42*参数输入表!$I$377&lt;0,0,MIN(R42*参数输入表!$I$377-SUM(R45:R53),-Q42)))</f>
        <v>0</v>
      </c>
      <c r="S44" s="177">
        <f ca="1">IF(R42&gt;0,0,IF(S42*参数输入表!$I$377&lt;0,0,MIN(S42*参数输入表!$I$377-SUM(S45:S53),-R42)))</f>
        <v>0</v>
      </c>
      <c r="T44" s="177">
        <f ca="1">IF(S42&gt;0,0,IF(T42*参数输入表!$I$377&lt;0,0,MIN(T42*参数输入表!$I$377-SUM(T45:T53),-S42)))</f>
        <v>0</v>
      </c>
      <c r="U44" s="177">
        <f ca="1">IF(T42&gt;0,0,IF(U42*参数输入表!$I$377&lt;0,0,MIN(U42*参数输入表!$I$377-SUM(U45:U53),-T42)))</f>
        <v>0</v>
      </c>
      <c r="V44" s="177">
        <f ca="1">IF(U42&gt;0,0,IF(V42*参数输入表!$I$377&lt;0,0,MIN(V42*参数输入表!$I$377-SUM(V45:V53),-U42)))</f>
        <v>0</v>
      </c>
      <c r="W44" s="177">
        <f ca="1">IF(V42&gt;0,0,IF(W42*参数输入表!$I$377&lt;0,0,MIN(W42*参数输入表!$I$377-SUM(W45:W53),-V42)))</f>
        <v>0</v>
      </c>
      <c r="X44" s="177">
        <f ca="1">IF(W42&gt;0,0,IF(X42*参数输入表!$I$377&lt;0,0,MIN(X42*参数输入表!$I$377-SUM(X45:X53),-W42)))</f>
        <v>0</v>
      </c>
      <c r="Y44" s="177">
        <f ca="1">IF(X42&gt;0,0,IF(Y42*参数输入表!$I$377&lt;0,0,MIN(Y42*参数输入表!$I$377-SUM(Y45:Y53),-X42)))</f>
        <v>0</v>
      </c>
      <c r="Z44" s="177">
        <f ca="1">IF(Y42&gt;0,0,IF(Z42*参数输入表!$I$377&lt;0,0,MIN(Z42*参数输入表!$I$377-SUM(Z45:Z53),-Y42)))</f>
        <v>0</v>
      </c>
      <c r="AA44" s="177">
        <f ca="1">IF(Z42&gt;0,0,IF(AA42*参数输入表!$I$377&lt;0,0,MIN(AA42*参数输入表!$I$377-SUM(AA45:AA53),-Z42)))</f>
        <v>0</v>
      </c>
      <c r="AB44" s="177">
        <f ca="1">IF(AA42&gt;0,0,IF(AB42*参数输入表!$I$377&lt;0,0,MIN(AB42*参数输入表!$I$377-SUM(AB45:AB53),-AA42)))</f>
        <v>0</v>
      </c>
      <c r="AC44" s="177">
        <f ca="1">IF(AB42&gt;0,0,IF(AC42*参数输入表!$I$377&lt;0,0,MIN(AC42*参数输入表!$I$377-SUM(AC45:AC53),-AB42)))</f>
        <v>0</v>
      </c>
      <c r="AD44" s="177">
        <f ca="1">IF(AC42&gt;0,0,IF(AD42*参数输入表!$I$377&lt;0,0,MIN(AD42*参数输入表!$I$377-SUM(AD45:AD53),-AC42)))</f>
        <v>0</v>
      </c>
      <c r="AE44" s="177">
        <f ca="1">IF(AD42&gt;0,0,IF(AE42*参数输入表!$I$377&lt;0,0,MIN(AE42*参数输入表!$I$377-SUM(AE45:AE53),-AD42)))</f>
        <v>0</v>
      </c>
      <c r="AF44" s="177">
        <f ca="1">IF(AE42&gt;0,0,IF(AF42*参数输入表!$I$377&lt;0,0,MIN(AF42*参数输入表!$I$377-SUM(AF45:AF53),-AE42)))</f>
        <v>0</v>
      </c>
      <c r="AG44" s="177">
        <f ca="1">IF(AF42&gt;0,0,IF(AG42*参数输入表!$I$377&lt;0,0,MIN(AG42*参数输入表!$I$377-SUM(AG45:AG53),-AF42)))</f>
        <v>0</v>
      </c>
      <c r="AH44" s="177">
        <f ca="1">IF(AG42&gt;0,0,IF(AH42*参数输入表!$I$377&lt;0,0,MIN(AH42*参数输入表!$I$377-SUM(AH45:AH53),-AG42)))</f>
        <v>0</v>
      </c>
      <c r="AI44" s="177">
        <f ca="1">IF(AH42&gt;0,0,IF(AI42*参数输入表!$I$377&lt;0,0,MIN(AI42*参数输入表!$I$377-SUM(AI45:AI53),-AH42)))</f>
        <v>0</v>
      </c>
      <c r="AJ44" s="177">
        <f ca="1">IF(AI42&gt;0,0,IF(AJ42*参数输入表!$I$377&lt;0,0,MIN(AJ42*参数输入表!$I$377-SUM(AJ45:AJ53),-AI42)))</f>
        <v>0</v>
      </c>
      <c r="AK44" s="177">
        <f ca="1">IF(AJ42&gt;0,0,IF(AK42*参数输入表!$I$377&lt;0,0,MIN(AK42*参数输入表!$I$377-SUM(AK45:AK53),-AJ42)))</f>
        <v>0</v>
      </c>
      <c r="AL44" s="177">
        <f ca="1">IF(AK42&gt;0,0,IF(AL42*参数输入表!$I$377&lt;0,0,MIN(AL42*参数输入表!$I$377-SUM(AL45:AL53),-AK42)))</f>
        <v>0</v>
      </c>
      <c r="AM44" s="177">
        <f ca="1">IF(AL42&gt;0,0,IF(AM42*参数输入表!$I$377&lt;0,0,MIN(AM42*参数输入表!$I$377-SUM(AM45:AM53),-AL42)))</f>
        <v>0</v>
      </c>
      <c r="AN44" s="177">
        <f ca="1">IF(AM42&gt;0,0,IF(AN42*参数输入表!$I$377&lt;0,0,MIN(AN42*参数输入表!$I$377-SUM(AN45:AN53),-AM42)))</f>
        <v>0</v>
      </c>
      <c r="AO44" s="177">
        <f ca="1">IF(AN42&gt;0,0,IF(AO42*参数输入表!$I$377&lt;0,0,MIN(AO42*参数输入表!$I$377-SUM(AO45:AO53),-AN42)))</f>
        <v>0</v>
      </c>
      <c r="AP44" s="177">
        <f ca="1">IF(AO42&gt;0,0,IF(AP42*参数输入表!$I$377&lt;0,0,MIN(AP42*参数输入表!$I$377-SUM(AP45:AP53),-AO42)))</f>
        <v>0</v>
      </c>
      <c r="AQ44" s="177">
        <f ca="1">IF(AP42&gt;0,0,IF(AQ42*参数输入表!$I$377&lt;0,0,MIN(AQ42*参数输入表!$I$377-SUM(AQ45:AQ53),-AP42)))</f>
        <v>0</v>
      </c>
      <c r="AR44" s="177">
        <f ca="1">IF(AQ42&gt;0,0,IF(AR42*参数输入表!$I$377&lt;0,0,MIN(AR42*参数输入表!$I$377-SUM(AR45:AR53),-AQ42)))</f>
        <v>0</v>
      </c>
      <c r="AS44" s="177">
        <f ca="1">IF(AR42&gt;0,0,IF(AS42*参数输入表!$I$377&lt;0,0,MIN(AS42*参数输入表!$I$377-SUM(AS45:AS53),-AR42)))</f>
        <v>0</v>
      </c>
      <c r="AT44" s="177">
        <f ca="1">IF(AS42&gt;0,0,IF(AT42*参数输入表!$I$377&lt;0,0,MIN(AT42*参数输入表!$I$377-SUM(AT45:AT53),-AS42)))</f>
        <v>0</v>
      </c>
      <c r="AU44" s="177">
        <f ca="1">IF(AT42&gt;0,0,IF(AU42*参数输入表!$I$377&lt;0,0,MIN(AU42*参数输入表!$I$377-SUM(AU45:AU53),-AT42)))</f>
        <v>0</v>
      </c>
      <c r="AV44" s="177">
        <f ca="1">IF(AU42&gt;0,0,IF(AV42*参数输入表!$I$377&lt;0,0,MIN(AV42*参数输入表!$I$377-SUM(AV45:AV53),-AU42)))</f>
        <v>0</v>
      </c>
      <c r="AW44" s="177">
        <f ca="1">IF(AV42&gt;0,0,IF(AW42*参数输入表!$I$377&lt;0,0,MIN(AW42*参数输入表!$I$377-SUM(AW45:AW53),-AV42)))</f>
        <v>0</v>
      </c>
      <c r="AX44" s="177">
        <f ca="1">IF(AW42&gt;0,0,IF(AX42*参数输入表!$I$377&lt;0,0,MIN(AX42*参数输入表!$I$377-SUM(AX45:AX53),-AW42)))</f>
        <v>0</v>
      </c>
      <c r="AY44" s="177">
        <f ca="1">IF(AX42&gt;0,0,IF(AY42*参数输入表!$I$377&lt;0,0,MIN(AY42*参数输入表!$I$377-SUM(AY45:AY53),-AX42)))</f>
        <v>0</v>
      </c>
      <c r="AZ44" s="177">
        <f ca="1">IF(AY42&gt;0,0,IF(AZ42*参数输入表!$I$377&lt;0,0,MIN(AZ42*参数输入表!$I$377-SUM(AZ45:AZ53),-AY42)))</f>
        <v>0</v>
      </c>
      <c r="BA44" s="177">
        <f ca="1">IF(AZ42&gt;0,0,IF(BA42*参数输入表!$I$377&lt;0,0,MIN(BA42*参数输入表!$I$377-SUM(BA45:BA53),-AZ42)))</f>
        <v>0</v>
      </c>
    </row>
    <row r="45" s="139" customFormat="1" spans="2:53">
      <c r="B45" s="27"/>
      <c r="C45" s="148" t="s">
        <v>873</v>
      </c>
      <c r="D45" s="30"/>
      <c r="E45" s="29" t="s">
        <v>130</v>
      </c>
      <c r="F45" s="30"/>
      <c r="G45" s="30"/>
      <c r="H45" s="30"/>
      <c r="I45" s="30"/>
      <c r="J45" s="30"/>
      <c r="K45" s="30"/>
      <c r="L45" s="30"/>
      <c r="M45" s="30"/>
      <c r="N45" s="177">
        <f ca="1">IF(L42&gt;0,0,IF(N42*参数输入表!$I$377&lt;0,0,MIN(N42*参数输入表!$I$377-SUM(N46:N53),-L42-M44)))</f>
        <v>0</v>
      </c>
      <c r="O45" s="177">
        <f ca="1">IF(M42&gt;0,0,IF(O42*参数输入表!$I$377&lt;0,0,MIN(O42*参数输入表!$I$377-SUM(O46:O53),-M42-N44)))</f>
        <v>0</v>
      </c>
      <c r="P45" s="177">
        <f ca="1">IF(N42&gt;0,0,IF(P42*参数输入表!$I$377&lt;0,0,MIN(P42*参数输入表!$I$377-SUM(P46:P53),-N42-O44)))</f>
        <v>0</v>
      </c>
      <c r="Q45" s="177">
        <f ca="1">IF(O42&gt;0,0,IF(Q42*参数输入表!$I$377&lt;0,0,MIN(Q42*参数输入表!$I$377-SUM(Q46:Q53),-O42-P44)))</f>
        <v>0</v>
      </c>
      <c r="R45" s="177">
        <f ca="1">IF(P42&gt;0,0,IF(R42*参数输入表!$I$377&lt;0,0,MIN(R42*参数输入表!$I$377-SUM(R46:R53),-P42-Q44)))</f>
        <v>0</v>
      </c>
      <c r="S45" s="177">
        <f ca="1">IF(Q42&gt;0,0,IF(S42*参数输入表!$I$377&lt;0,0,MIN(S42*参数输入表!$I$377-SUM(S46:S53),-Q42-R44)))</f>
        <v>0</v>
      </c>
      <c r="T45" s="177">
        <f ca="1">IF(R42&gt;0,0,IF(T42*参数输入表!$I$377&lt;0,0,MIN(T42*参数输入表!$I$377-SUM(T46:T53),-R42-S44)))</f>
        <v>0</v>
      </c>
      <c r="U45" s="177">
        <f ca="1">IF(S42&gt;0,0,IF(U42*参数输入表!$I$377&lt;0,0,MIN(U42*参数输入表!$I$377-SUM(U46:U53),-S42-T44)))</f>
        <v>0</v>
      </c>
      <c r="V45" s="177">
        <f ca="1">IF(T42&gt;0,0,IF(V42*参数输入表!$I$377&lt;0,0,MIN(V42*参数输入表!$I$377-SUM(V46:V53),-T42-U44)))</f>
        <v>0</v>
      </c>
      <c r="W45" s="177">
        <f ca="1">IF(U42&gt;0,0,IF(W42*参数输入表!$I$377&lt;0,0,MIN(W42*参数输入表!$I$377-SUM(W46:W53),-U42-V44)))</f>
        <v>0</v>
      </c>
      <c r="X45" s="177">
        <f ca="1">IF(V42&gt;0,0,IF(X42*参数输入表!$I$377&lt;0,0,MIN(X42*参数输入表!$I$377-SUM(X46:X53),-V42-W44)))</f>
        <v>0</v>
      </c>
      <c r="Y45" s="177">
        <f ca="1">IF(W42&gt;0,0,IF(Y42*参数输入表!$I$377&lt;0,0,MIN(Y42*参数输入表!$I$377-SUM(Y46:Y53),-W42-X44)))</f>
        <v>0</v>
      </c>
      <c r="Z45" s="177">
        <f ca="1">IF(X42&gt;0,0,IF(Z42*参数输入表!$I$377&lt;0,0,MIN(Z42*参数输入表!$I$377-SUM(Z46:Z53),-X42-Y44)))</f>
        <v>0</v>
      </c>
      <c r="AA45" s="177">
        <f ca="1">IF(Y42&gt;0,0,IF(AA42*参数输入表!$I$377&lt;0,0,MIN(AA42*参数输入表!$I$377-SUM(AA46:AA53),-Y42-Z44)))</f>
        <v>0</v>
      </c>
      <c r="AB45" s="177">
        <f ca="1">IF(Z42&gt;0,0,IF(AB42*参数输入表!$I$377&lt;0,0,MIN(AB42*参数输入表!$I$377-SUM(AB46:AB53),-Z42-AA44)))</f>
        <v>0</v>
      </c>
      <c r="AC45" s="177">
        <f ca="1">IF(AA42&gt;0,0,IF(AC42*参数输入表!$I$377&lt;0,0,MIN(AC42*参数输入表!$I$377-SUM(AC46:AC53),-AA42-AB44)))</f>
        <v>0</v>
      </c>
      <c r="AD45" s="177">
        <f ca="1">IF(AB42&gt;0,0,IF(AD42*参数输入表!$I$377&lt;0,0,MIN(AD42*参数输入表!$I$377-SUM(AD46:AD53),-AB42-AC44)))</f>
        <v>0</v>
      </c>
      <c r="AE45" s="177">
        <f ca="1">IF(AC42&gt;0,0,IF(AE42*参数输入表!$I$377&lt;0,0,MIN(AE42*参数输入表!$I$377-SUM(AE46:AE53),-AC42-AD44)))</f>
        <v>0</v>
      </c>
      <c r="AF45" s="177">
        <f ca="1">IF(AD42&gt;0,0,IF(AF42*参数输入表!$I$377&lt;0,0,MIN(AF42*参数输入表!$I$377-SUM(AF46:AF53),-AD42-AE44)))</f>
        <v>0</v>
      </c>
      <c r="AG45" s="177">
        <f ca="1">IF(AE42&gt;0,0,IF(AG42*参数输入表!$I$377&lt;0,0,MIN(AG42*参数输入表!$I$377-SUM(AG46:AG53),-AE42-AF44)))</f>
        <v>0</v>
      </c>
      <c r="AH45" s="177">
        <f ca="1">IF(AF42&gt;0,0,IF(AH42*参数输入表!$I$377&lt;0,0,MIN(AH42*参数输入表!$I$377-SUM(AH46:AH53),-AF42-AG44)))</f>
        <v>0</v>
      </c>
      <c r="AI45" s="177">
        <f ca="1">IF(AG42&gt;0,0,IF(AI42*参数输入表!$I$377&lt;0,0,MIN(AI42*参数输入表!$I$377-SUM(AI46:AI53),-AG42-AH44)))</f>
        <v>0</v>
      </c>
      <c r="AJ45" s="177">
        <f ca="1">IF(AH42&gt;0,0,IF(AJ42*参数输入表!$I$377&lt;0,0,MIN(AJ42*参数输入表!$I$377-SUM(AJ46:AJ53),-AH42-AI44)))</f>
        <v>0</v>
      </c>
      <c r="AK45" s="177">
        <f ca="1">IF(AI42&gt;0,0,IF(AK42*参数输入表!$I$377&lt;0,0,MIN(AK42*参数输入表!$I$377-SUM(AK46:AK53),-AI42-AJ44)))</f>
        <v>0</v>
      </c>
      <c r="AL45" s="177">
        <f ca="1">IF(AJ42&gt;0,0,IF(AL42*参数输入表!$I$377&lt;0,0,MIN(AL42*参数输入表!$I$377-SUM(AL46:AL53),-AJ42-AK44)))</f>
        <v>0</v>
      </c>
      <c r="AM45" s="177">
        <f ca="1">IF(AK42&gt;0,0,IF(AM42*参数输入表!$I$377&lt;0,0,MIN(AM42*参数输入表!$I$377-SUM(AM46:AM53),-AK42-AL44)))</f>
        <v>0</v>
      </c>
      <c r="AN45" s="177">
        <f ca="1">IF(AL42&gt;0,0,IF(AN42*参数输入表!$I$377&lt;0,0,MIN(AN42*参数输入表!$I$377-SUM(AN46:AN53),-AL42-AM44)))</f>
        <v>0</v>
      </c>
      <c r="AO45" s="177">
        <f ca="1">IF(AM42&gt;0,0,IF(AO42*参数输入表!$I$377&lt;0,0,MIN(AO42*参数输入表!$I$377-SUM(AO46:AO53),-AM42-AN44)))</f>
        <v>0</v>
      </c>
      <c r="AP45" s="177">
        <f ca="1">IF(AN42&gt;0,0,IF(AP42*参数输入表!$I$377&lt;0,0,MIN(AP42*参数输入表!$I$377-SUM(AP46:AP53),-AN42-AO44)))</f>
        <v>0</v>
      </c>
      <c r="AQ45" s="177">
        <f ca="1">IF(AO42&gt;0,0,IF(AQ42*参数输入表!$I$377&lt;0,0,MIN(AQ42*参数输入表!$I$377-SUM(AQ46:AQ53),-AO42-AP44)))</f>
        <v>0</v>
      </c>
      <c r="AR45" s="177">
        <f ca="1">IF(AP42&gt;0,0,IF(AR42*参数输入表!$I$377&lt;0,0,MIN(AR42*参数输入表!$I$377-SUM(AR46:AR53),-AP42-AQ44)))</f>
        <v>0</v>
      </c>
      <c r="AS45" s="177">
        <f ca="1">IF(AQ42&gt;0,0,IF(AS42*参数输入表!$I$377&lt;0,0,MIN(AS42*参数输入表!$I$377-SUM(AS46:AS53),-AQ42-AR44)))</f>
        <v>0</v>
      </c>
      <c r="AT45" s="177">
        <f ca="1">IF(AR42&gt;0,0,IF(AT42*参数输入表!$I$377&lt;0,0,MIN(AT42*参数输入表!$I$377-SUM(AT46:AT53),-AR42-AS44)))</f>
        <v>0</v>
      </c>
      <c r="AU45" s="177">
        <f ca="1">IF(AS42&gt;0,0,IF(AU42*参数输入表!$I$377&lt;0,0,MIN(AU42*参数输入表!$I$377-SUM(AU46:AU53),-AS42-AT44)))</f>
        <v>0</v>
      </c>
      <c r="AV45" s="177">
        <f ca="1">IF(AT42&gt;0,0,IF(AV42*参数输入表!$I$377&lt;0,0,MIN(AV42*参数输入表!$I$377-SUM(AV46:AV53),-AT42-AU44)))</f>
        <v>0</v>
      </c>
      <c r="AW45" s="177">
        <f ca="1">IF(AU42&gt;0,0,IF(AW42*参数输入表!$I$377&lt;0,0,MIN(AW42*参数输入表!$I$377-SUM(AW46:AW53),-AU42-AV44)))</f>
        <v>0</v>
      </c>
      <c r="AX45" s="177">
        <f ca="1">IF(AV42&gt;0,0,IF(AX42*参数输入表!$I$377&lt;0,0,MIN(AX42*参数输入表!$I$377-SUM(AX46:AX53),-AV42-AW44)))</f>
        <v>0</v>
      </c>
      <c r="AY45" s="177">
        <f ca="1">IF(AW42&gt;0,0,IF(AY42*参数输入表!$I$377&lt;0,0,MIN(AY42*参数输入表!$I$377-SUM(AY46:AY53),-AW42-AX44)))</f>
        <v>0</v>
      </c>
      <c r="AZ45" s="177">
        <f ca="1">IF(AX42&gt;0,0,IF(AZ42*参数输入表!$I$377&lt;0,0,MIN(AZ42*参数输入表!$I$377-SUM(AZ46:AZ53),-AX42-AY44)))</f>
        <v>0</v>
      </c>
      <c r="BA45" s="177">
        <f ca="1">IF(AY42&gt;0,0,IF(BA42*参数输入表!$I$377&lt;0,0,MIN(BA42*参数输入表!$I$377-SUM(BA46:BA53),-AY42-AZ44)))</f>
        <v>0</v>
      </c>
    </row>
    <row r="46" s="139" customFormat="1" spans="2:53">
      <c r="B46" s="27"/>
      <c r="C46" s="148" t="s">
        <v>874</v>
      </c>
      <c r="D46" s="30"/>
      <c r="E46" s="29" t="s">
        <v>130</v>
      </c>
      <c r="F46" s="30"/>
      <c r="G46" s="30"/>
      <c r="H46" s="30"/>
      <c r="I46" s="30"/>
      <c r="J46" s="30"/>
      <c r="K46" s="30"/>
      <c r="L46" s="30"/>
      <c r="M46" s="30"/>
      <c r="N46" s="30"/>
      <c r="O46" s="177">
        <f ca="1">IF(L42&gt;0,0,IF(O42*参数输入表!$I$377&lt;0,0,MIN(O42*参数输入表!$I$377-SUM(O47:O53),-L42-M44-N45)))</f>
        <v>0</v>
      </c>
      <c r="P46" s="177">
        <f ca="1">IF(M42&gt;0,0,IF(P42*参数输入表!$I$377&lt;0,0,MIN(P42*参数输入表!$I$377-SUM(P47:P53),-M42-N44-O45)))</f>
        <v>0</v>
      </c>
      <c r="Q46" s="177">
        <f ca="1">IF(N42&gt;0,0,IF(Q42*参数输入表!$I$377&lt;0,0,MIN(Q42*参数输入表!$I$377-SUM(Q47:Q53),-N42-O44-P45)))</f>
        <v>0</v>
      </c>
      <c r="R46" s="177">
        <f ca="1">IF(O42&gt;0,0,IF(R42*参数输入表!$I$377&lt;0,0,MIN(R42*参数输入表!$I$377-SUM(R47:R53),-O42-P44-Q45)))</f>
        <v>0</v>
      </c>
      <c r="S46" s="177">
        <f ca="1">IF(P42&gt;0,0,IF(S42*参数输入表!$I$377&lt;0,0,MIN(S42*参数输入表!$I$377-SUM(S47:S53),-P42-Q44-R45)))</f>
        <v>0</v>
      </c>
      <c r="T46" s="177">
        <f ca="1">IF(Q42&gt;0,0,IF(T42*参数输入表!$I$377&lt;0,0,MIN(T42*参数输入表!$I$377-SUM(T47:T53),-Q42-R44-S45)))</f>
        <v>0</v>
      </c>
      <c r="U46" s="177">
        <f ca="1">IF(R42&gt;0,0,IF(U42*参数输入表!$I$377&lt;0,0,MIN(U42*参数输入表!$I$377-SUM(U47:U53),-R42-S44-T45)))</f>
        <v>0</v>
      </c>
      <c r="V46" s="177">
        <f ca="1">IF(S42&gt;0,0,IF(V42*参数输入表!$I$377&lt;0,0,MIN(V42*参数输入表!$I$377-SUM(V47:V53),-S42-T44-U45)))</f>
        <v>0</v>
      </c>
      <c r="W46" s="177">
        <f ca="1">IF(T42&gt;0,0,IF(W42*参数输入表!$I$377&lt;0,0,MIN(W42*参数输入表!$I$377-SUM(W47:W53),-T42-U44-V45)))</f>
        <v>0</v>
      </c>
      <c r="X46" s="177">
        <f ca="1">IF(U42&gt;0,0,IF(X42*参数输入表!$I$377&lt;0,0,MIN(X42*参数输入表!$I$377-SUM(X47:X53),-U42-V44-W45)))</f>
        <v>0</v>
      </c>
      <c r="Y46" s="177">
        <f ca="1">IF(V42&gt;0,0,IF(Y42*参数输入表!$I$377&lt;0,0,MIN(Y42*参数输入表!$I$377-SUM(Y47:Y53),-V42-W44-X45)))</f>
        <v>0</v>
      </c>
      <c r="Z46" s="177">
        <f ca="1">IF(W42&gt;0,0,IF(Z42*参数输入表!$I$377&lt;0,0,MIN(Z42*参数输入表!$I$377-SUM(Z47:Z53),-W42-X44-Y45)))</f>
        <v>0</v>
      </c>
      <c r="AA46" s="177">
        <f ca="1">IF(X42&gt;0,0,IF(AA42*参数输入表!$I$377&lt;0,0,MIN(AA42*参数输入表!$I$377-SUM(AA47:AA53),-X42-Y44-Z45)))</f>
        <v>0</v>
      </c>
      <c r="AB46" s="177">
        <f ca="1">IF(Y42&gt;0,0,IF(AB42*参数输入表!$I$377&lt;0,0,MIN(AB42*参数输入表!$I$377-SUM(AB47:AB53),-Y42-Z44-AA45)))</f>
        <v>0</v>
      </c>
      <c r="AC46" s="177">
        <f ca="1">IF(Z42&gt;0,0,IF(AC42*参数输入表!$I$377&lt;0,0,MIN(AC42*参数输入表!$I$377-SUM(AC47:AC53),-Z42-AA44-AB45)))</f>
        <v>0</v>
      </c>
      <c r="AD46" s="177">
        <f ca="1">IF(AA42&gt;0,0,IF(AD42*参数输入表!$I$377&lt;0,0,MIN(AD42*参数输入表!$I$377-SUM(AD47:AD53),-AA42-AB44-AC45)))</f>
        <v>0</v>
      </c>
      <c r="AE46" s="177">
        <f ca="1">IF(AB42&gt;0,0,IF(AE42*参数输入表!$I$377&lt;0,0,MIN(AE42*参数输入表!$I$377-SUM(AE47:AE53),-AB42-AC44-AD45)))</f>
        <v>0</v>
      </c>
      <c r="AF46" s="177">
        <f ca="1">IF(AC42&gt;0,0,IF(AF42*参数输入表!$I$377&lt;0,0,MIN(AF42*参数输入表!$I$377-SUM(AF47:AF53),-AC42-AD44-AE45)))</f>
        <v>0</v>
      </c>
      <c r="AG46" s="177">
        <f ca="1">IF(AD42&gt;0,0,IF(AG42*参数输入表!$I$377&lt;0,0,MIN(AG42*参数输入表!$I$377-SUM(AG47:AG53),-AD42-AE44-AF45)))</f>
        <v>0</v>
      </c>
      <c r="AH46" s="177">
        <f ca="1">IF(AE42&gt;0,0,IF(AH42*参数输入表!$I$377&lt;0,0,MIN(AH42*参数输入表!$I$377-SUM(AH47:AH53),-AE42-AF44-AG45)))</f>
        <v>0</v>
      </c>
      <c r="AI46" s="177">
        <f ca="1">IF(AF42&gt;0,0,IF(AI42*参数输入表!$I$377&lt;0,0,MIN(AI42*参数输入表!$I$377-SUM(AI47:AI53),-AF42-AG44-AH45)))</f>
        <v>0</v>
      </c>
      <c r="AJ46" s="177">
        <f ca="1">IF(AG42&gt;0,0,IF(AJ42*参数输入表!$I$377&lt;0,0,MIN(AJ42*参数输入表!$I$377-SUM(AJ47:AJ53),-AG42-AH44-AI45)))</f>
        <v>0</v>
      </c>
      <c r="AK46" s="177">
        <f ca="1">IF(AH42&gt;0,0,IF(AK42*参数输入表!$I$377&lt;0,0,MIN(AK42*参数输入表!$I$377-SUM(AK47:AK53),-AH42-AI44-AJ45)))</f>
        <v>0</v>
      </c>
      <c r="AL46" s="177">
        <f ca="1">IF(AI42&gt;0,0,IF(AL42*参数输入表!$I$377&lt;0,0,MIN(AL42*参数输入表!$I$377-SUM(AL47:AL53),-AI42-AJ44-AK45)))</f>
        <v>0</v>
      </c>
      <c r="AM46" s="177">
        <f ca="1">IF(AJ42&gt;0,0,IF(AM42*参数输入表!$I$377&lt;0,0,MIN(AM42*参数输入表!$I$377-SUM(AM47:AM53),-AJ42-AK44-AL45)))</f>
        <v>0</v>
      </c>
      <c r="AN46" s="177">
        <f ca="1">IF(AK42&gt;0,0,IF(AN42*参数输入表!$I$377&lt;0,0,MIN(AN42*参数输入表!$I$377-SUM(AN47:AN53),-AK42-AL44-AM45)))</f>
        <v>0</v>
      </c>
      <c r="AO46" s="177">
        <f ca="1">IF(AL42&gt;0,0,IF(AO42*参数输入表!$I$377&lt;0,0,MIN(AO42*参数输入表!$I$377-SUM(AO47:AO53),-AL42-AM44-AN45)))</f>
        <v>0</v>
      </c>
      <c r="AP46" s="177">
        <f ca="1">IF(AM42&gt;0,0,IF(AP42*参数输入表!$I$377&lt;0,0,MIN(AP42*参数输入表!$I$377-SUM(AP47:AP53),-AM42-AN44-AO45)))</f>
        <v>0</v>
      </c>
      <c r="AQ46" s="177">
        <f ca="1">IF(AN42&gt;0,0,IF(AQ42*参数输入表!$I$377&lt;0,0,MIN(AQ42*参数输入表!$I$377-SUM(AQ47:AQ53),-AN42-AO44-AP45)))</f>
        <v>0</v>
      </c>
      <c r="AR46" s="177">
        <f ca="1">IF(AO42&gt;0,0,IF(AR42*参数输入表!$I$377&lt;0,0,MIN(AR42*参数输入表!$I$377-SUM(AR47:AR53),-AO42-AP44-AQ45)))</f>
        <v>0</v>
      </c>
      <c r="AS46" s="177">
        <f ca="1">IF(AP42&gt;0,0,IF(AS42*参数输入表!$I$377&lt;0,0,MIN(AS42*参数输入表!$I$377-SUM(AS47:AS53),-AP42-AQ44-AR45)))</f>
        <v>0</v>
      </c>
      <c r="AT46" s="177">
        <f ca="1">IF(AQ42&gt;0,0,IF(AT42*参数输入表!$I$377&lt;0,0,MIN(AT42*参数输入表!$I$377-SUM(AT47:AT53),-AQ42-AR44-AS45)))</f>
        <v>0</v>
      </c>
      <c r="AU46" s="177">
        <f ca="1">IF(AR42&gt;0,0,IF(AU42*参数输入表!$I$377&lt;0,0,MIN(AU42*参数输入表!$I$377-SUM(AU47:AU53),-AR42-AS44-AT45)))</f>
        <v>0</v>
      </c>
      <c r="AV46" s="177">
        <f ca="1">IF(AS42&gt;0,0,IF(AV42*参数输入表!$I$377&lt;0,0,MIN(AV42*参数输入表!$I$377-SUM(AV47:AV53),-AS42-AT44-AU45)))</f>
        <v>0</v>
      </c>
      <c r="AW46" s="177">
        <f ca="1">IF(AT42&gt;0,0,IF(AW42*参数输入表!$I$377&lt;0,0,MIN(AW42*参数输入表!$I$377-SUM(AW47:AW53),-AT42-AU44-AV45)))</f>
        <v>0</v>
      </c>
      <c r="AX46" s="177">
        <f ca="1">IF(AU42&gt;0,0,IF(AX42*参数输入表!$I$377&lt;0,0,MIN(AX42*参数输入表!$I$377-SUM(AX47:AX53),-AU42-AV44-AW45)))</f>
        <v>0</v>
      </c>
      <c r="AY46" s="177">
        <f ca="1">IF(AV42&gt;0,0,IF(AY42*参数输入表!$I$377&lt;0,0,MIN(AY42*参数输入表!$I$377-SUM(AY47:AY53),-AV42-AW44-AX45)))</f>
        <v>0</v>
      </c>
      <c r="AZ46" s="177">
        <f ca="1">IF(AW42&gt;0,0,IF(AZ42*参数输入表!$I$377&lt;0,0,MIN(AZ42*参数输入表!$I$377-SUM(AZ47:AZ53),-AW42-AX44-AY45)))</f>
        <v>0</v>
      </c>
      <c r="BA46" s="177">
        <f ca="1">IF(AX42&gt;0,0,IF(BA42*参数输入表!$I$377&lt;0,0,MIN(BA42*参数输入表!$I$377-SUM(BA47:BA53),-AX42-AY44-AZ45)))</f>
        <v>0</v>
      </c>
    </row>
    <row r="47" s="139" customFormat="1" spans="2:53">
      <c r="B47" s="27"/>
      <c r="C47" s="148" t="s">
        <v>875</v>
      </c>
      <c r="D47" s="30"/>
      <c r="E47" s="29" t="s">
        <v>130</v>
      </c>
      <c r="F47" s="30"/>
      <c r="G47" s="30"/>
      <c r="H47" s="30"/>
      <c r="I47" s="30"/>
      <c r="J47" s="30"/>
      <c r="K47" s="30"/>
      <c r="L47" s="30"/>
      <c r="M47" s="30"/>
      <c r="N47" s="30"/>
      <c r="O47" s="30"/>
      <c r="P47" s="177">
        <f ca="1">IF(L42&gt;0,0,IF(P42*参数输入表!$I$377&lt;0,0,MIN(P42*参数输入表!$I$377-SUM(P48:P53),-L42-M44-N45-O46)))</f>
        <v>0</v>
      </c>
      <c r="Q47" s="177">
        <f ca="1">IF(M42&gt;0,0,IF(Q42*参数输入表!$I$377&lt;0,0,MIN(Q42*参数输入表!$I$377-SUM(Q48:Q53),-M42-N44-O45-P46)))</f>
        <v>0</v>
      </c>
      <c r="R47" s="177">
        <f ca="1">IF(N42&gt;0,0,IF(R42*参数输入表!$I$377&lt;0,0,MIN(R42*参数输入表!$I$377-SUM(R48:R53),-N42-O44-P45-Q46)))</f>
        <v>0</v>
      </c>
      <c r="S47" s="177">
        <f ca="1">IF(O42&gt;0,0,IF(S42*参数输入表!$I$377&lt;0,0,MIN(S42*参数输入表!$I$377-SUM(S48:S53),-O42-P44-Q45-R46)))</f>
        <v>0</v>
      </c>
      <c r="T47" s="177">
        <f ca="1">IF(P42&gt;0,0,IF(T42*参数输入表!$I$377&lt;0,0,MIN(T42*参数输入表!$I$377-SUM(T48:T53),-P42-Q44-R45-S46)))</f>
        <v>0</v>
      </c>
      <c r="U47" s="177">
        <f ca="1">IF(Q42&gt;0,0,IF(U42*参数输入表!$I$377&lt;0,0,MIN(U42*参数输入表!$I$377-SUM(U48:U53),-Q42-R44-S45-T46)))</f>
        <v>0</v>
      </c>
      <c r="V47" s="177">
        <f ca="1">IF(R42&gt;0,0,IF(V42*参数输入表!$I$377&lt;0,0,MIN(V42*参数输入表!$I$377-SUM(V48:V53),-R42-S44-T45-U46)))</f>
        <v>0</v>
      </c>
      <c r="W47" s="177">
        <f ca="1">IF(S42&gt;0,0,IF(W42*参数输入表!$I$377&lt;0,0,MIN(W42*参数输入表!$I$377-SUM(W48:W53),-S42-T44-U45-V46)))</f>
        <v>0</v>
      </c>
      <c r="X47" s="177">
        <f ca="1">IF(T42&gt;0,0,IF(X42*参数输入表!$I$377&lt;0,0,MIN(X42*参数输入表!$I$377-SUM(X48:X53),-T42-U44-V45-W46)))</f>
        <v>0</v>
      </c>
      <c r="Y47" s="177">
        <f ca="1">IF(U42&gt;0,0,IF(Y42*参数输入表!$I$377&lt;0,0,MIN(Y42*参数输入表!$I$377-SUM(Y48:Y53),-U42-V44-W45-X46)))</f>
        <v>0</v>
      </c>
      <c r="Z47" s="177">
        <f ca="1">IF(V42&gt;0,0,IF(Z42*参数输入表!$I$377&lt;0,0,MIN(Z42*参数输入表!$I$377-SUM(Z48:Z53),-V42-W44-X45-Y46)))</f>
        <v>0</v>
      </c>
      <c r="AA47" s="177">
        <f ca="1">IF(W42&gt;0,0,IF(AA42*参数输入表!$I$377&lt;0,0,MIN(AA42*参数输入表!$I$377-SUM(AA48:AA53),-W42-X44-Y45-Z46)))</f>
        <v>0</v>
      </c>
      <c r="AB47" s="177">
        <f ca="1">IF(X42&gt;0,0,IF(AB42*参数输入表!$I$377&lt;0,0,MIN(AB42*参数输入表!$I$377-SUM(AB48:AB53),-X42-Y44-Z45-AA46)))</f>
        <v>0</v>
      </c>
      <c r="AC47" s="177">
        <f ca="1">IF(Y42&gt;0,0,IF(AC42*参数输入表!$I$377&lt;0,0,MIN(AC42*参数输入表!$I$377-SUM(AC48:AC53),-Y42-Z44-AA45-AB46)))</f>
        <v>0</v>
      </c>
      <c r="AD47" s="177">
        <f ca="1">IF(Z42&gt;0,0,IF(AD42*参数输入表!$I$377&lt;0,0,MIN(AD42*参数输入表!$I$377-SUM(AD48:AD53),-Z42-AA44-AB45-AC46)))</f>
        <v>0</v>
      </c>
      <c r="AE47" s="177">
        <f ca="1">IF(AA42&gt;0,0,IF(AE42*参数输入表!$I$377&lt;0,0,MIN(AE42*参数输入表!$I$377-SUM(AE48:AE53),-AA42-AB44-AC45-AD46)))</f>
        <v>0</v>
      </c>
      <c r="AF47" s="177">
        <f ca="1">IF(AB42&gt;0,0,IF(AF42*参数输入表!$I$377&lt;0,0,MIN(AF42*参数输入表!$I$377-SUM(AF48:AF53),-AB42-AC44-AD45-AE46)))</f>
        <v>0</v>
      </c>
      <c r="AG47" s="177">
        <f ca="1">IF(AC42&gt;0,0,IF(AG42*参数输入表!$I$377&lt;0,0,MIN(AG42*参数输入表!$I$377-SUM(AG48:AG53),-AC42-AD44-AE45-AF46)))</f>
        <v>0</v>
      </c>
      <c r="AH47" s="177">
        <f ca="1">IF(AD42&gt;0,0,IF(AH42*参数输入表!$I$377&lt;0,0,MIN(AH42*参数输入表!$I$377-SUM(AH48:AH53),-AD42-AE44-AF45-AG46)))</f>
        <v>0</v>
      </c>
      <c r="AI47" s="177">
        <f ca="1">IF(AE42&gt;0,0,IF(AI42*参数输入表!$I$377&lt;0,0,MIN(AI42*参数输入表!$I$377-SUM(AI48:AI53),-AE42-AF44-AG45-AH46)))</f>
        <v>0</v>
      </c>
      <c r="AJ47" s="177">
        <f ca="1">IF(AF42&gt;0,0,IF(AJ42*参数输入表!$I$377&lt;0,0,MIN(AJ42*参数输入表!$I$377-SUM(AJ48:AJ53),-AF42-AG44-AH45-AI46)))</f>
        <v>0</v>
      </c>
      <c r="AK47" s="177">
        <f ca="1">IF(AG42&gt;0,0,IF(AK42*参数输入表!$I$377&lt;0,0,MIN(AK42*参数输入表!$I$377-SUM(AK48:AK53),-AG42-AH44-AI45-AJ46)))</f>
        <v>0</v>
      </c>
      <c r="AL47" s="177">
        <f ca="1">IF(AH42&gt;0,0,IF(AL42*参数输入表!$I$377&lt;0,0,MIN(AL42*参数输入表!$I$377-SUM(AL48:AL53),-AH42-AI44-AJ45-AK46)))</f>
        <v>0</v>
      </c>
      <c r="AM47" s="177">
        <f ca="1">IF(AI42&gt;0,0,IF(AM42*参数输入表!$I$377&lt;0,0,MIN(AM42*参数输入表!$I$377-SUM(AM48:AM53),-AI42-AJ44-AK45-AL46)))</f>
        <v>0</v>
      </c>
      <c r="AN47" s="177">
        <f ca="1">IF(AJ42&gt;0,0,IF(AN42*参数输入表!$I$377&lt;0,0,MIN(AN42*参数输入表!$I$377-SUM(AN48:AN53),-AJ42-AK44-AL45-AM46)))</f>
        <v>0</v>
      </c>
      <c r="AO47" s="177">
        <f ca="1">IF(AK42&gt;0,0,IF(AO42*参数输入表!$I$377&lt;0,0,MIN(AO42*参数输入表!$I$377-SUM(AO48:AO53),-AK42-AL44-AM45-AN46)))</f>
        <v>0</v>
      </c>
      <c r="AP47" s="177">
        <f ca="1">IF(AL42&gt;0,0,IF(AP42*参数输入表!$I$377&lt;0,0,MIN(AP42*参数输入表!$I$377-SUM(AP48:AP53),-AL42-AM44-AN45-AO46)))</f>
        <v>0</v>
      </c>
      <c r="AQ47" s="177">
        <f ca="1">IF(AM42&gt;0,0,IF(AQ42*参数输入表!$I$377&lt;0,0,MIN(AQ42*参数输入表!$I$377-SUM(AQ48:AQ53),-AM42-AN44-AO45-AP46)))</f>
        <v>0</v>
      </c>
      <c r="AR47" s="177">
        <f ca="1">IF(AN42&gt;0,0,IF(AR42*参数输入表!$I$377&lt;0,0,MIN(AR42*参数输入表!$I$377-SUM(AR48:AR53),-AN42-AO44-AP45-AQ46)))</f>
        <v>0</v>
      </c>
      <c r="AS47" s="177">
        <f ca="1">IF(AO42&gt;0,0,IF(AS42*参数输入表!$I$377&lt;0,0,MIN(AS42*参数输入表!$I$377-SUM(AS48:AS53),-AO42-AP44-AQ45-AR46)))</f>
        <v>0</v>
      </c>
      <c r="AT47" s="177">
        <f ca="1">IF(AP42&gt;0,0,IF(AT42*参数输入表!$I$377&lt;0,0,MIN(AT42*参数输入表!$I$377-SUM(AT48:AT53),-AP42-AQ44-AR45-AS46)))</f>
        <v>0</v>
      </c>
      <c r="AU47" s="177">
        <f ca="1">IF(AQ42&gt;0,0,IF(AU42*参数输入表!$I$377&lt;0,0,MIN(AU42*参数输入表!$I$377-SUM(AU48:AU53),-AQ42-AR44-AS45-AT46)))</f>
        <v>0</v>
      </c>
      <c r="AV47" s="177">
        <f ca="1">IF(AR42&gt;0,0,IF(AV42*参数输入表!$I$377&lt;0,0,MIN(AV42*参数输入表!$I$377-SUM(AV48:AV53),-AR42-AS44-AT45-AU46)))</f>
        <v>0</v>
      </c>
      <c r="AW47" s="177">
        <f ca="1">IF(AS42&gt;0,0,IF(AW42*参数输入表!$I$377&lt;0,0,MIN(AW42*参数输入表!$I$377-SUM(AW48:AW53),-AS42-AT44-AU45-AV46)))</f>
        <v>0</v>
      </c>
      <c r="AX47" s="177">
        <f ca="1">IF(AT42&gt;0,0,IF(AX42*参数输入表!$I$377&lt;0,0,MIN(AX42*参数输入表!$I$377-SUM(AX48:AX53),-AT42-AU44-AV45-AW46)))</f>
        <v>0</v>
      </c>
      <c r="AY47" s="177">
        <f ca="1">IF(AU42&gt;0,0,IF(AY42*参数输入表!$I$377&lt;0,0,MIN(AY42*参数输入表!$I$377-SUM(AY48:AY53),-AU42-AV44-AW45-AX46)))</f>
        <v>0</v>
      </c>
      <c r="AZ47" s="177">
        <f ca="1">IF(AV42&gt;0,0,IF(AZ42*参数输入表!$I$377&lt;0,0,MIN(AZ42*参数输入表!$I$377-SUM(AZ48:AZ53),-AV42-AW44-AX45-AY46)))</f>
        <v>0</v>
      </c>
      <c r="BA47" s="177">
        <f ca="1">IF(AW42&gt;0,0,IF(BA42*参数输入表!$I$377&lt;0,0,MIN(BA42*参数输入表!$I$377-SUM(BA48:BA53),-AW42-AX44-AY45-AZ46)))</f>
        <v>0</v>
      </c>
    </row>
    <row r="48" s="139" customFormat="1" spans="2:53">
      <c r="B48" s="27"/>
      <c r="C48" s="148" t="s">
        <v>876</v>
      </c>
      <c r="D48" s="30"/>
      <c r="E48" s="29" t="s">
        <v>130</v>
      </c>
      <c r="F48" s="30"/>
      <c r="G48" s="30"/>
      <c r="H48" s="30"/>
      <c r="I48" s="30"/>
      <c r="J48" s="30"/>
      <c r="K48" s="30"/>
      <c r="L48" s="30"/>
      <c r="M48" s="30"/>
      <c r="N48" s="30"/>
      <c r="O48" s="30"/>
      <c r="P48" s="30"/>
      <c r="Q48" s="177">
        <f ca="1">IF(L42&gt;0,0,IF(Q42*参数输入表!$I$377&lt;0,0,MIN(Q42*参数输入表!$I$377-SUM(Q49:Q53),-L42-M44-N45-O46-P47)))</f>
        <v>0</v>
      </c>
      <c r="R48" s="177">
        <f ca="1">IF(M42&gt;0,0,IF(R42*参数输入表!$I$377&lt;0,0,MIN(R42*参数输入表!$I$377-SUM(R49:R53),-M42-N44-O45-P46-Q47)))</f>
        <v>0</v>
      </c>
      <c r="S48" s="177">
        <f ca="1">IF(N42&gt;0,0,IF(S42*参数输入表!$I$377&lt;0,0,MIN(S42*参数输入表!$I$377-SUM(S49:S53),-N42-O44-P45-Q46-R47)))</f>
        <v>0</v>
      </c>
      <c r="T48" s="177">
        <f ca="1">IF(O42&gt;0,0,IF(T42*参数输入表!$I$377&lt;0,0,MIN(T42*参数输入表!$I$377-SUM(T49:T53),-O42-P44-Q45-R46-S47)))</f>
        <v>0</v>
      </c>
      <c r="U48" s="177">
        <f ca="1">IF(P42&gt;0,0,IF(U42*参数输入表!$I$377&lt;0,0,MIN(U42*参数输入表!$I$377-SUM(U49:U53),-P42-Q44-R45-S46-T47)))</f>
        <v>0</v>
      </c>
      <c r="V48" s="177">
        <f ca="1">IF(Q42&gt;0,0,IF(V42*参数输入表!$I$377&lt;0,0,MIN(V42*参数输入表!$I$377-SUM(V49:V53),-Q42-R44-S45-T46-U47)))</f>
        <v>0</v>
      </c>
      <c r="W48" s="177">
        <f ca="1">IF(R42&gt;0,0,IF(W42*参数输入表!$I$377&lt;0,0,MIN(W42*参数输入表!$I$377-SUM(W49:W53),-R42-S44-T45-U46-V47)))</f>
        <v>0</v>
      </c>
      <c r="X48" s="177">
        <f ca="1">IF(S42&gt;0,0,IF(X42*参数输入表!$I$377&lt;0,0,MIN(X42*参数输入表!$I$377-SUM(X49:X53),-S42-T44-U45-V46-W47)))</f>
        <v>0</v>
      </c>
      <c r="Y48" s="177">
        <f ca="1">IF(T42&gt;0,0,IF(Y42*参数输入表!$I$377&lt;0,0,MIN(Y42*参数输入表!$I$377-SUM(Y49:Y53),-T42-U44-V45-W46-X47)))</f>
        <v>0</v>
      </c>
      <c r="Z48" s="177">
        <f ca="1">IF(U42&gt;0,0,IF(Z42*参数输入表!$I$377&lt;0,0,MIN(Z42*参数输入表!$I$377-SUM(Z49:Z53),-U42-V44-W45-X46-Y47)))</f>
        <v>0</v>
      </c>
      <c r="AA48" s="177">
        <f ca="1">IF(V42&gt;0,0,IF(AA42*参数输入表!$I$377&lt;0,0,MIN(AA42*参数输入表!$I$377-SUM(AA49:AA53),-V42-W44-X45-Y46-Z47)))</f>
        <v>0</v>
      </c>
      <c r="AB48" s="177">
        <f ca="1">IF(W42&gt;0,0,IF(AB42*参数输入表!$I$377&lt;0,0,MIN(AB42*参数输入表!$I$377-SUM(AB49:AB53),-W42-X44-Y45-Z46-AA47)))</f>
        <v>0</v>
      </c>
      <c r="AC48" s="177">
        <f ca="1">IF(X42&gt;0,0,IF(AC42*参数输入表!$I$377&lt;0,0,MIN(AC42*参数输入表!$I$377-SUM(AC49:AC53),-X42-Y44-Z45-AA46-AB47)))</f>
        <v>0</v>
      </c>
      <c r="AD48" s="177">
        <f ca="1">IF(Y42&gt;0,0,IF(AD42*参数输入表!$I$377&lt;0,0,MIN(AD42*参数输入表!$I$377-SUM(AD49:AD53),-Y42-Z44-AA45-AB46-AC47)))</f>
        <v>0</v>
      </c>
      <c r="AE48" s="177">
        <f ca="1">IF(Z42&gt;0,0,IF(AE42*参数输入表!$I$377&lt;0,0,MIN(AE42*参数输入表!$I$377-SUM(AE49:AE53),-Z42-AA44-AB45-AC46-AD47)))</f>
        <v>0</v>
      </c>
      <c r="AF48" s="177">
        <f ca="1">IF(AA42&gt;0,0,IF(AF42*参数输入表!$I$377&lt;0,0,MIN(AF42*参数输入表!$I$377-SUM(AF49:AF53),-AA42-AB44-AC45-AD46-AE47)))</f>
        <v>0</v>
      </c>
      <c r="AG48" s="177">
        <f ca="1">IF(AB42&gt;0,0,IF(AG42*参数输入表!$I$377&lt;0,0,MIN(AG42*参数输入表!$I$377-SUM(AG49:AG53),-AB42-AC44-AD45-AE46-AF47)))</f>
        <v>0</v>
      </c>
      <c r="AH48" s="177">
        <f ca="1">IF(AC42&gt;0,0,IF(AH42*参数输入表!$I$377&lt;0,0,MIN(AH42*参数输入表!$I$377-SUM(AH49:AH53),-AC42-AD44-AE45-AF46-AG47)))</f>
        <v>0</v>
      </c>
      <c r="AI48" s="177">
        <f ca="1">IF(AD42&gt;0,0,IF(AI42*参数输入表!$I$377&lt;0,0,MIN(AI42*参数输入表!$I$377-SUM(AI49:AI53),-AD42-AE44-AF45-AG46-AH47)))</f>
        <v>0</v>
      </c>
      <c r="AJ48" s="177">
        <f ca="1">IF(AE42&gt;0,0,IF(AJ42*参数输入表!$I$377&lt;0,0,MIN(AJ42*参数输入表!$I$377-SUM(AJ49:AJ53),-AE42-AF44-AG45-AH46-AI47)))</f>
        <v>0</v>
      </c>
      <c r="AK48" s="177">
        <f ca="1">IF(AF42&gt;0,0,IF(AK42*参数输入表!$I$377&lt;0,0,MIN(AK42*参数输入表!$I$377-SUM(AK49:AK53),-AF42-AG44-AH45-AI46-AJ47)))</f>
        <v>0</v>
      </c>
      <c r="AL48" s="177">
        <f ca="1">IF(AG42&gt;0,0,IF(AL42*参数输入表!$I$377&lt;0,0,MIN(AL42*参数输入表!$I$377-SUM(AL49:AL53),-AG42-AH44-AI45-AJ46-AK47)))</f>
        <v>0</v>
      </c>
      <c r="AM48" s="177">
        <f ca="1">IF(AH42&gt;0,0,IF(AM42*参数输入表!$I$377&lt;0,0,MIN(AM42*参数输入表!$I$377-SUM(AM49:AM53),-AH42-AI44-AJ45-AK46-AL47)))</f>
        <v>0</v>
      </c>
      <c r="AN48" s="177">
        <f ca="1">IF(AI42&gt;0,0,IF(AN42*参数输入表!$I$377&lt;0,0,MIN(AN42*参数输入表!$I$377-SUM(AN49:AN53),-AI42-AJ44-AK45-AL46-AM47)))</f>
        <v>0</v>
      </c>
      <c r="AO48" s="177">
        <f ca="1">IF(AJ42&gt;0,0,IF(AO42*参数输入表!$I$377&lt;0,0,MIN(AO42*参数输入表!$I$377-SUM(AO49:AO53),-AJ42-AK44-AL45-AM46-AN47)))</f>
        <v>0</v>
      </c>
      <c r="AP48" s="177">
        <f ca="1">IF(AK42&gt;0,0,IF(AP42*参数输入表!$I$377&lt;0,0,MIN(AP42*参数输入表!$I$377-SUM(AP49:AP53),-AK42-AL44-AM45-AN46-AO47)))</f>
        <v>0</v>
      </c>
      <c r="AQ48" s="177">
        <f ca="1">IF(AL42&gt;0,0,IF(AQ42*参数输入表!$I$377&lt;0,0,MIN(AQ42*参数输入表!$I$377-SUM(AQ49:AQ53),-AL42-AM44-AN45-AO46-AP47)))</f>
        <v>0</v>
      </c>
      <c r="AR48" s="177">
        <f ca="1">IF(AM42&gt;0,0,IF(AR42*参数输入表!$I$377&lt;0,0,MIN(AR42*参数输入表!$I$377-SUM(AR49:AR53),-AM42-AN44-AO45-AP46-AQ47)))</f>
        <v>0</v>
      </c>
      <c r="AS48" s="177">
        <f ca="1">IF(AN42&gt;0,0,IF(AS42*参数输入表!$I$377&lt;0,0,MIN(AS42*参数输入表!$I$377-SUM(AS49:AS53),-AN42-AO44-AP45-AQ46-AR47)))</f>
        <v>0</v>
      </c>
      <c r="AT48" s="177">
        <f ca="1">IF(AO42&gt;0,0,IF(AT42*参数输入表!$I$377&lt;0,0,MIN(AT42*参数输入表!$I$377-SUM(AT49:AT53),-AO42-AP44-AQ45-AR46-AS47)))</f>
        <v>0</v>
      </c>
      <c r="AU48" s="177">
        <f ca="1">IF(AP42&gt;0,0,IF(AU42*参数输入表!$I$377&lt;0,0,MIN(AU42*参数输入表!$I$377-SUM(AU49:AU53),-AP42-AQ44-AR45-AS46-AT47)))</f>
        <v>0</v>
      </c>
      <c r="AV48" s="177">
        <f ca="1">IF(AQ42&gt;0,0,IF(AV42*参数输入表!$I$377&lt;0,0,MIN(AV42*参数输入表!$I$377-SUM(AV49:AV53),-AQ42-AR44-AS45-AT46-AU47)))</f>
        <v>0</v>
      </c>
      <c r="AW48" s="177">
        <f ca="1">IF(AR42&gt;0,0,IF(AW42*参数输入表!$I$377&lt;0,0,MIN(AW42*参数输入表!$I$377-SUM(AW49:AW53),-AR42-AS44-AT45-AU46-AV47)))</f>
        <v>0</v>
      </c>
      <c r="AX48" s="177">
        <f ca="1">IF(AS42&gt;0,0,IF(AX42*参数输入表!$I$377&lt;0,0,MIN(AX42*参数输入表!$I$377-SUM(AX49:AX53),-AS42-AT44-AU45-AV46-AW47)))</f>
        <v>0</v>
      </c>
      <c r="AY48" s="177">
        <f ca="1">IF(AT42&gt;0,0,IF(AY42*参数输入表!$I$377&lt;0,0,MIN(AY42*参数输入表!$I$377-SUM(AY49:AY53),-AT42-AU44-AV45-AW46-AX47)))</f>
        <v>0</v>
      </c>
      <c r="AZ48" s="177">
        <f ca="1">IF(AU42&gt;0,0,IF(AZ42*参数输入表!$I$377&lt;0,0,MIN(AZ42*参数输入表!$I$377-SUM(AZ49:AZ53),-AU42-AV44-AW45-AX46-AY47)))</f>
        <v>0</v>
      </c>
      <c r="BA48" s="177">
        <f ca="1">IF(AV42&gt;0,0,IF(BA42*参数输入表!$I$377&lt;0,0,MIN(BA42*参数输入表!$I$377-SUM(BA49:BA53),-AV42-AW44-AX45-AY46-AZ47)))</f>
        <v>0</v>
      </c>
    </row>
    <row r="49" s="139" customFormat="1" spans="2:53">
      <c r="B49" s="27"/>
      <c r="C49" s="148" t="s">
        <v>877</v>
      </c>
      <c r="D49" s="30"/>
      <c r="E49" s="29" t="s">
        <v>130</v>
      </c>
      <c r="F49" s="30"/>
      <c r="G49" s="30"/>
      <c r="H49" s="30"/>
      <c r="I49" s="30"/>
      <c r="J49" s="30"/>
      <c r="K49" s="30"/>
      <c r="L49" s="30"/>
      <c r="M49" s="30"/>
      <c r="N49" s="30"/>
      <c r="O49" s="30"/>
      <c r="P49" s="30"/>
      <c r="Q49" s="30"/>
      <c r="R49" s="79">
        <f ca="1">IF(L42&gt;0,0,IF(R42*参数输入表!$I$377&lt;0,0,MIN(R42*参数输入表!$I$377-SUM(R50:R53),-L42-M44-N45-O46-P47-Q48)))</f>
        <v>0</v>
      </c>
      <c r="S49" s="79">
        <f ca="1">IF(M42&gt;0,0,IF(S42*参数输入表!$I$377&lt;0,0,MIN(S42*参数输入表!$I$377-SUM(S50:S53),-M42-N44-O45-P46-Q47-R48)))</f>
        <v>0</v>
      </c>
      <c r="T49" s="79">
        <f ca="1">IF(N42&gt;0,0,IF(T42*参数输入表!$I$377&lt;0,0,MIN(T42*参数输入表!$I$377-SUM(T50:T53),-N42-O44-P45-Q46-R47-S48)))</f>
        <v>0</v>
      </c>
      <c r="U49" s="79">
        <f ca="1">IF(O42&gt;0,0,IF(U42*参数输入表!$I$377&lt;0,0,MIN(U42*参数输入表!$I$377-SUM(U50:U53),-O42-P44-Q45-R46-S47-T48)))</f>
        <v>0</v>
      </c>
      <c r="V49" s="79">
        <f ca="1">IF(P42&gt;0,0,IF(V42*参数输入表!$I$377&lt;0,0,MIN(V42*参数输入表!$I$377-SUM(V50:V53),-P42-Q44-R45-S46-T47-U48)))</f>
        <v>0</v>
      </c>
      <c r="W49" s="79">
        <f ca="1">IF(Q42&gt;0,0,IF(W42*参数输入表!$I$377&lt;0,0,MIN(W42*参数输入表!$I$377-SUM(W50:W53),-Q42-R44-S45-T46-U47-V48)))</f>
        <v>0</v>
      </c>
      <c r="X49" s="79">
        <f ca="1">IF(R42&gt;0,0,IF(X42*参数输入表!$I$377&lt;0,0,MIN(X42*参数输入表!$I$377-SUM(X50:X53),-R42-S44-T45-U46-V47-W48)))</f>
        <v>0</v>
      </c>
      <c r="Y49" s="79">
        <f ca="1">IF(S42&gt;0,0,IF(Y42*参数输入表!$I$377&lt;0,0,MIN(Y42*参数输入表!$I$377-SUM(Y50:Y53),-S42-T44-U45-V46-W47-X48)))</f>
        <v>0</v>
      </c>
      <c r="Z49" s="79">
        <f ca="1">IF(T42&gt;0,0,IF(Z42*参数输入表!$I$377&lt;0,0,MIN(Z42*参数输入表!$I$377-SUM(Z50:Z53),-T42-U44-V45-W46-X47-Y48)))</f>
        <v>0</v>
      </c>
      <c r="AA49" s="79">
        <f ca="1">IF(U42&gt;0,0,IF(AA42*参数输入表!$I$377&lt;0,0,MIN(AA42*参数输入表!$I$377-SUM(AA50:AA53),-U42-V44-W45-X46-Y47-Z48)))</f>
        <v>0</v>
      </c>
      <c r="AB49" s="79">
        <f ca="1">IF(V42&gt;0,0,IF(AB42*参数输入表!$I$377&lt;0,0,MIN(AB42*参数输入表!$I$377-SUM(AB50:AB53),-V42-W44-X45-Y46-Z47-AA48)))</f>
        <v>0</v>
      </c>
      <c r="AC49" s="79">
        <f ca="1">IF(W42&gt;0,0,IF(AC42*参数输入表!$I$377&lt;0,0,MIN(AC42*参数输入表!$I$377-SUM(AC50:AC53),-W42-X44-Y45-Z46-AA47-AB48)))</f>
        <v>0</v>
      </c>
      <c r="AD49" s="79">
        <f ca="1">IF(X42&gt;0,0,IF(AD42*参数输入表!$I$377&lt;0,0,MIN(AD42*参数输入表!$I$377-SUM(AD50:AD53),-X42-Y44-Z45-AA46-AB47-AC48)))</f>
        <v>0</v>
      </c>
      <c r="AE49" s="79">
        <f ca="1">IF(Y42&gt;0,0,IF(AE42*参数输入表!$I$377&lt;0,0,MIN(AE42*参数输入表!$I$377-SUM(AE50:AE53),-Y42-Z44-AA45-AB46-AC47-AD48)))</f>
        <v>0</v>
      </c>
      <c r="AF49" s="79">
        <f ca="1">IF(Z42&gt;0,0,IF(AF42*参数输入表!$I$377&lt;0,0,MIN(AF42*参数输入表!$I$377-SUM(AF50:AF53),-Z42-AA44-AB45-AC46-AD47-AE48)))</f>
        <v>0</v>
      </c>
      <c r="AG49" s="79">
        <f ca="1">IF(AA42&gt;0,0,IF(AG42*参数输入表!$I$377&lt;0,0,MIN(AG42*参数输入表!$I$377-SUM(AG50:AG53),-AA42-AB44-AC45-AD46-AE47-AF48)))</f>
        <v>0</v>
      </c>
      <c r="AH49" s="79">
        <f ca="1">IF(AB42&gt;0,0,IF(AH42*参数输入表!$I$377&lt;0,0,MIN(AH42*参数输入表!$I$377-SUM(AH50:AH53),-AB42-AC44-AD45-AE46-AF47-AG48)))</f>
        <v>0</v>
      </c>
      <c r="AI49" s="79">
        <f ca="1">IF(AC42&gt;0,0,IF(AI42*参数输入表!$I$377&lt;0,0,MIN(AI42*参数输入表!$I$377-SUM(AI50:AI53),-AC42-AD44-AE45-AF46-AG47-AH48)))</f>
        <v>0</v>
      </c>
      <c r="AJ49" s="79">
        <f ca="1">IF(AD42&gt;0,0,IF(AJ42*参数输入表!$I$377&lt;0,0,MIN(AJ42*参数输入表!$I$377-SUM(AJ50:AJ53),-AD42-AE44-AF45-AG46-AH47-AI48)))</f>
        <v>0</v>
      </c>
      <c r="AK49" s="79">
        <f ca="1">IF(AE42&gt;0,0,IF(AK42*参数输入表!$I$377&lt;0,0,MIN(AK42*参数输入表!$I$377-SUM(AK50:AK53),-AE42-AF44-AG45-AH46-AI47-AJ48)))</f>
        <v>0</v>
      </c>
      <c r="AL49" s="79">
        <f ca="1">IF(AF42&gt;0,0,IF(AL42*参数输入表!$I$377&lt;0,0,MIN(AL42*参数输入表!$I$377-SUM(AL50:AL53),-AF42-AG44-AH45-AI46-AJ47-AK48)))</f>
        <v>0</v>
      </c>
      <c r="AM49" s="79">
        <f ca="1">IF(AG42&gt;0,0,IF(AM42*参数输入表!$I$377&lt;0,0,MIN(AM42*参数输入表!$I$377-SUM(AM50:AM53),-AG42-AH44-AI45-AJ46-AK47-AL48)))</f>
        <v>0</v>
      </c>
      <c r="AN49" s="79">
        <f ca="1">IF(AH42&gt;0,0,IF(AN42*参数输入表!$I$377&lt;0,0,MIN(AN42*参数输入表!$I$377-SUM(AN50:AN53),-AH42-AI44-AJ45-AK46-AL47-AM48)))</f>
        <v>0</v>
      </c>
      <c r="AO49" s="79">
        <f ca="1">IF(AI42&gt;0,0,IF(AO42*参数输入表!$I$377&lt;0,0,MIN(AO42*参数输入表!$I$377-SUM(AO50:AO53),-AI42-AJ44-AK45-AL46-AM47-AN48)))</f>
        <v>0</v>
      </c>
      <c r="AP49" s="79">
        <f ca="1">IF(AJ42&gt;0,0,IF(AP42*参数输入表!$I$377&lt;0,0,MIN(AP42*参数输入表!$I$377-SUM(AP50:AP53),-AJ42-AK44-AL45-AM46-AN47-AO48)))</f>
        <v>0</v>
      </c>
      <c r="AQ49" s="79">
        <f ca="1">IF(AK42&gt;0,0,IF(AQ42*参数输入表!$I$377&lt;0,0,MIN(AQ42*参数输入表!$I$377-SUM(AQ50:AQ53),-AK42-AL44-AM45-AN46-AO47-AP48)))</f>
        <v>0</v>
      </c>
      <c r="AR49" s="79">
        <f ca="1">IF(AL42&gt;0,0,IF(AR42*参数输入表!$I$377&lt;0,0,MIN(AR42*参数输入表!$I$377-SUM(AR50:AR53),-AL42-AM44-AN45-AO46-AP47-AQ48)))</f>
        <v>0</v>
      </c>
      <c r="AS49" s="79">
        <f ca="1">IF(AM42&gt;0,0,IF(AS42*参数输入表!$I$377&lt;0,0,MIN(AS42*参数输入表!$I$377-SUM(AS50:AS53),-AM42-AN44-AO45-AP46-AQ47-AR48)))</f>
        <v>0</v>
      </c>
      <c r="AT49" s="79">
        <f ca="1">IF(AN42&gt;0,0,IF(AT42*参数输入表!$I$377&lt;0,0,MIN(AT42*参数输入表!$I$377-SUM(AT50:AT53),-AN42-AO44-AP45-AQ46-AR47-AS48)))</f>
        <v>0</v>
      </c>
      <c r="AU49" s="79">
        <f ca="1">IF(AO42&gt;0,0,IF(AU42*参数输入表!$I$377&lt;0,0,MIN(AU42*参数输入表!$I$377-SUM(AU50:AU53),-AO42-AP44-AQ45-AR46-AS47-AT48)))</f>
        <v>0</v>
      </c>
      <c r="AV49" s="79">
        <f ca="1">IF(AP42&gt;0,0,IF(AV42*参数输入表!$I$377&lt;0,0,MIN(AV42*参数输入表!$I$377-SUM(AV50:AV53),-AP42-AQ44-AR45-AS46-AT47-AU48)))</f>
        <v>0</v>
      </c>
      <c r="AW49" s="79">
        <f ca="1">IF(AQ42&gt;0,0,IF(AW42*参数输入表!$I$377&lt;0,0,MIN(AW42*参数输入表!$I$377-SUM(AW50:AW53),-AQ42-AR44-AS45-AT46-AU47-AV48)))</f>
        <v>0</v>
      </c>
      <c r="AX49" s="79">
        <f ca="1">IF(AR42&gt;0,0,IF(AX42*参数输入表!$I$377&lt;0,0,MIN(AX42*参数输入表!$I$377-SUM(AX50:AX53),-AR42-AS44-AT45-AU46-AV47-AW48)))</f>
        <v>0</v>
      </c>
      <c r="AY49" s="79">
        <f ca="1">IF(AS42&gt;0,0,IF(AY42*参数输入表!$I$377&lt;0,0,MIN(AY42*参数输入表!$I$377-SUM(AY50:AY53),-AS42-AT44-AU45-AV46-AW47-AX48)))</f>
        <v>0</v>
      </c>
      <c r="AZ49" s="79">
        <f ca="1">IF(AT42&gt;0,0,IF(AZ42*参数输入表!$I$377&lt;0,0,MIN(AZ42*参数输入表!$I$377-SUM(AZ50:AZ53),-AT42-AU44-AV45-AW46-AX47-AY48)))</f>
        <v>0</v>
      </c>
      <c r="BA49" s="79">
        <f ca="1">IF(AU42&gt;0,0,IF(BA42*参数输入表!$I$377&lt;0,0,MIN(BA42*参数输入表!$I$377-SUM(BA50:BA53),-AU42-AV44-AW45-AX46-AY47-AZ48)))</f>
        <v>0</v>
      </c>
    </row>
    <row r="50" s="139" customFormat="1" spans="2:53">
      <c r="B50" s="27"/>
      <c r="C50" s="148" t="s">
        <v>878</v>
      </c>
      <c r="D50" s="30"/>
      <c r="E50" s="29" t="s">
        <v>130</v>
      </c>
      <c r="F50" s="30"/>
      <c r="G50" s="30"/>
      <c r="H50" s="30"/>
      <c r="I50" s="30"/>
      <c r="J50" s="30"/>
      <c r="K50" s="30"/>
      <c r="L50" s="30"/>
      <c r="M50" s="30"/>
      <c r="N50" s="30"/>
      <c r="O50" s="30"/>
      <c r="P50" s="30"/>
      <c r="Q50" s="30"/>
      <c r="R50" s="30"/>
      <c r="S50" s="79">
        <f ca="1">IF(L42&gt;0,0,IF(S42*参数输入表!$I$377&lt;0,0,MIN(S42*参数输入表!$I$377-SUM(S51:S53),-L42-M44-N45-O46-P47-Q48-R49)))</f>
        <v>0</v>
      </c>
      <c r="T50" s="79">
        <f ca="1">IF(M42&gt;0,0,IF(T42*参数输入表!$I$377&lt;0,0,MIN(T42*参数输入表!$I$377-SUM(T51:T53),-M42-N44-O45-P46-Q47-R48-S49)))</f>
        <v>0</v>
      </c>
      <c r="U50" s="79">
        <f ca="1">IF(N42&gt;0,0,IF(U42*参数输入表!$I$377&lt;0,0,MIN(U42*参数输入表!$I$377-SUM(U51:U53),-N42-O44-P45-Q46-R47-S48-T49)))</f>
        <v>0</v>
      </c>
      <c r="V50" s="79">
        <f ca="1">IF(O42&gt;0,0,IF(V42*参数输入表!$I$377&lt;0,0,MIN(V42*参数输入表!$I$377-SUM(V51:V53),-O42-P44-Q45-R46-S47-T48-U49)))</f>
        <v>0</v>
      </c>
      <c r="W50" s="79">
        <f ca="1">IF(P42&gt;0,0,IF(W42*参数输入表!$I$377&lt;0,0,MIN(W42*参数输入表!$I$377-SUM(W51:W53),-P42-Q44-R45-S46-T47-U48-V49)))</f>
        <v>0</v>
      </c>
      <c r="X50" s="79">
        <f ca="1">IF(Q42&gt;0,0,IF(X42*参数输入表!$I$377&lt;0,0,MIN(X42*参数输入表!$I$377-SUM(X51:X53),-Q42-R44-S45-T46-U47-V48-W49)))</f>
        <v>0</v>
      </c>
      <c r="Y50" s="79">
        <f ca="1">IF(R42&gt;0,0,IF(Y42*参数输入表!$I$377&lt;0,0,MIN(Y42*参数输入表!$I$377-SUM(Y51:Y53),-R42-S44-T45-U46-V47-W48-X49)))</f>
        <v>0</v>
      </c>
      <c r="Z50" s="79">
        <f ca="1">IF(S42&gt;0,0,IF(Z42*参数输入表!$I$377&lt;0,0,MIN(Z42*参数输入表!$I$377-SUM(Z51:Z53),-S42-T44-U45-V46-W47-X48-Y49)))</f>
        <v>0</v>
      </c>
      <c r="AA50" s="79">
        <f ca="1">IF(T42&gt;0,0,IF(AA42*参数输入表!$I$377&lt;0,0,MIN(AA42*参数输入表!$I$377-SUM(AA51:AA53),-T42-U44-V45-W46-X47-Y48-Z49)))</f>
        <v>0</v>
      </c>
      <c r="AB50" s="79">
        <f ca="1">IF(U42&gt;0,0,IF(AB42*参数输入表!$I$377&lt;0,0,MIN(AB42*参数输入表!$I$377-SUM(AB51:AB53),-U42-V44-W45-X46-Y47-Z48-AA49)))</f>
        <v>0</v>
      </c>
      <c r="AC50" s="79">
        <f ca="1">IF(V42&gt;0,0,IF(AC42*参数输入表!$I$377&lt;0,0,MIN(AC42*参数输入表!$I$377-SUM(AC51:AC53),-V42-W44-X45-Y46-Z47-AA48-AB49)))</f>
        <v>0</v>
      </c>
      <c r="AD50" s="79">
        <f ca="1">IF(W42&gt;0,0,IF(AD42*参数输入表!$I$377&lt;0,0,MIN(AD42*参数输入表!$I$377-SUM(AD51:AD53),-W42-X44-Y45-Z46-AA47-AB48-AC49)))</f>
        <v>0</v>
      </c>
      <c r="AE50" s="79">
        <f ca="1">IF(X42&gt;0,0,IF(AE42*参数输入表!$I$377&lt;0,0,MIN(AE42*参数输入表!$I$377-SUM(AE51:AE53),-X42-Y44-Z45-AA46-AB47-AC48-AD49)))</f>
        <v>0</v>
      </c>
      <c r="AF50" s="79">
        <f ca="1">IF(Y42&gt;0,0,IF(AF42*参数输入表!$I$377&lt;0,0,MIN(AF42*参数输入表!$I$377-SUM(AF51:AF53),-Y42-Z44-AA45-AB46-AC47-AD48-AE49)))</f>
        <v>0</v>
      </c>
      <c r="AG50" s="79">
        <f ca="1">IF(Z42&gt;0,0,IF(AG42*参数输入表!$I$377&lt;0,0,MIN(AG42*参数输入表!$I$377-SUM(AG51:AG53),-Z42-AA44-AB45-AC46-AD47-AE48-AF49)))</f>
        <v>0</v>
      </c>
      <c r="AH50" s="79">
        <f ca="1">IF(AA42&gt;0,0,IF(AH42*参数输入表!$I$377&lt;0,0,MIN(AH42*参数输入表!$I$377-SUM(AH51:AH53),-AA42-AB44-AC45-AD46-AE47-AF48-AG49)))</f>
        <v>0</v>
      </c>
      <c r="AI50" s="79">
        <f ca="1">IF(AB42&gt;0,0,IF(AI42*参数输入表!$I$377&lt;0,0,MIN(AI42*参数输入表!$I$377-SUM(AI51:AI53),-AB42-AC44-AD45-AE46-AF47-AG48-AH49)))</f>
        <v>0</v>
      </c>
      <c r="AJ50" s="79">
        <f ca="1">IF(AC42&gt;0,0,IF(AJ42*参数输入表!$I$377&lt;0,0,MIN(AJ42*参数输入表!$I$377-SUM(AJ51:AJ53),-AC42-AD44-AE45-AF46-AG47-AH48-AI49)))</f>
        <v>0</v>
      </c>
      <c r="AK50" s="79">
        <f ca="1">IF(AD42&gt;0,0,IF(AK42*参数输入表!$I$377&lt;0,0,MIN(AK42*参数输入表!$I$377-SUM(AK51:AK53),-AD42-AE44-AF45-AG46-AH47-AI48-AJ49)))</f>
        <v>0</v>
      </c>
      <c r="AL50" s="79">
        <f ca="1">IF(AE42&gt;0,0,IF(AL42*参数输入表!$I$377&lt;0,0,MIN(AL42*参数输入表!$I$377-SUM(AL51:AL53),-AE42-AF44-AG45-AH46-AI47-AJ48-AK49)))</f>
        <v>0</v>
      </c>
      <c r="AM50" s="79">
        <f ca="1">IF(AF42&gt;0,0,IF(AM42*参数输入表!$I$377&lt;0,0,MIN(AM42*参数输入表!$I$377-SUM(AM51:AM53),-AF42-AG44-AH45-AI46-AJ47-AK48-AL49)))</f>
        <v>0</v>
      </c>
      <c r="AN50" s="79">
        <f ca="1">IF(AG42&gt;0,0,IF(AN42*参数输入表!$I$377&lt;0,0,MIN(AN42*参数输入表!$I$377-SUM(AN51:AN53),-AG42-AH44-AI45-AJ46-AK47-AL48-AM49)))</f>
        <v>0</v>
      </c>
      <c r="AO50" s="79">
        <f ca="1">IF(AH42&gt;0,0,IF(AO42*参数输入表!$I$377&lt;0,0,MIN(AO42*参数输入表!$I$377-SUM(AO51:AO53),-AH42-AI44-AJ45-AK46-AL47-AM48-AN49)))</f>
        <v>0</v>
      </c>
      <c r="AP50" s="79">
        <f ca="1">IF(AI42&gt;0,0,IF(AP42*参数输入表!$I$377&lt;0,0,MIN(AP42*参数输入表!$I$377-SUM(AP51:AP53),-AI42-AJ44-AK45-AL46-AM47-AN48-AO49)))</f>
        <v>0</v>
      </c>
      <c r="AQ50" s="79">
        <f ca="1">IF(AJ42&gt;0,0,IF(AQ42*参数输入表!$I$377&lt;0,0,MIN(AQ42*参数输入表!$I$377-SUM(AQ51:AQ53),-AJ42-AK44-AL45-AM46-AN47-AO48-AP49)))</f>
        <v>0</v>
      </c>
      <c r="AR50" s="79">
        <f ca="1">IF(AK42&gt;0,0,IF(AR42*参数输入表!$I$377&lt;0,0,MIN(AR42*参数输入表!$I$377-SUM(AR51:AR53),-AK42-AL44-AM45-AN46-AO47-AP48-AQ49)))</f>
        <v>0</v>
      </c>
      <c r="AS50" s="79">
        <f ca="1">IF(AL42&gt;0,0,IF(AS42*参数输入表!$I$377&lt;0,0,MIN(AS42*参数输入表!$I$377-SUM(AS51:AS53),-AL42-AM44-AN45-AO46-AP47-AQ48-AR49)))</f>
        <v>0</v>
      </c>
      <c r="AT50" s="79">
        <f ca="1">IF(AM42&gt;0,0,IF(AT42*参数输入表!$I$377&lt;0,0,MIN(AT42*参数输入表!$I$377-SUM(AT51:AT53),-AM42-AN44-AO45-AP46-AQ47-AR48-AS49)))</f>
        <v>0</v>
      </c>
      <c r="AU50" s="79">
        <f ca="1">IF(AN42&gt;0,0,IF(AU42*参数输入表!$I$377&lt;0,0,MIN(AU42*参数输入表!$I$377-SUM(AU51:AU53),-AN42-AO44-AP45-AQ46-AR47-AS48-AT49)))</f>
        <v>0</v>
      </c>
      <c r="AV50" s="79">
        <f ca="1">IF(AO42&gt;0,0,IF(AV42*参数输入表!$I$377&lt;0,0,MIN(AV42*参数输入表!$I$377-SUM(AV51:AV53),-AO42-AP44-AQ45-AR46-AS47-AT48-AU49)))</f>
        <v>0</v>
      </c>
      <c r="AW50" s="79">
        <f ca="1">IF(AP42&gt;0,0,IF(AW42*参数输入表!$I$377&lt;0,0,MIN(AW42*参数输入表!$I$377-SUM(AW51:AW53),-AP42-AQ44-AR45-AS46-AT47-AU48-AV49)))</f>
        <v>0</v>
      </c>
      <c r="AX50" s="79">
        <f ca="1">IF(AQ42&gt;0,0,IF(AX42*参数输入表!$I$377&lt;0,0,MIN(AX42*参数输入表!$I$377-SUM(AX51:AX53),-AQ42-AR44-AS45-AT46-AU47-AV48-AW49)))</f>
        <v>0</v>
      </c>
      <c r="AY50" s="79">
        <f ca="1">IF(AR42&gt;0,0,IF(AY42*参数输入表!$I$377&lt;0,0,MIN(AY42*参数输入表!$I$377-SUM(AY51:AY53),-AR42-AS44-AT45-AU46-AV47-AW48-AX49)))</f>
        <v>0</v>
      </c>
      <c r="AZ50" s="79">
        <f ca="1">IF(AS42&gt;0,0,IF(AZ42*参数输入表!$I$377&lt;0,0,MIN(AZ42*参数输入表!$I$377-SUM(AZ51:AZ53),-AS42-AT44-AU45-AV46-AW47-AX48-AY49)))</f>
        <v>0</v>
      </c>
      <c r="BA50" s="79">
        <f ca="1">IF(AT42&gt;0,0,IF(BA42*参数输入表!$I$377&lt;0,0,MIN(BA42*参数输入表!$I$377-SUM(BA51:BA53),-AT42-AU44-AV45-AW46-AX47-AY48-AZ49)))</f>
        <v>0</v>
      </c>
    </row>
    <row r="51" s="139" customFormat="1" spans="2:53">
      <c r="B51" s="27"/>
      <c r="C51" s="148" t="s">
        <v>879</v>
      </c>
      <c r="D51" s="30"/>
      <c r="E51" s="29" t="s">
        <v>130</v>
      </c>
      <c r="F51" s="30"/>
      <c r="G51" s="30"/>
      <c r="H51" s="30"/>
      <c r="I51" s="30"/>
      <c r="J51" s="30"/>
      <c r="K51" s="30"/>
      <c r="L51" s="30"/>
      <c r="M51" s="30"/>
      <c r="N51" s="30"/>
      <c r="O51" s="30"/>
      <c r="P51" s="30"/>
      <c r="Q51" s="30"/>
      <c r="R51" s="30"/>
      <c r="S51" s="30"/>
      <c r="T51" s="79">
        <f ca="1">IF(L42&gt;0,0,IF(T42*参数输入表!$I$377&lt;0,0,MIN(T42*参数输入表!$I$377-SUM(T52:T53),-L42-M44-N45-O46-P47-Q48-R49-S50)))</f>
        <v>0</v>
      </c>
      <c r="U51" s="79">
        <f ca="1">IF(M42&gt;0,0,IF(U42*参数输入表!$I$377&lt;0,0,MIN(U42*参数输入表!$I$377-SUM(U52:U53),-M42-N44-O45-P46-Q47-R48-S49-T50)))</f>
        <v>0</v>
      </c>
      <c r="V51" s="79">
        <f ca="1">IF(N42&gt;0,0,IF(V42*参数输入表!$I$377&lt;0,0,MIN(V42*参数输入表!$I$377-SUM(V52:V53),-N42-O44-P45-Q46-R47-S48-T49-U50)))</f>
        <v>0</v>
      </c>
      <c r="W51" s="79">
        <f ca="1">IF(O42&gt;0,0,IF(W42*参数输入表!$I$377&lt;0,0,MIN(W42*参数输入表!$I$377-SUM(W52:W53),-O42-P44-Q45-R46-S47-T48-U49-V50)))</f>
        <v>0</v>
      </c>
      <c r="X51" s="79">
        <f ca="1">IF(P42&gt;0,0,IF(X42*参数输入表!$I$377&lt;0,0,MIN(X42*参数输入表!$I$377-SUM(X52:X53),-P42-Q44-R45-S46-T47-U48-V49-W50)))</f>
        <v>0</v>
      </c>
      <c r="Y51" s="79">
        <f ca="1">IF(Q42&gt;0,0,IF(Y42*参数输入表!$I$377&lt;0,0,MIN(Y42*参数输入表!$I$377-SUM(Y52:Y53),-Q42-R44-S45-T46-U47-V48-W49-X50)))</f>
        <v>0</v>
      </c>
      <c r="Z51" s="79">
        <f ca="1">IF(R42&gt;0,0,IF(Z42*参数输入表!$I$377&lt;0,0,MIN(Z42*参数输入表!$I$377-SUM(Z52:Z53),-R42-S44-T45-U46-V47-W48-X49-Y50)))</f>
        <v>0</v>
      </c>
      <c r="AA51" s="79">
        <f ca="1">IF(S42&gt;0,0,IF(AA42*参数输入表!$I$377&lt;0,0,MIN(AA42*参数输入表!$I$377-SUM(AA52:AA53),-S42-T44-U45-V46-W47-X48-Y49-Z50)))</f>
        <v>0</v>
      </c>
      <c r="AB51" s="79">
        <f ca="1">IF(T42&gt;0,0,IF(AB42*参数输入表!$I$377&lt;0,0,MIN(AB42*参数输入表!$I$377-SUM(AB52:AB53),-T42-U44-V45-W46-X47-Y48-Z49-AA50)))</f>
        <v>0</v>
      </c>
      <c r="AC51" s="79">
        <f ca="1">IF(U42&gt;0,0,IF(AC42*参数输入表!$I$377&lt;0,0,MIN(AC42*参数输入表!$I$377-SUM(AC52:AC53),-U42-V44-W45-X46-Y47-Z48-AA49-AB50)))</f>
        <v>0</v>
      </c>
      <c r="AD51" s="79">
        <f ca="1">IF(V42&gt;0,0,IF(AD42*参数输入表!$I$377&lt;0,0,MIN(AD42*参数输入表!$I$377-SUM(AD52:AD53),-V42-W44-X45-Y46-Z47-AA48-AB49-AC50)))</f>
        <v>0</v>
      </c>
      <c r="AE51" s="79">
        <f ca="1">IF(W42&gt;0,0,IF(AE42*参数输入表!$I$377&lt;0,0,MIN(AE42*参数输入表!$I$377-SUM(AE52:AE53),-W42-X44-Y45-Z46-AA47-AB48-AC49-AD50)))</f>
        <v>0</v>
      </c>
      <c r="AF51" s="79">
        <f ca="1">IF(X42&gt;0,0,IF(AF42*参数输入表!$I$377&lt;0,0,MIN(AF42*参数输入表!$I$377-SUM(AF52:AF53),-X42-Y44-Z45-AA46-AB47-AC48-AD49-AE50)))</f>
        <v>0</v>
      </c>
      <c r="AG51" s="79">
        <f ca="1">IF(Y42&gt;0,0,IF(AG42*参数输入表!$I$377&lt;0,0,MIN(AG42*参数输入表!$I$377-SUM(AG52:AG53),-Y42-Z44-AA45-AB46-AC47-AD48-AE49-AF50)))</f>
        <v>0</v>
      </c>
      <c r="AH51" s="79">
        <f ca="1">IF(Z42&gt;0,0,IF(AH42*参数输入表!$I$377&lt;0,0,MIN(AH42*参数输入表!$I$377-SUM(AH52:AH53),-Z42-AA44-AB45-AC46-AD47-AE48-AF49-AG50)))</f>
        <v>0</v>
      </c>
      <c r="AI51" s="79">
        <f ca="1">IF(AA42&gt;0,0,IF(AI42*参数输入表!$I$377&lt;0,0,MIN(AI42*参数输入表!$I$377-SUM(AI52:AI53),-AA42-AB44-AC45-AD46-AE47-AF48-AG49-AH50)))</f>
        <v>0</v>
      </c>
      <c r="AJ51" s="79">
        <f ca="1">IF(AB42&gt;0,0,IF(AJ42*参数输入表!$I$377&lt;0,0,MIN(AJ42*参数输入表!$I$377-SUM(AJ52:AJ53),-AB42-AC44-AD45-AE46-AF47-AG48-AH49-AI50)))</f>
        <v>0</v>
      </c>
      <c r="AK51" s="79">
        <f ca="1">IF(AC42&gt;0,0,IF(AK42*参数输入表!$I$377&lt;0,0,MIN(AK42*参数输入表!$I$377-SUM(AK52:AK53),-AC42-AD44-AE45-AF46-AG47-AH48-AI49-AJ50)))</f>
        <v>0</v>
      </c>
      <c r="AL51" s="79">
        <f ca="1">IF(AD42&gt;0,0,IF(AL42*参数输入表!$I$377&lt;0,0,MIN(AL42*参数输入表!$I$377-SUM(AL52:AL53),-AD42-AE44-AF45-AG46-AH47-AI48-AJ49-AK50)))</f>
        <v>0</v>
      </c>
      <c r="AM51" s="79">
        <f ca="1">IF(AE42&gt;0,0,IF(AM42*参数输入表!$I$377&lt;0,0,MIN(AM42*参数输入表!$I$377-SUM(AM52:AM53),-AE42-AF44-AG45-AH46-AI47-AJ48-AK49-AL50)))</f>
        <v>0</v>
      </c>
      <c r="AN51" s="79">
        <f ca="1">IF(AF42&gt;0,0,IF(AN42*参数输入表!$I$377&lt;0,0,MIN(AN42*参数输入表!$I$377-SUM(AN52:AN53),-AF42-AG44-AH45-AI46-AJ47-AK48-AL49-AM50)))</f>
        <v>0</v>
      </c>
      <c r="AO51" s="79">
        <f ca="1">IF(AG42&gt;0,0,IF(AO42*参数输入表!$I$377&lt;0,0,MIN(AO42*参数输入表!$I$377-SUM(AO52:AO53),-AG42-AH44-AI45-AJ46-AK47-AL48-AM49-AN50)))</f>
        <v>0</v>
      </c>
      <c r="AP51" s="79">
        <f ca="1">IF(AH42&gt;0,0,IF(AP42*参数输入表!$I$377&lt;0,0,MIN(AP42*参数输入表!$I$377-SUM(AP52:AP53),-AH42-AI44-AJ45-AK46-AL47-AM48-AN49-AO50)))</f>
        <v>0</v>
      </c>
      <c r="AQ51" s="79">
        <f ca="1">IF(AI42&gt;0,0,IF(AQ42*参数输入表!$I$377&lt;0,0,MIN(AQ42*参数输入表!$I$377-SUM(AQ52:AQ53),-AI42-AJ44-AK45-AL46-AM47-AN48-AO49-AP50)))</f>
        <v>0</v>
      </c>
      <c r="AR51" s="79">
        <f ca="1">IF(AJ42&gt;0,0,IF(AR42*参数输入表!$I$377&lt;0,0,MIN(AR42*参数输入表!$I$377-SUM(AR52:AR53),-AJ42-AK44-AL45-AM46-AN47-AO48-AP49-AQ50)))</f>
        <v>0</v>
      </c>
      <c r="AS51" s="79">
        <f ca="1">IF(AK42&gt;0,0,IF(AS42*参数输入表!$I$377&lt;0,0,MIN(AS42*参数输入表!$I$377-SUM(AS52:AS53),-AK42-AL44-AM45-AN46-AO47-AP48-AQ49-AR50)))</f>
        <v>0</v>
      </c>
      <c r="AT51" s="79">
        <f ca="1">IF(AL42&gt;0,0,IF(AT42*参数输入表!$I$377&lt;0,0,MIN(AT42*参数输入表!$I$377-SUM(AT52:AT53),-AL42-AM44-AN45-AO46-AP47-AQ48-AR49-AS50)))</f>
        <v>0</v>
      </c>
      <c r="AU51" s="79">
        <f ca="1">IF(AM42&gt;0,0,IF(AU42*参数输入表!$I$377&lt;0,0,MIN(AU42*参数输入表!$I$377-SUM(AU52:AU53),-AM42-AN44-AO45-AP46-AQ47-AR48-AS49-AT50)))</f>
        <v>0</v>
      </c>
      <c r="AV51" s="79">
        <f ca="1">IF(AN42&gt;0,0,IF(AV42*参数输入表!$I$377&lt;0,0,MIN(AV42*参数输入表!$I$377-SUM(AV52:AV53),-AN42-AO44-AP45-AQ46-AR47-AS48-AT49-AU50)))</f>
        <v>0</v>
      </c>
      <c r="AW51" s="79">
        <f ca="1">IF(AO42&gt;0,0,IF(AW42*参数输入表!$I$377&lt;0,0,MIN(AW42*参数输入表!$I$377-SUM(AW52:AW53),-AO42-AP44-AQ45-AR46-AS47-AT48-AU49-AV50)))</f>
        <v>0</v>
      </c>
      <c r="AX51" s="79">
        <f ca="1">IF(AP42&gt;0,0,IF(AX42*参数输入表!$I$377&lt;0,0,MIN(AX42*参数输入表!$I$377-SUM(AX52:AX53),-AP42-AQ44-AR45-AS46-AT47-AU48-AV49-AW50)))</f>
        <v>0</v>
      </c>
      <c r="AY51" s="79">
        <f ca="1">IF(AQ42&gt;0,0,IF(AY42*参数输入表!$I$377&lt;0,0,MIN(AY42*参数输入表!$I$377-SUM(AY52:AY53),-AQ42-AR44-AS45-AT46-AU47-AV48-AW49-AX50)))</f>
        <v>0</v>
      </c>
      <c r="AZ51" s="79">
        <f ca="1">IF(AR42&gt;0,0,IF(AZ42*参数输入表!$I$377&lt;0,0,MIN(AZ42*参数输入表!$I$377-SUM(AZ52:AZ53),-AR42-AS44-AT45-AU46-AV47-AW48-AX49-AY50)))</f>
        <v>0</v>
      </c>
      <c r="BA51" s="79">
        <f ca="1">IF(AS42&gt;0,0,IF(BA42*参数输入表!$I$377&lt;0,0,MIN(BA42*参数输入表!$I$377-SUM(BA52:BA53),-AS42-AT44-AU45-AV46-AW47-AX48-AY49-AZ50)))</f>
        <v>0</v>
      </c>
    </row>
    <row r="52" s="139" customFormat="1" spans="2:53">
      <c r="B52" s="27"/>
      <c r="C52" s="148" t="s">
        <v>880</v>
      </c>
      <c r="D52" s="30"/>
      <c r="E52" s="29" t="s">
        <v>130</v>
      </c>
      <c r="F52" s="30"/>
      <c r="G52" s="30"/>
      <c r="H52" s="30"/>
      <c r="I52" s="30"/>
      <c r="J52" s="30"/>
      <c r="K52" s="30"/>
      <c r="L52" s="30"/>
      <c r="M52" s="30"/>
      <c r="N52" s="30"/>
      <c r="O52" s="30"/>
      <c r="P52" s="30"/>
      <c r="Q52" s="30"/>
      <c r="R52" s="30"/>
      <c r="S52" s="30"/>
      <c r="T52" s="30"/>
      <c r="U52" s="79">
        <f ca="1">IF(L42&gt;0,0,IF(U42*参数输入表!$I$377&lt;0,0,MIN(U42*参数输入表!$I$377-SUM(U53),-L42-M44-N45-O46-P47-Q48-R49-S50-T51)))</f>
        <v>0</v>
      </c>
      <c r="V52" s="79">
        <f ca="1">IF(M42&gt;0,0,IF(V42*参数输入表!$I$377&lt;0,0,MIN(V42*参数输入表!$I$377-SUM(V53),-M42-N44-O45-P46-Q47-R48-S49-T50-U51)))</f>
        <v>0</v>
      </c>
      <c r="W52" s="79">
        <f ca="1">IF(N42&gt;0,0,IF(W42*参数输入表!$I$377&lt;0,0,MIN(W42*参数输入表!$I$377-SUM(W53),-N42-O44-P45-Q46-R47-S48-T49-U50-V51)))</f>
        <v>0</v>
      </c>
      <c r="X52" s="79">
        <f ca="1">IF(O42&gt;0,0,IF(X42*参数输入表!$I$377&lt;0,0,MIN(X42*参数输入表!$I$377-SUM(X53),-O42-P44-Q45-R46-S47-T48-U49-V50-W51)))</f>
        <v>0</v>
      </c>
      <c r="Y52" s="79">
        <f ca="1">IF(P42&gt;0,0,IF(Y42*参数输入表!$I$377&lt;0,0,MIN(Y42*参数输入表!$I$377-SUM(Y53),-P42-Q44-R45-S46-T47-U48-V49-W50-X51)))</f>
        <v>0</v>
      </c>
      <c r="Z52" s="79">
        <f ca="1">IF(Q42&gt;0,0,IF(Z42*参数输入表!$I$377&lt;0,0,MIN(Z42*参数输入表!$I$377-SUM(Z53),-Q42-R44-S45-T46-U47-V48-W49-X50-Y51)))</f>
        <v>0</v>
      </c>
      <c r="AA52" s="79">
        <f ca="1">IF(R42&gt;0,0,IF(AA42*参数输入表!$I$377&lt;0,0,MIN(AA42*参数输入表!$I$377-SUM(AA53),-R42-S44-T45-U46-V47-W48-X49-Y50-Z51)))</f>
        <v>0</v>
      </c>
      <c r="AB52" s="79">
        <f ca="1">IF(S42&gt;0,0,IF(AB42*参数输入表!$I$377&lt;0,0,MIN(AB42*参数输入表!$I$377-SUM(AB53),-S42-T44-U45-V46-W47-X48-Y49-Z50-AA51)))</f>
        <v>0</v>
      </c>
      <c r="AC52" s="79">
        <f ca="1">IF(T42&gt;0,0,IF(AC42*参数输入表!$I$377&lt;0,0,MIN(AC42*参数输入表!$I$377-SUM(AC53),-T42-U44-V45-W46-X47-Y48-Z49-AA50-AB51)))</f>
        <v>0</v>
      </c>
      <c r="AD52" s="79">
        <f ca="1">IF(U42&gt;0,0,IF(AD42*参数输入表!$I$377&lt;0,0,MIN(AD42*参数输入表!$I$377-SUM(AD53),-U42-V44-W45-X46-Y47-Z48-AA49-AB50-AC51)))</f>
        <v>0</v>
      </c>
      <c r="AE52" s="79">
        <f ca="1">IF(V42&gt;0,0,IF(AE42*参数输入表!$I$377&lt;0,0,MIN(AE42*参数输入表!$I$377-SUM(AE53),-V42-W44-X45-Y46-Z47-AA48-AB49-AC50-AD51)))</f>
        <v>0</v>
      </c>
      <c r="AF52" s="79">
        <f ca="1">IF(W42&gt;0,0,IF(AF42*参数输入表!$I$377&lt;0,0,MIN(AF42*参数输入表!$I$377-SUM(AF53),-W42-X44-Y45-Z46-AA47-AB48-AC49-AD50-AE51)))</f>
        <v>0</v>
      </c>
      <c r="AG52" s="79">
        <f ca="1">IF(X42&gt;0,0,IF(AG42*参数输入表!$I$377&lt;0,0,MIN(AG42*参数输入表!$I$377-SUM(AG53),-X42-Y44-Z45-AA46-AB47-AC48-AD49-AE50-AF51)))</f>
        <v>0</v>
      </c>
      <c r="AH52" s="79">
        <f ca="1">IF(Y42&gt;0,0,IF(AH42*参数输入表!$I$377&lt;0,0,MIN(AH42*参数输入表!$I$377-SUM(AH53),-Y42-Z44-AA45-AB46-AC47-AD48-AE49-AF50-AG51)))</f>
        <v>0</v>
      </c>
      <c r="AI52" s="79">
        <f ca="1">IF(Z42&gt;0,0,IF(AI42*参数输入表!$I$377&lt;0,0,MIN(AI42*参数输入表!$I$377-SUM(AI53),-Z42-AA44-AB45-AC46-AD47-AE48-AF49-AG50-AH51)))</f>
        <v>0</v>
      </c>
      <c r="AJ52" s="79">
        <f ca="1">IF(AA42&gt;0,0,IF(AJ42*参数输入表!$I$377&lt;0,0,MIN(AJ42*参数输入表!$I$377-SUM(AJ53),-AA42-AB44-AC45-AD46-AE47-AF48-AG49-AH50-AI51)))</f>
        <v>0</v>
      </c>
      <c r="AK52" s="79">
        <f ca="1">IF(AB42&gt;0,0,IF(AK42*参数输入表!$I$377&lt;0,0,MIN(AK42*参数输入表!$I$377-SUM(AK53),-AB42-AC44-AD45-AE46-AF47-AG48-AH49-AI50-AJ51)))</f>
        <v>0</v>
      </c>
      <c r="AL52" s="79">
        <f ca="1">IF(AC42&gt;0,0,IF(AL42*参数输入表!$I$377&lt;0,0,MIN(AL42*参数输入表!$I$377-SUM(AL53),-AC42-AD44-AE45-AF46-AG47-AH48-AI49-AJ50-AK51)))</f>
        <v>0</v>
      </c>
      <c r="AM52" s="79">
        <f ca="1">IF(AD42&gt;0,0,IF(AM42*参数输入表!$I$377&lt;0,0,MIN(AM42*参数输入表!$I$377-SUM(AM53),-AD42-AE44-AF45-AG46-AH47-AI48-AJ49-AK50-AL51)))</f>
        <v>0</v>
      </c>
      <c r="AN52" s="79">
        <f ca="1">IF(AE42&gt;0,0,IF(AN42*参数输入表!$I$377&lt;0,0,MIN(AN42*参数输入表!$I$377-SUM(AN53),-AE42-AF44-AG45-AH46-AI47-AJ48-AK49-AL50-AM51)))</f>
        <v>0</v>
      </c>
      <c r="AO52" s="79">
        <f ca="1">IF(AF42&gt;0,0,IF(AO42*参数输入表!$I$377&lt;0,0,MIN(AO42*参数输入表!$I$377-SUM(AO53),-AF42-AG44-AH45-AI46-AJ47-AK48-AL49-AM50-AN51)))</f>
        <v>0</v>
      </c>
      <c r="AP52" s="79">
        <f ca="1">IF(AG42&gt;0,0,IF(AP42*参数输入表!$I$377&lt;0,0,MIN(AP42*参数输入表!$I$377-SUM(AP53),-AG42-AH44-AI45-AJ46-AK47-AL48-AM49-AN50-AO51)))</f>
        <v>0</v>
      </c>
      <c r="AQ52" s="79">
        <f ca="1">IF(AH42&gt;0,0,IF(AQ42*参数输入表!$I$377&lt;0,0,MIN(AQ42*参数输入表!$I$377-SUM(AQ53),-AH42-AI44-AJ45-AK46-AL47-AM48-AN49-AO50-AP51)))</f>
        <v>0</v>
      </c>
      <c r="AR52" s="79">
        <f ca="1">IF(AI42&gt;0,0,IF(AR42*参数输入表!$I$377&lt;0,0,MIN(AR42*参数输入表!$I$377-SUM(AR53),-AI42-AJ44-AK45-AL46-AM47-AN48-AO49-AP50-AQ51)))</f>
        <v>0</v>
      </c>
      <c r="AS52" s="79">
        <f ca="1">IF(AJ42&gt;0,0,IF(AS42*参数输入表!$I$377&lt;0,0,MIN(AS42*参数输入表!$I$377-SUM(AS53),-AJ42-AK44-AL45-AM46-AN47-AO48-AP49-AQ50-AR51)))</f>
        <v>0</v>
      </c>
      <c r="AT52" s="79">
        <f ca="1">IF(AK42&gt;0,0,IF(AT42*参数输入表!$I$377&lt;0,0,MIN(AT42*参数输入表!$I$377-SUM(AT53),-AK42-AL44-AM45-AN46-AO47-AP48-AQ49-AR50-AS51)))</f>
        <v>0</v>
      </c>
      <c r="AU52" s="79">
        <f ca="1">IF(AL42&gt;0,0,IF(AU42*参数输入表!$I$377&lt;0,0,MIN(AU42*参数输入表!$I$377-SUM(AU53),-AL42-AM44-AN45-AO46-AP47-AQ48-AR49-AS50-AT51)))</f>
        <v>0</v>
      </c>
      <c r="AV52" s="79">
        <f ca="1">IF(AM42&gt;0,0,IF(AV42*参数输入表!$I$377&lt;0,0,MIN(AV42*参数输入表!$I$377-SUM(AV53),-AM42-AN44-AO45-AP46-AQ47-AR48-AS49-AT50-AU51)))</f>
        <v>0</v>
      </c>
      <c r="AW52" s="79">
        <f ca="1">IF(AN42&gt;0,0,IF(AW42*参数输入表!$I$377&lt;0,0,MIN(AW42*参数输入表!$I$377-SUM(AW53),-AN42-AO44-AP45-AQ46-AR47-AS48-AT49-AU50-AV51)))</f>
        <v>0</v>
      </c>
      <c r="AX52" s="79">
        <f ca="1">IF(AO42&gt;0,0,IF(AX42*参数输入表!$I$377&lt;0,0,MIN(AX42*参数输入表!$I$377-SUM(AX53),-AO42-AP44-AQ45-AR46-AS47-AT48-AU49-AV50-AW51)))</f>
        <v>0</v>
      </c>
      <c r="AY52" s="79">
        <f ca="1">IF(AP42&gt;0,0,IF(AY42*参数输入表!$I$377&lt;0,0,MIN(AY42*参数输入表!$I$377-SUM(AY53),-AP42-AQ44-AR45-AS46-AT47-AU48-AV49-AW50-AX51)))</f>
        <v>0</v>
      </c>
      <c r="AZ52" s="79">
        <f ca="1">IF(AQ42&gt;0,0,IF(AZ42*参数输入表!$I$377&lt;0,0,MIN(AZ42*参数输入表!$I$377-SUM(AZ53),-AQ42-AR44-AS45-AT46-AU47-AV48-AW49-AX50-AY51)))</f>
        <v>0</v>
      </c>
      <c r="BA52" s="79">
        <f ca="1">IF(AR42&gt;0,0,IF(BA42*参数输入表!$I$377&lt;0,0,MIN(BA42*参数输入表!$I$377-SUM(BA53),-AR42-AS44-AT45-AU46-AV47-AW48-AX49-AY50-AZ51)))</f>
        <v>0</v>
      </c>
    </row>
    <row r="53" s="139" customFormat="1" spans="2:53">
      <c r="B53" s="27"/>
      <c r="C53" s="148" t="s">
        <v>881</v>
      </c>
      <c r="D53" s="30"/>
      <c r="E53" s="29" t="s">
        <v>130</v>
      </c>
      <c r="F53" s="30"/>
      <c r="G53" s="30"/>
      <c r="H53" s="30"/>
      <c r="I53" s="30"/>
      <c r="J53" s="30"/>
      <c r="K53" s="30"/>
      <c r="L53" s="30"/>
      <c r="M53" s="30"/>
      <c r="N53" s="30"/>
      <c r="O53" s="30"/>
      <c r="P53" s="30"/>
      <c r="Q53" s="30"/>
      <c r="R53" s="30"/>
      <c r="S53" s="30"/>
      <c r="T53" s="30"/>
      <c r="U53" s="30"/>
      <c r="V53" s="79">
        <f ca="1">IF(L42&gt;0,0,IF(V42*参数输入表!$I$377&lt;0,0,MIN(V42*参数输入表!$I$377,-L42-M44-N45-O46-P47-Q48-R49-S50-T51-U52)))</f>
        <v>0</v>
      </c>
      <c r="W53" s="79">
        <f ca="1">IF(M42&gt;0,0,IF(W42*参数输入表!$I$377&lt;0,0,MIN(W42*参数输入表!$I$377,-M42-N44-O45-P46-Q47-R48-S49-T50-U51-V52)))</f>
        <v>0</v>
      </c>
      <c r="X53" s="79">
        <f ca="1">IF(N42&gt;0,0,IF(X42*参数输入表!$I$377&lt;0,0,MIN(X42*参数输入表!$I$377,-N42-O44-P45-Q46-R47-S48-T49-U50-V51-W52)))</f>
        <v>0</v>
      </c>
      <c r="Y53" s="79">
        <f ca="1">IF(O42&gt;0,0,IF(Y42*参数输入表!$I$377&lt;0,0,MIN(Y42*参数输入表!$I$377,-O42-P44-Q45-R46-S47-T48-U49-V50-W51-X52)))</f>
        <v>0</v>
      </c>
      <c r="Z53" s="79">
        <f ca="1">IF(P42&gt;0,0,IF(Z42*参数输入表!$I$377&lt;0,0,MIN(Z42*参数输入表!$I$377,-P42-Q44-R45-S46-T47-U48-V49-W50-X51-Y52)))</f>
        <v>0</v>
      </c>
      <c r="AA53" s="79">
        <f ca="1">IF(Q42&gt;0,0,IF(AA42*参数输入表!$I$377&lt;0,0,MIN(AA42*参数输入表!$I$377,-Q42-R44-S45-T46-U47-V48-W49-X50-Y51-Z52)))</f>
        <v>0</v>
      </c>
      <c r="AB53" s="79">
        <f ca="1">IF(R42&gt;0,0,IF(AB42*参数输入表!$I$377&lt;0,0,MIN(AB42*参数输入表!$I$377,-R42-S44-T45-U46-V47-W48-X49-Y50-Z51-AA52)))</f>
        <v>0</v>
      </c>
      <c r="AC53" s="79">
        <f ca="1">IF(S42&gt;0,0,IF(AC42*参数输入表!$I$377&lt;0,0,MIN(AC42*参数输入表!$I$377,-S42-T44-U45-V46-W47-X48-Y49-Z50-AA51-AB52)))</f>
        <v>0</v>
      </c>
      <c r="AD53" s="79">
        <f ca="1">IF(T42&gt;0,0,IF(AD42*参数输入表!$I$377&lt;0,0,MIN(AD42*参数输入表!$I$377,-T42-U44-V45-W46-X47-Y48-Z49-AA50-AB51-AC52)))</f>
        <v>0</v>
      </c>
      <c r="AE53" s="79">
        <f ca="1">IF(U42&gt;0,0,IF(AE42*参数输入表!$I$377&lt;0,0,MIN(AE42*参数输入表!$I$377,-U42-V44-W45-X46-Y47-Z48-AA49-AB50-AC51-AD52)))</f>
        <v>0</v>
      </c>
      <c r="AF53" s="79">
        <f ca="1">IF(V42&gt;0,0,IF(AF42*参数输入表!$I$377&lt;0,0,MIN(AF42*参数输入表!$I$377,-V42-W44-X45-Y46-Z47-AA48-AB49-AC50-AD51-AE52)))</f>
        <v>0</v>
      </c>
      <c r="AG53" s="79">
        <f ca="1">IF(W42&gt;0,0,IF(AG42*参数输入表!$I$377&lt;0,0,MIN(AG42*参数输入表!$I$377,-W42-X44-Y45-Z46-AA47-AB48-AC49-AD50-AE51-AF52)))</f>
        <v>0</v>
      </c>
      <c r="AH53" s="79">
        <f ca="1">IF(X42&gt;0,0,IF(AH42*参数输入表!$I$377&lt;0,0,MIN(AH42*参数输入表!$I$377,-X42-Y44-Z45-AA46-AB47-AC48-AD49-AE50-AF51-AG52)))</f>
        <v>0</v>
      </c>
      <c r="AI53" s="79">
        <f ca="1">IF(Y42&gt;0,0,IF(AI42*参数输入表!$I$377&lt;0,0,MIN(AI42*参数输入表!$I$377,-Y42-Z44-AA45-AB46-AC47-AD48-AE49-AF50-AG51-AH52)))</f>
        <v>0</v>
      </c>
      <c r="AJ53" s="79">
        <f ca="1">IF(Z42&gt;0,0,IF(AJ42*参数输入表!$I$377&lt;0,0,MIN(AJ42*参数输入表!$I$377,-Z42-AA44-AB45-AC46-AD47-AE48-AF49-AG50-AH51-AI52)))</f>
        <v>0</v>
      </c>
      <c r="AK53" s="79">
        <f ca="1">IF(AA42&gt;0,0,IF(AK42*参数输入表!$I$377&lt;0,0,MIN(AK42*参数输入表!$I$377,-AA42-AB44-AC45-AD46-AE47-AF48-AG49-AH50-AI51-AJ52)))</f>
        <v>0</v>
      </c>
      <c r="AL53" s="79">
        <f ca="1">IF(AB42&gt;0,0,IF(AL42*参数输入表!$I$377&lt;0,0,MIN(AL42*参数输入表!$I$377,-AB42-AC44-AD45-AE46-AF47-AG48-AH49-AI50-AJ51-AK52)))</f>
        <v>0</v>
      </c>
      <c r="AM53" s="79">
        <f ca="1">IF(AC42&gt;0,0,IF(AM42*参数输入表!$I$377&lt;0,0,MIN(AM42*参数输入表!$I$377,-AC42-AD44-AE45-AF46-AG47-AH48-AI49-AJ50-AK51-AL52)))</f>
        <v>0</v>
      </c>
      <c r="AN53" s="79">
        <f ca="1">IF(AD42&gt;0,0,IF(AN42*参数输入表!$I$377&lt;0,0,MIN(AN42*参数输入表!$I$377,-AD42-AE44-AF45-AG46-AH47-AI48-AJ49-AK50-AL51-AM52)))</f>
        <v>0</v>
      </c>
      <c r="AO53" s="79">
        <f ca="1">IF(AE42&gt;0,0,IF(AO42*参数输入表!$I$377&lt;0,0,MIN(AO42*参数输入表!$I$377,-AE42-AF44-AG45-AH46-AI47-AJ48-AK49-AL50-AM51-AN52)))</f>
        <v>0</v>
      </c>
      <c r="AP53" s="79">
        <f ca="1">IF(AF42&gt;0,0,IF(AP42*参数输入表!$I$377&lt;0,0,MIN(AP42*参数输入表!$I$377,-AF42-AG44-AH45-AI46-AJ47-AK48-AL49-AM50-AN51-AO52)))</f>
        <v>0</v>
      </c>
      <c r="AQ53" s="79">
        <f ca="1">IF(AG42&gt;0,0,IF(AQ42*参数输入表!$I$377&lt;0,0,MIN(AQ42*参数输入表!$I$377,-AG42-AH44-AI45-AJ46-AK47-AL48-AM49-AN50-AO51-AP52)))</f>
        <v>0</v>
      </c>
      <c r="AR53" s="79">
        <f ca="1">IF(AH42&gt;0,0,IF(AR42*参数输入表!$I$377&lt;0,0,MIN(AR42*参数输入表!$I$377,-AH42-AI44-AJ45-AK46-AL47-AM48-AN49-AO50-AP51-AQ52)))</f>
        <v>0</v>
      </c>
      <c r="AS53" s="79">
        <f ca="1">IF(AI42&gt;0,0,IF(AS42*参数输入表!$I$377&lt;0,0,MIN(AS42*参数输入表!$I$377,-AI42-AJ44-AK45-AL46-AM47-AN48-AO49-AP50-AQ51-AR52)))</f>
        <v>0</v>
      </c>
      <c r="AT53" s="79">
        <f ca="1">IF(AJ42&gt;0,0,IF(AT42*参数输入表!$I$377&lt;0,0,MIN(AT42*参数输入表!$I$377,-AJ42-AK44-AL45-AM46-AN47-AO48-AP49-AQ50-AR51-AS52)))</f>
        <v>0</v>
      </c>
      <c r="AU53" s="79">
        <f ca="1">IF(AK42&gt;0,0,IF(AU42*参数输入表!$I$377&lt;0,0,MIN(AU42*参数输入表!$I$377,-AK42-AL44-AM45-AN46-AO47-AP48-AQ49-AR50-AS51-AT52)))</f>
        <v>0</v>
      </c>
      <c r="AV53" s="79">
        <f ca="1">IF(AL42&gt;0,0,IF(AV42*参数输入表!$I$377&lt;0,0,MIN(AV42*参数输入表!$I$377,-AL42-AM44-AN45-AO46-AP47-AQ48-AR49-AS50-AT51-AU52)))</f>
        <v>0</v>
      </c>
      <c r="AW53" s="79">
        <f ca="1">IF(AM42&gt;0,0,IF(AW42*参数输入表!$I$377&lt;0,0,MIN(AW42*参数输入表!$I$377,-AM42-AN44-AO45-AP46-AQ47-AR48-AS49-AT50-AU51-AV52)))</f>
        <v>0</v>
      </c>
      <c r="AX53" s="79">
        <f ca="1">IF(AN42&gt;0,0,IF(AX42*参数输入表!$I$377&lt;0,0,MIN(AX42*参数输入表!$I$377,-AN42-AO44-AP45-AQ46-AR47-AS48-AT49-AU50-AV51-AW52)))</f>
        <v>0</v>
      </c>
      <c r="AY53" s="79">
        <f ca="1">IF(AO42&gt;0,0,IF(AY42*参数输入表!$I$377&lt;0,0,MIN(AY42*参数输入表!$I$377,-AO42-AP44-AQ45-AR46-AS47-AT48-AU49-AV50-AW51-AX52)))</f>
        <v>0</v>
      </c>
      <c r="AZ53" s="79">
        <f ca="1">IF(AP42&gt;0,0,IF(AZ42*参数输入表!$I$377&lt;0,0,MIN(AZ42*参数输入表!$I$377,-AP42-AQ44-AR45-AS46-AT47-AU48-AV49-AW50-AX51-AY52)))</f>
        <v>0</v>
      </c>
      <c r="BA53" s="79">
        <f ca="1">IF(AQ42&gt;0,0,IF(BA42*参数输入表!$I$377&lt;0,0,MIN(BA42*参数输入表!$I$377,-AQ42-AR44-AS45-AT46-AU47-AV48-AW49-AX50-AY51-AZ52)))</f>
        <v>0</v>
      </c>
    </row>
    <row r="54" s="140" customFormat="1" spans="2:53">
      <c r="B54" s="71"/>
      <c r="C54" s="151" t="s">
        <v>404</v>
      </c>
      <c r="D54" s="73">
        <f t="shared" ref="D54:D62" si="19">SUM(F54:BA54)</f>
        <v>24000</v>
      </c>
      <c r="E54" s="50" t="s">
        <v>130</v>
      </c>
      <c r="F54" s="73">
        <f>参数输入表!$I$993</f>
        <v>0</v>
      </c>
      <c r="G54" s="73">
        <f>参数输入表!$I$994</f>
        <v>0</v>
      </c>
      <c r="H54" s="73">
        <f>参数输入表!$I$995</f>
        <v>0</v>
      </c>
      <c r="I54" s="73">
        <f>参数输入表!$I$996</f>
        <v>0</v>
      </c>
      <c r="J54" s="73">
        <f>参数输入表!$I$997</f>
        <v>0</v>
      </c>
      <c r="K54" s="73">
        <f>参数输入表!$I$998</f>
        <v>0</v>
      </c>
      <c r="L54" s="73">
        <f>参数输入表!$I$999</f>
        <v>0</v>
      </c>
      <c r="M54" s="73">
        <f>参数输入表!$I$1000</f>
        <v>0</v>
      </c>
      <c r="N54" s="73">
        <f>参数输入表!$I$1001</f>
        <v>600</v>
      </c>
      <c r="O54" s="73">
        <f>参数输入表!$I$1002</f>
        <v>600</v>
      </c>
      <c r="P54" s="73">
        <f>参数输入表!$I$1003</f>
        <v>600</v>
      </c>
      <c r="Q54" s="73">
        <f>参数输入表!$I$1004</f>
        <v>600</v>
      </c>
      <c r="R54" s="73">
        <f>参数输入表!$I$1005</f>
        <v>600</v>
      </c>
      <c r="S54" s="73">
        <f>参数输入表!$I$1006</f>
        <v>600</v>
      </c>
      <c r="T54" s="73">
        <f>参数输入表!$I$1007</f>
        <v>600</v>
      </c>
      <c r="U54" s="73">
        <f>参数输入表!$I$1008</f>
        <v>600</v>
      </c>
      <c r="V54" s="73">
        <f>参数输入表!$I$1009</f>
        <v>600</v>
      </c>
      <c r="W54" s="73">
        <f>参数输入表!$I$1010</f>
        <v>600</v>
      </c>
      <c r="X54" s="73">
        <f>参数输入表!$I$1011</f>
        <v>600</v>
      </c>
      <c r="Y54" s="73">
        <f>参数输入表!$I$1012</f>
        <v>600</v>
      </c>
      <c r="Z54" s="73">
        <f>参数输入表!$I$1013</f>
        <v>600</v>
      </c>
      <c r="AA54" s="73">
        <f>参数输入表!$I$1014</f>
        <v>600</v>
      </c>
      <c r="AB54" s="73">
        <f>参数输入表!$I$1015</f>
        <v>600</v>
      </c>
      <c r="AC54" s="73">
        <f>参数输入表!$I$1016</f>
        <v>600</v>
      </c>
      <c r="AD54" s="73">
        <f>参数输入表!$I$1017</f>
        <v>600</v>
      </c>
      <c r="AE54" s="73">
        <f>参数输入表!$I$1018</f>
        <v>600</v>
      </c>
      <c r="AF54" s="73">
        <f>参数输入表!$I$1019</f>
        <v>600</v>
      </c>
      <c r="AG54" s="73">
        <f>参数输入表!$I$1020</f>
        <v>600</v>
      </c>
      <c r="AH54" s="73">
        <f>参数输入表!$I$1021</f>
        <v>600</v>
      </c>
      <c r="AI54" s="73">
        <f>参数输入表!$I$1022</f>
        <v>600</v>
      </c>
      <c r="AJ54" s="73">
        <f>参数输入表!$I$1023</f>
        <v>600</v>
      </c>
      <c r="AK54" s="73">
        <f>参数输入表!$I$1024</f>
        <v>600</v>
      </c>
      <c r="AL54" s="73">
        <f>参数输入表!$I$1025</f>
        <v>600</v>
      </c>
      <c r="AM54" s="73">
        <f>参数输入表!$I$1026</f>
        <v>600</v>
      </c>
      <c r="AN54" s="73">
        <f>参数输入表!$I$1027</f>
        <v>600</v>
      </c>
      <c r="AO54" s="73">
        <f>参数输入表!$I$1028</f>
        <v>600</v>
      </c>
      <c r="AP54" s="73">
        <f>参数输入表!$I$1029</f>
        <v>600</v>
      </c>
      <c r="AQ54" s="73">
        <f>参数输入表!$I$1030</f>
        <v>600</v>
      </c>
      <c r="AR54" s="73">
        <f>参数输入表!$I$1031</f>
        <v>600</v>
      </c>
      <c r="AS54" s="73">
        <f>参数输入表!$I$1032</f>
        <v>600</v>
      </c>
      <c r="AT54" s="73">
        <f>参数输入表!$I$1033</f>
        <v>600</v>
      </c>
      <c r="AU54" s="73">
        <f>参数输入表!$I$1034</f>
        <v>600</v>
      </c>
      <c r="AV54" s="73">
        <f>参数输入表!$I$1035</f>
        <v>600</v>
      </c>
      <c r="AW54" s="73">
        <f>参数输入表!$I$1036</f>
        <v>600</v>
      </c>
      <c r="AX54" s="73">
        <f>参数输入表!$I$1037</f>
        <v>600</v>
      </c>
      <c r="AY54" s="73">
        <f>参数输入表!$I$1038</f>
        <v>600</v>
      </c>
      <c r="AZ54" s="73">
        <f>参数输入表!$I$1039</f>
        <v>600</v>
      </c>
      <c r="BA54" s="77">
        <f>参数输入表!$I$1040</f>
        <v>600</v>
      </c>
    </row>
    <row r="55" s="140" customFormat="1" spans="2:53">
      <c r="B55" s="71"/>
      <c r="C55" s="151" t="s">
        <v>882</v>
      </c>
      <c r="D55" s="73">
        <f ca="1" t="shared" si="19"/>
        <v>1618030.10945855</v>
      </c>
      <c r="E55" s="50" t="s">
        <v>130</v>
      </c>
      <c r="F55" s="119">
        <f ca="1">IF(F42-F43-F54&gt;0,F42-F43-F54,0)</f>
        <v>0</v>
      </c>
      <c r="G55" s="119">
        <f ca="1" t="shared" ref="G55:BA55" si="20">IF(G42-G43-G54&gt;0,G42-G43-G54,0)</f>
        <v>0</v>
      </c>
      <c r="H55" s="119">
        <f ca="1" t="shared" si="20"/>
        <v>0</v>
      </c>
      <c r="I55" s="119">
        <f ca="1" t="shared" si="20"/>
        <v>0</v>
      </c>
      <c r="J55" s="119">
        <f ca="1" t="shared" si="20"/>
        <v>0</v>
      </c>
      <c r="K55" s="119">
        <f ca="1" t="shared" si="20"/>
        <v>0</v>
      </c>
      <c r="L55" s="119">
        <f ca="1" t="shared" si="20"/>
        <v>0</v>
      </c>
      <c r="M55" s="119">
        <f ca="1" t="shared" si="20"/>
        <v>7837.66085833932</v>
      </c>
      <c r="N55" s="119">
        <f ca="1" t="shared" si="20"/>
        <v>10683.87473113</v>
      </c>
      <c r="O55" s="119">
        <f ca="1" t="shared" si="20"/>
        <v>12432.2734821733</v>
      </c>
      <c r="P55" s="119">
        <f ca="1" t="shared" si="20"/>
        <v>14406.5080615583</v>
      </c>
      <c r="Q55" s="119">
        <f ca="1" t="shared" si="20"/>
        <v>16326.5006244471</v>
      </c>
      <c r="R55" s="119">
        <f ca="1" t="shared" si="20"/>
        <v>18135.7423898106</v>
      </c>
      <c r="S55" s="119">
        <f ca="1" t="shared" si="20"/>
        <v>19418.8217988822</v>
      </c>
      <c r="T55" s="119">
        <f ca="1" t="shared" si="20"/>
        <v>19642.0961599414</v>
      </c>
      <c r="U55" s="119">
        <f ca="1" t="shared" si="20"/>
        <v>20573.8958460161</v>
      </c>
      <c r="V55" s="119">
        <f ca="1" t="shared" si="20"/>
        <v>21520.7038749987</v>
      </c>
      <c r="W55" s="119">
        <f ca="1" t="shared" si="20"/>
        <v>22475.8717300306</v>
      </c>
      <c r="X55" s="119">
        <f ca="1" t="shared" si="20"/>
        <v>23246.7139535632</v>
      </c>
      <c r="Y55" s="119">
        <f ca="1" t="shared" si="20"/>
        <v>22100.8389029003</v>
      </c>
      <c r="Z55" s="119">
        <f ca="1" t="shared" si="20"/>
        <v>22616.3176784853</v>
      </c>
      <c r="AA55" s="119">
        <f ca="1" t="shared" si="20"/>
        <v>23692.7373604184</v>
      </c>
      <c r="AB55" s="119">
        <f ca="1" t="shared" si="20"/>
        <v>25231.0251819161</v>
      </c>
      <c r="AC55" s="119">
        <f ca="1" t="shared" si="20"/>
        <v>27244.3660819516</v>
      </c>
      <c r="AD55" s="119">
        <f ca="1" t="shared" si="20"/>
        <v>29815.7629247931</v>
      </c>
      <c r="AE55" s="119">
        <f ca="1" t="shared" si="20"/>
        <v>34144.3383945824</v>
      </c>
      <c r="AF55" s="119">
        <f ca="1" t="shared" si="20"/>
        <v>39044.5284266543</v>
      </c>
      <c r="AG55" s="119">
        <f ca="1" t="shared" si="20"/>
        <v>41590.3874282205</v>
      </c>
      <c r="AH55" s="119">
        <f ca="1" t="shared" si="20"/>
        <v>43551.7311318213</v>
      </c>
      <c r="AI55" s="119">
        <f ca="1" t="shared" si="20"/>
        <v>44189.98022565</v>
      </c>
      <c r="AJ55" s="119">
        <f ca="1" t="shared" si="20"/>
        <v>43991.8150880353</v>
      </c>
      <c r="AK55" s="119">
        <f ca="1" t="shared" si="20"/>
        <v>43991.8150880353</v>
      </c>
      <c r="AL55" s="119">
        <f ca="1" t="shared" si="20"/>
        <v>43991.8150880353</v>
      </c>
      <c r="AM55" s="119">
        <f ca="1" t="shared" si="20"/>
        <v>43996.7692164757</v>
      </c>
      <c r="AN55" s="119">
        <f ca="1" t="shared" si="20"/>
        <v>44012.5230526371</v>
      </c>
      <c r="AO55" s="119">
        <f ca="1" t="shared" si="20"/>
        <v>43991.8150880353</v>
      </c>
      <c r="AP55" s="119">
        <f ca="1" t="shared" si="20"/>
        <v>54911.2349197328</v>
      </c>
      <c r="AQ55" s="119">
        <f ca="1" t="shared" si="20"/>
        <v>70198.4226841093</v>
      </c>
      <c r="AR55" s="119">
        <f ca="1" t="shared" si="20"/>
        <v>70203.3768125497</v>
      </c>
      <c r="AS55" s="119">
        <f ca="1" t="shared" si="20"/>
        <v>70192.714223355</v>
      </c>
      <c r="AT55" s="119">
        <f ca="1" t="shared" si="20"/>
        <v>69994.5490857403</v>
      </c>
      <c r="AU55" s="119">
        <f ca="1" t="shared" si="20"/>
        <v>69994.5490857403</v>
      </c>
      <c r="AV55" s="119">
        <f ca="1" t="shared" si="20"/>
        <v>69959.9473158288</v>
      </c>
      <c r="AW55" s="119">
        <f ca="1" t="shared" si="20"/>
        <v>69944.1934796674</v>
      </c>
      <c r="AX55" s="119">
        <f ca="1" t="shared" si="20"/>
        <v>69939.2393512271</v>
      </c>
      <c r="AY55" s="119">
        <f ca="1" t="shared" si="20"/>
        <v>69791.2882808907</v>
      </c>
      <c r="AZ55" s="119">
        <f ca="1" t="shared" si="20"/>
        <v>69786.3341524503</v>
      </c>
      <c r="BA55" s="119">
        <f ca="1" t="shared" si="20"/>
        <v>39215.0301977204</v>
      </c>
    </row>
    <row r="56" spans="2:53">
      <c r="B56" s="32"/>
      <c r="C56" s="75" t="s">
        <v>883</v>
      </c>
      <c r="D56" s="51">
        <f ca="1" t="shared" si="19"/>
        <v>390660.48121225</v>
      </c>
      <c r="E56" s="50" t="s">
        <v>130</v>
      </c>
      <c r="F56" s="51">
        <f ca="1">IF(F4-参数输入表!$I$25&gt;=0,IF(参数输入表!$I$978="三免三减半",IF(6+参数输入表!$I$25-1-F4&gt;=0,IF(3+参数输入表!$I$25-1-F4&gt;=0,0,F55*参数输入表!$I$979/2),F55*参数输入表!$I$979),F55*参数输入表!$I$979),0)</f>
        <v>0</v>
      </c>
      <c r="G56" s="51">
        <f ca="1">IF(G4-参数输入表!$I$25&gt;=0,IF(参数输入表!$I$978="三免三减半",IF(6+参数输入表!$I$25-1-G4&gt;=0,IF(3+参数输入表!$I$25-1-G4&gt;=0,0,G55*参数输入表!$I$979/2),G55*参数输入表!$I$979),G55*参数输入表!$I$979),0)</f>
        <v>0</v>
      </c>
      <c r="H56" s="51">
        <f ca="1">IF(H4-参数输入表!$I$25&gt;=0,IF(参数输入表!$I$978="三免三减半",IF(6+参数输入表!$I$25-1-H4&gt;=0,IF(3+参数输入表!$I$25-1-H4&gt;=0,0,H55*参数输入表!$I$979/2),H55*参数输入表!$I$979),H55*参数输入表!$I$979),0)</f>
        <v>0</v>
      </c>
      <c r="I56" s="51">
        <f ca="1">IF(I4-参数输入表!$I$25&gt;=0,IF(参数输入表!$I$978="三免三减半",IF(6+参数输入表!$I$25-1-I4&gt;=0,IF(3+参数输入表!$I$25-1-I4&gt;=0,0,I55*参数输入表!$I$979/2),I55*参数输入表!$I$979),I55*参数输入表!$I$979),0)</f>
        <v>0</v>
      </c>
      <c r="J56" s="51">
        <f ca="1">IF(J4-参数输入表!$I$25&gt;=0,IF(参数输入表!$I$978="三免三减半",IF(6+参数输入表!$I$25-1-J4&gt;=0,IF(3+参数输入表!$I$25-1-J4&gt;=0,0,J55*参数输入表!$I$979/2),J55*参数输入表!$I$979),J55*参数输入表!$I$979),0)</f>
        <v>0</v>
      </c>
      <c r="K56" s="51">
        <f ca="1">IF(K4-参数输入表!$I$25&gt;=0,IF(参数输入表!$I$978="三免三减半",IF(6+参数输入表!$I$25-1-K4&gt;=0,IF(3+参数输入表!$I$25-1-K4&gt;=0,0,K55*参数输入表!$I$979/2),K55*参数输入表!$I$979),K55*参数输入表!$I$979),0)</f>
        <v>0</v>
      </c>
      <c r="L56" s="51">
        <f ca="1">IF(L4-参数输入表!$I$25&gt;=0,IF(参数输入表!$I$978="三免三减半",IF(6+参数输入表!$I$25-1-L4&gt;=0,IF(3+参数输入表!$I$25-1-L4&gt;=0,0,L55*参数输入表!$I$979/2),L55*参数输入表!$I$979),L55*参数输入表!$I$979),0)</f>
        <v>0</v>
      </c>
      <c r="M56" s="51">
        <f ca="1">IF(M4-参数输入表!$I$25&gt;=0,IF(参数输入表!$I$978="三免三减半",IF(6+参数输入表!$I$25-1-M4&gt;=0,IF(3+参数输入表!$I$25-1-M4&gt;=0,0,M55*参数输入表!$I$979/2),M55*参数输入表!$I$979),M55*参数输入表!$I$979),0)</f>
        <v>0</v>
      </c>
      <c r="N56" s="51">
        <f ca="1">IF(N4-参数输入表!$I$25&gt;=0,IF(参数输入表!$I$978="三免三减半",IF(6+参数输入表!$I$25-1-N4&gt;=0,IF(3+参数输入表!$I$25-1-N4&gt;=0,0,N55*参数输入表!$I$979/2),N55*参数输入表!$I$979),N55*参数输入表!$I$979),0)</f>
        <v>0</v>
      </c>
      <c r="O56" s="51">
        <f ca="1">IF(O4-参数输入表!$I$25&gt;=0,IF(参数输入表!$I$978="三免三减半",IF(6+参数输入表!$I$25-1-O4&gt;=0,IF(3+参数输入表!$I$25-1-O4&gt;=0,0,O55*参数输入表!$I$979/2),O55*参数输入表!$I$979),O55*参数输入表!$I$979),0)</f>
        <v>0</v>
      </c>
      <c r="P56" s="51">
        <f ca="1">IF(P4-参数输入表!$I$25&gt;=0,IF(参数输入表!$I$978="三免三减半",IF(6+参数输入表!$I$25-1-P4&gt;=0,IF(3+参数输入表!$I$25-1-P4&gt;=0,0,P55*参数输入表!$I$979/2),P55*参数输入表!$I$979),P55*参数输入表!$I$979),0)</f>
        <v>1800.81350769479</v>
      </c>
      <c r="Q56" s="51">
        <f ca="1">IF(Q4-参数输入表!$I$25&gt;=0,IF(参数输入表!$I$978="三免三减半",IF(6+参数输入表!$I$25-1-Q4&gt;=0,IF(3+参数输入表!$I$25-1-Q4&gt;=0,0,Q55*参数输入表!$I$979/2),Q55*参数输入表!$I$979),Q55*参数输入表!$I$979),0)</f>
        <v>2040.81257805589</v>
      </c>
      <c r="R56" s="51">
        <f ca="1">IF(R4-参数输入表!$I$25&gt;=0,IF(参数输入表!$I$978="三免三减半",IF(6+参数输入表!$I$25-1-R4&gt;=0,IF(3+参数输入表!$I$25-1-R4&gt;=0,0,R55*参数输入表!$I$979/2),R55*参数输入表!$I$979),R55*参数输入表!$I$979),0)</f>
        <v>2266.96779872632</v>
      </c>
      <c r="S56" s="51">
        <f ca="1">IF(S4-参数输入表!$I$25&gt;=0,IF(参数输入表!$I$978="三免三减半",IF(6+参数输入表!$I$25-1-S4&gt;=0,IF(3+参数输入表!$I$25-1-S4&gt;=0,0,S55*参数输入表!$I$979/2),S55*参数输入表!$I$979),S55*参数输入表!$I$979),0)</f>
        <v>4854.70544972054</v>
      </c>
      <c r="T56" s="51">
        <f ca="1">IF(T4-参数输入表!$I$25&gt;=0,IF(参数输入表!$I$978="三免三减半",IF(6+参数输入表!$I$25-1-T4&gt;=0,IF(3+参数输入表!$I$25-1-T4&gt;=0,0,T55*参数输入表!$I$979/2),T55*参数输入表!$I$979),T55*参数输入表!$I$979),0)</f>
        <v>4910.52403998536</v>
      </c>
      <c r="U56" s="51">
        <f ca="1">IF(U4-参数输入表!$I$25&gt;=0,IF(参数输入表!$I$978="三免三减半",IF(6+参数输入表!$I$25-1-U4&gt;=0,IF(3+参数输入表!$I$25-1-U4&gt;=0,0,U55*参数输入表!$I$979/2),U55*参数输入表!$I$979),U55*参数输入表!$I$979),0)</f>
        <v>5143.47396150403</v>
      </c>
      <c r="V56" s="51">
        <f ca="1">IF(V4-参数输入表!$I$25&gt;=0,IF(参数输入表!$I$978="三免三减半",IF(6+参数输入表!$I$25-1-V4&gt;=0,IF(3+参数输入表!$I$25-1-V4&gt;=0,0,V55*参数输入表!$I$979/2),V55*参数输入表!$I$979),V55*参数输入表!$I$979),0)</f>
        <v>5380.17596874968</v>
      </c>
      <c r="W56" s="51">
        <f ca="1">IF(W4-参数输入表!$I$25&gt;=0,IF(参数输入表!$I$978="三免三减半",IF(6+参数输入表!$I$25-1-W4&gt;=0,IF(3+参数输入表!$I$25-1-W4&gt;=0,0,W55*参数输入表!$I$979/2),W55*参数输入表!$I$979),W55*参数输入表!$I$979),0)</f>
        <v>5618.96793250764</v>
      </c>
      <c r="X56" s="51">
        <f ca="1">IF(X4-参数输入表!$I$25&gt;=0,IF(参数输入表!$I$978="三免三减半",IF(6+参数输入表!$I$25-1-X4&gt;=0,IF(3+参数输入表!$I$25-1-X4&gt;=0,0,X55*参数输入表!$I$979/2),X55*参数输入表!$I$979),X55*参数输入表!$I$979),0)</f>
        <v>5811.67848839079</v>
      </c>
      <c r="Y56" s="51">
        <f ca="1">IF(Y4-参数输入表!$I$25&gt;=0,IF(参数输入表!$I$978="三免三减半",IF(6+参数输入表!$I$25-1-Y4&gt;=0,IF(3+参数输入表!$I$25-1-Y4&gt;=0,0,Y55*参数输入表!$I$979/2),Y55*参数输入表!$I$979),Y55*参数输入表!$I$979),0)</f>
        <v>5525.20972572508</v>
      </c>
      <c r="Z56" s="51">
        <f ca="1">IF(Z4-参数输入表!$I$25&gt;=0,IF(参数输入表!$I$978="三免三减半",IF(6+参数输入表!$I$25-1-Z4&gt;=0,IF(3+参数输入表!$I$25-1-Z4&gt;=0,0,Z55*参数输入表!$I$979/2),Z55*参数输入表!$I$979),Z55*参数输入表!$I$979),0)</f>
        <v>5654.07941962132</v>
      </c>
      <c r="AA56" s="51">
        <f ca="1">IF(AA4-参数输入表!$I$25&gt;=0,IF(参数输入表!$I$978="三免三减半",IF(6+参数输入表!$I$25-1-AA4&gt;=0,IF(3+参数输入表!$I$25-1-AA4&gt;=0,0,AA55*参数输入表!$I$979/2),AA55*参数输入表!$I$979),AA55*参数输入表!$I$979),0)</f>
        <v>5923.1843401046</v>
      </c>
      <c r="AB56" s="51">
        <f ca="1">IF(AB4-参数输入表!$I$25&gt;=0,IF(参数输入表!$I$978="三免三减半",IF(6+参数输入表!$I$25-1-AB4&gt;=0,IF(3+参数输入表!$I$25-1-AB4&gt;=0,0,AB55*参数输入表!$I$979/2),AB55*参数输入表!$I$979),AB55*参数输入表!$I$979),0)</f>
        <v>6307.75629547903</v>
      </c>
      <c r="AC56" s="51">
        <f ca="1">IF(AC4-参数输入表!$I$25&gt;=0,IF(参数输入表!$I$978="三免三减半",IF(6+参数输入表!$I$25-1-AC4&gt;=0,IF(3+参数输入表!$I$25-1-AC4&gt;=0,0,AC55*参数输入表!$I$979/2),AC55*参数输入表!$I$979),AC55*参数输入表!$I$979),0)</f>
        <v>6811.09152048791</v>
      </c>
      <c r="AD56" s="51">
        <f ca="1">IF(AD4-参数输入表!$I$25&gt;=0,IF(参数输入表!$I$978="三免三减半",IF(6+参数输入表!$I$25-1-AD4&gt;=0,IF(3+参数输入表!$I$25-1-AD4&gt;=0,0,AD55*参数输入表!$I$979/2),AD55*参数输入表!$I$979),AD55*参数输入表!$I$979),0)</f>
        <v>7453.94073119828</v>
      </c>
      <c r="AE56" s="51">
        <f ca="1">IF(AE4-参数输入表!$I$25&gt;=0,IF(参数输入表!$I$978="三免三减半",IF(6+参数输入表!$I$25-1-AE4&gt;=0,IF(3+参数输入表!$I$25-1-AE4&gt;=0,0,AE55*参数输入表!$I$979/2),AE55*参数输入表!$I$979),AE55*参数输入表!$I$979),0)</f>
        <v>8536.08459864559</v>
      </c>
      <c r="AF56" s="51">
        <f ca="1">IF(AF4-参数输入表!$I$25&gt;=0,IF(参数输入表!$I$978="三免三减半",IF(6+参数输入表!$I$25-1-AF4&gt;=0,IF(3+参数输入表!$I$25-1-AF4&gt;=0,0,AF55*参数输入表!$I$979/2),AF55*参数输入表!$I$979),AF55*参数输入表!$I$979),0)</f>
        <v>9761.13210666358</v>
      </c>
      <c r="AG56" s="51">
        <f ca="1">IF(AG4-参数输入表!$I$25&gt;=0,IF(参数输入表!$I$978="三免三减半",IF(6+参数输入表!$I$25-1-AG4&gt;=0,IF(3+参数输入表!$I$25-1-AG4&gt;=0,0,AG55*参数输入表!$I$979/2),AG55*参数输入表!$I$979),AG55*参数输入表!$I$979),0)</f>
        <v>10397.5968570551</v>
      </c>
      <c r="AH56" s="51">
        <f ca="1">IF(AH4-参数输入表!$I$25&gt;=0,IF(参数输入表!$I$978="三免三减半",IF(6+参数输入表!$I$25-1-AH4&gt;=0,IF(3+参数输入表!$I$25-1-AH4&gt;=0,0,AH55*参数输入表!$I$979/2),AH55*参数输入表!$I$979),AH55*参数输入表!$I$979),0)</f>
        <v>10887.9327829553</v>
      </c>
      <c r="AI56" s="51">
        <f ca="1">IF(AI4-参数输入表!$I$25&gt;=0,IF(参数输入表!$I$978="三免三减半",IF(6+参数输入表!$I$25-1-AI4&gt;=0,IF(3+参数输入表!$I$25-1-AI4&gt;=0,0,AI55*参数输入表!$I$979/2),AI55*参数输入表!$I$979),AI55*参数输入表!$I$979),0)</f>
        <v>11047.4950564125</v>
      </c>
      <c r="AJ56" s="51">
        <f ca="1">IF(AJ4-参数输入表!$I$25&gt;=0,IF(参数输入表!$I$978="三免三减半",IF(6+参数输入表!$I$25-1-AJ4&gt;=0,IF(3+参数输入表!$I$25-1-AJ4&gt;=0,0,AJ55*参数输入表!$I$979/2),AJ55*参数输入表!$I$979),AJ55*参数输入表!$I$979),0)</f>
        <v>10997.9537720088</v>
      </c>
      <c r="AK56" s="51">
        <f ca="1">IF(AK4-参数输入表!$I$25&gt;=0,IF(参数输入表!$I$978="三免三减半",IF(6+参数输入表!$I$25-1-AK4&gt;=0,IF(3+参数输入表!$I$25-1-AK4&gt;=0,0,AK55*参数输入表!$I$979/2),AK55*参数输入表!$I$979),AK55*参数输入表!$I$979),0)</f>
        <v>10997.9537720088</v>
      </c>
      <c r="AL56" s="51">
        <f ca="1">IF(AL4-参数输入表!$I$25&gt;=0,IF(参数输入表!$I$978="三免三减半",IF(6+参数输入表!$I$25-1-AL4&gt;=0,IF(3+参数输入表!$I$25-1-AL4&gt;=0,0,AL55*参数输入表!$I$979/2),AL55*参数输入表!$I$979),AL55*参数输入表!$I$979),0)</f>
        <v>10997.9537720088</v>
      </c>
      <c r="AM56" s="51">
        <f ca="1">IF(AM4-参数输入表!$I$25&gt;=0,IF(参数输入表!$I$978="三免三减半",IF(6+参数输入表!$I$25-1-AM4&gt;=0,IF(3+参数输入表!$I$25-1-AM4&gt;=0,0,AM55*参数输入表!$I$979/2),AM55*参数输入表!$I$979),AM55*参数输入表!$I$979),0)</f>
        <v>10999.1923041189</v>
      </c>
      <c r="AN56" s="51">
        <f ca="1">IF(AN4-参数输入表!$I$25&gt;=0,IF(参数输入表!$I$978="三免三减半",IF(6+参数输入表!$I$25-1-AN4&gt;=0,IF(3+参数输入表!$I$25-1-AN4&gt;=0,0,AN55*参数输入表!$I$979/2),AN55*参数输入表!$I$979),AN55*参数输入表!$I$979),0)</f>
        <v>11003.1307631593</v>
      </c>
      <c r="AO56" s="51">
        <f ca="1">IF(AO4-参数输入表!$I$25&gt;=0,IF(参数输入表!$I$978="三免三减半",IF(6+参数输入表!$I$25-1-AO4&gt;=0,IF(3+参数输入表!$I$25-1-AO4&gt;=0,0,AO55*参数输入表!$I$979/2),AO55*参数输入表!$I$979),AO55*参数输入表!$I$979),0)</f>
        <v>10997.9537720088</v>
      </c>
      <c r="AP56" s="51">
        <f ca="1">IF(AP4-参数输入表!$I$25&gt;=0,IF(参数输入表!$I$978="三免三减半",IF(6+参数输入表!$I$25-1-AP4&gt;=0,IF(3+参数输入表!$I$25-1-AP4&gt;=0,0,AP55*参数输入表!$I$979/2),AP55*参数输入表!$I$979),AP55*参数输入表!$I$979),0)</f>
        <v>13727.8087299332</v>
      </c>
      <c r="AQ56" s="51">
        <f ca="1">IF(AQ4-参数输入表!$I$25&gt;=0,IF(参数输入表!$I$978="三免三减半",IF(6+参数输入表!$I$25-1-AQ4&gt;=0,IF(3+参数输入表!$I$25-1-AQ4&gt;=0,0,AQ55*参数输入表!$I$979/2),AQ55*参数输入表!$I$979),AQ55*参数输入表!$I$979),0)</f>
        <v>17549.6056710273</v>
      </c>
      <c r="AR56" s="51">
        <f ca="1">IF(AR4-参数输入表!$I$25&gt;=0,IF(参数输入表!$I$978="三免三减半",IF(6+参数输入表!$I$25-1-AR4&gt;=0,IF(3+参数输入表!$I$25-1-AR4&gt;=0,0,AR55*参数输入表!$I$979/2),AR55*参数输入表!$I$979),AR55*参数输入表!$I$979),0)</f>
        <v>17550.8442031374</v>
      </c>
      <c r="AS56" s="51">
        <f ca="1">IF(AS4-参数输入表!$I$25&gt;=0,IF(参数输入表!$I$978="三免三减半",IF(6+参数输入表!$I$25-1-AS4&gt;=0,IF(3+参数输入表!$I$25-1-AS4&gt;=0,0,AS55*参数输入表!$I$979/2),AS55*参数输入表!$I$979),AS55*参数输入表!$I$979),0)</f>
        <v>17548.1785558388</v>
      </c>
      <c r="AT56" s="51">
        <f ca="1">IF(AT4-参数输入表!$I$25&gt;=0,IF(参数输入表!$I$978="三免三减半",IF(6+参数输入表!$I$25-1-AT4&gt;=0,IF(3+参数输入表!$I$25-1-AT4&gt;=0,0,AT55*参数输入表!$I$979/2),AT55*参数输入表!$I$979),AT55*参数输入表!$I$979),0)</f>
        <v>17498.6372714351</v>
      </c>
      <c r="AU56" s="51">
        <f ca="1">IF(AU4-参数输入表!$I$25&gt;=0,IF(参数输入表!$I$978="三免三减半",IF(6+参数输入表!$I$25-1-AU4&gt;=0,IF(3+参数输入表!$I$25-1-AU4&gt;=0,0,AU55*参数输入表!$I$979/2),AU55*参数输入表!$I$979),AU55*参数输入表!$I$979),0)</f>
        <v>17498.6372714351</v>
      </c>
      <c r="AV56" s="51">
        <f ca="1">IF(AV4-参数输入表!$I$25&gt;=0,IF(参数输入表!$I$978="三免三减半",IF(6+参数输入表!$I$25-1-AV4&gt;=0,IF(3+参数输入表!$I$25-1-AV4&gt;=0,0,AV55*参数输入表!$I$979/2),AV55*参数输入表!$I$979),AV55*参数输入表!$I$979),0)</f>
        <v>17489.9868289572</v>
      </c>
      <c r="AW56" s="51">
        <f ca="1">IF(AW4-参数输入表!$I$25&gt;=0,IF(参数输入表!$I$978="三免三减半",IF(6+参数输入表!$I$25-1-AW4&gt;=0,IF(3+参数输入表!$I$25-1-AW4&gt;=0,0,AW55*参数输入表!$I$979/2),AW55*参数输入表!$I$979),AW55*参数输入表!$I$979),0)</f>
        <v>17486.0483699169</v>
      </c>
      <c r="AX56" s="51">
        <f ca="1">IF(AX4-参数输入表!$I$25&gt;=0,IF(参数输入表!$I$978="三免三减半",IF(6+参数输入表!$I$25-1-AX4&gt;=0,IF(3+参数输入表!$I$25-1-AX4&gt;=0,0,AX55*参数输入表!$I$979/2),AX55*参数输入表!$I$979),AX55*参数输入表!$I$979),0)</f>
        <v>17484.8098378068</v>
      </c>
      <c r="AY56" s="51">
        <f ca="1">IF(AY4-参数输入表!$I$25&gt;=0,IF(参数输入表!$I$978="三免三减半",IF(6+参数输入表!$I$25-1-AY4&gt;=0,IF(3+参数输入表!$I$25-1-AY4&gt;=0,0,AY55*参数输入表!$I$979/2),AY55*参数输入表!$I$979),AY55*参数输入表!$I$979),0)</f>
        <v>17447.8220702227</v>
      </c>
      <c r="AZ56" s="51">
        <f ca="1">IF(AZ4-参数输入表!$I$25&gt;=0,IF(参数输入表!$I$978="三免三减半",IF(6+参数输入表!$I$25-1-AZ4&gt;=0,IF(3+参数输入表!$I$25-1-AZ4&gt;=0,0,AZ55*参数输入表!$I$979/2),AZ55*参数输入表!$I$979),AZ55*参数输入表!$I$979),0)</f>
        <v>17446.5835381126</v>
      </c>
      <c r="BA56" s="53">
        <f ca="1">IF(BA4-参数输入表!$I$25&gt;=0,IF(参数输入表!$I$978="三免三减半",IF(6+参数输入表!$I$25-1-BA4&gt;=0,IF(3+参数输入表!$I$25-1-BA4&gt;=0,0,BA55*参数输入表!$I$979/2),BA55*参数输入表!$I$979),BA55*参数输入表!$I$979),0)</f>
        <v>9803.75754943009</v>
      </c>
    </row>
    <row r="57" customFormat="1" spans="2:53">
      <c r="B57" s="32"/>
      <c r="C57" s="152" t="s">
        <v>884</v>
      </c>
      <c r="D57" s="79">
        <f ca="1" t="shared" si="19"/>
        <v>80901.5054729275</v>
      </c>
      <c r="E57" s="80" t="s">
        <v>130</v>
      </c>
      <c r="F57" s="79">
        <f ca="1">F55*参数输入表!$I$1042</f>
        <v>0</v>
      </c>
      <c r="G57" s="79">
        <f ca="1">G55*参数输入表!$I$1042</f>
        <v>0</v>
      </c>
      <c r="H57" s="79">
        <f ca="1">H55*参数输入表!$I$1042</f>
        <v>0</v>
      </c>
      <c r="I57" s="79">
        <f ca="1">I55*参数输入表!$I$1042</f>
        <v>0</v>
      </c>
      <c r="J57" s="79">
        <f ca="1">J55*参数输入表!$I$1042</f>
        <v>0</v>
      </c>
      <c r="K57" s="79">
        <f ca="1">K55*参数输入表!$I$1042</f>
        <v>0</v>
      </c>
      <c r="L57" s="79">
        <f ca="1">L55*参数输入表!$I$1042</f>
        <v>0</v>
      </c>
      <c r="M57" s="79">
        <f ca="1">M55*参数输入表!$I$1042</f>
        <v>391.883042916966</v>
      </c>
      <c r="N57" s="79">
        <f ca="1">N55*参数输入表!$I$1042</f>
        <v>534.193736556501</v>
      </c>
      <c r="O57" s="79">
        <f ca="1">O55*参数输入表!$I$1042</f>
        <v>621.613674108663</v>
      </c>
      <c r="P57" s="79">
        <f ca="1">P55*参数输入表!$I$1042</f>
        <v>720.325403077917</v>
      </c>
      <c r="Q57" s="79">
        <f ca="1">Q55*参数输入表!$I$1042</f>
        <v>816.325031222356</v>
      </c>
      <c r="R57" s="79">
        <f ca="1">R55*参数输入表!$I$1042</f>
        <v>906.787119490528</v>
      </c>
      <c r="S57" s="79">
        <f ca="1">S55*参数输入表!$I$1042</f>
        <v>970.941089944109</v>
      </c>
      <c r="T57" s="79">
        <f ca="1">T55*参数输入表!$I$1042</f>
        <v>982.104807997072</v>
      </c>
      <c r="U57" s="79">
        <f ca="1">U55*参数输入表!$I$1042</f>
        <v>1028.69479230081</v>
      </c>
      <c r="V57" s="79">
        <f ca="1">V55*参数输入表!$I$1042</f>
        <v>1076.03519374994</v>
      </c>
      <c r="W57" s="79">
        <f ca="1">W55*参数输入表!$I$1042</f>
        <v>1123.79358650153</v>
      </c>
      <c r="X57" s="79">
        <f ca="1">X55*参数输入表!$I$1042</f>
        <v>1162.33569767816</v>
      </c>
      <c r="Y57" s="79">
        <f ca="1">Y55*参数输入表!$I$1042</f>
        <v>1105.04194514502</v>
      </c>
      <c r="Z57" s="79">
        <f ca="1">Z55*参数输入表!$I$1042</f>
        <v>1130.81588392426</v>
      </c>
      <c r="AA57" s="79">
        <f ca="1">AA55*参数输入表!$I$1042</f>
        <v>1184.63686802092</v>
      </c>
      <c r="AB57" s="79">
        <f ca="1">AB55*参数输入表!$I$1042</f>
        <v>1261.55125909581</v>
      </c>
      <c r="AC57" s="79">
        <f ca="1">AC55*参数输入表!$I$1042</f>
        <v>1362.21830409758</v>
      </c>
      <c r="AD57" s="79">
        <f ca="1">AD55*参数输入表!$I$1042</f>
        <v>1490.78814623966</v>
      </c>
      <c r="AE57" s="79">
        <f ca="1">AE55*参数输入表!$I$1042</f>
        <v>1707.21691972912</v>
      </c>
      <c r="AF57" s="79">
        <f ca="1">AF55*参数输入表!$I$1042</f>
        <v>1952.22642133272</v>
      </c>
      <c r="AG57" s="79">
        <f ca="1">AG55*参数输入表!$I$1042</f>
        <v>2079.51937141102</v>
      </c>
      <c r="AH57" s="79">
        <f ca="1">AH55*参数输入表!$I$1042</f>
        <v>2177.58655659106</v>
      </c>
      <c r="AI57" s="79">
        <f ca="1">AI55*参数输入表!$I$1042</f>
        <v>2209.4990112825</v>
      </c>
      <c r="AJ57" s="79">
        <f ca="1">AJ55*参数输入表!$I$1042</f>
        <v>2199.59075440177</v>
      </c>
      <c r="AK57" s="79">
        <f ca="1">AK55*参数输入表!$I$1042</f>
        <v>2199.59075440177</v>
      </c>
      <c r="AL57" s="79">
        <f ca="1">AL55*参数输入表!$I$1042</f>
        <v>2199.59075440177</v>
      </c>
      <c r="AM57" s="79">
        <f ca="1">AM55*参数输入表!$I$1042</f>
        <v>2199.83846082378</v>
      </c>
      <c r="AN57" s="79">
        <f ca="1">AN55*参数输入表!$I$1042</f>
        <v>2200.62615263185</v>
      </c>
      <c r="AO57" s="79">
        <f ca="1">AO55*参数输入表!$I$1042</f>
        <v>2199.59075440177</v>
      </c>
      <c r="AP57" s="79">
        <f ca="1">AP55*参数输入表!$I$1042</f>
        <v>2745.56174598664</v>
      </c>
      <c r="AQ57" s="79">
        <f ca="1">AQ55*参数输入表!$I$1042</f>
        <v>3509.92113420547</v>
      </c>
      <c r="AR57" s="79">
        <f ca="1">AR55*参数输入表!$I$1042</f>
        <v>3510.16884062749</v>
      </c>
      <c r="AS57" s="79">
        <f ca="1">AS55*参数输入表!$I$1042</f>
        <v>3509.63571116775</v>
      </c>
      <c r="AT57" s="79">
        <f ca="1">AT55*参数输入表!$I$1042</f>
        <v>3499.72745428702</v>
      </c>
      <c r="AU57" s="79">
        <f ca="1">AU55*参数输入表!$I$1042</f>
        <v>3499.72745428702</v>
      </c>
      <c r="AV57" s="79">
        <f ca="1">AV55*参数输入表!$I$1042</f>
        <v>3497.99736579144</v>
      </c>
      <c r="AW57" s="79">
        <f ca="1">AW55*参数输入表!$I$1042</f>
        <v>3497.20967398337</v>
      </c>
      <c r="AX57" s="79">
        <f ca="1">AX55*参数输入表!$I$1042</f>
        <v>3496.96196756135</v>
      </c>
      <c r="AY57" s="79">
        <f ca="1">AY55*参数输入表!$I$1042</f>
        <v>3489.56441404453</v>
      </c>
      <c r="AZ57" s="79">
        <f ca="1">AZ55*参数输入表!$I$1042</f>
        <v>3489.31670762251</v>
      </c>
      <c r="BA57" s="79">
        <f ca="1">BA55*参数输入表!$I$1042</f>
        <v>1960.75150988602</v>
      </c>
    </row>
    <row r="58" s="139" customFormat="1" spans="2:53">
      <c r="B58" s="27" t="s">
        <v>885</v>
      </c>
      <c r="C58" s="194" t="s">
        <v>886</v>
      </c>
      <c r="D58" s="195">
        <f ca="1" t="shared" si="19"/>
        <v>1170468.12277337</v>
      </c>
      <c r="E58" s="80" t="s">
        <v>130</v>
      </c>
      <c r="F58" s="170">
        <f ca="1">F42-F56-F57</f>
        <v>0</v>
      </c>
      <c r="G58" s="170">
        <f ca="1" t="shared" ref="G58:BA58" si="21">G42-G56-G57</f>
        <v>0</v>
      </c>
      <c r="H58" s="170">
        <f ca="1" t="shared" si="21"/>
        <v>0</v>
      </c>
      <c r="I58" s="170">
        <f ca="1" t="shared" si="21"/>
        <v>0</v>
      </c>
      <c r="J58" s="170">
        <f ca="1" t="shared" si="21"/>
        <v>0</v>
      </c>
      <c r="K58" s="170">
        <f ca="1" t="shared" si="21"/>
        <v>0</v>
      </c>
      <c r="L58" s="170">
        <f ca="1" t="shared" si="21"/>
        <v>0</v>
      </c>
      <c r="M58" s="170">
        <f ca="1" t="shared" si="21"/>
        <v>7445.77781542236</v>
      </c>
      <c r="N58" s="170">
        <f ca="1" t="shared" si="21"/>
        <v>10749.6809945735</v>
      </c>
      <c r="O58" s="170">
        <f ca="1" t="shared" si="21"/>
        <v>12410.6598080646</v>
      </c>
      <c r="P58" s="170">
        <f ca="1" t="shared" si="21"/>
        <v>12485.3691507856</v>
      </c>
      <c r="Q58" s="170">
        <f ca="1" t="shared" si="21"/>
        <v>14069.3630151689</v>
      </c>
      <c r="R58" s="170">
        <f ca="1" t="shared" si="21"/>
        <v>15561.9874715937</v>
      </c>
      <c r="S58" s="170">
        <f ca="1" t="shared" si="21"/>
        <v>14193.1752592175</v>
      </c>
      <c r="T58" s="170">
        <f ca="1" t="shared" si="21"/>
        <v>14349.467311959</v>
      </c>
      <c r="U58" s="170">
        <f ca="1" t="shared" si="21"/>
        <v>15001.7270922113</v>
      </c>
      <c r="V58" s="170">
        <f ca="1" t="shared" si="21"/>
        <v>15664.4927124991</v>
      </c>
      <c r="W58" s="170">
        <f ca="1" t="shared" si="21"/>
        <v>16333.1102110214</v>
      </c>
      <c r="X58" s="170">
        <f ca="1" t="shared" si="21"/>
        <v>16872.6997674942</v>
      </c>
      <c r="Y58" s="170">
        <f ca="1" t="shared" si="21"/>
        <v>16070.5872320302</v>
      </c>
      <c r="Z58" s="170">
        <f ca="1" t="shared" si="21"/>
        <v>16431.4223749397</v>
      </c>
      <c r="AA58" s="170">
        <f ca="1" t="shared" si="21"/>
        <v>17184.9161522929</v>
      </c>
      <c r="AB58" s="170">
        <f ca="1" t="shared" si="21"/>
        <v>18261.7176273413</v>
      </c>
      <c r="AC58" s="170">
        <f ca="1" t="shared" si="21"/>
        <v>19671.0562573661</v>
      </c>
      <c r="AD58" s="170">
        <f ca="1" t="shared" si="21"/>
        <v>21471.0340473552</v>
      </c>
      <c r="AE58" s="170">
        <f ca="1" t="shared" si="21"/>
        <v>24501.0368762077</v>
      </c>
      <c r="AF58" s="170">
        <f ca="1" t="shared" si="21"/>
        <v>27931.169898658</v>
      </c>
      <c r="AG58" s="170">
        <f ca="1" t="shared" si="21"/>
        <v>29713.2711997543</v>
      </c>
      <c r="AH58" s="170">
        <f ca="1" t="shared" si="21"/>
        <v>31086.2117922749</v>
      </c>
      <c r="AI58" s="170">
        <f ca="1" t="shared" si="21"/>
        <v>31532.986157955</v>
      </c>
      <c r="AJ58" s="170">
        <f ca="1" t="shared" si="21"/>
        <v>31394.2705616247</v>
      </c>
      <c r="AK58" s="170">
        <f ca="1" t="shared" si="21"/>
        <v>31394.2705616247</v>
      </c>
      <c r="AL58" s="170">
        <f ca="1" t="shared" si="21"/>
        <v>31394.2705616247</v>
      </c>
      <c r="AM58" s="170">
        <f ca="1" t="shared" si="21"/>
        <v>31397.738451533</v>
      </c>
      <c r="AN58" s="170">
        <f ca="1" t="shared" si="21"/>
        <v>31408.7661368459</v>
      </c>
      <c r="AO58" s="170">
        <f ca="1" t="shared" si="21"/>
        <v>31394.2705616247</v>
      </c>
      <c r="AP58" s="170">
        <f ca="1" t="shared" si="21"/>
        <v>39037.864443813</v>
      </c>
      <c r="AQ58" s="170">
        <f ca="1" t="shared" si="21"/>
        <v>49738.8958788765</v>
      </c>
      <c r="AR58" s="170">
        <f ca="1" t="shared" si="21"/>
        <v>49742.3637687848</v>
      </c>
      <c r="AS58" s="170">
        <f ca="1" t="shared" si="21"/>
        <v>49734.8999563485</v>
      </c>
      <c r="AT58" s="170">
        <f ca="1" t="shared" si="21"/>
        <v>49596.1843600182</v>
      </c>
      <c r="AU58" s="170">
        <f ca="1" t="shared" si="21"/>
        <v>49596.1843600182</v>
      </c>
      <c r="AV58" s="170">
        <f ca="1" t="shared" si="21"/>
        <v>49571.9631210802</v>
      </c>
      <c r="AW58" s="170">
        <f ca="1" t="shared" si="21"/>
        <v>49560.9354357672</v>
      </c>
      <c r="AX58" s="170">
        <f ca="1" t="shared" si="21"/>
        <v>49557.4675458589</v>
      </c>
      <c r="AY58" s="170">
        <f ca="1" t="shared" si="21"/>
        <v>49453.9017966235</v>
      </c>
      <c r="AZ58" s="170">
        <f ca="1" t="shared" si="21"/>
        <v>49450.4339067152</v>
      </c>
      <c r="BA58" s="170">
        <f ca="1" t="shared" si="21"/>
        <v>28050.5211384043</v>
      </c>
    </row>
    <row r="59" s="139" customFormat="1" spans="2:53">
      <c r="B59" s="27"/>
      <c r="C59" s="159" t="s">
        <v>887</v>
      </c>
      <c r="D59" s="34">
        <f ca="1" t="shared" si="19"/>
        <v>678544.761057165</v>
      </c>
      <c r="E59" s="29" t="s">
        <v>130</v>
      </c>
      <c r="F59" s="51">
        <v>0</v>
      </c>
      <c r="G59" s="124">
        <f ca="1">F68</f>
        <v>0</v>
      </c>
      <c r="H59" s="124">
        <f ca="1" t="shared" ref="H59:R59" si="22">G68</f>
        <v>0</v>
      </c>
      <c r="I59" s="124">
        <f ca="1" t="shared" si="22"/>
        <v>0</v>
      </c>
      <c r="J59" s="124">
        <f ca="1" t="shared" si="22"/>
        <v>0</v>
      </c>
      <c r="K59" s="124">
        <f ca="1" t="shared" si="22"/>
        <v>0</v>
      </c>
      <c r="L59" s="124">
        <f ca="1" t="shared" si="22"/>
        <v>0</v>
      </c>
      <c r="M59" s="124">
        <f ca="1" t="shared" si="22"/>
        <v>0</v>
      </c>
      <c r="N59" s="124">
        <f ca="1" t="shared" si="22"/>
        <v>2546.45601287445</v>
      </c>
      <c r="O59" s="124">
        <f ca="1" t="shared" si="22"/>
        <v>4547.2788565472</v>
      </c>
      <c r="P59" s="124">
        <f ca="1" t="shared" si="22"/>
        <v>5799.61502329723</v>
      </c>
      <c r="Q59" s="124">
        <f ca="1" t="shared" si="22"/>
        <v>6480.88841867581</v>
      </c>
      <c r="R59" s="124">
        <f ca="1" t="shared" si="22"/>
        <v>7809.09554486098</v>
      </c>
      <c r="S59" s="42">
        <f ca="1" t="shared" ref="S59:AL59" si="23">R68</f>
        <v>8881.01154625278</v>
      </c>
      <c r="T59" s="42">
        <f ca="1" t="shared" si="23"/>
        <v>8768.19098607872</v>
      </c>
      <c r="U59" s="42">
        <f ca="1" t="shared" si="23"/>
        <v>8784.71015325434</v>
      </c>
      <c r="V59" s="42">
        <f ca="1" t="shared" si="23"/>
        <v>9038.84615327693</v>
      </c>
      <c r="W59" s="42">
        <f ca="1" t="shared" si="23"/>
        <v>9387.26876899489</v>
      </c>
      <c r="X59" s="42">
        <f ca="1" t="shared" si="23"/>
        <v>9773.74401240619</v>
      </c>
      <c r="Y59" s="42">
        <f ca="1" t="shared" si="23"/>
        <v>10125.6486363622</v>
      </c>
      <c r="Z59" s="42">
        <f ca="1" t="shared" si="23"/>
        <v>9954.56962998911</v>
      </c>
      <c r="AA59" s="42">
        <f ca="1" t="shared" si="23"/>
        <v>10026.6769618729</v>
      </c>
      <c r="AB59" s="42">
        <f ca="1" t="shared" si="23"/>
        <v>10340.405383383</v>
      </c>
      <c r="AC59" s="42">
        <f ca="1" t="shared" si="23"/>
        <v>10868.8067440752</v>
      </c>
      <c r="AD59" s="42">
        <f ca="1" t="shared" si="23"/>
        <v>11605.1479405477</v>
      </c>
      <c r="AE59" s="42">
        <f ca="1" t="shared" si="23"/>
        <v>12568.9491554031</v>
      </c>
      <c r="AF59" s="42">
        <f ca="1" t="shared" si="23"/>
        <v>14086.5946920121</v>
      </c>
      <c r="AG59" s="42">
        <f ca="1" t="shared" si="23"/>
        <v>15966.7505444546</v>
      </c>
      <c r="AH59" s="42">
        <f ca="1" t="shared" si="23"/>
        <v>17358.4082627994</v>
      </c>
      <c r="AI59" s="42">
        <f ca="1" t="shared" si="23"/>
        <v>18408.9556209282</v>
      </c>
      <c r="AJ59" s="42">
        <f ca="1" t="shared" si="23"/>
        <v>18977.9378759756</v>
      </c>
      <c r="AK59" s="42">
        <f ca="1" t="shared" si="23"/>
        <v>19141.4392062881</v>
      </c>
      <c r="AL59" s="42">
        <f ca="1" t="shared" si="23"/>
        <v>19203.5697118069</v>
      </c>
      <c r="AM59" s="42">
        <f ca="1" t="shared" ref="AM59:BA59" si="24">AL68</f>
        <v>19227.179303904</v>
      </c>
      <c r="AN59" s="42">
        <f ca="1" t="shared" si="24"/>
        <v>19237.468747066</v>
      </c>
      <c r="AO59" s="42">
        <f ca="1" t="shared" si="24"/>
        <v>19245.5692558866</v>
      </c>
      <c r="AP59" s="42">
        <f ca="1" t="shared" si="24"/>
        <v>19243.1391306543</v>
      </c>
      <c r="AQ59" s="42">
        <f ca="1" t="shared" si="24"/>
        <v>22146.7813582976</v>
      </c>
      <c r="AR59" s="42">
        <f ca="1" t="shared" si="24"/>
        <v>27316.5573501262</v>
      </c>
      <c r="AS59" s="42">
        <f ca="1" t="shared" si="24"/>
        <v>29282.3900251862</v>
      </c>
      <c r="AT59" s="42">
        <f ca="1" t="shared" si="24"/>
        <v>30026.5701929832</v>
      </c>
      <c r="AU59" s="42">
        <f ca="1" t="shared" si="24"/>
        <v>30256.6467301405</v>
      </c>
      <c r="AV59" s="42">
        <f ca="1" t="shared" si="24"/>
        <v>30344.0758142603</v>
      </c>
      <c r="AW59" s="42">
        <f ca="1" t="shared" si="24"/>
        <v>30368.0947954294</v>
      </c>
      <c r="AX59" s="42">
        <f ca="1" t="shared" si="24"/>
        <v>30373.0314878547</v>
      </c>
      <c r="AY59" s="42">
        <f ca="1" t="shared" si="24"/>
        <v>30373.5896328112</v>
      </c>
      <c r="AZ59" s="42">
        <f ca="1" t="shared" si="24"/>
        <v>30334.4467431852</v>
      </c>
      <c r="BA59" s="43">
        <f ca="1" t="shared" si="24"/>
        <v>30318.2546469621</v>
      </c>
    </row>
    <row r="60" s="140" customFormat="1" spans="2:53">
      <c r="B60" s="71"/>
      <c r="C60" s="196" t="s">
        <v>888</v>
      </c>
      <c r="D60" s="51">
        <f ca="1" t="shared" si="19"/>
        <v>1849012.88383054</v>
      </c>
      <c r="E60" s="50" t="s">
        <v>130</v>
      </c>
      <c r="F60" s="124">
        <f ca="1">F58+F59</f>
        <v>0</v>
      </c>
      <c r="G60" s="124">
        <f ca="1" t="shared" ref="G60:BA60" si="25">G58+G59</f>
        <v>0</v>
      </c>
      <c r="H60" s="124">
        <f ca="1" t="shared" si="25"/>
        <v>0</v>
      </c>
      <c r="I60" s="124">
        <f ca="1" t="shared" si="25"/>
        <v>0</v>
      </c>
      <c r="J60" s="124">
        <f ca="1" t="shared" si="25"/>
        <v>0</v>
      </c>
      <c r="K60" s="124">
        <f ca="1" t="shared" si="25"/>
        <v>0</v>
      </c>
      <c r="L60" s="124">
        <f ca="1" t="shared" si="25"/>
        <v>0</v>
      </c>
      <c r="M60" s="124">
        <f ca="1" t="shared" si="25"/>
        <v>7445.77781542236</v>
      </c>
      <c r="N60" s="124">
        <f ca="1" t="shared" si="25"/>
        <v>13296.137007448</v>
      </c>
      <c r="O60" s="124">
        <f ca="1" t="shared" si="25"/>
        <v>16957.9386646118</v>
      </c>
      <c r="P60" s="124">
        <f ca="1" t="shared" si="25"/>
        <v>18284.9841740829</v>
      </c>
      <c r="Q60" s="124">
        <f ca="1" t="shared" si="25"/>
        <v>20550.2514338447</v>
      </c>
      <c r="R60" s="124">
        <f ca="1" t="shared" si="25"/>
        <v>23371.0830164547</v>
      </c>
      <c r="S60" s="124">
        <f ca="1" t="shared" si="25"/>
        <v>23074.1868054703</v>
      </c>
      <c r="T60" s="124">
        <f ca="1" t="shared" si="25"/>
        <v>23117.6582980377</v>
      </c>
      <c r="U60" s="124">
        <f ca="1" t="shared" si="25"/>
        <v>23786.4372454656</v>
      </c>
      <c r="V60" s="124">
        <f ca="1" t="shared" si="25"/>
        <v>24703.338865776</v>
      </c>
      <c r="W60" s="124">
        <f ca="1" t="shared" si="25"/>
        <v>25720.3789800163</v>
      </c>
      <c r="X60" s="124">
        <f ca="1" t="shared" si="25"/>
        <v>26646.4437799004</v>
      </c>
      <c r="Y60" s="124">
        <f ca="1" t="shared" si="25"/>
        <v>26196.2358683924</v>
      </c>
      <c r="Z60" s="124">
        <f ca="1" t="shared" si="25"/>
        <v>26385.9920049288</v>
      </c>
      <c r="AA60" s="124">
        <f ca="1" t="shared" si="25"/>
        <v>27211.5931141658</v>
      </c>
      <c r="AB60" s="124">
        <f ca="1" t="shared" si="25"/>
        <v>28602.1230107243</v>
      </c>
      <c r="AC60" s="124">
        <f ca="1" t="shared" si="25"/>
        <v>30539.8630014414</v>
      </c>
      <c r="AD60" s="124">
        <f ca="1" t="shared" si="25"/>
        <v>33076.1819879029</v>
      </c>
      <c r="AE60" s="124">
        <f ca="1" t="shared" si="25"/>
        <v>37069.9860316108</v>
      </c>
      <c r="AF60" s="124">
        <f ca="1" t="shared" si="25"/>
        <v>42017.7645906701</v>
      </c>
      <c r="AG60" s="124">
        <f ca="1" t="shared" si="25"/>
        <v>45680.021744209</v>
      </c>
      <c r="AH60" s="124">
        <f ca="1" t="shared" si="25"/>
        <v>48444.6200550743</v>
      </c>
      <c r="AI60" s="124">
        <f ca="1" t="shared" si="25"/>
        <v>49941.9417788832</v>
      </c>
      <c r="AJ60" s="124">
        <f ca="1" t="shared" si="25"/>
        <v>50372.2084376003</v>
      </c>
      <c r="AK60" s="124">
        <f ca="1" t="shared" si="25"/>
        <v>50535.7097679128</v>
      </c>
      <c r="AL60" s="124">
        <f ca="1" t="shared" si="25"/>
        <v>50597.8402734316</v>
      </c>
      <c r="AM60" s="124">
        <f ca="1" t="shared" si="25"/>
        <v>50624.917755437</v>
      </c>
      <c r="AN60" s="124">
        <f ca="1" t="shared" si="25"/>
        <v>50646.234883912</v>
      </c>
      <c r="AO60" s="124">
        <f ca="1" t="shared" si="25"/>
        <v>50639.8398175113</v>
      </c>
      <c r="AP60" s="124">
        <f ca="1" t="shared" si="25"/>
        <v>58281.0035744673</v>
      </c>
      <c r="AQ60" s="124">
        <f ca="1" t="shared" si="25"/>
        <v>71885.6772371741</v>
      </c>
      <c r="AR60" s="124">
        <f ca="1" t="shared" si="25"/>
        <v>77058.9211189109</v>
      </c>
      <c r="AS60" s="124">
        <f ca="1" t="shared" si="25"/>
        <v>79017.2899815347</v>
      </c>
      <c r="AT60" s="124">
        <f ca="1" t="shared" si="25"/>
        <v>79622.7545530014</v>
      </c>
      <c r="AU60" s="124">
        <f ca="1" t="shared" si="25"/>
        <v>79852.8310901588</v>
      </c>
      <c r="AV60" s="124">
        <f ca="1" t="shared" si="25"/>
        <v>79916.0389353405</v>
      </c>
      <c r="AW60" s="124">
        <f ca="1" t="shared" si="25"/>
        <v>79929.0302311966</v>
      </c>
      <c r="AX60" s="124">
        <f ca="1" t="shared" si="25"/>
        <v>79930.4990337136</v>
      </c>
      <c r="AY60" s="124">
        <f ca="1" t="shared" si="25"/>
        <v>79827.4914294346</v>
      </c>
      <c r="AZ60" s="124">
        <f ca="1" t="shared" si="25"/>
        <v>79784.8806499004</v>
      </c>
      <c r="BA60" s="124">
        <f ca="1" t="shared" si="25"/>
        <v>58368.7757853664</v>
      </c>
    </row>
    <row r="61" s="139" customFormat="1" spans="2:53">
      <c r="B61" s="27"/>
      <c r="C61" s="159" t="s">
        <v>889</v>
      </c>
      <c r="D61" s="34">
        <f ca="1" t="shared" si="19"/>
        <v>5000</v>
      </c>
      <c r="E61" s="29" t="s">
        <v>130</v>
      </c>
      <c r="F61" s="42">
        <v>0</v>
      </c>
      <c r="G61" s="42">
        <f ca="1">IF(F63&gt;=参数输入表!$I$244,0,IF(G60&lt;0,0,IF(G60*参数输入表!$I$245&gt;=G62,G62,G60*参数输入表!$I$245)))</f>
        <v>0</v>
      </c>
      <c r="H61" s="42">
        <f ca="1">IF(G63&gt;=参数输入表!$I$244,0,IF(H60&lt;0,0,IF(H60*参数输入表!$I$245&gt;=H62,H62,H60*参数输入表!$I$245)))</f>
        <v>0</v>
      </c>
      <c r="I61" s="42">
        <f ca="1">IF(H63&gt;=参数输入表!$I$244,0,IF(I60&lt;0,0,IF(I60*参数输入表!$I$245&gt;=I62,I62,I60*参数输入表!$I$245)))</f>
        <v>0</v>
      </c>
      <c r="J61" s="42">
        <f ca="1">IF(I63&gt;=参数输入表!$I$244,0,IF(J60&lt;0,0,IF(J60*参数输入表!$I$245&gt;=J62,J62,J60*参数输入表!$I$245)))</f>
        <v>0</v>
      </c>
      <c r="K61" s="42">
        <f ca="1">IF(J63&gt;=参数输入表!$I$244,0,IF(K60&lt;0,0,IF(K60*参数输入表!$I$245&gt;=K62,K62,K60*参数输入表!$I$245)))</f>
        <v>0</v>
      </c>
      <c r="L61" s="42">
        <f ca="1">IF(K63&gt;=参数输入表!$I$244,0,IF(L60&lt;0,0,IF(L60*参数输入表!$I$245&gt;=L62,L62,L60*参数输入表!$I$245)))</f>
        <v>0</v>
      </c>
      <c r="M61" s="42">
        <f ca="1">IF(L63&gt;=参数输入表!$I$244,0,IF(M60&lt;0,0,IF(M60*参数输入表!$I$245&gt;=M62,M62,M60*参数输入表!$I$245)))</f>
        <v>744.577781542236</v>
      </c>
      <c r="N61" s="42">
        <f ca="1">IF(M63&gt;=参数输入表!$I$244,0,IF(N60&lt;0,0,IF(N60*参数输入表!$I$245&gt;=N62,N62,N60*参数输入表!$I$245)))</f>
        <v>1329.6137007448</v>
      </c>
      <c r="O61" s="42">
        <f ca="1">IF(N63&gt;=参数输入表!$I$244,0,IF(O60&lt;0,0,IF(O60*参数输入表!$I$245&gt;=O62,O62,O60*参数输入表!$I$245)))</f>
        <v>1695.79386646118</v>
      </c>
      <c r="P61" s="42">
        <f ca="1">IF(O63&gt;=参数输入表!$I$244,0,IF(P60&lt;0,0,IF(P60*参数输入表!$I$245&gt;=P62,P62,P60*参数输入表!$I$245)))</f>
        <v>1230.01465125179</v>
      </c>
      <c r="Q61" s="42">
        <f ca="1">IF(P63&gt;=参数输入表!$I$244,0,IF(Q60&lt;0,0,IF(Q60*参数输入表!$I$245&gt;=Q62,Q62,Q60*参数输入表!$I$245)))</f>
        <v>0</v>
      </c>
      <c r="R61" s="42">
        <f ca="1">IF(Q63&gt;=参数输入表!$I$244,0,IF(R60&lt;0,0,IF(R60*参数输入表!$I$245&gt;=R62,R62,R60*参数输入表!$I$245)))</f>
        <v>0</v>
      </c>
      <c r="S61" s="42">
        <f ca="1">IF(R63&gt;=参数输入表!$I$244,0,IF(S60&lt;0,0,IF(S60*参数输入表!$I$245&gt;=S62,S62,S60*参数输入表!$I$245)))</f>
        <v>0</v>
      </c>
      <c r="T61" s="42">
        <f ca="1">IF(S63&gt;=参数输入表!$I$244,0,IF(T60&lt;0,0,IF(T60*参数输入表!$I$245&gt;=T62,T62,T60*参数输入表!$I$245)))</f>
        <v>0</v>
      </c>
      <c r="U61" s="42">
        <f ca="1">IF(T63&gt;=参数输入表!$I$244,0,IF(U60&lt;0,0,IF(U60*参数输入表!$I$245&gt;=U62,U62,U60*参数输入表!$I$245)))</f>
        <v>0</v>
      </c>
      <c r="V61" s="42">
        <f ca="1">IF(U63&gt;=参数输入表!$I$244,0,IF(V60&lt;0,0,IF(V60*参数输入表!$I$245&gt;=V62,V62,V60*参数输入表!$I$245)))</f>
        <v>0</v>
      </c>
      <c r="W61" s="42">
        <f ca="1">IF(V63&gt;=参数输入表!$I$244,0,IF(W60&lt;0,0,IF(W60*参数输入表!$I$245&gt;=W62,W62,W60*参数输入表!$I$245)))</f>
        <v>0</v>
      </c>
      <c r="X61" s="42">
        <f ca="1">IF(W63&gt;=参数输入表!$I$244,0,IF(X60&lt;0,0,IF(X60*参数输入表!$I$245&gt;=X62,X62,X60*参数输入表!$I$245)))</f>
        <v>0</v>
      </c>
      <c r="Y61" s="42">
        <f ca="1">IF(X63&gt;=参数输入表!$I$244,0,IF(Y60&lt;0,0,IF(Y60*参数输入表!$I$245&gt;=Y62,Y62,Y60*参数输入表!$I$245)))</f>
        <v>0</v>
      </c>
      <c r="Z61" s="42">
        <f ca="1">IF(Y63&gt;=参数输入表!$I$244,0,IF(Z60&lt;0,0,IF(Z60*参数输入表!$I$245&gt;=Z62,Z62,Z60*参数输入表!$I$245)))</f>
        <v>0</v>
      </c>
      <c r="AA61" s="42">
        <f ca="1">IF(Z63&gt;=参数输入表!$I$244,0,IF(AA60&lt;0,0,IF(AA60*参数输入表!$I$245&gt;=AA62,AA62,AA60*参数输入表!$I$245)))</f>
        <v>0</v>
      </c>
      <c r="AB61" s="42">
        <f ca="1">IF(AA63&gt;=参数输入表!$I$244,0,IF(AB60&lt;0,0,IF(AB60*参数输入表!$I$245&gt;=AB62,AB62,AB60*参数输入表!$I$245)))</f>
        <v>0</v>
      </c>
      <c r="AC61" s="42">
        <f ca="1">IF(AB63&gt;=参数输入表!$I$244,0,IF(AC60&lt;0,0,IF(AC60*参数输入表!$I$245&gt;=AC62,AC62,AC60*参数输入表!$I$245)))</f>
        <v>0</v>
      </c>
      <c r="AD61" s="42">
        <f ca="1">IF(AC63&gt;=参数输入表!$I$244,0,IF(AD60&lt;0,0,IF(AD60*参数输入表!$I$245&gt;=AD62,AD62,AD60*参数输入表!$I$245)))</f>
        <v>0</v>
      </c>
      <c r="AE61" s="42">
        <f ca="1">IF(AD63&gt;=参数输入表!$I$244,0,IF(AE60&lt;0,0,IF(AE60*参数输入表!$I$245&gt;=AE62,AE62,AE60*参数输入表!$I$245)))</f>
        <v>0</v>
      </c>
      <c r="AF61" s="42">
        <f ca="1">IF(AE63&gt;=参数输入表!$I$244,0,IF(AF60&lt;0,0,IF(AF60*参数输入表!$I$245&gt;=AF62,AF62,AF60*参数输入表!$I$245)))</f>
        <v>0</v>
      </c>
      <c r="AG61" s="42">
        <f ca="1">IF(AF63&gt;=参数输入表!$I$244,0,IF(AG60&lt;0,0,IF(AG60*参数输入表!$I$245&gt;=AG62,AG62,AG60*参数输入表!$I$245)))</f>
        <v>0</v>
      </c>
      <c r="AH61" s="42">
        <f ca="1">IF(AG63&gt;=参数输入表!$I$244,0,IF(AH60&lt;0,0,IF(AH60*参数输入表!$I$245&gt;=AH62,AH62,AH60*参数输入表!$I$245)))</f>
        <v>0</v>
      </c>
      <c r="AI61" s="42">
        <f ca="1">IF(AH63&gt;=参数输入表!$I$244,0,IF(AI60&lt;0,0,IF(AI60*参数输入表!$I$245&gt;=AI62,AI62,AI60*参数输入表!$I$245)))</f>
        <v>0</v>
      </c>
      <c r="AJ61" s="42">
        <f ca="1">IF(AI63&gt;=参数输入表!$I$244,0,IF(AJ60&lt;0,0,IF(AJ60*参数输入表!$I$245&gt;=AJ62,AJ62,AJ60*参数输入表!$I$245)))</f>
        <v>0</v>
      </c>
      <c r="AK61" s="42">
        <f ca="1">IF(AJ63&gt;=参数输入表!$I$244,0,IF(AK60&lt;0,0,IF(AK60*参数输入表!$I$245&gt;=AK62,AK62,AK60*参数输入表!$I$245)))</f>
        <v>0</v>
      </c>
      <c r="AL61" s="42">
        <f ca="1">IF(AK63&gt;=参数输入表!$I$244,0,IF(AL60&lt;0,0,IF(AL60*参数输入表!$I$245&gt;=AL62,AL62,AL60*参数输入表!$I$245)))</f>
        <v>0</v>
      </c>
      <c r="AM61" s="42">
        <f ca="1">IF(AL63&gt;=参数输入表!$I$244,0,IF(AM60&lt;0,0,IF(AM60*参数输入表!$I$245&gt;=AM62,AM62,AM60*参数输入表!$I$245)))</f>
        <v>0</v>
      </c>
      <c r="AN61" s="42">
        <f ca="1">IF(AM63&gt;=参数输入表!$I$244,0,IF(AN60&lt;0,0,IF(AN60*参数输入表!$I$245&gt;=AN62,AN62,AN60*参数输入表!$I$245)))</f>
        <v>0</v>
      </c>
      <c r="AO61" s="42">
        <f ca="1">IF(AN63&gt;=参数输入表!$I$244,0,IF(AO60&lt;0,0,IF(AO60*参数输入表!$I$245&gt;=AO62,AO62,AO60*参数输入表!$I$245)))</f>
        <v>0</v>
      </c>
      <c r="AP61" s="42">
        <f ca="1">IF(AO63&gt;=参数输入表!$I$244,0,IF(AP60&lt;0,0,IF(AP60*参数输入表!$I$245&gt;=AP62,AP62,AP60*参数输入表!$I$245)))</f>
        <v>0</v>
      </c>
      <c r="AQ61" s="42">
        <f ca="1">IF(AP63&gt;=参数输入表!$I$244,0,IF(AQ60&lt;0,0,IF(AQ60*参数输入表!$I$245&gt;=AQ62,AQ62,AQ60*参数输入表!$I$245)))</f>
        <v>0</v>
      </c>
      <c r="AR61" s="42">
        <f ca="1">IF(AQ63&gt;=参数输入表!$I$244,0,IF(AR60&lt;0,0,IF(AR60*参数输入表!$I$245&gt;=AR62,AR62,AR60*参数输入表!$I$245)))</f>
        <v>0</v>
      </c>
      <c r="AS61" s="42">
        <f ca="1">IF(AR63&gt;=参数输入表!$I$244,0,IF(AS60&lt;0,0,IF(AS60*参数输入表!$I$245&gt;=AS62,AS62,AS60*参数输入表!$I$245)))</f>
        <v>0</v>
      </c>
      <c r="AT61" s="42">
        <f ca="1">IF(AS63&gt;=参数输入表!$I$244,0,IF(AT60&lt;0,0,IF(AT60*参数输入表!$I$245&gt;=AT62,AT62,AT60*参数输入表!$I$245)))</f>
        <v>0</v>
      </c>
      <c r="AU61" s="42">
        <f ca="1">IF(AT63&gt;=参数输入表!$I$244,0,IF(AU60&lt;0,0,IF(AU60*参数输入表!$I$245&gt;=AU62,AU62,AU60*参数输入表!$I$245)))</f>
        <v>0</v>
      </c>
      <c r="AV61" s="42">
        <f ca="1">IF(AU63&gt;=参数输入表!$I$244,0,IF(AV60&lt;0,0,IF(AV60*参数输入表!$I$245&gt;=AV62,AV62,AV60*参数输入表!$I$245)))</f>
        <v>0</v>
      </c>
      <c r="AW61" s="42">
        <f ca="1">IF(AV63&gt;=参数输入表!$I$244,0,IF(AW60&lt;0,0,IF(AW60*参数输入表!$I$245&gt;=AW62,AW62,AW60*参数输入表!$I$245)))</f>
        <v>0</v>
      </c>
      <c r="AX61" s="42">
        <f ca="1">IF(AW63&gt;=参数输入表!$I$244,0,IF(AX60&lt;0,0,IF(AX60*参数输入表!$I$245&gt;=AX62,AX62,AX60*参数输入表!$I$245)))</f>
        <v>0</v>
      </c>
      <c r="AY61" s="42">
        <f ca="1">IF(AX63&gt;=参数输入表!$I$244,0,IF(AY60&lt;0,0,IF(AY60*参数输入表!$I$245&gt;=AY62,AY62,AY60*参数输入表!$I$245)))</f>
        <v>0</v>
      </c>
      <c r="AZ61" s="42">
        <f ca="1">IF(AY63&gt;=参数输入表!$I$244,0,IF(AZ60&lt;0,0,IF(AZ60*参数输入表!$I$245&gt;=AZ62,AZ62,AZ60*参数输入表!$I$245)))</f>
        <v>0</v>
      </c>
      <c r="BA61" s="43">
        <f ca="1">IF(AZ63&gt;=参数输入表!$I$244,0,IF(BA60&lt;0,0,IF(BA60*参数输入表!$I$245&gt;=BA62,BA62,BA60*参数输入表!$I$245)))</f>
        <v>0</v>
      </c>
    </row>
    <row r="62" s="139" customFormat="1" spans="2:53">
      <c r="B62" s="27"/>
      <c r="C62" s="148" t="s">
        <v>890</v>
      </c>
      <c r="D62" s="34">
        <f ca="1" t="shared" si="19"/>
        <v>48411.2453874225</v>
      </c>
      <c r="E62" s="29" t="s">
        <v>130</v>
      </c>
      <c r="F62" s="51">
        <f>参数输入表!$I$244</f>
        <v>5000</v>
      </c>
      <c r="G62" s="124">
        <f>参数输入表!$I$244-F63</f>
        <v>5000</v>
      </c>
      <c r="H62" s="124">
        <f ca="1">参数输入表!$I$244-G63</f>
        <v>5000</v>
      </c>
      <c r="I62" s="124">
        <f ca="1">参数输入表!$I$244-H63</f>
        <v>5000</v>
      </c>
      <c r="J62" s="124">
        <f ca="1">参数输入表!$I$244-I63</f>
        <v>5000</v>
      </c>
      <c r="K62" s="124">
        <f ca="1">参数输入表!$I$244-J63</f>
        <v>5000</v>
      </c>
      <c r="L62" s="124">
        <f ca="1">参数输入表!$I$244-K63</f>
        <v>5000</v>
      </c>
      <c r="M62" s="124">
        <f ca="1">参数输入表!$I$244-L63</f>
        <v>5000</v>
      </c>
      <c r="N62" s="124">
        <f ca="1">参数输入表!$I$244-M63</f>
        <v>4255.42221845776</v>
      </c>
      <c r="O62" s="124">
        <f ca="1">参数输入表!$I$244-N63</f>
        <v>2925.80851771297</v>
      </c>
      <c r="P62" s="124">
        <f ca="1">参数输入表!$I$244-O63</f>
        <v>1230.01465125179</v>
      </c>
      <c r="Q62" s="42">
        <f ca="1">参数输入表!$I$244-P63</f>
        <v>0</v>
      </c>
      <c r="R62" s="42">
        <f ca="1">参数输入表!$I$244-Q63</f>
        <v>0</v>
      </c>
      <c r="S62" s="42">
        <f ca="1">参数输入表!$I$244-R63</f>
        <v>0</v>
      </c>
      <c r="T62" s="42">
        <f ca="1">参数输入表!$I$244-S63</f>
        <v>0</v>
      </c>
      <c r="U62" s="42">
        <f ca="1">参数输入表!$I$244-T63</f>
        <v>0</v>
      </c>
      <c r="V62" s="42">
        <f ca="1">参数输入表!$I$244-U63</f>
        <v>0</v>
      </c>
      <c r="W62" s="42">
        <f ca="1">参数输入表!$I$244-V63</f>
        <v>0</v>
      </c>
      <c r="X62" s="42">
        <f ca="1">参数输入表!$I$244-W63</f>
        <v>0</v>
      </c>
      <c r="Y62" s="42">
        <f ca="1">参数输入表!$I$244-X63</f>
        <v>0</v>
      </c>
      <c r="Z62" s="42">
        <f ca="1">参数输入表!$I$244-Y63</f>
        <v>0</v>
      </c>
      <c r="AA62" s="42">
        <f ca="1">参数输入表!$I$244-Z63</f>
        <v>0</v>
      </c>
      <c r="AB62" s="42">
        <f ca="1">参数输入表!$I$244-AA63</f>
        <v>0</v>
      </c>
      <c r="AC62" s="42">
        <f ca="1">参数输入表!$I$244-AB63</f>
        <v>0</v>
      </c>
      <c r="AD62" s="42">
        <f ca="1">参数输入表!$I$244-AC63</f>
        <v>0</v>
      </c>
      <c r="AE62" s="42">
        <f ca="1">参数输入表!$I$244-AD63</f>
        <v>0</v>
      </c>
      <c r="AF62" s="42">
        <f ca="1">参数输入表!$I$244-AE63</f>
        <v>0</v>
      </c>
      <c r="AG62" s="42">
        <f ca="1">参数输入表!$I$244-AF63</f>
        <v>0</v>
      </c>
      <c r="AH62" s="42">
        <f ca="1">参数输入表!$I$244-AG63</f>
        <v>0</v>
      </c>
      <c r="AI62" s="42">
        <f ca="1">参数输入表!$I$244-AH63</f>
        <v>0</v>
      </c>
      <c r="AJ62" s="42">
        <f ca="1">参数输入表!$I$244-AI63</f>
        <v>0</v>
      </c>
      <c r="AK62" s="42">
        <f ca="1">参数输入表!$I$244-AJ63</f>
        <v>0</v>
      </c>
      <c r="AL62" s="42">
        <f ca="1">参数输入表!$I$244-AK63</f>
        <v>0</v>
      </c>
      <c r="AM62" s="42">
        <f ca="1">参数输入表!$I$244-AL63</f>
        <v>0</v>
      </c>
      <c r="AN62" s="42">
        <f ca="1">参数输入表!$I$244-AM63</f>
        <v>0</v>
      </c>
      <c r="AO62" s="42">
        <f ca="1">参数输入表!$I$244-AN63</f>
        <v>0</v>
      </c>
      <c r="AP62" s="42">
        <f ca="1">参数输入表!$I$244-AO63</f>
        <v>0</v>
      </c>
      <c r="AQ62" s="42">
        <f ca="1">参数输入表!$I$244-AP63</f>
        <v>0</v>
      </c>
      <c r="AR62" s="42">
        <f ca="1">参数输入表!$I$244-AQ63</f>
        <v>0</v>
      </c>
      <c r="AS62" s="42">
        <f ca="1">参数输入表!$I$244-AR63</f>
        <v>0</v>
      </c>
      <c r="AT62" s="42">
        <f ca="1">参数输入表!$I$244-AS63</f>
        <v>0</v>
      </c>
      <c r="AU62" s="42">
        <f ca="1">参数输入表!$I$244-AT63</f>
        <v>0</v>
      </c>
      <c r="AV62" s="42">
        <f ca="1">参数输入表!$I$244-AU63</f>
        <v>0</v>
      </c>
      <c r="AW62" s="42">
        <f ca="1">参数输入表!$I$244-AV63</f>
        <v>0</v>
      </c>
      <c r="AX62" s="42">
        <f ca="1">参数输入表!$I$244-AW63</f>
        <v>0</v>
      </c>
      <c r="AY62" s="42">
        <f ca="1">参数输入表!$I$244-AX63</f>
        <v>0</v>
      </c>
      <c r="AZ62" s="42">
        <f ca="1">参数输入表!$I$244-AY63</f>
        <v>0</v>
      </c>
      <c r="BA62" s="43">
        <f ca="1">参数输入表!$I$244-AZ63</f>
        <v>0</v>
      </c>
    </row>
    <row r="63" s="139" customFormat="1" spans="2:53">
      <c r="B63" s="27"/>
      <c r="C63" s="148" t="s">
        <v>891</v>
      </c>
      <c r="D63" s="34"/>
      <c r="E63" s="29" t="s">
        <v>130</v>
      </c>
      <c r="F63" s="124">
        <f>F61</f>
        <v>0</v>
      </c>
      <c r="G63" s="124">
        <f ca="1">G61+F63</f>
        <v>0</v>
      </c>
      <c r="H63" s="124">
        <f ca="1" t="shared" ref="H63:P63" si="26">H61+G63</f>
        <v>0</v>
      </c>
      <c r="I63" s="124">
        <f ca="1" t="shared" si="26"/>
        <v>0</v>
      </c>
      <c r="J63" s="124">
        <f ca="1" t="shared" si="26"/>
        <v>0</v>
      </c>
      <c r="K63" s="124">
        <f ca="1" t="shared" si="26"/>
        <v>0</v>
      </c>
      <c r="L63" s="124">
        <f ca="1" t="shared" si="26"/>
        <v>0</v>
      </c>
      <c r="M63" s="124">
        <f ca="1" t="shared" si="26"/>
        <v>744.577781542236</v>
      </c>
      <c r="N63" s="124">
        <f ca="1" t="shared" si="26"/>
        <v>2074.19148228703</v>
      </c>
      <c r="O63" s="124">
        <f ca="1" t="shared" si="26"/>
        <v>3769.98534874821</v>
      </c>
      <c r="P63" s="124">
        <f ca="1" t="shared" si="26"/>
        <v>5000</v>
      </c>
      <c r="Q63" s="42">
        <f ca="1" t="shared" ref="Q63:AL63" si="27">Q61+P63</f>
        <v>5000</v>
      </c>
      <c r="R63" s="42">
        <f ca="1" t="shared" si="27"/>
        <v>5000</v>
      </c>
      <c r="S63" s="42">
        <f ca="1" t="shared" si="27"/>
        <v>5000</v>
      </c>
      <c r="T63" s="42">
        <f ca="1" t="shared" si="27"/>
        <v>5000</v>
      </c>
      <c r="U63" s="42">
        <f ca="1" t="shared" si="27"/>
        <v>5000</v>
      </c>
      <c r="V63" s="42">
        <f ca="1" t="shared" si="27"/>
        <v>5000</v>
      </c>
      <c r="W63" s="42">
        <f ca="1" t="shared" si="27"/>
        <v>5000</v>
      </c>
      <c r="X63" s="42">
        <f ca="1" t="shared" si="27"/>
        <v>5000</v>
      </c>
      <c r="Y63" s="42">
        <f ca="1" t="shared" si="27"/>
        <v>5000</v>
      </c>
      <c r="Z63" s="42">
        <f ca="1" t="shared" si="27"/>
        <v>5000</v>
      </c>
      <c r="AA63" s="42">
        <f ca="1" t="shared" si="27"/>
        <v>5000</v>
      </c>
      <c r="AB63" s="42">
        <f ca="1" t="shared" si="27"/>
        <v>5000</v>
      </c>
      <c r="AC63" s="42">
        <f ca="1" t="shared" si="27"/>
        <v>5000</v>
      </c>
      <c r="AD63" s="42">
        <f ca="1" t="shared" si="27"/>
        <v>5000</v>
      </c>
      <c r="AE63" s="42">
        <f ca="1" t="shared" si="27"/>
        <v>5000</v>
      </c>
      <c r="AF63" s="42">
        <f ca="1" t="shared" si="27"/>
        <v>5000</v>
      </c>
      <c r="AG63" s="42">
        <f ca="1" t="shared" si="27"/>
        <v>5000</v>
      </c>
      <c r="AH63" s="42">
        <f ca="1" t="shared" si="27"/>
        <v>5000</v>
      </c>
      <c r="AI63" s="42">
        <f ca="1" t="shared" si="27"/>
        <v>5000</v>
      </c>
      <c r="AJ63" s="42">
        <f ca="1" t="shared" si="27"/>
        <v>5000</v>
      </c>
      <c r="AK63" s="42">
        <f ca="1" t="shared" si="27"/>
        <v>5000</v>
      </c>
      <c r="AL63" s="42">
        <f ca="1" t="shared" si="27"/>
        <v>5000</v>
      </c>
      <c r="AM63" s="42">
        <f ca="1" t="shared" ref="AM63:BA63" si="28">AM61+AL63</f>
        <v>5000</v>
      </c>
      <c r="AN63" s="42">
        <f ca="1" t="shared" si="28"/>
        <v>5000</v>
      </c>
      <c r="AO63" s="42">
        <f ca="1" t="shared" si="28"/>
        <v>5000</v>
      </c>
      <c r="AP63" s="42">
        <f ca="1" t="shared" si="28"/>
        <v>5000</v>
      </c>
      <c r="AQ63" s="42">
        <f ca="1" t="shared" si="28"/>
        <v>5000</v>
      </c>
      <c r="AR63" s="42">
        <f ca="1" t="shared" si="28"/>
        <v>5000</v>
      </c>
      <c r="AS63" s="42">
        <f ca="1" t="shared" si="28"/>
        <v>5000</v>
      </c>
      <c r="AT63" s="42">
        <f ca="1" t="shared" si="28"/>
        <v>5000</v>
      </c>
      <c r="AU63" s="42">
        <f ca="1" t="shared" si="28"/>
        <v>5000</v>
      </c>
      <c r="AV63" s="42">
        <f ca="1" t="shared" si="28"/>
        <v>5000</v>
      </c>
      <c r="AW63" s="42">
        <f ca="1" t="shared" si="28"/>
        <v>5000</v>
      </c>
      <c r="AX63" s="42">
        <f ca="1" t="shared" si="28"/>
        <v>5000</v>
      </c>
      <c r="AY63" s="42">
        <f ca="1" t="shared" si="28"/>
        <v>5000</v>
      </c>
      <c r="AZ63" s="42">
        <f ca="1" t="shared" si="28"/>
        <v>5000</v>
      </c>
      <c r="BA63" s="43">
        <f ca="1" t="shared" si="28"/>
        <v>5000</v>
      </c>
    </row>
    <row r="64" s="139" customFormat="1" spans="2:53">
      <c r="B64" s="27"/>
      <c r="C64" s="159" t="s">
        <v>892</v>
      </c>
      <c r="D64" s="34">
        <f ca="1" t="shared" ref="D64:D68" si="29">SUM(F64:BA64)</f>
        <v>1844012.88383054</v>
      </c>
      <c r="E64" s="29" t="s">
        <v>130</v>
      </c>
      <c r="F64" s="124">
        <f ca="1">F60-F61</f>
        <v>0</v>
      </c>
      <c r="G64" s="124">
        <f ca="1">G60-G61</f>
        <v>0</v>
      </c>
      <c r="H64" s="124">
        <f ca="1" t="shared" ref="H64:O64" si="30">H60-H61</f>
        <v>0</v>
      </c>
      <c r="I64" s="124">
        <f ca="1" t="shared" si="30"/>
        <v>0</v>
      </c>
      <c r="J64" s="124">
        <f ca="1" t="shared" si="30"/>
        <v>0</v>
      </c>
      <c r="K64" s="124">
        <f ca="1" t="shared" si="30"/>
        <v>0</v>
      </c>
      <c r="L64" s="124">
        <f ca="1" t="shared" si="30"/>
        <v>0</v>
      </c>
      <c r="M64" s="124">
        <f ca="1" t="shared" si="30"/>
        <v>6701.20003388012</v>
      </c>
      <c r="N64" s="124">
        <f ca="1" t="shared" si="30"/>
        <v>11966.5233067032</v>
      </c>
      <c r="O64" s="124">
        <f ca="1" t="shared" si="30"/>
        <v>15262.1447981506</v>
      </c>
      <c r="P64" s="42">
        <f ca="1" t="shared" ref="P64:AL64" si="31">P60-P61</f>
        <v>17054.9695228311</v>
      </c>
      <c r="Q64" s="42">
        <f ca="1" t="shared" si="31"/>
        <v>20550.2514338447</v>
      </c>
      <c r="R64" s="42">
        <f ca="1" t="shared" si="31"/>
        <v>23371.0830164547</v>
      </c>
      <c r="S64" s="42">
        <f ca="1" t="shared" si="31"/>
        <v>23074.1868054703</v>
      </c>
      <c r="T64" s="42">
        <f ca="1" t="shared" si="31"/>
        <v>23117.6582980377</v>
      </c>
      <c r="U64" s="42">
        <f ca="1" t="shared" si="31"/>
        <v>23786.4372454656</v>
      </c>
      <c r="V64" s="42">
        <f ca="1" t="shared" si="31"/>
        <v>24703.338865776</v>
      </c>
      <c r="W64" s="42">
        <f ca="1" t="shared" si="31"/>
        <v>25720.3789800163</v>
      </c>
      <c r="X64" s="42">
        <f ca="1" t="shared" si="31"/>
        <v>26646.4437799004</v>
      </c>
      <c r="Y64" s="42">
        <f ca="1" t="shared" si="31"/>
        <v>26196.2358683924</v>
      </c>
      <c r="Z64" s="42">
        <f ca="1" t="shared" si="31"/>
        <v>26385.9920049288</v>
      </c>
      <c r="AA64" s="42">
        <f ca="1" t="shared" si="31"/>
        <v>27211.5931141658</v>
      </c>
      <c r="AB64" s="42">
        <f ca="1" t="shared" si="31"/>
        <v>28602.1230107243</v>
      </c>
      <c r="AC64" s="42">
        <f ca="1" t="shared" si="31"/>
        <v>30539.8630014414</v>
      </c>
      <c r="AD64" s="42">
        <f ca="1" t="shared" si="31"/>
        <v>33076.1819879029</v>
      </c>
      <c r="AE64" s="42">
        <f ca="1" t="shared" si="31"/>
        <v>37069.9860316108</v>
      </c>
      <c r="AF64" s="42">
        <f ca="1" t="shared" si="31"/>
        <v>42017.7645906701</v>
      </c>
      <c r="AG64" s="42">
        <f ca="1" t="shared" si="31"/>
        <v>45680.021744209</v>
      </c>
      <c r="AH64" s="42">
        <f ca="1" t="shared" si="31"/>
        <v>48444.6200550743</v>
      </c>
      <c r="AI64" s="42">
        <f ca="1" t="shared" si="31"/>
        <v>49941.9417788832</v>
      </c>
      <c r="AJ64" s="42">
        <f ca="1" t="shared" si="31"/>
        <v>50372.2084376003</v>
      </c>
      <c r="AK64" s="42">
        <f ca="1" t="shared" si="31"/>
        <v>50535.7097679128</v>
      </c>
      <c r="AL64" s="42">
        <f ca="1" t="shared" si="31"/>
        <v>50597.8402734316</v>
      </c>
      <c r="AM64" s="42">
        <f ca="1" t="shared" ref="AM64:BA64" si="32">AM60-AM61</f>
        <v>50624.917755437</v>
      </c>
      <c r="AN64" s="42">
        <f ca="1" t="shared" si="32"/>
        <v>50646.234883912</v>
      </c>
      <c r="AO64" s="42">
        <f ca="1" t="shared" si="32"/>
        <v>50639.8398175113</v>
      </c>
      <c r="AP64" s="42">
        <f ca="1" t="shared" si="32"/>
        <v>58281.0035744673</v>
      </c>
      <c r="AQ64" s="42">
        <f ca="1" t="shared" si="32"/>
        <v>71885.6772371741</v>
      </c>
      <c r="AR64" s="42">
        <f ca="1" t="shared" si="32"/>
        <v>77058.9211189109</v>
      </c>
      <c r="AS64" s="42">
        <f ca="1" t="shared" si="32"/>
        <v>79017.2899815347</v>
      </c>
      <c r="AT64" s="42">
        <f ca="1" t="shared" si="32"/>
        <v>79622.7545530014</v>
      </c>
      <c r="AU64" s="42">
        <f ca="1" t="shared" si="32"/>
        <v>79852.8310901588</v>
      </c>
      <c r="AV64" s="42">
        <f ca="1" t="shared" si="32"/>
        <v>79916.0389353405</v>
      </c>
      <c r="AW64" s="42">
        <f ca="1" t="shared" si="32"/>
        <v>79929.0302311966</v>
      </c>
      <c r="AX64" s="42">
        <f ca="1" t="shared" si="32"/>
        <v>79930.4990337136</v>
      </c>
      <c r="AY64" s="42">
        <f ca="1" t="shared" si="32"/>
        <v>79827.4914294346</v>
      </c>
      <c r="AZ64" s="42">
        <f ca="1" t="shared" si="32"/>
        <v>79784.8806499004</v>
      </c>
      <c r="BA64" s="43">
        <f ca="1" t="shared" si="32"/>
        <v>58368.7757853664</v>
      </c>
    </row>
    <row r="65" s="139" customFormat="1" spans="2:53">
      <c r="B65" s="27"/>
      <c r="C65" s="197" t="s">
        <v>893</v>
      </c>
      <c r="D65" s="34">
        <f ca="1" t="shared" si="29"/>
        <v>92200.6441915269</v>
      </c>
      <c r="E65" s="29" t="s">
        <v>130</v>
      </c>
      <c r="F65" s="124">
        <f ca="1">IF(F64&gt;=0,F64*参数输入表!$I$246,0)</f>
        <v>0</v>
      </c>
      <c r="G65" s="124">
        <f ca="1">IF(G64&gt;=0,G64*参数输入表!$I$246,0)</f>
        <v>0</v>
      </c>
      <c r="H65" s="124">
        <f ca="1">IF(H64&gt;=0,H64*参数输入表!$I$246,0)</f>
        <v>0</v>
      </c>
      <c r="I65" s="124">
        <f ca="1">IF(I64&gt;=0,I64*参数输入表!$I$246,0)</f>
        <v>0</v>
      </c>
      <c r="J65" s="124">
        <f ca="1">IF(J64&gt;=0,J64*参数输入表!$I$246,0)</f>
        <v>0</v>
      </c>
      <c r="K65" s="124">
        <f ca="1">IF(K64&gt;=0,K64*参数输入表!$I$246,0)</f>
        <v>0</v>
      </c>
      <c r="L65" s="124">
        <f ca="1">IF(L64&gt;=0,L64*参数输入表!$I$246,0)</f>
        <v>0</v>
      </c>
      <c r="M65" s="124">
        <f ca="1">IF(M64&gt;=0,M64*参数输入表!$I$246,0)</f>
        <v>335.060001694006</v>
      </c>
      <c r="N65" s="124">
        <f ca="1">IF(N64&gt;=0,N64*参数输入表!$I$246,0)</f>
        <v>598.326165335158</v>
      </c>
      <c r="O65" s="124">
        <f ca="1">IF(O64&gt;=0,O64*参数输入表!$I$246,0)</f>
        <v>763.107239907531</v>
      </c>
      <c r="P65" s="124">
        <f ca="1">IF(P64&gt;=0,P64*参数输入表!$I$246,0)</f>
        <v>852.748476141554</v>
      </c>
      <c r="Q65" s="124">
        <f ca="1">IF(Q64&gt;=0,Q64*参数输入表!$I$246,0)</f>
        <v>1027.51257169223</v>
      </c>
      <c r="R65" s="124">
        <f ca="1">IF(R64&gt;=0,R64*参数输入表!$I$246,0)</f>
        <v>1168.55415082273</v>
      </c>
      <c r="S65" s="124">
        <f ca="1">IF(S64&gt;=0,S64*参数输入表!$I$246,0)</f>
        <v>1153.70934027352</v>
      </c>
      <c r="T65" s="124">
        <f ca="1">IF(T64&gt;=0,T64*参数输入表!$I$246,0)</f>
        <v>1155.88291490189</v>
      </c>
      <c r="U65" s="124">
        <f ca="1">IF(U64&gt;=0,U64*参数输入表!$I$246,0)</f>
        <v>1189.32186227328</v>
      </c>
      <c r="V65" s="124">
        <f ca="1">IF(V64&gt;=0,V64*参数输入表!$I$246,0)</f>
        <v>1235.1669432888</v>
      </c>
      <c r="W65" s="124">
        <f ca="1">IF(W64&gt;=0,W64*参数输入表!$I$246,0)</f>
        <v>1286.01894900081</v>
      </c>
      <c r="X65" s="124">
        <f ca="1">IF(X64&gt;=0,X64*参数输入表!$I$246,0)</f>
        <v>1332.32218899502</v>
      </c>
      <c r="Y65" s="124">
        <f ca="1">IF(Y64&gt;=0,Y64*参数输入表!$I$246,0)</f>
        <v>1309.81179341962</v>
      </c>
      <c r="Z65" s="124">
        <f ca="1">IF(Z64&gt;=0,Z64*参数输入表!$I$246,0)</f>
        <v>1319.29960024644</v>
      </c>
      <c r="AA65" s="124">
        <f ca="1">IF(AA64&gt;=0,AA64*参数输入表!$I$246,0)</f>
        <v>1360.57965570829</v>
      </c>
      <c r="AB65" s="124">
        <f ca="1">IF(AB64&gt;=0,AB64*参数输入表!$I$246,0)</f>
        <v>1430.10615053621</v>
      </c>
      <c r="AC65" s="124">
        <f ca="1">IF(AC64&gt;=0,AC64*参数输入表!$I$246,0)</f>
        <v>1526.99315007207</v>
      </c>
      <c r="AD65" s="124">
        <f ca="1">IF(AD64&gt;=0,AD64*参数输入表!$I$246,0)</f>
        <v>1653.80909939515</v>
      </c>
      <c r="AE65" s="124">
        <f ca="1">IF(AE64&gt;=0,AE64*参数输入表!$I$246,0)</f>
        <v>1853.49930158054</v>
      </c>
      <c r="AF65" s="124">
        <f ca="1">IF(AF64&gt;=0,AF64*参数输入表!$I$246,0)</f>
        <v>2100.88822953351</v>
      </c>
      <c r="AG65" s="124">
        <f ca="1">IF(AG64&gt;=0,AG64*参数输入表!$I$246,0)</f>
        <v>2284.00108721045</v>
      </c>
      <c r="AH65" s="124">
        <f ca="1">IF(AH64&gt;=0,AH64*参数输入表!$I$246,0)</f>
        <v>2422.23100275372</v>
      </c>
      <c r="AI65" s="124">
        <f ca="1">IF(AI64&gt;=0,AI64*参数输入表!$I$246,0)</f>
        <v>2497.09708894416</v>
      </c>
      <c r="AJ65" s="124">
        <f ca="1">IF(AJ64&gt;=0,AJ64*参数输入表!$I$246,0)</f>
        <v>2518.61042188002</v>
      </c>
      <c r="AK65" s="124">
        <f ca="1">IF(AK64&gt;=0,AK64*参数输入表!$I$246,0)</f>
        <v>2526.78548839564</v>
      </c>
      <c r="AL65" s="124">
        <f ca="1">IF(AL64&gt;=0,AL64*参数输入表!$I$246,0)</f>
        <v>2529.89201367158</v>
      </c>
      <c r="AM65" s="124">
        <f ca="1">IF(AM64&gt;=0,AM64*参数输入表!$I$246,0)</f>
        <v>2531.24588777185</v>
      </c>
      <c r="AN65" s="124">
        <f ca="1">IF(AN64&gt;=0,AN64*参数输入表!$I$246,0)</f>
        <v>2532.3117441956</v>
      </c>
      <c r="AO65" s="124">
        <f ca="1">IF(AO64&gt;=0,AO64*参数输入表!$I$246,0)</f>
        <v>2531.99199087556</v>
      </c>
      <c r="AP65" s="124">
        <f ca="1">IF(AP64&gt;=0,AP64*参数输入表!$I$246,0)</f>
        <v>2914.05017872336</v>
      </c>
      <c r="AQ65" s="124">
        <f ca="1">IF(AQ64&gt;=0,AQ64*参数输入表!$I$246,0)</f>
        <v>3594.2838618587</v>
      </c>
      <c r="AR65" s="124">
        <f ca="1">IF(AR64&gt;=0,AR64*参数输入表!$I$246,0)</f>
        <v>3852.94605594555</v>
      </c>
      <c r="AS65" s="124">
        <f ca="1">IF(AS64&gt;=0,AS64*参数输入表!$I$246,0)</f>
        <v>3950.86449907673</v>
      </c>
      <c r="AT65" s="124">
        <f ca="1">IF(AT64&gt;=0,AT64*参数输入表!$I$246,0)</f>
        <v>3981.13772765007</v>
      </c>
      <c r="AU65" s="124">
        <f ca="1">IF(AU64&gt;=0,AU64*参数输入表!$I$246,0)</f>
        <v>3992.64155450794</v>
      </c>
      <c r="AV65" s="124">
        <f ca="1">IF(AV64&gt;=0,AV64*参数输入表!$I$246,0)</f>
        <v>3995.80194676703</v>
      </c>
      <c r="AW65" s="124">
        <f ca="1">IF(AW64&gt;=0,AW64*参数输入表!$I$246,0)</f>
        <v>3996.45151155983</v>
      </c>
      <c r="AX65" s="124">
        <f ca="1">IF(AX64&gt;=0,AX64*参数输入表!$I$246,0)</f>
        <v>3996.52495168568</v>
      </c>
      <c r="AY65" s="124">
        <f ca="1">IF(AY64&gt;=0,AY64*参数输入表!$I$246,0)</f>
        <v>3991.37457147173</v>
      </c>
      <c r="AZ65" s="124">
        <f ca="1">IF(AZ64&gt;=0,AZ64*参数输入表!$I$246,0)</f>
        <v>3989.24403249502</v>
      </c>
      <c r="BA65" s="125">
        <f ca="1">IF(BA64&gt;=0,BA64*参数输入表!$I$246,0)</f>
        <v>2918.43878926832</v>
      </c>
    </row>
    <row r="66" s="139" customFormat="1" spans="2:53">
      <c r="B66" s="27"/>
      <c r="C66" s="148" t="s">
        <v>894</v>
      </c>
      <c r="D66" s="34"/>
      <c r="E66" s="29" t="s">
        <v>130</v>
      </c>
      <c r="F66" s="51">
        <f ca="1">F65</f>
        <v>0</v>
      </c>
      <c r="G66" s="124">
        <f ca="1">F66+G65</f>
        <v>0</v>
      </c>
      <c r="H66" s="124">
        <f ca="1" t="shared" ref="H66:Q66" si="33">G66+H65</f>
        <v>0</v>
      </c>
      <c r="I66" s="124">
        <f ca="1" t="shared" si="33"/>
        <v>0</v>
      </c>
      <c r="J66" s="124">
        <f ca="1" t="shared" si="33"/>
        <v>0</v>
      </c>
      <c r="K66" s="124">
        <f ca="1" t="shared" si="33"/>
        <v>0</v>
      </c>
      <c r="L66" s="124">
        <f ca="1" t="shared" si="33"/>
        <v>0</v>
      </c>
      <c r="M66" s="124">
        <f ca="1" t="shared" si="33"/>
        <v>335.060001694006</v>
      </c>
      <c r="N66" s="124">
        <f ca="1" t="shared" si="33"/>
        <v>933.386167029164</v>
      </c>
      <c r="O66" s="124">
        <f ca="1" t="shared" si="33"/>
        <v>1696.4934069367</v>
      </c>
      <c r="P66" s="124">
        <f ca="1" t="shared" si="33"/>
        <v>2549.24188307825</v>
      </c>
      <c r="Q66" s="124">
        <f ca="1" t="shared" si="33"/>
        <v>3576.75445477048</v>
      </c>
      <c r="R66" s="42">
        <f ca="1" t="shared" ref="R66:AL66" si="34">Q66+R65</f>
        <v>4745.30860559322</v>
      </c>
      <c r="S66" s="42">
        <f ca="1" t="shared" si="34"/>
        <v>5899.01794586673</v>
      </c>
      <c r="T66" s="42">
        <f ca="1" t="shared" si="34"/>
        <v>7054.90086076862</v>
      </c>
      <c r="U66" s="42">
        <f ca="1" t="shared" si="34"/>
        <v>8244.2227230419</v>
      </c>
      <c r="V66" s="42">
        <f ca="1" t="shared" si="34"/>
        <v>9479.3896663307</v>
      </c>
      <c r="W66" s="42">
        <f ca="1" t="shared" si="34"/>
        <v>10765.4086153315</v>
      </c>
      <c r="X66" s="42">
        <f ca="1" t="shared" si="34"/>
        <v>12097.7308043265</v>
      </c>
      <c r="Y66" s="42">
        <f ca="1" t="shared" si="34"/>
        <v>13407.5425977462</v>
      </c>
      <c r="Z66" s="42">
        <f ca="1" t="shared" si="34"/>
        <v>14726.8421979926</v>
      </c>
      <c r="AA66" s="42">
        <f ca="1" t="shared" si="34"/>
        <v>16087.4218537009</v>
      </c>
      <c r="AB66" s="42">
        <f ca="1" t="shared" si="34"/>
        <v>17517.5280042371</v>
      </c>
      <c r="AC66" s="42">
        <f ca="1" t="shared" si="34"/>
        <v>19044.5211543092</v>
      </c>
      <c r="AD66" s="42">
        <f ca="1" t="shared" si="34"/>
        <v>20698.3302537043</v>
      </c>
      <c r="AE66" s="42">
        <f ca="1" t="shared" si="34"/>
        <v>22551.8295552849</v>
      </c>
      <c r="AF66" s="42">
        <f ca="1" t="shared" si="34"/>
        <v>24652.7177848184</v>
      </c>
      <c r="AG66" s="42">
        <f ca="1" t="shared" si="34"/>
        <v>26936.7188720288</v>
      </c>
      <c r="AH66" s="42">
        <f ca="1" t="shared" si="34"/>
        <v>29358.9498747825</v>
      </c>
      <c r="AI66" s="42">
        <f ca="1" t="shared" si="34"/>
        <v>31856.0469637267</v>
      </c>
      <c r="AJ66" s="42">
        <f ca="1" t="shared" si="34"/>
        <v>34374.6573856067</v>
      </c>
      <c r="AK66" s="42">
        <f ca="1" t="shared" si="34"/>
        <v>36901.4428740024</v>
      </c>
      <c r="AL66" s="42">
        <f ca="1" t="shared" si="34"/>
        <v>39431.3348876739</v>
      </c>
      <c r="AM66" s="42">
        <f ca="1" t="shared" ref="AM66:BA66" si="35">AL66+AM65</f>
        <v>41962.5807754458</v>
      </c>
      <c r="AN66" s="42">
        <f ca="1" t="shared" si="35"/>
        <v>44494.8925196414</v>
      </c>
      <c r="AO66" s="42">
        <f ca="1" t="shared" si="35"/>
        <v>47026.8845105169</v>
      </c>
      <c r="AP66" s="42">
        <f ca="1" t="shared" si="35"/>
        <v>49940.9346892403</v>
      </c>
      <c r="AQ66" s="42">
        <f ca="1" t="shared" si="35"/>
        <v>53535.218551099</v>
      </c>
      <c r="AR66" s="42">
        <f ca="1" t="shared" si="35"/>
        <v>57388.1646070446</v>
      </c>
      <c r="AS66" s="42">
        <f ca="1" t="shared" si="35"/>
        <v>61339.0291061213</v>
      </c>
      <c r="AT66" s="42">
        <f ca="1" t="shared" si="35"/>
        <v>65320.1668337714</v>
      </c>
      <c r="AU66" s="42">
        <f ca="1" t="shared" si="35"/>
        <v>69312.8083882793</v>
      </c>
      <c r="AV66" s="42">
        <f ca="1" t="shared" si="35"/>
        <v>73308.6103350463</v>
      </c>
      <c r="AW66" s="42">
        <f ca="1" t="shared" si="35"/>
        <v>77305.0618466062</v>
      </c>
      <c r="AX66" s="42">
        <f ca="1" t="shared" si="35"/>
        <v>81301.5867982918</v>
      </c>
      <c r="AY66" s="42">
        <f ca="1" t="shared" si="35"/>
        <v>85292.9613697636</v>
      </c>
      <c r="AZ66" s="42">
        <f ca="1" t="shared" si="35"/>
        <v>89282.2054022586</v>
      </c>
      <c r="BA66" s="43">
        <f ca="1" t="shared" si="35"/>
        <v>92200.6441915269</v>
      </c>
    </row>
    <row r="67" s="140" customFormat="1" spans="2:53">
      <c r="B67" s="71"/>
      <c r="C67" s="197" t="s">
        <v>895</v>
      </c>
      <c r="D67" s="51">
        <f ca="1" t="shared" si="29"/>
        <v>1073267.47858185</v>
      </c>
      <c r="E67" s="50" t="s">
        <v>130</v>
      </c>
      <c r="F67" s="124">
        <f ca="1">IF(F64-F65&gt;0,(F64-F65)*参数输入表!$I$242,0)</f>
        <v>0</v>
      </c>
      <c r="G67" s="124">
        <f ca="1">IF(G64-G65&gt;0,(G64-G65)*参数输入表!$I$242,0)</f>
        <v>0</v>
      </c>
      <c r="H67" s="124">
        <f ca="1">IF(H64-H65&gt;0,(H64-H65)*参数输入表!$I$242,0)</f>
        <v>0</v>
      </c>
      <c r="I67" s="124">
        <f ca="1">IF(I64-I65&gt;0,(I64-I65)*参数输入表!$I$242,0)</f>
        <v>0</v>
      </c>
      <c r="J67" s="124">
        <f ca="1">IF(J64-J65&gt;0,(J64-J65)*参数输入表!$I$242,0)</f>
        <v>0</v>
      </c>
      <c r="K67" s="124">
        <f ca="1">IF(K64-K65&gt;0,(K64-K65)*参数输入表!$I$242,0)</f>
        <v>0</v>
      </c>
      <c r="L67" s="124">
        <f ca="1">IF(L64-L65&gt;0,(L64-L65)*参数输入表!$I$242,0)</f>
        <v>0</v>
      </c>
      <c r="M67" s="124">
        <f ca="1">IF(M64-M65&gt;0,(M64-M65)*参数输入表!$I$242,0)</f>
        <v>3819.68401931167</v>
      </c>
      <c r="N67" s="124">
        <f ca="1">IF(N64-N65&gt;0,(N64-N65)*参数输入表!$I$242,0)</f>
        <v>6820.91828482081</v>
      </c>
      <c r="O67" s="124">
        <f ca="1">IF(O64-O65&gt;0,(O64-O65)*参数输入表!$I$242,0)</f>
        <v>8699.42253494585</v>
      </c>
      <c r="P67" s="124">
        <f ca="1">IF(P64-P65&gt;0,(P64-P65)*参数输入表!$I$242,0)</f>
        <v>9721.33262801371</v>
      </c>
      <c r="Q67" s="124">
        <f ca="1">IF(Q64-Q65&gt;0,(Q64-Q65)*参数输入表!$I$242,0)</f>
        <v>11713.6433172915</v>
      </c>
      <c r="R67" s="124">
        <f ca="1">IF(R64-R65&gt;0,(R64-R65)*参数输入表!$I$242,0)</f>
        <v>13321.5173193792</v>
      </c>
      <c r="S67" s="124">
        <f ca="1">IF(S64-S65&gt;0,(S64-S65)*参数输入表!$I$242,0)</f>
        <v>13152.2864791181</v>
      </c>
      <c r="T67" s="124">
        <f ca="1">IF(T64-T65&gt;0,(T64-T65)*参数输入表!$I$242,0)</f>
        <v>13177.0652298815</v>
      </c>
      <c r="U67" s="124">
        <f ca="1">IF(U64-U65&gt;0,(U64-U65)*参数输入表!$I$242,0)</f>
        <v>13558.2692299154</v>
      </c>
      <c r="V67" s="124">
        <f ca="1">IF(V64-V65&gt;0,(V64-V65)*参数输入表!$I$242,0)</f>
        <v>14080.9031534923</v>
      </c>
      <c r="W67" s="124">
        <f ca="1">IF(W64-W65&gt;0,(W64-W65)*参数输入表!$I$242,0)</f>
        <v>14660.6160186093</v>
      </c>
      <c r="X67" s="124">
        <f ca="1">IF(X64-X65&gt;0,(X64-X65)*参数输入表!$I$242,0)</f>
        <v>15188.4729545432</v>
      </c>
      <c r="Y67" s="124">
        <f ca="1">IF(Y64-Y65&gt;0,(Y64-Y65)*参数输入表!$I$242,0)</f>
        <v>14931.8544449837</v>
      </c>
      <c r="Z67" s="124">
        <f ca="1">IF(Z64-Z65&gt;0,(Z64-Z65)*参数输入表!$I$242,0)</f>
        <v>15040.0154428094</v>
      </c>
      <c r="AA67" s="124">
        <f ca="1">IF(AA64-AA65&gt;0,(AA64-AA65)*参数输入表!$I$242,0)</f>
        <v>15510.6080750745</v>
      </c>
      <c r="AB67" s="124">
        <f ca="1">IF(AB64-AB65&gt;0,(AB64-AB65)*参数输入表!$I$242,0)</f>
        <v>16303.2101161128</v>
      </c>
      <c r="AC67" s="124">
        <f ca="1">IF(AC64-AC65&gt;0,(AC64-AC65)*参数输入表!$I$242,0)</f>
        <v>17407.7219108216</v>
      </c>
      <c r="AD67" s="124">
        <f ca="1">IF(AD64-AD65&gt;0,(AD64-AD65)*参数输入表!$I$242,0)</f>
        <v>18853.4237331047</v>
      </c>
      <c r="AE67" s="124">
        <f ca="1">IF(AE64-AE65&gt;0,(AE64-AE65)*参数输入表!$I$242,0)</f>
        <v>21129.8920380181</v>
      </c>
      <c r="AF67" s="124">
        <f ca="1">IF(AF64-AF65&gt;0,(AF64-AF65)*参数输入表!$I$242,0)</f>
        <v>23950.125816682</v>
      </c>
      <c r="AG67" s="124">
        <f ca="1">IF(AG64-AG65&gt;0,(AG64-AG65)*参数输入表!$I$242,0)</f>
        <v>26037.6123941991</v>
      </c>
      <c r="AH67" s="124">
        <f ca="1">IF(AH64-AH65&gt;0,(AH64-AH65)*参数输入表!$I$242,0)</f>
        <v>27613.4334313924</v>
      </c>
      <c r="AI67" s="124">
        <f ca="1">IF(AI64-AI65&gt;0,(AI64-AI65)*参数输入表!$I$242,0)</f>
        <v>28466.9068139634</v>
      </c>
      <c r="AJ67" s="124">
        <f ca="1">IF(AJ64-AJ65&gt;0,(AJ64-AJ65)*参数输入表!$I$242,0)</f>
        <v>28712.1588094322</v>
      </c>
      <c r="AK67" s="124">
        <f ca="1">IF(AK64-AK65&gt;0,(AK64-AK65)*参数输入表!$I$242,0)</f>
        <v>28805.3545677103</v>
      </c>
      <c r="AL67" s="124">
        <f ca="1">IF(AL64-AL65&gt;0,(AL64-AL65)*参数输入表!$I$242,0)</f>
        <v>28840.768955856</v>
      </c>
      <c r="AM67" s="124">
        <f ca="1">IF(AM64-AM65&gt;0,(AM64-AM65)*参数输入表!$I$242,0)</f>
        <v>28856.2031205991</v>
      </c>
      <c r="AN67" s="124">
        <f ca="1">IF(AN64-AN65&gt;0,(AN64-AN65)*参数输入表!$I$242,0)</f>
        <v>28868.3538838298</v>
      </c>
      <c r="AO67" s="124">
        <f ca="1">IF(AO64-AO65&gt;0,(AO64-AO65)*参数输入表!$I$242,0)</f>
        <v>28864.7086959814</v>
      </c>
      <c r="AP67" s="124">
        <f ca="1">IF(AP64-AP65&gt;0,(AP64-AP65)*参数输入表!$I$242,0)</f>
        <v>33220.1720374463</v>
      </c>
      <c r="AQ67" s="124">
        <f ca="1">IF(AQ64-AQ65&gt;0,(AQ64-AQ65)*参数输入表!$I$242,0)</f>
        <v>40974.8360251892</v>
      </c>
      <c r="AR67" s="124">
        <f ca="1">IF(AR64-AR65&gt;0,(AR64-AR65)*参数输入表!$I$242,0)</f>
        <v>43923.5850377792</v>
      </c>
      <c r="AS67" s="124">
        <f ca="1">IF(AS64-AS65&gt;0,(AS64-AS65)*参数输入表!$I$242,0)</f>
        <v>45039.8552894748</v>
      </c>
      <c r="AT67" s="124">
        <f ca="1">IF(AT64-AT65&gt;0,(AT64-AT65)*参数输入表!$I$242,0)</f>
        <v>45384.9700952108</v>
      </c>
      <c r="AU67" s="124">
        <f ca="1">IF(AU64-AU65&gt;0,(AU64-AU65)*参数输入表!$I$242,0)</f>
        <v>45516.1137213905</v>
      </c>
      <c r="AV67" s="124">
        <f ca="1">IF(AV64-AV65&gt;0,(AV64-AV65)*参数输入表!$I$242,0)</f>
        <v>45552.1421931441</v>
      </c>
      <c r="AW67" s="124">
        <f ca="1">IF(AW64-AW65&gt;0,(AW64-AW65)*参数输入表!$I$242,0)</f>
        <v>45559.547231782</v>
      </c>
      <c r="AX67" s="124">
        <f ca="1">IF(AX64-AX65&gt;0,(AX64-AX65)*参数输入表!$I$242,0)</f>
        <v>45560.3844492168</v>
      </c>
      <c r="AY67" s="124">
        <f ca="1">IF(AY64-AY65&gt;0,(AY64-AY65)*参数输入表!$I$242,0)</f>
        <v>45501.6701147777</v>
      </c>
      <c r="AZ67" s="124">
        <f ca="1">IF(AZ64-AZ65&gt;0,(AZ64-AZ65)*参数输入表!$I$242,0)</f>
        <v>45477.3819704432</v>
      </c>
      <c r="BA67" s="125">
        <f ca="1">IF(BA64-BA65&gt;0,BA64-BA65,0)</f>
        <v>55450.3369960981</v>
      </c>
    </row>
    <row r="68" s="139" customFormat="1" spans="2:53">
      <c r="B68" s="27"/>
      <c r="C68" s="159" t="s">
        <v>896</v>
      </c>
      <c r="D68" s="34">
        <f ca="1" t="shared" si="29"/>
        <v>678544.761057165</v>
      </c>
      <c r="E68" s="29" t="s">
        <v>130</v>
      </c>
      <c r="F68" s="124">
        <f ca="1">F64-F65-F67</f>
        <v>0</v>
      </c>
      <c r="G68" s="124">
        <f ca="1">G64-G65-G67</f>
        <v>0</v>
      </c>
      <c r="H68" s="124">
        <f ca="1" t="shared" ref="H68:P68" si="36">H64-H65-H67</f>
        <v>0</v>
      </c>
      <c r="I68" s="124">
        <f ca="1" t="shared" si="36"/>
        <v>0</v>
      </c>
      <c r="J68" s="124">
        <f ca="1" t="shared" si="36"/>
        <v>0</v>
      </c>
      <c r="K68" s="124">
        <f ca="1" t="shared" si="36"/>
        <v>0</v>
      </c>
      <c r="L68" s="124">
        <f ca="1" t="shared" si="36"/>
        <v>0</v>
      </c>
      <c r="M68" s="124">
        <f ca="1" t="shared" si="36"/>
        <v>2546.45601287445</v>
      </c>
      <c r="N68" s="124">
        <f ca="1" t="shared" si="36"/>
        <v>4547.2788565472</v>
      </c>
      <c r="O68" s="124">
        <f ca="1" t="shared" si="36"/>
        <v>5799.61502329723</v>
      </c>
      <c r="P68" s="124">
        <f ca="1" t="shared" si="36"/>
        <v>6480.88841867581</v>
      </c>
      <c r="Q68" s="42">
        <f ca="1" t="shared" ref="Q68:AL68" si="37">Q64-Q65-Q67</f>
        <v>7809.09554486098</v>
      </c>
      <c r="R68" s="42">
        <f ca="1" t="shared" si="37"/>
        <v>8881.01154625278</v>
      </c>
      <c r="S68" s="42">
        <f ca="1" t="shared" si="37"/>
        <v>8768.19098607872</v>
      </c>
      <c r="T68" s="42">
        <f ca="1" t="shared" si="37"/>
        <v>8784.71015325434</v>
      </c>
      <c r="U68" s="42">
        <f ca="1" t="shared" si="37"/>
        <v>9038.84615327693</v>
      </c>
      <c r="V68" s="42">
        <f ca="1" t="shared" si="37"/>
        <v>9387.26876899489</v>
      </c>
      <c r="W68" s="42">
        <f ca="1" t="shared" si="37"/>
        <v>9773.74401240619</v>
      </c>
      <c r="X68" s="42">
        <f ca="1" t="shared" si="37"/>
        <v>10125.6486363622</v>
      </c>
      <c r="Y68" s="42">
        <f ca="1" t="shared" si="37"/>
        <v>9954.56962998911</v>
      </c>
      <c r="Z68" s="42">
        <f ca="1" t="shared" si="37"/>
        <v>10026.6769618729</v>
      </c>
      <c r="AA68" s="42">
        <f ca="1" t="shared" si="37"/>
        <v>10340.405383383</v>
      </c>
      <c r="AB68" s="42">
        <f ca="1" t="shared" si="37"/>
        <v>10868.8067440752</v>
      </c>
      <c r="AC68" s="42">
        <f ca="1" t="shared" si="37"/>
        <v>11605.1479405477</v>
      </c>
      <c r="AD68" s="42">
        <f ca="1" t="shared" si="37"/>
        <v>12568.9491554031</v>
      </c>
      <c r="AE68" s="42">
        <f ca="1" t="shared" si="37"/>
        <v>14086.5946920121</v>
      </c>
      <c r="AF68" s="42">
        <f ca="1" t="shared" si="37"/>
        <v>15966.7505444546</v>
      </c>
      <c r="AG68" s="42">
        <f ca="1" t="shared" si="37"/>
        <v>17358.4082627994</v>
      </c>
      <c r="AH68" s="42">
        <f ca="1" t="shared" si="37"/>
        <v>18408.9556209282</v>
      </c>
      <c r="AI68" s="42">
        <f ca="1" t="shared" si="37"/>
        <v>18977.9378759756</v>
      </c>
      <c r="AJ68" s="42">
        <f ca="1" t="shared" si="37"/>
        <v>19141.4392062881</v>
      </c>
      <c r="AK68" s="42">
        <f ca="1" t="shared" si="37"/>
        <v>19203.5697118069</v>
      </c>
      <c r="AL68" s="42">
        <f ca="1" t="shared" si="37"/>
        <v>19227.179303904</v>
      </c>
      <c r="AM68" s="42">
        <f ca="1" t="shared" ref="AM68:BA68" si="38">AM64-AM65-AM67</f>
        <v>19237.468747066</v>
      </c>
      <c r="AN68" s="42">
        <f ca="1" t="shared" si="38"/>
        <v>19245.5692558866</v>
      </c>
      <c r="AO68" s="42">
        <f ca="1" t="shared" si="38"/>
        <v>19243.1391306543</v>
      </c>
      <c r="AP68" s="42">
        <f ca="1" t="shared" si="38"/>
        <v>22146.7813582976</v>
      </c>
      <c r="AQ68" s="42">
        <f ca="1" t="shared" si="38"/>
        <v>27316.5573501262</v>
      </c>
      <c r="AR68" s="42">
        <f ca="1" t="shared" si="38"/>
        <v>29282.3900251862</v>
      </c>
      <c r="AS68" s="42">
        <f ca="1" t="shared" si="38"/>
        <v>30026.5701929832</v>
      </c>
      <c r="AT68" s="42">
        <f ca="1" t="shared" si="38"/>
        <v>30256.6467301405</v>
      </c>
      <c r="AU68" s="42">
        <f ca="1" t="shared" si="38"/>
        <v>30344.0758142603</v>
      </c>
      <c r="AV68" s="42">
        <f ca="1" t="shared" si="38"/>
        <v>30368.0947954294</v>
      </c>
      <c r="AW68" s="42">
        <f ca="1" t="shared" si="38"/>
        <v>30373.0314878547</v>
      </c>
      <c r="AX68" s="42">
        <f ca="1" t="shared" si="38"/>
        <v>30373.5896328112</v>
      </c>
      <c r="AY68" s="42">
        <f ca="1" t="shared" si="38"/>
        <v>30334.4467431852</v>
      </c>
      <c r="AZ68" s="42">
        <f ca="1" t="shared" si="38"/>
        <v>30318.2546469621</v>
      </c>
      <c r="BA68" s="43">
        <f ca="1" t="shared" si="38"/>
        <v>0</v>
      </c>
    </row>
    <row r="69" s="139" customFormat="1" spans="2:53">
      <c r="B69" s="27"/>
      <c r="C69" s="159" t="s">
        <v>897</v>
      </c>
      <c r="D69" s="34">
        <f ca="1" t="shared" ref="D69:D73" si="39">SUM(F69:BA69)</f>
        <v>2002037.48360049</v>
      </c>
      <c r="E69" s="29" t="s">
        <v>130</v>
      </c>
      <c r="F69" s="124">
        <f ca="1">F42+'表1-资金筹措及还本付息表'!G297</f>
        <v>0</v>
      </c>
      <c r="G69" s="124">
        <f ca="1">G42+'表1-资金筹措及还本付息表'!H297</f>
        <v>0</v>
      </c>
      <c r="H69" s="124">
        <f ca="1">H42+'表1-资金筹措及还本付息表'!I297</f>
        <v>0</v>
      </c>
      <c r="I69" s="124">
        <f ca="1">I42+'表1-资金筹措及还本付息表'!J297</f>
        <v>0</v>
      </c>
      <c r="J69" s="124">
        <f ca="1">J42+'表1-资金筹措及还本付息表'!K297</f>
        <v>0</v>
      </c>
      <c r="K69" s="124">
        <f ca="1">K42+'表1-资金筹措及还本付息表'!L297</f>
        <v>0</v>
      </c>
      <c r="L69" s="124">
        <f ca="1">L42+'表1-资金筹措及还本付息表'!N297</f>
        <v>0</v>
      </c>
      <c r="M69" s="124">
        <f ca="1">M42+'表1-资金筹措及还本付息表'!O297</f>
        <v>7837.66085833932</v>
      </c>
      <c r="N69" s="124">
        <f ca="1">N42+'表1-资金筹措及还本付息表'!R297</f>
        <v>42285.8772165738</v>
      </c>
      <c r="O69" s="124">
        <f ca="1">O42+'表1-资金筹措及还本付息表'!S297</f>
        <v>42748.3772165738</v>
      </c>
      <c r="P69" s="42">
        <f ca="1">P42+'表1-资金筹措及还本付息表'!T297</f>
        <v>42748.3772165738</v>
      </c>
      <c r="Q69" s="42">
        <f ca="1">Q42+'表1-资金筹措及还本付息表'!U297</f>
        <v>42748.3772165738</v>
      </c>
      <c r="R69" s="42">
        <f ca="1">R42+'表1-资金筹措及还本付息表'!V297</f>
        <v>42748.3772165738</v>
      </c>
      <c r="S69" s="42">
        <f ca="1">S42+'表1-资金筹措及还本付息表'!W297</f>
        <v>42395.7221153908</v>
      </c>
      <c r="T69" s="42">
        <f ca="1">T42+'表1-资金筹措及还本付息表'!X297</f>
        <v>41424.8264696203</v>
      </c>
      <c r="U69" s="42">
        <f ca="1">U42+'表1-资金筹措及还本付息表'!Y297</f>
        <v>41424.8264696203</v>
      </c>
      <c r="V69" s="42">
        <f ca="1">V42+'表1-资金筹措及还本付息表'!Z297</f>
        <v>41424.8264696203</v>
      </c>
      <c r="W69" s="42">
        <f ca="1">W42+'表1-资金筹措及还本付息表'!AA297</f>
        <v>41424.8264696204</v>
      </c>
      <c r="X69" s="42">
        <f ca="1">X42+'表1-资金筹措及还本付息表'!AB297</f>
        <v>41284.5593591227</v>
      </c>
      <c r="Y69" s="42">
        <f ca="1">Y42+'表1-资金筹措及还本付息表'!AC297</f>
        <v>39847.2000183741</v>
      </c>
      <c r="Z69" s="42">
        <f ca="1">Z42+'表1-资金筹措及还本付息表'!AD297</f>
        <v>39964.0348807594</v>
      </c>
      <c r="AA69" s="42">
        <f ca="1">AA42+'表1-资金筹措及还本付息表'!AE297</f>
        <v>39964.0348807594</v>
      </c>
      <c r="AB69" s="42">
        <f ca="1">AB42+'表1-资金筹措及还本付息表'!AF297</f>
        <v>39964.0348807594</v>
      </c>
      <c r="AC69" s="42">
        <f ca="1">AC42+'表1-资金筹措及还本付息表'!AG297</f>
        <v>39968.9890091998</v>
      </c>
      <c r="AD69" s="42">
        <f ca="1">AD42+'表1-资金筹措及还本付息表'!AH297</f>
        <v>39964.0348807594</v>
      </c>
      <c r="AE69" s="42">
        <f ca="1">AE42+'表1-资金筹措及还本付息表'!AI297</f>
        <v>41723.2941400187</v>
      </c>
      <c r="AF69" s="42">
        <f ca="1">AF42+'表1-资金筹措及还本付息表'!AJ297</f>
        <v>44206.9650675834</v>
      </c>
      <c r="AG69" s="42">
        <f ca="1">AG42+'表1-资金筹措及还本付息表'!AK297</f>
        <v>44423.7571029817</v>
      </c>
      <c r="AH69" s="42">
        <f ca="1">AH42+'表1-资金筹措及还本付息表'!AL297</f>
        <v>44761.211231422</v>
      </c>
      <c r="AI69" s="42">
        <f ca="1">AI42+'表1-资金筹措及还本付息表'!AM297</f>
        <v>44954.4222405963</v>
      </c>
      <c r="AJ69" s="42">
        <f ca="1">AJ42+'表1-资金筹措及还本付息表'!AN297</f>
        <v>44756.2571029817</v>
      </c>
      <c r="AK69" s="42">
        <f ca="1">AK42+'表1-资金筹措及还本付息表'!AO297</f>
        <v>44756.2571029817</v>
      </c>
      <c r="AL69" s="42">
        <f ca="1">AL42+'表1-资金筹措及还本付息表'!AP297</f>
        <v>44756.2571029817</v>
      </c>
      <c r="AM69" s="42">
        <f ca="1">AM42+'表1-资金筹措及还本付息表'!AQ297</f>
        <v>44761.211231422</v>
      </c>
      <c r="AN69" s="42">
        <f ca="1">AN42+'表1-资金筹措及还本付息表'!AR297</f>
        <v>44776.9650675834</v>
      </c>
      <c r="AO69" s="42">
        <f ca="1">AO42+'表1-资金筹措及还本付息表'!AS297</f>
        <v>44756.2571029817</v>
      </c>
      <c r="AP69" s="42">
        <f ca="1">AP42+'表1-资金筹措及还本付息表'!AT297</f>
        <v>55675.6769346792</v>
      </c>
      <c r="AQ69" s="42">
        <f ca="1">AQ42+'表1-资金筹措及还本付息表'!AU297</f>
        <v>70962.8646990557</v>
      </c>
      <c r="AR69" s="42">
        <f ca="1">AR42+'表1-资金筹措及还本付息表'!AV297</f>
        <v>70967.8188274961</v>
      </c>
      <c r="AS69" s="42">
        <f ca="1">AS42+'表1-资金筹措及还本付息表'!AW297</f>
        <v>70957.1562383014</v>
      </c>
      <c r="AT69" s="42">
        <f ca="1">AT42+'表1-资金筹措及还本付息表'!AX297</f>
        <v>70758.9911006867</v>
      </c>
      <c r="AU69" s="42">
        <f ca="1">AU42+'表1-资金筹措及还本付息表'!AY297</f>
        <v>70758.9911006867</v>
      </c>
      <c r="AV69" s="42">
        <f ca="1">AV42+'表1-资金筹措及还本付息表'!AZ297</f>
        <v>70724.3893307752</v>
      </c>
      <c r="AW69" s="42">
        <f ca="1">AW42+'表1-资金筹措及还本付息表'!BA297</f>
        <v>70708.6354946138</v>
      </c>
      <c r="AX69" s="42">
        <f ca="1">AX42+'表1-资金筹措及还本付息表'!BB297</f>
        <v>70703.6813661734</v>
      </c>
      <c r="AY69" s="42">
        <f ca="1">AY42+'表1-资金筹措及还本付息表'!BC297</f>
        <v>70555.730295837</v>
      </c>
      <c r="AZ69" s="42">
        <f ca="1">AZ42+'表1-资金筹措及还本付息表'!BD297</f>
        <v>70550.7761673966</v>
      </c>
      <c r="BA69" s="43">
        <f ca="1">BA42+'表1-资金筹措及还本付息表'!BE297</f>
        <v>39910.9547064391</v>
      </c>
    </row>
    <row r="70" s="139" customFormat="1" spans="2:53">
      <c r="B70" s="27"/>
      <c r="C70" s="159" t="s">
        <v>898</v>
      </c>
      <c r="D70" s="34">
        <f ca="1" t="shared" si="39"/>
        <v>2920393.15032652</v>
      </c>
      <c r="E70" s="29" t="s">
        <v>130</v>
      </c>
      <c r="F70" s="124">
        <f ca="1">F69+'表2-折旧摊销表'!F230</f>
        <v>0</v>
      </c>
      <c r="G70" s="124">
        <f ca="1">G69+'表2-折旧摊销表'!G230</f>
        <v>0</v>
      </c>
      <c r="H70" s="124">
        <f ca="1">H69+'表2-折旧摊销表'!H230</f>
        <v>0</v>
      </c>
      <c r="I70" s="124">
        <f ca="1">I69+'表2-折旧摊销表'!I230</f>
        <v>0</v>
      </c>
      <c r="J70" s="124">
        <f ca="1">J69+'表2-折旧摊销表'!J230</f>
        <v>0</v>
      </c>
      <c r="K70" s="124">
        <f ca="1">K69+'表2-折旧摊销表'!K230</f>
        <v>0</v>
      </c>
      <c r="L70" s="124">
        <f ca="1">L69+'表2-折旧摊销表'!L230</f>
        <v>0</v>
      </c>
      <c r="M70" s="124">
        <f ca="1">M69+'表2-折旧摊销表'!M230</f>
        <v>20516.3399492961</v>
      </c>
      <c r="N70" s="124">
        <f ca="1">N69+'表2-折旧摊销表'!N230</f>
        <v>74378.9501541362</v>
      </c>
      <c r="O70" s="124">
        <f ca="1">O69+'表2-折旧摊销表'!O230</f>
        <v>74378.9501541362</v>
      </c>
      <c r="P70" s="42">
        <f ca="1">P69+'表2-折旧摊销表'!P230</f>
        <v>74378.9501541362</v>
      </c>
      <c r="Q70" s="42">
        <f ca="1">Q69+'表2-折旧摊销表'!Q230</f>
        <v>74378.9501541362</v>
      </c>
      <c r="R70" s="42">
        <f ca="1">R69+'表2-折旧摊销表'!R230</f>
        <v>74378.9501541361</v>
      </c>
      <c r="S70" s="42">
        <f ca="1">S69+'表2-折旧摊销表'!S230</f>
        <v>74026.2950529531</v>
      </c>
      <c r="T70" s="42">
        <f ca="1">T69+'表2-折旧摊销表'!T230</f>
        <v>73055.3994071827</v>
      </c>
      <c r="U70" s="42">
        <f ca="1">U69+'表2-折旧摊销表'!U230</f>
        <v>73055.3994071827</v>
      </c>
      <c r="V70" s="42">
        <f ca="1">V69+'表2-折旧摊销表'!V230</f>
        <v>73055.3994071827</v>
      </c>
      <c r="W70" s="42">
        <f ca="1">W69+'表2-折旧摊销表'!W230</f>
        <v>73055.3994071827</v>
      </c>
      <c r="X70" s="42">
        <f ca="1">X69+'表2-折旧摊销表'!X230</f>
        <v>73081.0615002248</v>
      </c>
      <c r="Y70" s="42">
        <f ca="1">Y69+'表2-折旧摊销表'!Y230</f>
        <v>73253.5645447974</v>
      </c>
      <c r="Z70" s="42">
        <f ca="1">Z69+'表2-折旧摊销表'!Z230</f>
        <v>73055.3994071827</v>
      </c>
      <c r="AA70" s="42">
        <f ca="1">AA69+'表2-折旧摊销表'!AA230</f>
        <v>73055.3994071827</v>
      </c>
      <c r="AB70" s="42">
        <f ca="1">AB69+'表2-折旧摊销表'!AB230</f>
        <v>73055.3994071827</v>
      </c>
      <c r="AC70" s="42">
        <f ca="1">AC69+'表2-折旧摊销表'!AC230</f>
        <v>73060.353535623</v>
      </c>
      <c r="AD70" s="42">
        <f ca="1">AD69+'表2-折旧摊销表'!AD230</f>
        <v>73055.3994071827</v>
      </c>
      <c r="AE70" s="42">
        <f ca="1">AE69+'表2-折旧摊销表'!AE230</f>
        <v>73055.3994071827</v>
      </c>
      <c r="AF70" s="42">
        <f ca="1">AF69+'表2-折旧摊销表'!AF230</f>
        <v>73076.1073717845</v>
      </c>
      <c r="AG70" s="42">
        <f ca="1">AG69+'表2-折旧摊销表'!AG230</f>
        <v>73055.3994071827</v>
      </c>
      <c r="AH70" s="42">
        <f ca="1">AH69+'表2-折旧摊销表'!AH230</f>
        <v>73060.353535623</v>
      </c>
      <c r="AI70" s="42">
        <f ca="1">AI69+'表2-折旧摊销表'!AI230</f>
        <v>73253.5645447974</v>
      </c>
      <c r="AJ70" s="42">
        <f ca="1">AJ69+'表2-折旧摊销表'!AJ230</f>
        <v>73055.3994071827</v>
      </c>
      <c r="AK70" s="42">
        <f ca="1">AK69+'表2-折旧摊销表'!AK230</f>
        <v>73055.3994071827</v>
      </c>
      <c r="AL70" s="42">
        <f ca="1">AL69+'表2-折旧摊销表'!AL230</f>
        <v>73055.3994071827</v>
      </c>
      <c r="AM70" s="42">
        <f ca="1">AM69+'表2-折旧摊销表'!AM230</f>
        <v>73060.353535623</v>
      </c>
      <c r="AN70" s="42">
        <f ca="1">AN69+'表2-折旧摊销表'!AN230</f>
        <v>73076.1073717845</v>
      </c>
      <c r="AO70" s="42">
        <f ca="1">AO69+'表2-折旧摊销表'!AO230</f>
        <v>73055.3994071827</v>
      </c>
      <c r="AP70" s="42">
        <f ca="1">AP69+'表2-折旧摊销表'!AP230</f>
        <v>73055.3994071827</v>
      </c>
      <c r="AQ70" s="42">
        <f ca="1">AQ69+'表2-折旧摊销表'!AQ230</f>
        <v>73055.3994071827</v>
      </c>
      <c r="AR70" s="42">
        <f ca="1">AR69+'表2-折旧摊销表'!AR230</f>
        <v>73060.353535623</v>
      </c>
      <c r="AS70" s="42">
        <f ca="1">AS69+'表2-折旧摊销表'!AS230</f>
        <v>73253.5645447974</v>
      </c>
      <c r="AT70" s="42">
        <f ca="1">AT69+'表2-折旧摊销表'!AT230</f>
        <v>73055.3994071827</v>
      </c>
      <c r="AU70" s="42">
        <f ca="1">AU69+'表2-折旧摊销表'!AU230</f>
        <v>73055.3994071827</v>
      </c>
      <c r="AV70" s="42">
        <f ca="1">AV69+'表2-折旧摊销表'!AV230</f>
        <v>73076.1073717844</v>
      </c>
      <c r="AW70" s="42">
        <f ca="1">AW69+'表2-折旧摊销表'!AW230</f>
        <v>73060.353535623</v>
      </c>
      <c r="AX70" s="42">
        <f ca="1">AX69+'表2-折旧摊销表'!AX230</f>
        <v>73055.3994071827</v>
      </c>
      <c r="AY70" s="42">
        <f ca="1">AY69+'表2-折旧摊销表'!AY230</f>
        <v>73060.353535623</v>
      </c>
      <c r="AZ70" s="42">
        <f ca="1">AZ69+'表2-折旧摊销表'!AZ230</f>
        <v>73055.3994071827</v>
      </c>
      <c r="BA70" s="43">
        <f ca="1">BA69+'表2-折旧摊销表'!BA230</f>
        <v>42415.5779462251</v>
      </c>
    </row>
    <row r="71" spans="2:53">
      <c r="B71" s="32"/>
      <c r="C71" s="144" t="s">
        <v>899</v>
      </c>
      <c r="D71" s="34"/>
      <c r="E71" s="29" t="s">
        <v>130</v>
      </c>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5"/>
    </row>
    <row r="72" spans="2:53">
      <c r="B72" s="32"/>
      <c r="C72" s="145" t="s">
        <v>900</v>
      </c>
      <c r="D72" s="34">
        <f ca="1" t="shared" si="39"/>
        <v>1170468.12277337</v>
      </c>
      <c r="E72" s="29" t="s">
        <v>130</v>
      </c>
      <c r="F72" s="34">
        <f ca="1" t="shared" ref="F72:BA72" si="40">F58-F73</f>
        <v>0</v>
      </c>
      <c r="G72" s="34">
        <f ca="1" t="shared" si="40"/>
        <v>0</v>
      </c>
      <c r="H72" s="34">
        <f ca="1" t="shared" si="40"/>
        <v>0</v>
      </c>
      <c r="I72" s="34">
        <f ca="1" t="shared" si="40"/>
        <v>0</v>
      </c>
      <c r="J72" s="34">
        <f ca="1" t="shared" si="40"/>
        <v>0</v>
      </c>
      <c r="K72" s="34">
        <f ca="1" t="shared" si="40"/>
        <v>0</v>
      </c>
      <c r="L72" s="34">
        <f ca="1" t="shared" si="40"/>
        <v>0</v>
      </c>
      <c r="M72" s="34">
        <f ca="1" t="shared" si="40"/>
        <v>7445.77781542236</v>
      </c>
      <c r="N72" s="34">
        <f ca="1" t="shared" si="40"/>
        <v>10749.6809945735</v>
      </c>
      <c r="O72" s="34">
        <f ca="1" t="shared" si="40"/>
        <v>12410.6598080646</v>
      </c>
      <c r="P72" s="34">
        <f ca="1" t="shared" si="40"/>
        <v>12485.3691507856</v>
      </c>
      <c r="Q72" s="34">
        <f ca="1" t="shared" si="40"/>
        <v>14069.3630151689</v>
      </c>
      <c r="R72" s="34">
        <f ca="1" t="shared" si="40"/>
        <v>15561.9874715937</v>
      </c>
      <c r="S72" s="34">
        <f ca="1" t="shared" si="40"/>
        <v>14193.1752592175</v>
      </c>
      <c r="T72" s="34">
        <f ca="1" t="shared" si="40"/>
        <v>14349.467311959</v>
      </c>
      <c r="U72" s="34">
        <f ca="1" t="shared" si="40"/>
        <v>15001.7270922113</v>
      </c>
      <c r="V72" s="34">
        <f ca="1" t="shared" si="40"/>
        <v>15664.4927124991</v>
      </c>
      <c r="W72" s="34">
        <f ca="1" t="shared" si="40"/>
        <v>16333.1102110214</v>
      </c>
      <c r="X72" s="34">
        <f ca="1" t="shared" si="40"/>
        <v>16872.6997674942</v>
      </c>
      <c r="Y72" s="34">
        <f ca="1" t="shared" si="40"/>
        <v>16070.5872320302</v>
      </c>
      <c r="Z72" s="34">
        <f ca="1" t="shared" si="40"/>
        <v>16431.4223749397</v>
      </c>
      <c r="AA72" s="34">
        <f ca="1" t="shared" si="40"/>
        <v>17184.9161522929</v>
      </c>
      <c r="AB72" s="34">
        <f ca="1" t="shared" si="40"/>
        <v>18261.7176273413</v>
      </c>
      <c r="AC72" s="34">
        <f ca="1" t="shared" si="40"/>
        <v>19671.0562573661</v>
      </c>
      <c r="AD72" s="34">
        <f ca="1" t="shared" si="40"/>
        <v>21471.0340473552</v>
      </c>
      <c r="AE72" s="34">
        <f ca="1" t="shared" si="40"/>
        <v>24501.0368762077</v>
      </c>
      <c r="AF72" s="34">
        <f ca="1" t="shared" si="40"/>
        <v>27931.169898658</v>
      </c>
      <c r="AG72" s="34">
        <f ca="1" t="shared" si="40"/>
        <v>29713.2711997543</v>
      </c>
      <c r="AH72" s="34">
        <f ca="1" t="shared" si="40"/>
        <v>31086.2117922749</v>
      </c>
      <c r="AI72" s="34">
        <f ca="1" t="shared" si="40"/>
        <v>31532.986157955</v>
      </c>
      <c r="AJ72" s="34">
        <f ca="1" t="shared" si="40"/>
        <v>31394.2705616247</v>
      </c>
      <c r="AK72" s="34">
        <f ca="1" t="shared" si="40"/>
        <v>31394.2705616247</v>
      </c>
      <c r="AL72" s="34">
        <f ca="1" t="shared" si="40"/>
        <v>31394.2705616247</v>
      </c>
      <c r="AM72" s="34">
        <f ca="1" t="shared" si="40"/>
        <v>31397.738451533</v>
      </c>
      <c r="AN72" s="34">
        <f ca="1" t="shared" si="40"/>
        <v>31408.7661368459</v>
      </c>
      <c r="AO72" s="34">
        <f ca="1" t="shared" si="40"/>
        <v>31394.2705616247</v>
      </c>
      <c r="AP72" s="34">
        <f ca="1" t="shared" si="40"/>
        <v>39037.864443813</v>
      </c>
      <c r="AQ72" s="34">
        <f ca="1" t="shared" si="40"/>
        <v>49738.8958788765</v>
      </c>
      <c r="AR72" s="34">
        <f ca="1" t="shared" si="40"/>
        <v>49742.3637687848</v>
      </c>
      <c r="AS72" s="34">
        <f ca="1" t="shared" si="40"/>
        <v>49734.8999563485</v>
      </c>
      <c r="AT72" s="34">
        <f ca="1" t="shared" si="40"/>
        <v>49596.1843600182</v>
      </c>
      <c r="AU72" s="34">
        <f ca="1" t="shared" si="40"/>
        <v>49596.1843600182</v>
      </c>
      <c r="AV72" s="34">
        <f ca="1" t="shared" si="40"/>
        <v>49571.9631210802</v>
      </c>
      <c r="AW72" s="34">
        <f ca="1" t="shared" si="40"/>
        <v>49560.9354357672</v>
      </c>
      <c r="AX72" s="34">
        <f ca="1" t="shared" si="40"/>
        <v>49557.4675458589</v>
      </c>
      <c r="AY72" s="34">
        <f ca="1" t="shared" si="40"/>
        <v>49453.9017966235</v>
      </c>
      <c r="AZ72" s="34">
        <f ca="1" t="shared" si="40"/>
        <v>49450.4339067152</v>
      </c>
      <c r="BA72" s="35">
        <f ca="1" t="shared" si="40"/>
        <v>28050.5211384043</v>
      </c>
    </row>
    <row r="73" spans="2:53">
      <c r="B73" s="32"/>
      <c r="C73" s="145" t="s">
        <v>901</v>
      </c>
      <c r="D73" s="34">
        <f t="shared" si="39"/>
        <v>0</v>
      </c>
      <c r="E73" s="29" t="s">
        <v>130</v>
      </c>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5"/>
    </row>
    <row r="74" spans="2:53">
      <c r="B74" s="32"/>
      <c r="C74" s="144" t="s">
        <v>902</v>
      </c>
      <c r="D74" s="34"/>
      <c r="E74" s="29" t="s">
        <v>130</v>
      </c>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5"/>
    </row>
    <row r="75" spans="2:53">
      <c r="B75" s="48"/>
      <c r="C75" s="74" t="s">
        <v>903</v>
      </c>
      <c r="D75" s="51">
        <f ca="1" t="shared" ref="D75:D101" si="41">SUM(F75:BA75)</f>
        <v>1170468.12277337</v>
      </c>
      <c r="E75" s="50" t="s">
        <v>130</v>
      </c>
      <c r="F75" s="51">
        <f ca="1" t="shared" ref="F75:BA75" si="42">F58-F76</f>
        <v>0</v>
      </c>
      <c r="G75" s="51">
        <f ca="1" t="shared" si="42"/>
        <v>0</v>
      </c>
      <c r="H75" s="51">
        <f ca="1" t="shared" si="42"/>
        <v>0</v>
      </c>
      <c r="I75" s="51">
        <f ca="1" t="shared" si="42"/>
        <v>0</v>
      </c>
      <c r="J75" s="51">
        <f ca="1" t="shared" si="42"/>
        <v>0</v>
      </c>
      <c r="K75" s="51">
        <f ca="1" t="shared" si="42"/>
        <v>0</v>
      </c>
      <c r="L75" s="51">
        <f ca="1" t="shared" si="42"/>
        <v>0</v>
      </c>
      <c r="M75" s="51">
        <f ca="1" t="shared" si="42"/>
        <v>7445.77781542236</v>
      </c>
      <c r="N75" s="51">
        <f ca="1" t="shared" si="42"/>
        <v>10749.6809945735</v>
      </c>
      <c r="O75" s="51">
        <f ca="1" t="shared" si="42"/>
        <v>12410.6598080646</v>
      </c>
      <c r="P75" s="51">
        <f ca="1" t="shared" si="42"/>
        <v>12485.3691507856</v>
      </c>
      <c r="Q75" s="51">
        <f ca="1" t="shared" si="42"/>
        <v>14069.3630151689</v>
      </c>
      <c r="R75" s="51">
        <f ca="1" t="shared" si="42"/>
        <v>15561.9874715937</v>
      </c>
      <c r="S75" s="51">
        <f ca="1" t="shared" si="42"/>
        <v>14193.1752592175</v>
      </c>
      <c r="T75" s="51">
        <f ca="1" t="shared" si="42"/>
        <v>14349.467311959</v>
      </c>
      <c r="U75" s="51">
        <f ca="1" t="shared" si="42"/>
        <v>15001.7270922113</v>
      </c>
      <c r="V75" s="51">
        <f ca="1" t="shared" si="42"/>
        <v>15664.4927124991</v>
      </c>
      <c r="W75" s="51">
        <f ca="1" t="shared" si="42"/>
        <v>16333.1102110214</v>
      </c>
      <c r="X75" s="51">
        <f ca="1" t="shared" si="42"/>
        <v>16872.6997674942</v>
      </c>
      <c r="Y75" s="51">
        <f ca="1" t="shared" si="42"/>
        <v>16070.5872320302</v>
      </c>
      <c r="Z75" s="51">
        <f ca="1" t="shared" si="42"/>
        <v>16431.4223749397</v>
      </c>
      <c r="AA75" s="51">
        <f ca="1" t="shared" si="42"/>
        <v>17184.9161522929</v>
      </c>
      <c r="AB75" s="51">
        <f ca="1" t="shared" si="42"/>
        <v>18261.7176273413</v>
      </c>
      <c r="AC75" s="51">
        <f ca="1" t="shared" si="42"/>
        <v>19671.0562573661</v>
      </c>
      <c r="AD75" s="51">
        <f ca="1" t="shared" si="42"/>
        <v>21471.0340473552</v>
      </c>
      <c r="AE75" s="51">
        <f ca="1" t="shared" si="42"/>
        <v>24501.0368762077</v>
      </c>
      <c r="AF75" s="51">
        <f ca="1" t="shared" si="42"/>
        <v>27931.169898658</v>
      </c>
      <c r="AG75" s="51">
        <f ca="1" t="shared" si="42"/>
        <v>29713.2711997543</v>
      </c>
      <c r="AH75" s="51">
        <f ca="1" t="shared" si="42"/>
        <v>31086.2117922749</v>
      </c>
      <c r="AI75" s="51">
        <f ca="1" t="shared" si="42"/>
        <v>31532.986157955</v>
      </c>
      <c r="AJ75" s="51">
        <f ca="1" t="shared" si="42"/>
        <v>31394.2705616247</v>
      </c>
      <c r="AK75" s="51">
        <f ca="1" t="shared" si="42"/>
        <v>31394.2705616247</v>
      </c>
      <c r="AL75" s="51">
        <f ca="1" t="shared" si="42"/>
        <v>31394.2705616247</v>
      </c>
      <c r="AM75" s="51">
        <f ca="1" t="shared" si="42"/>
        <v>31397.738451533</v>
      </c>
      <c r="AN75" s="51">
        <f ca="1" t="shared" si="42"/>
        <v>31408.7661368459</v>
      </c>
      <c r="AO75" s="51">
        <f ca="1" t="shared" si="42"/>
        <v>31394.2705616247</v>
      </c>
      <c r="AP75" s="51">
        <f ca="1" t="shared" si="42"/>
        <v>39037.864443813</v>
      </c>
      <c r="AQ75" s="51">
        <f ca="1" t="shared" si="42"/>
        <v>49738.8958788765</v>
      </c>
      <c r="AR75" s="51">
        <f ca="1" t="shared" si="42"/>
        <v>49742.3637687848</v>
      </c>
      <c r="AS75" s="51">
        <f ca="1" t="shared" si="42"/>
        <v>49734.8999563485</v>
      </c>
      <c r="AT75" s="51">
        <f ca="1" t="shared" si="42"/>
        <v>49596.1843600182</v>
      </c>
      <c r="AU75" s="51">
        <f ca="1" t="shared" si="42"/>
        <v>49596.1843600182</v>
      </c>
      <c r="AV75" s="51">
        <f ca="1" t="shared" si="42"/>
        <v>49571.9631210802</v>
      </c>
      <c r="AW75" s="51">
        <f ca="1" t="shared" si="42"/>
        <v>49560.9354357672</v>
      </c>
      <c r="AX75" s="51">
        <f ca="1" t="shared" si="42"/>
        <v>49557.4675458589</v>
      </c>
      <c r="AY75" s="51">
        <f ca="1" t="shared" si="42"/>
        <v>49453.9017966235</v>
      </c>
      <c r="AZ75" s="51">
        <f ca="1" t="shared" si="42"/>
        <v>49450.4339067152</v>
      </c>
      <c r="BA75" s="53">
        <f ca="1" t="shared" si="42"/>
        <v>28050.5211384043</v>
      </c>
    </row>
    <row r="76" spans="2:53">
      <c r="B76" s="32"/>
      <c r="C76" s="145" t="s">
        <v>904</v>
      </c>
      <c r="D76" s="34">
        <f t="shared" si="41"/>
        <v>0</v>
      </c>
      <c r="E76" s="29" t="s">
        <v>130</v>
      </c>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5"/>
    </row>
    <row r="77" s="139" customFormat="1" spans="2:53">
      <c r="B77" s="27" t="s">
        <v>905</v>
      </c>
      <c r="C77" s="28" t="s">
        <v>906</v>
      </c>
      <c r="D77" s="34">
        <f t="shared" si="41"/>
        <v>0</v>
      </c>
      <c r="E77" s="29" t="s">
        <v>130</v>
      </c>
      <c r="F77" s="34">
        <f t="shared" ref="F77:BA77" si="43">F78+F95</f>
        <v>0</v>
      </c>
      <c r="G77" s="34">
        <f t="shared" si="43"/>
        <v>0</v>
      </c>
      <c r="H77" s="34">
        <f t="shared" si="43"/>
        <v>0</v>
      </c>
      <c r="I77" s="34">
        <f t="shared" si="43"/>
        <v>0</v>
      </c>
      <c r="J77" s="34">
        <f t="shared" si="43"/>
        <v>0</v>
      </c>
      <c r="K77" s="34">
        <f t="shared" si="43"/>
        <v>0</v>
      </c>
      <c r="L77" s="34">
        <f t="shared" si="43"/>
        <v>0</v>
      </c>
      <c r="M77" s="34">
        <f t="shared" si="43"/>
        <v>0</v>
      </c>
      <c r="N77" s="34">
        <f t="shared" si="43"/>
        <v>0</v>
      </c>
      <c r="O77" s="34">
        <f t="shared" si="43"/>
        <v>0</v>
      </c>
      <c r="P77" s="34">
        <f t="shared" si="43"/>
        <v>0</v>
      </c>
      <c r="Q77" s="34">
        <f t="shared" si="43"/>
        <v>0</v>
      </c>
      <c r="R77" s="34">
        <f t="shared" si="43"/>
        <v>0</v>
      </c>
      <c r="S77" s="34">
        <f t="shared" si="43"/>
        <v>0</v>
      </c>
      <c r="T77" s="34">
        <f t="shared" si="43"/>
        <v>0</v>
      </c>
      <c r="U77" s="34">
        <f t="shared" si="43"/>
        <v>0</v>
      </c>
      <c r="V77" s="34">
        <f t="shared" si="43"/>
        <v>0</v>
      </c>
      <c r="W77" s="34">
        <f t="shared" si="43"/>
        <v>0</v>
      </c>
      <c r="X77" s="34">
        <f t="shared" si="43"/>
        <v>0</v>
      </c>
      <c r="Y77" s="34">
        <f t="shared" si="43"/>
        <v>0</v>
      </c>
      <c r="Z77" s="34">
        <f t="shared" si="43"/>
        <v>0</v>
      </c>
      <c r="AA77" s="34">
        <f t="shared" si="43"/>
        <v>0</v>
      </c>
      <c r="AB77" s="34">
        <f t="shared" si="43"/>
        <v>0</v>
      </c>
      <c r="AC77" s="34">
        <f t="shared" si="43"/>
        <v>0</v>
      </c>
      <c r="AD77" s="34">
        <f t="shared" si="43"/>
        <v>0</v>
      </c>
      <c r="AE77" s="34">
        <f t="shared" si="43"/>
        <v>0</v>
      </c>
      <c r="AF77" s="34">
        <f t="shared" si="43"/>
        <v>0</v>
      </c>
      <c r="AG77" s="34">
        <f t="shared" si="43"/>
        <v>0</v>
      </c>
      <c r="AH77" s="34">
        <f t="shared" si="43"/>
        <v>0</v>
      </c>
      <c r="AI77" s="34">
        <f t="shared" si="43"/>
        <v>0</v>
      </c>
      <c r="AJ77" s="34">
        <f t="shared" si="43"/>
        <v>0</v>
      </c>
      <c r="AK77" s="34">
        <f t="shared" si="43"/>
        <v>0</v>
      </c>
      <c r="AL77" s="34">
        <f t="shared" si="43"/>
        <v>0</v>
      </c>
      <c r="AM77" s="34">
        <f t="shared" si="43"/>
        <v>0</v>
      </c>
      <c r="AN77" s="34">
        <f t="shared" si="43"/>
        <v>0</v>
      </c>
      <c r="AO77" s="34">
        <f t="shared" si="43"/>
        <v>0</v>
      </c>
      <c r="AP77" s="34">
        <f t="shared" si="43"/>
        <v>0</v>
      </c>
      <c r="AQ77" s="34">
        <f t="shared" si="43"/>
        <v>0</v>
      </c>
      <c r="AR77" s="34">
        <f t="shared" si="43"/>
        <v>0</v>
      </c>
      <c r="AS77" s="34">
        <f t="shared" si="43"/>
        <v>0</v>
      </c>
      <c r="AT77" s="34">
        <f t="shared" si="43"/>
        <v>0</v>
      </c>
      <c r="AU77" s="34">
        <f t="shared" si="43"/>
        <v>0</v>
      </c>
      <c r="AV77" s="34">
        <f t="shared" si="43"/>
        <v>0</v>
      </c>
      <c r="AW77" s="34">
        <f t="shared" si="43"/>
        <v>0</v>
      </c>
      <c r="AX77" s="34">
        <f t="shared" si="43"/>
        <v>0</v>
      </c>
      <c r="AY77" s="34">
        <f t="shared" si="43"/>
        <v>0</v>
      </c>
      <c r="AZ77" s="34">
        <f t="shared" si="43"/>
        <v>0</v>
      </c>
      <c r="BA77" s="35">
        <f t="shared" si="43"/>
        <v>0</v>
      </c>
    </row>
    <row r="78" spans="2:53">
      <c r="B78" s="32"/>
      <c r="C78" s="144" t="s">
        <v>907</v>
      </c>
      <c r="D78" s="34">
        <f t="shared" si="41"/>
        <v>0</v>
      </c>
      <c r="E78" s="29" t="s">
        <v>130</v>
      </c>
      <c r="F78" s="34">
        <f t="shared" ref="F78:BA78" si="44">F79+F85</f>
        <v>0</v>
      </c>
      <c r="G78" s="34">
        <f t="shared" si="44"/>
        <v>0</v>
      </c>
      <c r="H78" s="34">
        <f t="shared" si="44"/>
        <v>0</v>
      </c>
      <c r="I78" s="34">
        <f t="shared" si="44"/>
        <v>0</v>
      </c>
      <c r="J78" s="34">
        <f t="shared" si="44"/>
        <v>0</v>
      </c>
      <c r="K78" s="34">
        <f t="shared" si="44"/>
        <v>0</v>
      </c>
      <c r="L78" s="34">
        <f t="shared" si="44"/>
        <v>0</v>
      </c>
      <c r="M78" s="34">
        <f t="shared" si="44"/>
        <v>0</v>
      </c>
      <c r="N78" s="34">
        <f t="shared" si="44"/>
        <v>0</v>
      </c>
      <c r="O78" s="34">
        <f t="shared" si="44"/>
        <v>0</v>
      </c>
      <c r="P78" s="34">
        <f t="shared" si="44"/>
        <v>0</v>
      </c>
      <c r="Q78" s="34">
        <f t="shared" si="44"/>
        <v>0</v>
      </c>
      <c r="R78" s="34">
        <f t="shared" si="44"/>
        <v>0</v>
      </c>
      <c r="S78" s="34">
        <f t="shared" si="44"/>
        <v>0</v>
      </c>
      <c r="T78" s="34">
        <f t="shared" si="44"/>
        <v>0</v>
      </c>
      <c r="U78" s="34">
        <f t="shared" si="44"/>
        <v>0</v>
      </c>
      <c r="V78" s="34">
        <f t="shared" si="44"/>
        <v>0</v>
      </c>
      <c r="W78" s="34">
        <f t="shared" si="44"/>
        <v>0</v>
      </c>
      <c r="X78" s="34">
        <f t="shared" si="44"/>
        <v>0</v>
      </c>
      <c r="Y78" s="34">
        <f t="shared" si="44"/>
        <v>0</v>
      </c>
      <c r="Z78" s="34">
        <f t="shared" si="44"/>
        <v>0</v>
      </c>
      <c r="AA78" s="34">
        <f t="shared" si="44"/>
        <v>0</v>
      </c>
      <c r="AB78" s="34">
        <f t="shared" si="44"/>
        <v>0</v>
      </c>
      <c r="AC78" s="34">
        <f t="shared" si="44"/>
        <v>0</v>
      </c>
      <c r="AD78" s="34">
        <f t="shared" si="44"/>
        <v>0</v>
      </c>
      <c r="AE78" s="34">
        <f t="shared" si="44"/>
        <v>0</v>
      </c>
      <c r="AF78" s="34">
        <f t="shared" si="44"/>
        <v>0</v>
      </c>
      <c r="AG78" s="34">
        <f t="shared" si="44"/>
        <v>0</v>
      </c>
      <c r="AH78" s="34">
        <f t="shared" si="44"/>
        <v>0</v>
      </c>
      <c r="AI78" s="34">
        <f t="shared" si="44"/>
        <v>0</v>
      </c>
      <c r="AJ78" s="34">
        <f t="shared" si="44"/>
        <v>0</v>
      </c>
      <c r="AK78" s="34">
        <f t="shared" si="44"/>
        <v>0</v>
      </c>
      <c r="AL78" s="34">
        <f t="shared" si="44"/>
        <v>0</v>
      </c>
      <c r="AM78" s="34">
        <f t="shared" si="44"/>
        <v>0</v>
      </c>
      <c r="AN78" s="34">
        <f t="shared" si="44"/>
        <v>0</v>
      </c>
      <c r="AO78" s="34">
        <f t="shared" si="44"/>
        <v>0</v>
      </c>
      <c r="AP78" s="34">
        <f t="shared" si="44"/>
        <v>0</v>
      </c>
      <c r="AQ78" s="34">
        <f t="shared" si="44"/>
        <v>0</v>
      </c>
      <c r="AR78" s="34">
        <f t="shared" si="44"/>
        <v>0</v>
      </c>
      <c r="AS78" s="34">
        <f t="shared" si="44"/>
        <v>0</v>
      </c>
      <c r="AT78" s="34">
        <f t="shared" si="44"/>
        <v>0</v>
      </c>
      <c r="AU78" s="34">
        <f t="shared" si="44"/>
        <v>0</v>
      </c>
      <c r="AV78" s="34">
        <f t="shared" si="44"/>
        <v>0</v>
      </c>
      <c r="AW78" s="34">
        <f t="shared" si="44"/>
        <v>0</v>
      </c>
      <c r="AX78" s="34">
        <f t="shared" si="44"/>
        <v>0</v>
      </c>
      <c r="AY78" s="34">
        <f t="shared" si="44"/>
        <v>0</v>
      </c>
      <c r="AZ78" s="34">
        <f t="shared" si="44"/>
        <v>0</v>
      </c>
      <c r="BA78" s="35">
        <f t="shared" si="44"/>
        <v>0</v>
      </c>
    </row>
    <row r="79" spans="2:53">
      <c r="B79" s="32"/>
      <c r="C79" s="144" t="s">
        <v>908</v>
      </c>
      <c r="D79" s="34">
        <f t="shared" si="41"/>
        <v>0</v>
      </c>
      <c r="E79" s="29" t="s">
        <v>130</v>
      </c>
      <c r="F79" s="34">
        <f t="shared" ref="F79:BA79" si="45">SUM(F80:F84)</f>
        <v>0</v>
      </c>
      <c r="G79" s="34">
        <f t="shared" si="45"/>
        <v>0</v>
      </c>
      <c r="H79" s="34">
        <f t="shared" si="45"/>
        <v>0</v>
      </c>
      <c r="I79" s="34">
        <f t="shared" si="45"/>
        <v>0</v>
      </c>
      <c r="J79" s="34">
        <f t="shared" si="45"/>
        <v>0</v>
      </c>
      <c r="K79" s="34">
        <f t="shared" si="45"/>
        <v>0</v>
      </c>
      <c r="L79" s="34">
        <f t="shared" si="45"/>
        <v>0</v>
      </c>
      <c r="M79" s="34">
        <f t="shared" si="45"/>
        <v>0</v>
      </c>
      <c r="N79" s="34">
        <f t="shared" si="45"/>
        <v>0</v>
      </c>
      <c r="O79" s="34">
        <f t="shared" si="45"/>
        <v>0</v>
      </c>
      <c r="P79" s="34">
        <f t="shared" si="45"/>
        <v>0</v>
      </c>
      <c r="Q79" s="34">
        <f t="shared" si="45"/>
        <v>0</v>
      </c>
      <c r="R79" s="34">
        <f t="shared" si="45"/>
        <v>0</v>
      </c>
      <c r="S79" s="34">
        <f t="shared" si="45"/>
        <v>0</v>
      </c>
      <c r="T79" s="34">
        <f t="shared" si="45"/>
        <v>0</v>
      </c>
      <c r="U79" s="34">
        <f t="shared" si="45"/>
        <v>0</v>
      </c>
      <c r="V79" s="34">
        <f t="shared" si="45"/>
        <v>0</v>
      </c>
      <c r="W79" s="34">
        <f t="shared" si="45"/>
        <v>0</v>
      </c>
      <c r="X79" s="34">
        <f t="shared" si="45"/>
        <v>0</v>
      </c>
      <c r="Y79" s="34">
        <f t="shared" si="45"/>
        <v>0</v>
      </c>
      <c r="Z79" s="34">
        <f t="shared" si="45"/>
        <v>0</v>
      </c>
      <c r="AA79" s="34">
        <f t="shared" si="45"/>
        <v>0</v>
      </c>
      <c r="AB79" s="34">
        <f t="shared" si="45"/>
        <v>0</v>
      </c>
      <c r="AC79" s="34">
        <f t="shared" si="45"/>
        <v>0</v>
      </c>
      <c r="AD79" s="34">
        <f t="shared" si="45"/>
        <v>0</v>
      </c>
      <c r="AE79" s="34">
        <f t="shared" si="45"/>
        <v>0</v>
      </c>
      <c r="AF79" s="34">
        <f t="shared" si="45"/>
        <v>0</v>
      </c>
      <c r="AG79" s="34">
        <f t="shared" si="45"/>
        <v>0</v>
      </c>
      <c r="AH79" s="34">
        <f t="shared" si="45"/>
        <v>0</v>
      </c>
      <c r="AI79" s="34">
        <f t="shared" si="45"/>
        <v>0</v>
      </c>
      <c r="AJ79" s="34">
        <f t="shared" si="45"/>
        <v>0</v>
      </c>
      <c r="AK79" s="34">
        <f t="shared" si="45"/>
        <v>0</v>
      </c>
      <c r="AL79" s="34">
        <f t="shared" si="45"/>
        <v>0</v>
      </c>
      <c r="AM79" s="34">
        <f t="shared" si="45"/>
        <v>0</v>
      </c>
      <c r="AN79" s="34">
        <f t="shared" si="45"/>
        <v>0</v>
      </c>
      <c r="AO79" s="34">
        <f t="shared" si="45"/>
        <v>0</v>
      </c>
      <c r="AP79" s="34">
        <f t="shared" si="45"/>
        <v>0</v>
      </c>
      <c r="AQ79" s="34">
        <f t="shared" si="45"/>
        <v>0</v>
      </c>
      <c r="AR79" s="34">
        <f t="shared" si="45"/>
        <v>0</v>
      </c>
      <c r="AS79" s="34">
        <f t="shared" si="45"/>
        <v>0</v>
      </c>
      <c r="AT79" s="34">
        <f t="shared" si="45"/>
        <v>0</v>
      </c>
      <c r="AU79" s="34">
        <f t="shared" si="45"/>
        <v>0</v>
      </c>
      <c r="AV79" s="34">
        <f t="shared" si="45"/>
        <v>0</v>
      </c>
      <c r="AW79" s="34">
        <f t="shared" si="45"/>
        <v>0</v>
      </c>
      <c r="AX79" s="34">
        <f t="shared" si="45"/>
        <v>0</v>
      </c>
      <c r="AY79" s="34">
        <f t="shared" si="45"/>
        <v>0</v>
      </c>
      <c r="AZ79" s="34">
        <f t="shared" si="45"/>
        <v>0</v>
      </c>
      <c r="BA79" s="35">
        <f t="shared" si="45"/>
        <v>0</v>
      </c>
    </row>
    <row r="80" spans="2:53">
      <c r="B80" s="32"/>
      <c r="C80" s="146" t="s">
        <v>909</v>
      </c>
      <c r="D80" s="34">
        <f t="shared" si="41"/>
        <v>0</v>
      </c>
      <c r="E80" s="29" t="s">
        <v>130</v>
      </c>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5"/>
    </row>
    <row r="81" spans="2:53">
      <c r="B81" s="32"/>
      <c r="C81" s="146" t="s">
        <v>910</v>
      </c>
      <c r="D81" s="34">
        <f t="shared" si="41"/>
        <v>0</v>
      </c>
      <c r="E81" s="29" t="s">
        <v>130</v>
      </c>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5"/>
    </row>
    <row r="82" spans="2:53">
      <c r="B82" s="32"/>
      <c r="C82" s="146" t="s">
        <v>911</v>
      </c>
      <c r="D82" s="34">
        <f t="shared" si="41"/>
        <v>0</v>
      </c>
      <c r="E82" s="29" t="s">
        <v>130</v>
      </c>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5"/>
    </row>
    <row r="83" spans="2:53">
      <c r="B83" s="32"/>
      <c r="C83" s="146" t="s">
        <v>912</v>
      </c>
      <c r="D83" s="34">
        <f t="shared" si="41"/>
        <v>0</v>
      </c>
      <c r="E83" s="29" t="s">
        <v>130</v>
      </c>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5"/>
    </row>
    <row r="84" spans="2:53">
      <c r="B84" s="32"/>
      <c r="C84" s="146" t="s">
        <v>913</v>
      </c>
      <c r="D84" s="34">
        <f t="shared" si="41"/>
        <v>0</v>
      </c>
      <c r="E84" s="29" t="s">
        <v>130</v>
      </c>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5"/>
    </row>
    <row r="85" spans="2:53">
      <c r="B85" s="32"/>
      <c r="C85" s="144" t="s">
        <v>914</v>
      </c>
      <c r="D85" s="34">
        <f t="shared" si="41"/>
        <v>0</v>
      </c>
      <c r="E85" s="29" t="s">
        <v>130</v>
      </c>
      <c r="F85" s="34">
        <f t="shared" ref="F85:BA85" si="46">SUM(F86:F94)</f>
        <v>0</v>
      </c>
      <c r="G85" s="34">
        <f t="shared" si="46"/>
        <v>0</v>
      </c>
      <c r="H85" s="34">
        <f t="shared" si="46"/>
        <v>0</v>
      </c>
      <c r="I85" s="34">
        <f t="shared" si="46"/>
        <v>0</v>
      </c>
      <c r="J85" s="34">
        <f t="shared" si="46"/>
        <v>0</v>
      </c>
      <c r="K85" s="34">
        <f t="shared" si="46"/>
        <v>0</v>
      </c>
      <c r="L85" s="34">
        <f t="shared" si="46"/>
        <v>0</v>
      </c>
      <c r="M85" s="34">
        <f t="shared" si="46"/>
        <v>0</v>
      </c>
      <c r="N85" s="34">
        <f t="shared" si="46"/>
        <v>0</v>
      </c>
      <c r="O85" s="34">
        <f t="shared" si="46"/>
        <v>0</v>
      </c>
      <c r="P85" s="34">
        <f t="shared" si="46"/>
        <v>0</v>
      </c>
      <c r="Q85" s="34">
        <f t="shared" si="46"/>
        <v>0</v>
      </c>
      <c r="R85" s="34">
        <f t="shared" si="46"/>
        <v>0</v>
      </c>
      <c r="S85" s="34">
        <f t="shared" si="46"/>
        <v>0</v>
      </c>
      <c r="T85" s="34">
        <f t="shared" si="46"/>
        <v>0</v>
      </c>
      <c r="U85" s="34">
        <f t="shared" si="46"/>
        <v>0</v>
      </c>
      <c r="V85" s="34">
        <f t="shared" si="46"/>
        <v>0</v>
      </c>
      <c r="W85" s="34">
        <f t="shared" si="46"/>
        <v>0</v>
      </c>
      <c r="X85" s="34">
        <f t="shared" si="46"/>
        <v>0</v>
      </c>
      <c r="Y85" s="34">
        <f t="shared" si="46"/>
        <v>0</v>
      </c>
      <c r="Z85" s="34">
        <f t="shared" si="46"/>
        <v>0</v>
      </c>
      <c r="AA85" s="34">
        <f t="shared" si="46"/>
        <v>0</v>
      </c>
      <c r="AB85" s="34">
        <f t="shared" si="46"/>
        <v>0</v>
      </c>
      <c r="AC85" s="34">
        <f t="shared" si="46"/>
        <v>0</v>
      </c>
      <c r="AD85" s="34">
        <f t="shared" si="46"/>
        <v>0</v>
      </c>
      <c r="AE85" s="34">
        <f t="shared" si="46"/>
        <v>0</v>
      </c>
      <c r="AF85" s="34">
        <f t="shared" si="46"/>
        <v>0</v>
      </c>
      <c r="AG85" s="34">
        <f t="shared" si="46"/>
        <v>0</v>
      </c>
      <c r="AH85" s="34">
        <f t="shared" si="46"/>
        <v>0</v>
      </c>
      <c r="AI85" s="34">
        <f t="shared" si="46"/>
        <v>0</v>
      </c>
      <c r="AJ85" s="34">
        <f t="shared" si="46"/>
        <v>0</v>
      </c>
      <c r="AK85" s="34">
        <f t="shared" si="46"/>
        <v>0</v>
      </c>
      <c r="AL85" s="34">
        <f t="shared" si="46"/>
        <v>0</v>
      </c>
      <c r="AM85" s="34">
        <f t="shared" si="46"/>
        <v>0</v>
      </c>
      <c r="AN85" s="34">
        <f t="shared" si="46"/>
        <v>0</v>
      </c>
      <c r="AO85" s="34">
        <f t="shared" si="46"/>
        <v>0</v>
      </c>
      <c r="AP85" s="34">
        <f t="shared" si="46"/>
        <v>0</v>
      </c>
      <c r="AQ85" s="34">
        <f t="shared" si="46"/>
        <v>0</v>
      </c>
      <c r="AR85" s="34">
        <f t="shared" si="46"/>
        <v>0</v>
      </c>
      <c r="AS85" s="34">
        <f t="shared" si="46"/>
        <v>0</v>
      </c>
      <c r="AT85" s="34">
        <f t="shared" si="46"/>
        <v>0</v>
      </c>
      <c r="AU85" s="34">
        <f t="shared" si="46"/>
        <v>0</v>
      </c>
      <c r="AV85" s="34">
        <f t="shared" si="46"/>
        <v>0</v>
      </c>
      <c r="AW85" s="34">
        <f t="shared" si="46"/>
        <v>0</v>
      </c>
      <c r="AX85" s="34">
        <f t="shared" si="46"/>
        <v>0</v>
      </c>
      <c r="AY85" s="34">
        <f t="shared" si="46"/>
        <v>0</v>
      </c>
      <c r="AZ85" s="34">
        <f t="shared" si="46"/>
        <v>0</v>
      </c>
      <c r="BA85" s="35">
        <f t="shared" si="46"/>
        <v>0</v>
      </c>
    </row>
    <row r="86" spans="2:53">
      <c r="B86" s="32"/>
      <c r="C86" s="33" t="s">
        <v>915</v>
      </c>
      <c r="D86" s="34">
        <f t="shared" si="41"/>
        <v>0</v>
      </c>
      <c r="E86" s="29" t="s">
        <v>130</v>
      </c>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5"/>
    </row>
    <row r="87" spans="2:53">
      <c r="B87" s="32"/>
      <c r="C87" s="33" t="s">
        <v>916</v>
      </c>
      <c r="D87" s="34">
        <f t="shared" si="41"/>
        <v>0</v>
      </c>
      <c r="E87" s="29" t="s">
        <v>130</v>
      </c>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5"/>
    </row>
    <row r="88" spans="2:53">
      <c r="B88" s="32"/>
      <c r="C88" s="33" t="s">
        <v>917</v>
      </c>
      <c r="D88" s="34">
        <f t="shared" si="41"/>
        <v>0</v>
      </c>
      <c r="E88" s="29" t="s">
        <v>130</v>
      </c>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5"/>
    </row>
    <row r="89" spans="2:53">
      <c r="B89" s="32"/>
      <c r="C89" s="33" t="s">
        <v>918</v>
      </c>
      <c r="D89" s="34">
        <f t="shared" si="41"/>
        <v>0</v>
      </c>
      <c r="E89" s="29" t="s">
        <v>130</v>
      </c>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5"/>
    </row>
    <row r="90" spans="2:53">
      <c r="B90" s="32"/>
      <c r="C90" s="33" t="s">
        <v>919</v>
      </c>
      <c r="D90" s="34">
        <f t="shared" si="41"/>
        <v>0</v>
      </c>
      <c r="E90" s="29" t="s">
        <v>130</v>
      </c>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5"/>
    </row>
    <row r="91" spans="2:53">
      <c r="B91" s="32"/>
      <c r="C91" s="33" t="s">
        <v>920</v>
      </c>
      <c r="D91" s="34">
        <f t="shared" si="41"/>
        <v>0</v>
      </c>
      <c r="E91" s="29" t="s">
        <v>130</v>
      </c>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5"/>
    </row>
    <row r="92" spans="2:53">
      <c r="B92" s="32"/>
      <c r="C92" s="33" t="s">
        <v>921</v>
      </c>
      <c r="D92" s="34">
        <f t="shared" si="41"/>
        <v>0</v>
      </c>
      <c r="E92" s="29" t="s">
        <v>130</v>
      </c>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5"/>
    </row>
    <row r="93" spans="2:53">
      <c r="B93" s="32"/>
      <c r="C93" s="33" t="s">
        <v>922</v>
      </c>
      <c r="D93" s="34">
        <f t="shared" si="41"/>
        <v>0</v>
      </c>
      <c r="E93" s="29" t="s">
        <v>130</v>
      </c>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5"/>
    </row>
    <row r="94" spans="2:53">
      <c r="B94" s="32"/>
      <c r="C94" s="33" t="s">
        <v>923</v>
      </c>
      <c r="D94" s="34">
        <f t="shared" si="41"/>
        <v>0</v>
      </c>
      <c r="E94" s="29" t="s">
        <v>130</v>
      </c>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5"/>
    </row>
    <row r="95" spans="2:53">
      <c r="B95" s="32"/>
      <c r="C95" s="144" t="s">
        <v>924</v>
      </c>
      <c r="D95" s="34">
        <f t="shared" si="41"/>
        <v>0</v>
      </c>
      <c r="E95" s="29" t="s">
        <v>130</v>
      </c>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5"/>
    </row>
    <row r="96" s="139" customFormat="1" spans="2:53">
      <c r="B96" s="27" t="s">
        <v>925</v>
      </c>
      <c r="C96" s="28" t="s">
        <v>926</v>
      </c>
      <c r="D96" s="34">
        <f ca="1" t="shared" si="41"/>
        <v>1170468.12277337</v>
      </c>
      <c r="E96" s="29" t="s">
        <v>130</v>
      </c>
      <c r="F96" s="34">
        <f ca="1" t="shared" ref="F96:BA96" si="47">F58+F77</f>
        <v>0</v>
      </c>
      <c r="G96" s="34">
        <f ca="1" t="shared" si="47"/>
        <v>0</v>
      </c>
      <c r="H96" s="34">
        <f ca="1" t="shared" si="47"/>
        <v>0</v>
      </c>
      <c r="I96" s="34">
        <f ca="1" t="shared" si="47"/>
        <v>0</v>
      </c>
      <c r="J96" s="34">
        <f ca="1" t="shared" si="47"/>
        <v>0</v>
      </c>
      <c r="K96" s="34">
        <f ca="1" t="shared" si="47"/>
        <v>0</v>
      </c>
      <c r="L96" s="34">
        <f ca="1" t="shared" si="47"/>
        <v>0</v>
      </c>
      <c r="M96" s="34">
        <f ca="1" t="shared" si="47"/>
        <v>7445.77781542236</v>
      </c>
      <c r="N96" s="34">
        <f ca="1" t="shared" si="47"/>
        <v>10749.6809945735</v>
      </c>
      <c r="O96" s="34">
        <f ca="1" t="shared" si="47"/>
        <v>12410.6598080646</v>
      </c>
      <c r="P96" s="34">
        <f ca="1" t="shared" si="47"/>
        <v>12485.3691507856</v>
      </c>
      <c r="Q96" s="34">
        <f ca="1" t="shared" si="47"/>
        <v>14069.3630151689</v>
      </c>
      <c r="R96" s="34">
        <f ca="1" t="shared" si="47"/>
        <v>15561.9874715937</v>
      </c>
      <c r="S96" s="34">
        <f ca="1" t="shared" si="47"/>
        <v>14193.1752592175</v>
      </c>
      <c r="T96" s="34">
        <f ca="1" t="shared" si="47"/>
        <v>14349.467311959</v>
      </c>
      <c r="U96" s="34">
        <f ca="1" t="shared" si="47"/>
        <v>15001.7270922113</v>
      </c>
      <c r="V96" s="34">
        <f ca="1" t="shared" si="47"/>
        <v>15664.4927124991</v>
      </c>
      <c r="W96" s="34">
        <f ca="1" t="shared" si="47"/>
        <v>16333.1102110214</v>
      </c>
      <c r="X96" s="34">
        <f ca="1" t="shared" si="47"/>
        <v>16872.6997674942</v>
      </c>
      <c r="Y96" s="34">
        <f ca="1" t="shared" si="47"/>
        <v>16070.5872320302</v>
      </c>
      <c r="Z96" s="34">
        <f ca="1" t="shared" si="47"/>
        <v>16431.4223749397</v>
      </c>
      <c r="AA96" s="34">
        <f ca="1" t="shared" si="47"/>
        <v>17184.9161522929</v>
      </c>
      <c r="AB96" s="34">
        <f ca="1" t="shared" si="47"/>
        <v>18261.7176273413</v>
      </c>
      <c r="AC96" s="34">
        <f ca="1" t="shared" si="47"/>
        <v>19671.0562573661</v>
      </c>
      <c r="AD96" s="34">
        <f ca="1" t="shared" si="47"/>
        <v>21471.0340473552</v>
      </c>
      <c r="AE96" s="34">
        <f ca="1" t="shared" si="47"/>
        <v>24501.0368762077</v>
      </c>
      <c r="AF96" s="34">
        <f ca="1" t="shared" si="47"/>
        <v>27931.169898658</v>
      </c>
      <c r="AG96" s="34">
        <f ca="1" t="shared" si="47"/>
        <v>29713.2711997543</v>
      </c>
      <c r="AH96" s="34">
        <f ca="1" t="shared" si="47"/>
        <v>31086.2117922749</v>
      </c>
      <c r="AI96" s="34">
        <f ca="1" t="shared" si="47"/>
        <v>31532.986157955</v>
      </c>
      <c r="AJ96" s="34">
        <f ca="1" t="shared" si="47"/>
        <v>31394.2705616247</v>
      </c>
      <c r="AK96" s="34">
        <f ca="1" t="shared" si="47"/>
        <v>31394.2705616247</v>
      </c>
      <c r="AL96" s="34">
        <f ca="1" t="shared" si="47"/>
        <v>31394.2705616247</v>
      </c>
      <c r="AM96" s="34">
        <f ca="1" t="shared" si="47"/>
        <v>31397.738451533</v>
      </c>
      <c r="AN96" s="34">
        <f ca="1" t="shared" si="47"/>
        <v>31408.7661368459</v>
      </c>
      <c r="AO96" s="34">
        <f ca="1" t="shared" si="47"/>
        <v>31394.2705616247</v>
      </c>
      <c r="AP96" s="34">
        <f ca="1" t="shared" si="47"/>
        <v>39037.864443813</v>
      </c>
      <c r="AQ96" s="34">
        <f ca="1" t="shared" si="47"/>
        <v>49738.8958788765</v>
      </c>
      <c r="AR96" s="34">
        <f ca="1" t="shared" si="47"/>
        <v>49742.3637687848</v>
      </c>
      <c r="AS96" s="34">
        <f ca="1" t="shared" si="47"/>
        <v>49734.8999563485</v>
      </c>
      <c r="AT96" s="34">
        <f ca="1" t="shared" si="47"/>
        <v>49596.1843600182</v>
      </c>
      <c r="AU96" s="34">
        <f ca="1" t="shared" si="47"/>
        <v>49596.1843600182</v>
      </c>
      <c r="AV96" s="34">
        <f ca="1" t="shared" si="47"/>
        <v>49571.9631210802</v>
      </c>
      <c r="AW96" s="34">
        <f ca="1" t="shared" si="47"/>
        <v>49560.9354357672</v>
      </c>
      <c r="AX96" s="34">
        <f ca="1" t="shared" si="47"/>
        <v>49557.4675458589</v>
      </c>
      <c r="AY96" s="34">
        <f ca="1" t="shared" si="47"/>
        <v>49453.9017966235</v>
      </c>
      <c r="AZ96" s="34">
        <f ca="1" t="shared" si="47"/>
        <v>49450.4339067152</v>
      </c>
      <c r="BA96" s="35">
        <f ca="1" t="shared" si="47"/>
        <v>28050.5211384043</v>
      </c>
    </row>
    <row r="97" spans="2:53">
      <c r="B97" s="32"/>
      <c r="C97" s="144" t="s">
        <v>927</v>
      </c>
      <c r="D97" s="34">
        <f ca="1" t="shared" si="41"/>
        <v>1170468.12277337</v>
      </c>
      <c r="E97" s="29" t="s">
        <v>130</v>
      </c>
      <c r="F97" s="34">
        <f ca="1" t="shared" ref="F97:BA97" si="48">F96-F98</f>
        <v>0</v>
      </c>
      <c r="G97" s="34">
        <f ca="1" t="shared" si="48"/>
        <v>0</v>
      </c>
      <c r="H97" s="34">
        <f ca="1" t="shared" si="48"/>
        <v>0</v>
      </c>
      <c r="I97" s="34">
        <f ca="1" t="shared" si="48"/>
        <v>0</v>
      </c>
      <c r="J97" s="34">
        <f ca="1" t="shared" si="48"/>
        <v>0</v>
      </c>
      <c r="K97" s="34">
        <f ca="1" t="shared" si="48"/>
        <v>0</v>
      </c>
      <c r="L97" s="34">
        <f ca="1" t="shared" si="48"/>
        <v>0</v>
      </c>
      <c r="M97" s="34">
        <f ca="1" t="shared" si="48"/>
        <v>7445.77781542236</v>
      </c>
      <c r="N97" s="34">
        <f ca="1" t="shared" si="48"/>
        <v>10749.6809945735</v>
      </c>
      <c r="O97" s="34">
        <f ca="1" t="shared" si="48"/>
        <v>12410.6598080646</v>
      </c>
      <c r="P97" s="34">
        <f ca="1" t="shared" si="48"/>
        <v>12485.3691507856</v>
      </c>
      <c r="Q97" s="34">
        <f ca="1" t="shared" si="48"/>
        <v>14069.3630151689</v>
      </c>
      <c r="R97" s="34">
        <f ca="1" t="shared" si="48"/>
        <v>15561.9874715937</v>
      </c>
      <c r="S97" s="34">
        <f ca="1" t="shared" si="48"/>
        <v>14193.1752592175</v>
      </c>
      <c r="T97" s="34">
        <f ca="1" t="shared" si="48"/>
        <v>14349.467311959</v>
      </c>
      <c r="U97" s="34">
        <f ca="1" t="shared" si="48"/>
        <v>15001.7270922113</v>
      </c>
      <c r="V97" s="34">
        <f ca="1" t="shared" si="48"/>
        <v>15664.4927124991</v>
      </c>
      <c r="W97" s="34">
        <f ca="1" t="shared" si="48"/>
        <v>16333.1102110214</v>
      </c>
      <c r="X97" s="34">
        <f ca="1" t="shared" si="48"/>
        <v>16872.6997674942</v>
      </c>
      <c r="Y97" s="34">
        <f ca="1" t="shared" si="48"/>
        <v>16070.5872320302</v>
      </c>
      <c r="Z97" s="34">
        <f ca="1" t="shared" si="48"/>
        <v>16431.4223749397</v>
      </c>
      <c r="AA97" s="34">
        <f ca="1" t="shared" si="48"/>
        <v>17184.9161522929</v>
      </c>
      <c r="AB97" s="34">
        <f ca="1" t="shared" si="48"/>
        <v>18261.7176273413</v>
      </c>
      <c r="AC97" s="34">
        <f ca="1" t="shared" si="48"/>
        <v>19671.0562573661</v>
      </c>
      <c r="AD97" s="34">
        <f ca="1" t="shared" si="48"/>
        <v>21471.0340473552</v>
      </c>
      <c r="AE97" s="34">
        <f ca="1" t="shared" si="48"/>
        <v>24501.0368762077</v>
      </c>
      <c r="AF97" s="34">
        <f ca="1" t="shared" si="48"/>
        <v>27931.169898658</v>
      </c>
      <c r="AG97" s="34">
        <f ca="1" t="shared" si="48"/>
        <v>29713.2711997543</v>
      </c>
      <c r="AH97" s="34">
        <f ca="1" t="shared" si="48"/>
        <v>31086.2117922749</v>
      </c>
      <c r="AI97" s="34">
        <f ca="1" t="shared" si="48"/>
        <v>31532.986157955</v>
      </c>
      <c r="AJ97" s="34">
        <f ca="1" t="shared" si="48"/>
        <v>31394.2705616247</v>
      </c>
      <c r="AK97" s="34">
        <f ca="1" t="shared" si="48"/>
        <v>31394.2705616247</v>
      </c>
      <c r="AL97" s="34">
        <f ca="1" t="shared" si="48"/>
        <v>31394.2705616247</v>
      </c>
      <c r="AM97" s="34">
        <f ca="1" t="shared" si="48"/>
        <v>31397.738451533</v>
      </c>
      <c r="AN97" s="34">
        <f ca="1" t="shared" si="48"/>
        <v>31408.7661368459</v>
      </c>
      <c r="AO97" s="34">
        <f ca="1" t="shared" si="48"/>
        <v>31394.2705616247</v>
      </c>
      <c r="AP97" s="34">
        <f ca="1" t="shared" si="48"/>
        <v>39037.864443813</v>
      </c>
      <c r="AQ97" s="34">
        <f ca="1" t="shared" si="48"/>
        <v>49738.8958788765</v>
      </c>
      <c r="AR97" s="34">
        <f ca="1" t="shared" si="48"/>
        <v>49742.3637687848</v>
      </c>
      <c r="AS97" s="34">
        <f ca="1" t="shared" si="48"/>
        <v>49734.8999563485</v>
      </c>
      <c r="AT97" s="34">
        <f ca="1" t="shared" si="48"/>
        <v>49596.1843600182</v>
      </c>
      <c r="AU97" s="34">
        <f ca="1" t="shared" si="48"/>
        <v>49596.1843600182</v>
      </c>
      <c r="AV97" s="34">
        <f ca="1" t="shared" si="48"/>
        <v>49571.9631210802</v>
      </c>
      <c r="AW97" s="34">
        <f ca="1" t="shared" si="48"/>
        <v>49560.9354357672</v>
      </c>
      <c r="AX97" s="34">
        <f ca="1" t="shared" si="48"/>
        <v>49557.4675458589</v>
      </c>
      <c r="AY97" s="34">
        <f ca="1" t="shared" si="48"/>
        <v>49453.9017966235</v>
      </c>
      <c r="AZ97" s="34">
        <f ca="1" t="shared" si="48"/>
        <v>49450.4339067152</v>
      </c>
      <c r="BA97" s="35">
        <f ca="1" t="shared" si="48"/>
        <v>28050.5211384043</v>
      </c>
    </row>
    <row r="98" spans="2:53">
      <c r="B98" s="32"/>
      <c r="C98" s="144" t="s">
        <v>928</v>
      </c>
      <c r="D98" s="34">
        <f t="shared" si="41"/>
        <v>0</v>
      </c>
      <c r="E98" s="29" t="s">
        <v>130</v>
      </c>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5"/>
    </row>
    <row r="99" s="139" customFormat="1" spans="2:53">
      <c r="B99" s="27" t="s">
        <v>929</v>
      </c>
      <c r="C99" s="28" t="s">
        <v>930</v>
      </c>
      <c r="D99" s="34">
        <f t="shared" si="41"/>
        <v>0</v>
      </c>
      <c r="E99" s="29" t="s">
        <v>130</v>
      </c>
      <c r="F99" s="34">
        <f t="shared" ref="F99:BA99" si="49">F100+F101</f>
        <v>0</v>
      </c>
      <c r="G99" s="34">
        <f t="shared" si="49"/>
        <v>0</v>
      </c>
      <c r="H99" s="34">
        <f t="shared" si="49"/>
        <v>0</v>
      </c>
      <c r="I99" s="34">
        <f t="shared" si="49"/>
        <v>0</v>
      </c>
      <c r="J99" s="34">
        <f t="shared" si="49"/>
        <v>0</v>
      </c>
      <c r="K99" s="34">
        <f t="shared" si="49"/>
        <v>0</v>
      </c>
      <c r="L99" s="34">
        <f t="shared" si="49"/>
        <v>0</v>
      </c>
      <c r="M99" s="34">
        <f t="shared" si="49"/>
        <v>0</v>
      </c>
      <c r="N99" s="34">
        <f t="shared" si="49"/>
        <v>0</v>
      </c>
      <c r="O99" s="34">
        <f t="shared" si="49"/>
        <v>0</v>
      </c>
      <c r="P99" s="34">
        <f t="shared" si="49"/>
        <v>0</v>
      </c>
      <c r="Q99" s="34">
        <f t="shared" si="49"/>
        <v>0</v>
      </c>
      <c r="R99" s="34">
        <f t="shared" si="49"/>
        <v>0</v>
      </c>
      <c r="S99" s="34">
        <f t="shared" si="49"/>
        <v>0</v>
      </c>
      <c r="T99" s="34">
        <f t="shared" si="49"/>
        <v>0</v>
      </c>
      <c r="U99" s="34">
        <f t="shared" si="49"/>
        <v>0</v>
      </c>
      <c r="V99" s="34">
        <f t="shared" si="49"/>
        <v>0</v>
      </c>
      <c r="W99" s="34">
        <f t="shared" si="49"/>
        <v>0</v>
      </c>
      <c r="X99" s="34">
        <f t="shared" si="49"/>
        <v>0</v>
      </c>
      <c r="Y99" s="34">
        <f t="shared" si="49"/>
        <v>0</v>
      </c>
      <c r="Z99" s="34">
        <f t="shared" si="49"/>
        <v>0</v>
      </c>
      <c r="AA99" s="34">
        <f t="shared" si="49"/>
        <v>0</v>
      </c>
      <c r="AB99" s="34">
        <f t="shared" si="49"/>
        <v>0</v>
      </c>
      <c r="AC99" s="34">
        <f t="shared" si="49"/>
        <v>0</v>
      </c>
      <c r="AD99" s="34">
        <f t="shared" si="49"/>
        <v>0</v>
      </c>
      <c r="AE99" s="34">
        <f t="shared" si="49"/>
        <v>0</v>
      </c>
      <c r="AF99" s="34">
        <f t="shared" si="49"/>
        <v>0</v>
      </c>
      <c r="AG99" s="34">
        <f t="shared" si="49"/>
        <v>0</v>
      </c>
      <c r="AH99" s="34">
        <f t="shared" si="49"/>
        <v>0</v>
      </c>
      <c r="AI99" s="34">
        <f t="shared" si="49"/>
        <v>0</v>
      </c>
      <c r="AJ99" s="34">
        <f t="shared" si="49"/>
        <v>0</v>
      </c>
      <c r="AK99" s="34">
        <f t="shared" si="49"/>
        <v>0</v>
      </c>
      <c r="AL99" s="34">
        <f t="shared" si="49"/>
        <v>0</v>
      </c>
      <c r="AM99" s="34">
        <f t="shared" si="49"/>
        <v>0</v>
      </c>
      <c r="AN99" s="34">
        <f t="shared" si="49"/>
        <v>0</v>
      </c>
      <c r="AO99" s="34">
        <f t="shared" si="49"/>
        <v>0</v>
      </c>
      <c r="AP99" s="34">
        <f t="shared" si="49"/>
        <v>0</v>
      </c>
      <c r="AQ99" s="34">
        <f t="shared" si="49"/>
        <v>0</v>
      </c>
      <c r="AR99" s="34">
        <f t="shared" si="49"/>
        <v>0</v>
      </c>
      <c r="AS99" s="34">
        <f t="shared" si="49"/>
        <v>0</v>
      </c>
      <c r="AT99" s="34">
        <f t="shared" si="49"/>
        <v>0</v>
      </c>
      <c r="AU99" s="34">
        <f t="shared" si="49"/>
        <v>0</v>
      </c>
      <c r="AV99" s="34">
        <f t="shared" si="49"/>
        <v>0</v>
      </c>
      <c r="AW99" s="34">
        <f t="shared" si="49"/>
        <v>0</v>
      </c>
      <c r="AX99" s="34">
        <f t="shared" si="49"/>
        <v>0</v>
      </c>
      <c r="AY99" s="34">
        <f t="shared" si="49"/>
        <v>0</v>
      </c>
      <c r="AZ99" s="34">
        <f t="shared" si="49"/>
        <v>0</v>
      </c>
      <c r="BA99" s="35">
        <f t="shared" si="49"/>
        <v>0</v>
      </c>
    </row>
    <row r="100" spans="2:53">
      <c r="B100" s="32"/>
      <c r="C100" s="144" t="s">
        <v>931</v>
      </c>
      <c r="D100" s="34">
        <f t="shared" si="41"/>
        <v>0</v>
      </c>
      <c r="E100" s="29" t="s">
        <v>130</v>
      </c>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5"/>
    </row>
    <row r="101" ht="17.25" spans="2:53">
      <c r="B101" s="162"/>
      <c r="C101" s="163" t="s">
        <v>932</v>
      </c>
      <c r="D101" s="164">
        <f t="shared" si="41"/>
        <v>0</v>
      </c>
      <c r="E101" s="165" t="s">
        <v>130</v>
      </c>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64"/>
      <c r="AD101" s="164"/>
      <c r="AE101" s="164"/>
      <c r="AF101" s="164"/>
      <c r="AG101" s="164"/>
      <c r="AH101" s="164"/>
      <c r="AI101" s="164"/>
      <c r="AJ101" s="164"/>
      <c r="AK101" s="164"/>
      <c r="AL101" s="164"/>
      <c r="AM101" s="164"/>
      <c r="AN101" s="164"/>
      <c r="AO101" s="164"/>
      <c r="AP101" s="164"/>
      <c r="AQ101" s="164"/>
      <c r="AR101" s="164"/>
      <c r="AS101" s="164"/>
      <c r="AT101" s="164"/>
      <c r="AU101" s="164"/>
      <c r="AV101" s="164"/>
      <c r="AW101" s="164"/>
      <c r="AX101" s="164"/>
      <c r="AY101" s="164"/>
      <c r="AZ101" s="164"/>
      <c r="BA101" s="166"/>
    </row>
    <row r="103" s="4" customFormat="1" spans="2:53">
      <c r="B103" s="198" t="s">
        <v>933</v>
      </c>
    </row>
    <row r="104" s="4" customFormat="1" spans="2:53">
      <c r="B104" s="76">
        <v>1</v>
      </c>
      <c r="C104" s="95" t="s">
        <v>934</v>
      </c>
      <c r="D104" s="73">
        <f ca="1" t="shared" ref="D104:D109" si="50">SUM(F104:BA104)</f>
        <v>989894.758885708</v>
      </c>
      <c r="E104" s="50" t="s">
        <v>130</v>
      </c>
      <c r="F104" s="73">
        <f ca="1" t="shared" ref="F104:BA104" si="51">SUM(F105:F106)</f>
        <v>0</v>
      </c>
      <c r="G104" s="73">
        <f ca="1" t="shared" si="51"/>
        <v>0</v>
      </c>
      <c r="H104" s="73">
        <f ca="1" t="shared" si="51"/>
        <v>0</v>
      </c>
      <c r="I104" s="73">
        <f ca="1" t="shared" si="51"/>
        <v>0</v>
      </c>
      <c r="J104" s="73">
        <f ca="1" t="shared" si="51"/>
        <v>0</v>
      </c>
      <c r="K104" s="73">
        <f ca="1" t="shared" si="51"/>
        <v>0</v>
      </c>
      <c r="L104" s="73">
        <f ca="1" t="shared" si="51"/>
        <v>0</v>
      </c>
      <c r="M104" s="73">
        <f ca="1" t="shared" si="51"/>
        <v>5212.04447079565</v>
      </c>
      <c r="N104" s="73">
        <f ca="1" t="shared" si="51"/>
        <v>7524.77669620146</v>
      </c>
      <c r="O104" s="73">
        <f ca="1" t="shared" si="51"/>
        <v>8687.46186564521</v>
      </c>
      <c r="P104" s="73">
        <f ca="1" t="shared" si="51"/>
        <v>8739.75840554994</v>
      </c>
      <c r="Q104" s="73">
        <f ca="1" t="shared" si="51"/>
        <v>9848.55411061821</v>
      </c>
      <c r="R104" s="73">
        <f ca="1" t="shared" si="51"/>
        <v>10893.3912301156</v>
      </c>
      <c r="S104" s="73">
        <f ca="1" t="shared" si="51"/>
        <v>9935.22268145227</v>
      </c>
      <c r="T104" s="73">
        <f ca="1" t="shared" si="51"/>
        <v>10044.6271183713</v>
      </c>
      <c r="U104" s="73">
        <f ca="1" t="shared" si="51"/>
        <v>10501.2089645479</v>
      </c>
      <c r="V104" s="73">
        <f ca="1" t="shared" si="51"/>
        <v>10965.1448987494</v>
      </c>
      <c r="W104" s="73">
        <f ca="1" t="shared" si="51"/>
        <v>11433.177147715</v>
      </c>
      <c r="X104" s="73">
        <f ca="1" t="shared" si="51"/>
        <v>11810.889837246</v>
      </c>
      <c r="Y104" s="73">
        <f ca="1" t="shared" si="51"/>
        <v>11249.4110624212</v>
      </c>
      <c r="Z104" s="73">
        <f ca="1" t="shared" si="51"/>
        <v>11501.9956624578</v>
      </c>
      <c r="AA104" s="73">
        <f ca="1" t="shared" si="51"/>
        <v>12029.441306605</v>
      </c>
      <c r="AB104" s="73">
        <f ca="1" t="shared" si="51"/>
        <v>12783.2023391389</v>
      </c>
      <c r="AC104" s="73">
        <f ca="1" t="shared" si="51"/>
        <v>13769.7393801563</v>
      </c>
      <c r="AD104" s="73">
        <f ca="1" t="shared" si="51"/>
        <v>15029.7238331486</v>
      </c>
      <c r="AE104" s="73">
        <f ca="1" t="shared" si="51"/>
        <v>17150.7258133454</v>
      </c>
      <c r="AF104" s="73">
        <f ca="1" t="shared" si="51"/>
        <v>19551.8189290606</v>
      </c>
      <c r="AG104" s="73">
        <f ca="1" t="shared" si="51"/>
        <v>20799.289839828</v>
      </c>
      <c r="AH104" s="73">
        <f ca="1" t="shared" si="51"/>
        <v>21760.3482545924</v>
      </c>
      <c r="AI104" s="73">
        <f ca="1" t="shared" si="51"/>
        <v>22073.0903105685</v>
      </c>
      <c r="AJ104" s="73">
        <f ca="1" t="shared" si="51"/>
        <v>21975.9893931373</v>
      </c>
      <c r="AK104" s="73">
        <f ca="1" t="shared" si="51"/>
        <v>21975.9893931373</v>
      </c>
      <c r="AL104" s="73">
        <f ca="1" t="shared" si="51"/>
        <v>21975.9893931373</v>
      </c>
      <c r="AM104" s="73">
        <f ca="1" t="shared" si="51"/>
        <v>21978.4169160731</v>
      </c>
      <c r="AN104" s="73">
        <f ca="1" t="shared" si="51"/>
        <v>21986.1362957922</v>
      </c>
      <c r="AO104" s="73">
        <f ca="1" t="shared" si="51"/>
        <v>21975.9893931373</v>
      </c>
      <c r="AP104" s="73">
        <f ca="1" t="shared" si="51"/>
        <v>27326.5051106691</v>
      </c>
      <c r="AQ104" s="73">
        <f ca="1" t="shared" si="51"/>
        <v>34817.2271152136</v>
      </c>
      <c r="AR104" s="73">
        <f ca="1" t="shared" si="51"/>
        <v>34819.6546381493</v>
      </c>
      <c r="AS104" s="73">
        <f ca="1" t="shared" si="51"/>
        <v>34814.429969444</v>
      </c>
      <c r="AT104" s="73">
        <f ca="1" t="shared" si="51"/>
        <v>34717.3290520128</v>
      </c>
      <c r="AU104" s="73">
        <f ca="1" t="shared" si="51"/>
        <v>34717.3290520128</v>
      </c>
      <c r="AV104" s="73">
        <f ca="1" t="shared" si="51"/>
        <v>34700.3741847561</v>
      </c>
      <c r="AW104" s="73">
        <f ca="1" t="shared" si="51"/>
        <v>34692.654805037</v>
      </c>
      <c r="AX104" s="73">
        <f ca="1" t="shared" si="51"/>
        <v>34690.2272821013</v>
      </c>
      <c r="AY104" s="73">
        <f ca="1" t="shared" si="51"/>
        <v>34617.7312576364</v>
      </c>
      <c r="AZ104" s="73">
        <f ca="1" t="shared" si="51"/>
        <v>34615.3037347006</v>
      </c>
      <c r="BA104" s="73">
        <f ca="1" t="shared" si="51"/>
        <v>190202.43774123</v>
      </c>
    </row>
    <row r="105" s="4" customFormat="1" spans="2:53">
      <c r="B105" s="50">
        <v>1.1</v>
      </c>
      <c r="C105" s="54" t="s">
        <v>935</v>
      </c>
      <c r="D105" s="51">
        <f ca="1" t="shared" si="50"/>
        <v>819327.685941361</v>
      </c>
      <c r="E105" s="50" t="s">
        <v>130</v>
      </c>
      <c r="F105" s="51">
        <f ca="1">F58*参数输入表!$I$241</f>
        <v>0</v>
      </c>
      <c r="G105" s="51">
        <f ca="1">G58*参数输入表!$I$241</f>
        <v>0</v>
      </c>
      <c r="H105" s="51">
        <f ca="1">H58*参数输入表!$I$241</f>
        <v>0</v>
      </c>
      <c r="I105" s="51">
        <f ca="1">I58*参数输入表!$I$241</f>
        <v>0</v>
      </c>
      <c r="J105" s="51">
        <f ca="1">J58*参数输入表!$I$241</f>
        <v>0</v>
      </c>
      <c r="K105" s="51">
        <f ca="1">K58*参数输入表!$I$241</f>
        <v>0</v>
      </c>
      <c r="L105" s="51">
        <f ca="1">L58*参数输入表!$I$241</f>
        <v>0</v>
      </c>
      <c r="M105" s="51">
        <f ca="1">M58*参数输入表!$I$241</f>
        <v>5212.04447079565</v>
      </c>
      <c r="N105" s="51">
        <f ca="1">N58*参数输入表!$I$241</f>
        <v>7524.77669620146</v>
      </c>
      <c r="O105" s="51">
        <f ca="1">O58*参数输入表!$I$241</f>
        <v>8687.46186564521</v>
      </c>
      <c r="P105" s="51">
        <f ca="1">P58*参数输入表!$I$241</f>
        <v>8739.75840554994</v>
      </c>
      <c r="Q105" s="51">
        <f ca="1">Q58*参数输入表!$I$241</f>
        <v>9848.55411061821</v>
      </c>
      <c r="R105" s="51">
        <f ca="1">R58*参数输入表!$I$241</f>
        <v>10893.3912301156</v>
      </c>
      <c r="S105" s="51">
        <f ca="1">S58*参数输入表!$I$241</f>
        <v>9935.22268145227</v>
      </c>
      <c r="T105" s="51">
        <f ca="1">T58*参数输入表!$I$241</f>
        <v>10044.6271183713</v>
      </c>
      <c r="U105" s="51">
        <f ca="1">U58*参数输入表!$I$241</f>
        <v>10501.2089645479</v>
      </c>
      <c r="V105" s="51">
        <f ca="1">V58*参数输入表!$I$241</f>
        <v>10965.1448987494</v>
      </c>
      <c r="W105" s="51">
        <f ca="1">W58*参数输入表!$I$241</f>
        <v>11433.177147715</v>
      </c>
      <c r="X105" s="51">
        <f ca="1">X58*参数输入表!$I$241</f>
        <v>11810.889837246</v>
      </c>
      <c r="Y105" s="51">
        <f ca="1">Y58*参数输入表!$I$241</f>
        <v>11249.4110624212</v>
      </c>
      <c r="Z105" s="51">
        <f ca="1">Z58*参数输入表!$I$241</f>
        <v>11501.9956624578</v>
      </c>
      <c r="AA105" s="51">
        <f ca="1">AA58*参数输入表!$I$241</f>
        <v>12029.441306605</v>
      </c>
      <c r="AB105" s="51">
        <f ca="1">AB58*参数输入表!$I$241</f>
        <v>12783.2023391389</v>
      </c>
      <c r="AC105" s="51">
        <f ca="1">AC58*参数输入表!$I$241</f>
        <v>13769.7393801563</v>
      </c>
      <c r="AD105" s="51">
        <f ca="1">AD58*参数输入表!$I$241</f>
        <v>15029.7238331486</v>
      </c>
      <c r="AE105" s="51">
        <f ca="1">AE58*参数输入表!$I$241</f>
        <v>17150.7258133454</v>
      </c>
      <c r="AF105" s="51">
        <f ca="1">AF58*参数输入表!$I$241</f>
        <v>19551.8189290606</v>
      </c>
      <c r="AG105" s="51">
        <f ca="1">AG58*参数输入表!$I$241</f>
        <v>20799.289839828</v>
      </c>
      <c r="AH105" s="51">
        <f ca="1">AH58*参数输入表!$I$241</f>
        <v>21760.3482545924</v>
      </c>
      <c r="AI105" s="51">
        <f ca="1">AI58*参数输入表!$I$241</f>
        <v>22073.0903105685</v>
      </c>
      <c r="AJ105" s="51">
        <f ca="1">AJ58*参数输入表!$I$241</f>
        <v>21975.9893931373</v>
      </c>
      <c r="AK105" s="51">
        <f ca="1">AK58*参数输入表!$I$241</f>
        <v>21975.9893931373</v>
      </c>
      <c r="AL105" s="51">
        <f ca="1">AL58*参数输入表!$I$241</f>
        <v>21975.9893931373</v>
      </c>
      <c r="AM105" s="51">
        <f ca="1">AM58*参数输入表!$I$241</f>
        <v>21978.4169160731</v>
      </c>
      <c r="AN105" s="51">
        <f ca="1">AN58*参数输入表!$I$241</f>
        <v>21986.1362957922</v>
      </c>
      <c r="AO105" s="51">
        <f ca="1">AO58*参数输入表!$I$241</f>
        <v>21975.9893931373</v>
      </c>
      <c r="AP105" s="51">
        <f ca="1">AP58*参数输入表!$I$241</f>
        <v>27326.5051106691</v>
      </c>
      <c r="AQ105" s="51">
        <f ca="1">AQ58*参数输入表!$I$241</f>
        <v>34817.2271152136</v>
      </c>
      <c r="AR105" s="51">
        <f ca="1">AR58*参数输入表!$I$241</f>
        <v>34819.6546381493</v>
      </c>
      <c r="AS105" s="51">
        <f ca="1">AS58*参数输入表!$I$241</f>
        <v>34814.429969444</v>
      </c>
      <c r="AT105" s="51">
        <f ca="1">AT58*参数输入表!$I$241</f>
        <v>34717.3290520128</v>
      </c>
      <c r="AU105" s="51">
        <f ca="1">AU58*参数输入表!$I$241</f>
        <v>34717.3290520128</v>
      </c>
      <c r="AV105" s="51">
        <f ca="1">AV58*参数输入表!$I$241</f>
        <v>34700.3741847561</v>
      </c>
      <c r="AW105" s="51">
        <f ca="1">AW58*参数输入表!$I$241</f>
        <v>34692.654805037</v>
      </c>
      <c r="AX105" s="51">
        <f ca="1">AX58*参数输入表!$I$241</f>
        <v>34690.2272821013</v>
      </c>
      <c r="AY105" s="51">
        <f ca="1">AY58*参数输入表!$I$241</f>
        <v>34617.7312576364</v>
      </c>
      <c r="AZ105" s="51">
        <f ca="1">AZ58*参数输入表!$I$241</f>
        <v>34615.3037347006</v>
      </c>
      <c r="BA105" s="51">
        <f ca="1">BA58*参数输入表!$I$241</f>
        <v>19635.364796883</v>
      </c>
    </row>
    <row r="106" s="4" customFormat="1" spans="2:53">
      <c r="B106" s="50">
        <v>1.2</v>
      </c>
      <c r="C106" s="54" t="s">
        <v>936</v>
      </c>
      <c r="D106" s="51">
        <f ca="1" t="shared" si="50"/>
        <v>170567.072944347</v>
      </c>
      <c r="E106" s="50" t="s">
        <v>130</v>
      </c>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f ca="1">('表10-资产负债表'!AZ5-'表10-资产负债表'!AZ57-'表10-资产负债表'!AZ120)*参数输入表!I241</f>
        <v>170567.072944347</v>
      </c>
    </row>
    <row r="107" s="4" customFormat="1" spans="2:53">
      <c r="B107" s="76">
        <v>2</v>
      </c>
      <c r="C107" s="95" t="s">
        <v>937</v>
      </c>
      <c r="D107" s="73">
        <f ca="1" t="shared" si="50"/>
        <v>170567.072944353</v>
      </c>
      <c r="E107" s="50" t="s">
        <v>130</v>
      </c>
      <c r="F107" s="73">
        <f ca="1" t="shared" ref="F107:BA107" si="52">F108</f>
        <v>16714.4804385304</v>
      </c>
      <c r="G107" s="73">
        <f ca="1" t="shared" si="52"/>
        <v>16783.0137666065</v>
      </c>
      <c r="H107" s="73">
        <f ca="1" t="shared" si="52"/>
        <v>19517.2901794266</v>
      </c>
      <c r="I107" s="73">
        <f ca="1" t="shared" si="52"/>
        <v>21871.9510811174</v>
      </c>
      <c r="J107" s="73">
        <f ca="1" t="shared" si="52"/>
        <v>29367.0200097672</v>
      </c>
      <c r="K107" s="73">
        <f ca="1" t="shared" si="52"/>
        <v>28073.9069176736</v>
      </c>
      <c r="L107" s="73">
        <f ca="1" t="shared" si="52"/>
        <v>25084.5186075626</v>
      </c>
      <c r="M107" s="73">
        <f ca="1" t="shared" si="52"/>
        <v>13154.8919436693</v>
      </c>
      <c r="N107" s="73">
        <f ca="1" t="shared" si="52"/>
        <v>0</v>
      </c>
      <c r="O107" s="73">
        <f ca="1" t="shared" si="52"/>
        <v>0</v>
      </c>
      <c r="P107" s="73">
        <f ca="1" t="shared" si="52"/>
        <v>0</v>
      </c>
      <c r="Q107" s="73">
        <f ca="1" t="shared" si="52"/>
        <v>0</v>
      </c>
      <c r="R107" s="73">
        <f ca="1" t="shared" si="52"/>
        <v>0</v>
      </c>
      <c r="S107" s="73">
        <f ca="1" t="shared" si="52"/>
        <v>0</v>
      </c>
      <c r="T107" s="73">
        <f ca="1" t="shared" si="52"/>
        <v>0</v>
      </c>
      <c r="U107" s="73">
        <f ca="1" t="shared" si="52"/>
        <v>0</v>
      </c>
      <c r="V107" s="73">
        <f ca="1" t="shared" si="52"/>
        <v>0</v>
      </c>
      <c r="W107" s="73">
        <f ca="1" t="shared" si="52"/>
        <v>0</v>
      </c>
      <c r="X107" s="73">
        <f ca="1" t="shared" si="52"/>
        <v>0</v>
      </c>
      <c r="Y107" s="73">
        <f ca="1" t="shared" si="52"/>
        <v>0</v>
      </c>
      <c r="Z107" s="73">
        <f ca="1" t="shared" si="52"/>
        <v>0</v>
      </c>
      <c r="AA107" s="73">
        <f ca="1" t="shared" si="52"/>
        <v>0</v>
      </c>
      <c r="AB107" s="73">
        <f ca="1" t="shared" si="52"/>
        <v>0</v>
      </c>
      <c r="AC107" s="73">
        <f ca="1" t="shared" si="52"/>
        <v>0</v>
      </c>
      <c r="AD107" s="73">
        <f ca="1" t="shared" si="52"/>
        <v>0</v>
      </c>
      <c r="AE107" s="73">
        <f ca="1" t="shared" si="52"/>
        <v>0</v>
      </c>
      <c r="AF107" s="73">
        <f ca="1" t="shared" si="52"/>
        <v>0</v>
      </c>
      <c r="AG107" s="73">
        <f ca="1" t="shared" si="52"/>
        <v>0</v>
      </c>
      <c r="AH107" s="73">
        <f ca="1" t="shared" si="52"/>
        <v>0</v>
      </c>
      <c r="AI107" s="73">
        <f ca="1" t="shared" si="52"/>
        <v>0</v>
      </c>
      <c r="AJ107" s="73">
        <f ca="1" t="shared" si="52"/>
        <v>0</v>
      </c>
      <c r="AK107" s="73">
        <f ca="1" t="shared" si="52"/>
        <v>0</v>
      </c>
      <c r="AL107" s="73">
        <f ca="1" t="shared" si="52"/>
        <v>0</v>
      </c>
      <c r="AM107" s="73">
        <f ca="1" t="shared" si="52"/>
        <v>0</v>
      </c>
      <c r="AN107" s="73">
        <f ca="1" t="shared" si="52"/>
        <v>0</v>
      </c>
      <c r="AO107" s="73">
        <f ca="1" t="shared" si="52"/>
        <v>0</v>
      </c>
      <c r="AP107" s="73">
        <f ca="1" t="shared" si="52"/>
        <v>0</v>
      </c>
      <c r="AQ107" s="73">
        <f ca="1" t="shared" si="52"/>
        <v>0</v>
      </c>
      <c r="AR107" s="73">
        <f ca="1" t="shared" si="52"/>
        <v>0</v>
      </c>
      <c r="AS107" s="73">
        <f ca="1" t="shared" si="52"/>
        <v>0</v>
      </c>
      <c r="AT107" s="73">
        <f ca="1" t="shared" si="52"/>
        <v>0</v>
      </c>
      <c r="AU107" s="73">
        <f ca="1" t="shared" si="52"/>
        <v>0</v>
      </c>
      <c r="AV107" s="73">
        <f ca="1" t="shared" si="52"/>
        <v>0</v>
      </c>
      <c r="AW107" s="73">
        <f ca="1" t="shared" si="52"/>
        <v>0</v>
      </c>
      <c r="AX107" s="73">
        <f ca="1" t="shared" si="52"/>
        <v>0</v>
      </c>
      <c r="AY107" s="73">
        <f ca="1" t="shared" si="52"/>
        <v>0</v>
      </c>
      <c r="AZ107" s="73">
        <f ca="1" t="shared" si="52"/>
        <v>0</v>
      </c>
      <c r="BA107" s="73">
        <f ca="1" t="shared" si="52"/>
        <v>0</v>
      </c>
    </row>
    <row r="108" s="4" customFormat="1" spans="2:53">
      <c r="B108" s="50">
        <v>2.1</v>
      </c>
      <c r="C108" s="54" t="s">
        <v>938</v>
      </c>
      <c r="D108" s="51">
        <f ca="1" t="shared" si="50"/>
        <v>170567.072944353</v>
      </c>
      <c r="E108" s="50" t="s">
        <v>130</v>
      </c>
      <c r="F108" s="51">
        <f ca="1">('表1-资金筹措及还本付息表'!F37+'表1-资金筹措及还本付息表'!G37)*参数输入表!$I$241</f>
        <v>16714.4804385304</v>
      </c>
      <c r="G108" s="51">
        <f ca="1">'表1-资金筹措及还本付息表'!H37*参数输入表!$I$241</f>
        <v>16783.0137666065</v>
      </c>
      <c r="H108" s="51">
        <f ca="1">'表1-资金筹措及还本付息表'!I37*参数输入表!$I$241</f>
        <v>19517.2901794266</v>
      </c>
      <c r="I108" s="51">
        <f ca="1">'表1-资金筹措及还本付息表'!J37*参数输入表!$I$241</f>
        <v>21871.9510811174</v>
      </c>
      <c r="J108" s="51">
        <f ca="1">'表1-资金筹措及还本付息表'!K37*参数输入表!$I$241</f>
        <v>29367.0200097672</v>
      </c>
      <c r="K108" s="51">
        <f ca="1">'表1-资金筹措及还本付息表'!L37*参数输入表!$I$241</f>
        <v>28073.9069176736</v>
      </c>
      <c r="L108" s="51">
        <f ca="1">('表1-资金筹措及还本付息表'!M37+'表1-资金筹措及还本付息表'!N37)*参数输入表!$I$241</f>
        <v>25084.5186075626</v>
      </c>
      <c r="M108" s="51">
        <f ca="1">('表1-资金筹措及还本付息表'!O37+'表1-资金筹措及还本付息表'!Q37)*参数输入表!$I$241</f>
        <v>13154.8919436693</v>
      </c>
      <c r="N108" s="51">
        <f ca="1">'表1-资金筹措及还本付息表'!R37*参数输入表!$I$241</f>
        <v>0</v>
      </c>
      <c r="O108" s="51">
        <f ca="1">'表1-资金筹措及还本付息表'!S37*参数输入表!$I$241</f>
        <v>0</v>
      </c>
      <c r="P108" s="51">
        <f ca="1">'表1-资金筹措及还本付息表'!T37*参数输入表!$I$241</f>
        <v>0</v>
      </c>
      <c r="Q108" s="51">
        <f ca="1">'表1-资金筹措及还本付息表'!U37*参数输入表!$I$241</f>
        <v>0</v>
      </c>
      <c r="R108" s="51">
        <f ca="1">'表1-资金筹措及还本付息表'!V37*参数输入表!$I$241</f>
        <v>0</v>
      </c>
      <c r="S108" s="51">
        <f ca="1">'表1-资金筹措及还本付息表'!W37*参数输入表!$I$241</f>
        <v>0</v>
      </c>
      <c r="T108" s="51">
        <f ca="1">'表1-资金筹措及还本付息表'!X37*参数输入表!$I$241</f>
        <v>0</v>
      </c>
      <c r="U108" s="51">
        <f ca="1">'表1-资金筹措及还本付息表'!Y37*参数输入表!$I$241</f>
        <v>0</v>
      </c>
      <c r="V108" s="51">
        <f ca="1">'表1-资金筹措及还本付息表'!Z37*参数输入表!$I$241</f>
        <v>0</v>
      </c>
      <c r="W108" s="51">
        <f ca="1">'表1-资金筹措及还本付息表'!AA37*参数输入表!$I$241</f>
        <v>0</v>
      </c>
      <c r="X108" s="51">
        <f ca="1">'表1-资金筹措及还本付息表'!AB37*参数输入表!$I$241</f>
        <v>0</v>
      </c>
      <c r="Y108" s="51">
        <f ca="1">'表1-资金筹措及还本付息表'!AC37*参数输入表!$I$241</f>
        <v>0</v>
      </c>
      <c r="Z108" s="51">
        <f ca="1">'表1-资金筹措及还本付息表'!AD37*参数输入表!$I$241</f>
        <v>0</v>
      </c>
      <c r="AA108" s="51">
        <f ca="1">'表1-资金筹措及还本付息表'!AE37*参数输入表!$I$241</f>
        <v>0</v>
      </c>
      <c r="AB108" s="51">
        <f ca="1">'表1-资金筹措及还本付息表'!AF37*参数输入表!$I$241</f>
        <v>0</v>
      </c>
      <c r="AC108" s="51">
        <f ca="1">'表1-资金筹措及还本付息表'!AG37*参数输入表!$I$241</f>
        <v>0</v>
      </c>
      <c r="AD108" s="51">
        <f ca="1">'表1-资金筹措及还本付息表'!AH37*参数输入表!$I$241</f>
        <v>0</v>
      </c>
      <c r="AE108" s="51">
        <f ca="1">'表1-资金筹措及还本付息表'!AI37*参数输入表!$I$241</f>
        <v>0</v>
      </c>
      <c r="AF108" s="51">
        <f ca="1">'表1-资金筹措及还本付息表'!AJ37*参数输入表!$I$241</f>
        <v>0</v>
      </c>
      <c r="AG108" s="51">
        <f ca="1">'表1-资金筹措及还本付息表'!AK37*参数输入表!$I$241</f>
        <v>0</v>
      </c>
      <c r="AH108" s="51">
        <f ca="1">'表1-资金筹措及还本付息表'!AL37*参数输入表!$I$241</f>
        <v>0</v>
      </c>
      <c r="AI108" s="51">
        <f ca="1">'表1-资金筹措及还本付息表'!AM37*参数输入表!$I$241</f>
        <v>0</v>
      </c>
      <c r="AJ108" s="51">
        <f ca="1">'表1-资金筹措及还本付息表'!AN37*参数输入表!$I$241</f>
        <v>0</v>
      </c>
      <c r="AK108" s="51">
        <f ca="1">'表1-资金筹措及还本付息表'!AO37*参数输入表!$I$241</f>
        <v>0</v>
      </c>
      <c r="AL108" s="51">
        <f ca="1">'表1-资金筹措及还本付息表'!AP37*参数输入表!$I$241</f>
        <v>0</v>
      </c>
      <c r="AM108" s="51">
        <f ca="1">'表1-资金筹措及还本付息表'!AQ37*参数输入表!$I$241</f>
        <v>0</v>
      </c>
      <c r="AN108" s="51">
        <f ca="1">'表1-资金筹措及还本付息表'!AR37*参数输入表!$I$241</f>
        <v>0</v>
      </c>
      <c r="AO108" s="51">
        <f ca="1">'表1-资金筹措及还本付息表'!AS37*参数输入表!$I$241</f>
        <v>0</v>
      </c>
      <c r="AP108" s="51">
        <f ca="1">'表1-资金筹措及还本付息表'!AT37*参数输入表!$I$241</f>
        <v>0</v>
      </c>
      <c r="AQ108" s="51">
        <f ca="1">'表1-资金筹措及还本付息表'!AU37*参数输入表!$I$241</f>
        <v>0</v>
      </c>
      <c r="AR108" s="51">
        <f ca="1">'表1-资金筹措及还本付息表'!AV37*参数输入表!$I$241</f>
        <v>0</v>
      </c>
      <c r="AS108" s="51">
        <f ca="1">'表1-资金筹措及还本付息表'!AW37*参数输入表!$I$241</f>
        <v>0</v>
      </c>
      <c r="AT108" s="51">
        <f ca="1">'表1-资金筹措及还本付息表'!AX37*参数输入表!$I$241</f>
        <v>0</v>
      </c>
      <c r="AU108" s="51">
        <f ca="1">'表1-资金筹措及还本付息表'!AY37*参数输入表!$I$241</f>
        <v>0</v>
      </c>
      <c r="AV108" s="51">
        <f ca="1">'表1-资金筹措及还本付息表'!AZ37*参数输入表!$I$241</f>
        <v>0</v>
      </c>
      <c r="AW108" s="51">
        <f ca="1">'表1-资金筹措及还本付息表'!BA37*参数输入表!$I$241</f>
        <v>0</v>
      </c>
      <c r="AX108" s="51">
        <f ca="1">'表1-资金筹措及还本付息表'!BB37*参数输入表!$I$241</f>
        <v>0</v>
      </c>
      <c r="AY108" s="51">
        <f ca="1">'表1-资金筹措及还本付息表'!BC37*参数输入表!$I$241</f>
        <v>0</v>
      </c>
      <c r="AZ108" s="51">
        <f ca="1">'表1-资金筹措及还本付息表'!BD37*参数输入表!$I$241</f>
        <v>0</v>
      </c>
      <c r="BA108" s="51">
        <f ca="1">'表1-资金筹措及还本付息表'!BE37*参数输入表!$I$241</f>
        <v>0</v>
      </c>
    </row>
    <row r="109" s="4" customFormat="1" spans="2:53">
      <c r="B109" s="76">
        <v>3</v>
      </c>
      <c r="C109" s="95" t="s">
        <v>939</v>
      </c>
      <c r="D109" s="73">
        <f ca="1" t="shared" si="50"/>
        <v>819327.685941354</v>
      </c>
      <c r="E109" s="50" t="s">
        <v>130</v>
      </c>
      <c r="F109" s="73">
        <f ca="1" t="shared" ref="F109:BA109" si="53">F104-F107</f>
        <v>-16714.4804385304</v>
      </c>
      <c r="G109" s="73">
        <f ca="1" t="shared" si="53"/>
        <v>-16783.0137666065</v>
      </c>
      <c r="H109" s="73">
        <f ca="1" t="shared" si="53"/>
        <v>-19517.2901794266</v>
      </c>
      <c r="I109" s="73">
        <f ca="1" t="shared" si="53"/>
        <v>-21871.9510811174</v>
      </c>
      <c r="J109" s="73">
        <f ca="1" t="shared" si="53"/>
        <v>-29367.0200097672</v>
      </c>
      <c r="K109" s="73">
        <f ca="1" t="shared" si="53"/>
        <v>-28073.9069176736</v>
      </c>
      <c r="L109" s="73">
        <f ca="1" t="shared" si="53"/>
        <v>-25084.5186075626</v>
      </c>
      <c r="M109" s="73">
        <f ca="1" t="shared" si="53"/>
        <v>-7942.84747287363</v>
      </c>
      <c r="N109" s="73">
        <f ca="1" t="shared" si="53"/>
        <v>7524.77669620146</v>
      </c>
      <c r="O109" s="73">
        <f ca="1" t="shared" si="53"/>
        <v>8687.46186564521</v>
      </c>
      <c r="P109" s="73">
        <f ca="1" t="shared" si="53"/>
        <v>8739.75840554994</v>
      </c>
      <c r="Q109" s="73">
        <f ca="1" t="shared" si="53"/>
        <v>9848.55411061821</v>
      </c>
      <c r="R109" s="73">
        <f ca="1" t="shared" si="53"/>
        <v>10893.3912301156</v>
      </c>
      <c r="S109" s="73">
        <f ca="1" t="shared" si="53"/>
        <v>9935.22268145227</v>
      </c>
      <c r="T109" s="73">
        <f ca="1" t="shared" si="53"/>
        <v>10044.6271183713</v>
      </c>
      <c r="U109" s="73">
        <f ca="1" t="shared" si="53"/>
        <v>10501.2089645479</v>
      </c>
      <c r="V109" s="73">
        <f ca="1" t="shared" si="53"/>
        <v>10965.1448987494</v>
      </c>
      <c r="W109" s="73">
        <f ca="1" t="shared" si="53"/>
        <v>11433.177147715</v>
      </c>
      <c r="X109" s="73">
        <f ca="1" t="shared" si="53"/>
        <v>11810.889837246</v>
      </c>
      <c r="Y109" s="73">
        <f ca="1" t="shared" si="53"/>
        <v>11249.4110624212</v>
      </c>
      <c r="Z109" s="73">
        <f ca="1" t="shared" si="53"/>
        <v>11501.9956624578</v>
      </c>
      <c r="AA109" s="73">
        <f ca="1" t="shared" si="53"/>
        <v>12029.441306605</v>
      </c>
      <c r="AB109" s="73">
        <f ca="1" t="shared" si="53"/>
        <v>12783.2023391389</v>
      </c>
      <c r="AC109" s="73">
        <f ca="1" t="shared" si="53"/>
        <v>13769.7393801563</v>
      </c>
      <c r="AD109" s="73">
        <f ca="1" t="shared" si="53"/>
        <v>15029.7238331486</v>
      </c>
      <c r="AE109" s="73">
        <f ca="1" t="shared" si="53"/>
        <v>17150.7258133454</v>
      </c>
      <c r="AF109" s="73">
        <f ca="1" t="shared" si="53"/>
        <v>19551.8189290606</v>
      </c>
      <c r="AG109" s="73">
        <f ca="1" t="shared" si="53"/>
        <v>20799.289839828</v>
      </c>
      <c r="AH109" s="73">
        <f ca="1" t="shared" si="53"/>
        <v>21760.3482545924</v>
      </c>
      <c r="AI109" s="73">
        <f ca="1" t="shared" si="53"/>
        <v>22073.0903105685</v>
      </c>
      <c r="AJ109" s="73">
        <f ca="1" t="shared" si="53"/>
        <v>21975.9893931373</v>
      </c>
      <c r="AK109" s="73">
        <f ca="1" t="shared" si="53"/>
        <v>21975.9893931373</v>
      </c>
      <c r="AL109" s="73">
        <f ca="1" t="shared" si="53"/>
        <v>21975.9893931373</v>
      </c>
      <c r="AM109" s="73">
        <f ca="1" t="shared" si="53"/>
        <v>21978.4169160731</v>
      </c>
      <c r="AN109" s="73">
        <f ca="1" t="shared" si="53"/>
        <v>21986.1362957922</v>
      </c>
      <c r="AO109" s="73">
        <f ca="1" t="shared" si="53"/>
        <v>21975.9893931373</v>
      </c>
      <c r="AP109" s="73">
        <f ca="1" t="shared" si="53"/>
        <v>27326.5051106691</v>
      </c>
      <c r="AQ109" s="73">
        <f ca="1" t="shared" si="53"/>
        <v>34817.2271152136</v>
      </c>
      <c r="AR109" s="73">
        <f ca="1" t="shared" si="53"/>
        <v>34819.6546381493</v>
      </c>
      <c r="AS109" s="73">
        <f ca="1" t="shared" si="53"/>
        <v>34814.429969444</v>
      </c>
      <c r="AT109" s="73">
        <f ca="1" t="shared" si="53"/>
        <v>34717.3290520128</v>
      </c>
      <c r="AU109" s="73">
        <f ca="1" t="shared" si="53"/>
        <v>34717.3290520128</v>
      </c>
      <c r="AV109" s="73">
        <f ca="1" t="shared" si="53"/>
        <v>34700.3741847561</v>
      </c>
      <c r="AW109" s="73">
        <f ca="1" t="shared" si="53"/>
        <v>34692.654805037</v>
      </c>
      <c r="AX109" s="73">
        <f ca="1" t="shared" si="53"/>
        <v>34690.2272821013</v>
      </c>
      <c r="AY109" s="73">
        <f ca="1" t="shared" si="53"/>
        <v>34617.7312576364</v>
      </c>
      <c r="AZ109" s="73">
        <f ca="1" t="shared" si="53"/>
        <v>34615.3037347006</v>
      </c>
      <c r="BA109" s="73">
        <f ca="1" t="shared" si="53"/>
        <v>190202.43774123</v>
      </c>
    </row>
    <row r="110" s="4" customFormat="1" spans="2:53">
      <c r="B110" s="199"/>
      <c r="D110" s="200"/>
      <c r="E110" s="92"/>
      <c r="F110" s="200"/>
      <c r="G110" s="200"/>
      <c r="H110" s="200"/>
      <c r="I110" s="200"/>
      <c r="J110" s="200"/>
      <c r="K110" s="200"/>
      <c r="L110" s="200"/>
      <c r="M110" s="200"/>
      <c r="N110" s="200"/>
      <c r="O110" s="200"/>
      <c r="P110" s="200"/>
      <c r="Q110" s="200"/>
      <c r="R110" s="200"/>
      <c r="S110" s="200"/>
      <c r="T110" s="200"/>
      <c r="U110" s="200"/>
      <c r="V110" s="200"/>
      <c r="W110" s="200"/>
      <c r="X110" s="200"/>
      <c r="Y110" s="200"/>
      <c r="Z110" s="200"/>
      <c r="AA110" s="200"/>
      <c r="AB110" s="200"/>
      <c r="AC110" s="200"/>
      <c r="AD110" s="200"/>
      <c r="AE110" s="200"/>
      <c r="AF110" s="200"/>
      <c r="AG110" s="200"/>
      <c r="AH110" s="200"/>
      <c r="AI110" s="200"/>
      <c r="AJ110" s="200"/>
      <c r="AK110" s="200"/>
      <c r="AL110" s="200"/>
      <c r="AM110" s="200"/>
      <c r="AN110" s="200"/>
      <c r="AO110" s="200"/>
      <c r="AP110" s="200"/>
      <c r="AQ110" s="200"/>
      <c r="AR110" s="200"/>
      <c r="AS110" s="200"/>
      <c r="AT110" s="200"/>
      <c r="AU110" s="200"/>
      <c r="AV110" s="200"/>
      <c r="AW110" s="200"/>
      <c r="AX110" s="200"/>
      <c r="AY110" s="200"/>
      <c r="AZ110" s="200"/>
      <c r="BA110" s="200"/>
    </row>
    <row r="111" s="4" customFormat="1" ht="20" spans="2:53">
      <c r="B111" s="199"/>
      <c r="C111" s="201" t="s">
        <v>940</v>
      </c>
      <c r="D111" s="202">
        <f ca="1">IRR(F109:BA109)</f>
        <v>0.0680296969570535</v>
      </c>
      <c r="E111" s="92"/>
      <c r="F111" s="200"/>
      <c r="G111" s="200"/>
      <c r="H111" s="200"/>
      <c r="I111" s="200"/>
      <c r="J111" s="200"/>
      <c r="K111" s="200"/>
      <c r="L111" s="200"/>
      <c r="M111" s="200"/>
      <c r="N111" s="200"/>
      <c r="O111" s="200"/>
      <c r="P111" s="200"/>
      <c r="Q111" s="200"/>
      <c r="R111" s="200"/>
      <c r="S111" s="200"/>
      <c r="T111" s="200"/>
      <c r="U111" s="200"/>
      <c r="V111" s="200"/>
      <c r="W111" s="200"/>
      <c r="X111" s="200"/>
      <c r="Y111" s="200"/>
      <c r="Z111" s="200"/>
      <c r="AA111" s="200"/>
      <c r="AB111" s="200"/>
      <c r="AC111" s="200"/>
      <c r="AD111" s="200"/>
      <c r="AE111" s="200"/>
      <c r="AF111" s="200"/>
      <c r="AG111" s="200"/>
      <c r="AH111" s="200"/>
      <c r="AI111" s="200"/>
      <c r="AJ111" s="200"/>
      <c r="AK111" s="200"/>
      <c r="AL111" s="200"/>
      <c r="AM111" s="200"/>
      <c r="AN111" s="200"/>
      <c r="AO111" s="200"/>
      <c r="AP111" s="200"/>
      <c r="AQ111" s="200"/>
      <c r="AR111" s="200"/>
      <c r="AS111" s="200"/>
      <c r="AT111" s="200"/>
      <c r="AU111" s="200"/>
      <c r="AV111" s="200"/>
      <c r="AW111" s="200"/>
      <c r="AX111" s="200"/>
      <c r="AY111" s="200"/>
      <c r="AZ111" s="200"/>
      <c r="BA111" s="200"/>
    </row>
    <row r="112" s="192" customFormat="1" spans="2:53">
      <c r="B112" s="92"/>
    </row>
    <row r="113" s="192" customFormat="1" spans="2:53">
      <c r="B113" s="92"/>
    </row>
    <row r="114" s="4" customFormat="1" spans="2:53">
      <c r="B114" s="198" t="s">
        <v>941</v>
      </c>
    </row>
    <row r="115" s="4" customFormat="1" spans="2:53">
      <c r="B115" s="76">
        <v>1</v>
      </c>
      <c r="C115" s="95" t="s">
        <v>934</v>
      </c>
      <c r="D115" s="73">
        <f ca="1" t="shared" ref="D115:D122" si="54">SUM(F115:BA115)</f>
        <v>952330.397135343</v>
      </c>
      <c r="E115" s="50" t="s">
        <v>130</v>
      </c>
      <c r="F115" s="73">
        <f ca="1">F116+F119</f>
        <v>0</v>
      </c>
      <c r="G115" s="73">
        <f ca="1">G116+G119</f>
        <v>0</v>
      </c>
      <c r="H115" s="73">
        <f ca="1">H116+H119</f>
        <v>0</v>
      </c>
      <c r="I115" s="73">
        <f ca="1" t="shared" ref="G115:BA115" si="55">I116+I119</f>
        <v>0</v>
      </c>
      <c r="J115" s="73">
        <f ca="1" t="shared" si="55"/>
        <v>0</v>
      </c>
      <c r="K115" s="73">
        <f ca="1" t="shared" si="55"/>
        <v>0</v>
      </c>
      <c r="L115" s="73">
        <f ca="1" t="shared" si="55"/>
        <v>0</v>
      </c>
      <c r="M115" s="73">
        <f ca="1" t="shared" si="55"/>
        <v>2540.08987284226</v>
      </c>
      <c r="N115" s="73">
        <f ca="1" t="shared" si="55"/>
        <v>4535.91065940584</v>
      </c>
      <c r="O115" s="73">
        <f ca="1" t="shared" si="55"/>
        <v>5785.11598573899</v>
      </c>
      <c r="P115" s="73">
        <f ca="1" t="shared" si="55"/>
        <v>6464.68619762912</v>
      </c>
      <c r="Q115" s="73">
        <f ca="1" t="shared" si="55"/>
        <v>7789.57280599883</v>
      </c>
      <c r="R115" s="73">
        <f ca="1" t="shared" si="55"/>
        <v>8858.80901738715</v>
      </c>
      <c r="S115" s="73">
        <f ca="1" t="shared" si="55"/>
        <v>8746.27050861352</v>
      </c>
      <c r="T115" s="73">
        <f ca="1" t="shared" si="55"/>
        <v>8762.7483778712</v>
      </c>
      <c r="U115" s="73">
        <f ca="1" t="shared" si="55"/>
        <v>9016.24903789374</v>
      </c>
      <c r="V115" s="73">
        <f ca="1" t="shared" si="55"/>
        <v>9363.8005970724</v>
      </c>
      <c r="W115" s="73">
        <f ca="1" t="shared" si="55"/>
        <v>9749.30965237517</v>
      </c>
      <c r="X115" s="73">
        <f ca="1" t="shared" si="55"/>
        <v>10100.3345147712</v>
      </c>
      <c r="Y115" s="73">
        <f ca="1" t="shared" si="55"/>
        <v>9929.68320591413</v>
      </c>
      <c r="Z115" s="73">
        <f ca="1" t="shared" si="55"/>
        <v>10001.6102694683</v>
      </c>
      <c r="AA115" s="73">
        <f ca="1" t="shared" si="55"/>
        <v>10314.5543699246</v>
      </c>
      <c r="AB115" s="73">
        <f ca="1" t="shared" si="55"/>
        <v>10841.634727215</v>
      </c>
      <c r="AC115" s="73">
        <f ca="1" t="shared" si="55"/>
        <v>11576.1350706964</v>
      </c>
      <c r="AD115" s="73">
        <f ca="1" t="shared" si="55"/>
        <v>12537.5267825146</v>
      </c>
      <c r="AE115" s="73">
        <f ca="1" t="shared" si="55"/>
        <v>14051.3782052821</v>
      </c>
      <c r="AF115" s="73">
        <f ca="1" t="shared" si="55"/>
        <v>15926.8336680935</v>
      </c>
      <c r="AG115" s="73">
        <f ca="1" t="shared" si="55"/>
        <v>17315.0122421424</v>
      </c>
      <c r="AH115" s="73">
        <f ca="1" t="shared" si="55"/>
        <v>18362.9332318759</v>
      </c>
      <c r="AI115" s="73">
        <f ca="1" t="shared" si="55"/>
        <v>18930.4930312857</v>
      </c>
      <c r="AJ115" s="73">
        <f ca="1" t="shared" si="55"/>
        <v>19093.5856082724</v>
      </c>
      <c r="AK115" s="73">
        <f ca="1" t="shared" si="55"/>
        <v>19155.5607875274</v>
      </c>
      <c r="AL115" s="73">
        <f ca="1" t="shared" si="55"/>
        <v>19179.1113556442</v>
      </c>
      <c r="AM115" s="73">
        <f ca="1" t="shared" si="55"/>
        <v>19189.3750751984</v>
      </c>
      <c r="AN115" s="73">
        <f ca="1" t="shared" si="55"/>
        <v>19197.4553327468</v>
      </c>
      <c r="AO115" s="73">
        <f ca="1" t="shared" si="55"/>
        <v>19195.0312828276</v>
      </c>
      <c r="AP115" s="73">
        <f ca="1" t="shared" si="55"/>
        <v>22091.4144049018</v>
      </c>
      <c r="AQ115" s="73">
        <f ca="1" t="shared" si="55"/>
        <v>27248.2659567508</v>
      </c>
      <c r="AR115" s="73">
        <f ca="1" t="shared" si="55"/>
        <v>29209.1840501232</v>
      </c>
      <c r="AS115" s="73">
        <f ca="1" t="shared" si="55"/>
        <v>29951.5037675007</v>
      </c>
      <c r="AT115" s="73">
        <f ca="1" t="shared" si="55"/>
        <v>30181.0051133152</v>
      </c>
      <c r="AU115" s="73">
        <f ca="1" t="shared" si="55"/>
        <v>30268.2156247247</v>
      </c>
      <c r="AV115" s="73">
        <f ca="1" t="shared" si="55"/>
        <v>30292.1745584408</v>
      </c>
      <c r="AW115" s="73">
        <f ca="1" t="shared" si="55"/>
        <v>30297.0989091351</v>
      </c>
      <c r="AX115" s="73">
        <f ca="1" t="shared" si="55"/>
        <v>30297.6556587291</v>
      </c>
      <c r="AY115" s="73">
        <f ca="1" t="shared" si="55"/>
        <v>30258.6106263272</v>
      </c>
      <c r="AZ115" s="73">
        <f ca="1" t="shared" si="55"/>
        <v>30242.4590103447</v>
      </c>
      <c r="BA115" s="73">
        <f ca="1" t="shared" si="55"/>
        <v>275481.997980821</v>
      </c>
    </row>
    <row r="116" s="4" customFormat="1" spans="2:53">
      <c r="B116" s="80">
        <v>1.1</v>
      </c>
      <c r="C116" s="203" t="s">
        <v>942</v>
      </c>
      <c r="D116" s="79">
        <f ca="1" t="shared" si="54"/>
        <v>713722.873256927</v>
      </c>
      <c r="E116" s="80" t="s">
        <v>130</v>
      </c>
      <c r="F116" s="79">
        <f ca="1">F117-F118</f>
        <v>0</v>
      </c>
      <c r="G116" s="79">
        <f ca="1" t="shared" ref="G116:BA116" si="56">G117-G118</f>
        <v>0</v>
      </c>
      <c r="H116" s="79">
        <f ca="1" t="shared" si="56"/>
        <v>0</v>
      </c>
      <c r="I116" s="79">
        <f ca="1" t="shared" si="56"/>
        <v>0</v>
      </c>
      <c r="J116" s="79">
        <f ca="1" t="shared" si="56"/>
        <v>0</v>
      </c>
      <c r="K116" s="79">
        <f ca="1" t="shared" si="56"/>
        <v>0</v>
      </c>
      <c r="L116" s="79">
        <f ca="1" t="shared" si="56"/>
        <v>0</v>
      </c>
      <c r="M116" s="79">
        <f ca="1" t="shared" si="56"/>
        <v>2540.08987284226</v>
      </c>
      <c r="N116" s="79">
        <f ca="1" t="shared" si="56"/>
        <v>4535.91065940584</v>
      </c>
      <c r="O116" s="79">
        <f ca="1" t="shared" si="56"/>
        <v>5785.11598573899</v>
      </c>
      <c r="P116" s="79">
        <f ca="1" t="shared" si="56"/>
        <v>6464.68619762912</v>
      </c>
      <c r="Q116" s="79">
        <f ca="1" t="shared" si="56"/>
        <v>7789.57280599883</v>
      </c>
      <c r="R116" s="79">
        <f ca="1" t="shared" si="56"/>
        <v>8858.80901738715</v>
      </c>
      <c r="S116" s="79">
        <f ca="1" t="shared" si="56"/>
        <v>8746.27050861352</v>
      </c>
      <c r="T116" s="79">
        <f ca="1" t="shared" si="56"/>
        <v>8762.7483778712</v>
      </c>
      <c r="U116" s="79">
        <f ca="1" t="shared" si="56"/>
        <v>9016.24903789374</v>
      </c>
      <c r="V116" s="79">
        <f ca="1" t="shared" si="56"/>
        <v>9363.8005970724</v>
      </c>
      <c r="W116" s="79">
        <f ca="1" t="shared" si="56"/>
        <v>9749.30965237517</v>
      </c>
      <c r="X116" s="79">
        <f ca="1" t="shared" si="56"/>
        <v>10100.3345147712</v>
      </c>
      <c r="Y116" s="79">
        <f ca="1" t="shared" si="56"/>
        <v>9929.68320591413</v>
      </c>
      <c r="Z116" s="79">
        <f ca="1" t="shared" si="56"/>
        <v>10001.6102694683</v>
      </c>
      <c r="AA116" s="79">
        <f ca="1" t="shared" si="56"/>
        <v>10314.5543699246</v>
      </c>
      <c r="AB116" s="79">
        <f ca="1" t="shared" si="56"/>
        <v>10841.634727215</v>
      </c>
      <c r="AC116" s="79">
        <f ca="1" t="shared" si="56"/>
        <v>11576.1350706964</v>
      </c>
      <c r="AD116" s="79">
        <f ca="1" t="shared" si="56"/>
        <v>12537.5267825146</v>
      </c>
      <c r="AE116" s="79">
        <f ca="1" t="shared" si="56"/>
        <v>14051.3782052821</v>
      </c>
      <c r="AF116" s="79">
        <f ca="1" t="shared" si="56"/>
        <v>15926.8336680935</v>
      </c>
      <c r="AG116" s="79">
        <f ca="1" t="shared" si="56"/>
        <v>17315.0122421424</v>
      </c>
      <c r="AH116" s="79">
        <f ca="1" t="shared" si="56"/>
        <v>18362.9332318759</v>
      </c>
      <c r="AI116" s="79">
        <f ca="1" t="shared" si="56"/>
        <v>18930.4930312857</v>
      </c>
      <c r="AJ116" s="79">
        <f ca="1" t="shared" si="56"/>
        <v>19093.5856082724</v>
      </c>
      <c r="AK116" s="79">
        <f ca="1" t="shared" si="56"/>
        <v>19155.5607875274</v>
      </c>
      <c r="AL116" s="79">
        <f ca="1" t="shared" si="56"/>
        <v>19179.1113556442</v>
      </c>
      <c r="AM116" s="79">
        <f ca="1" t="shared" si="56"/>
        <v>19189.3750751984</v>
      </c>
      <c r="AN116" s="79">
        <f ca="1" t="shared" si="56"/>
        <v>19197.4553327468</v>
      </c>
      <c r="AO116" s="79">
        <f ca="1" t="shared" si="56"/>
        <v>19195.0312828276</v>
      </c>
      <c r="AP116" s="79">
        <f ca="1" t="shared" si="56"/>
        <v>22091.4144049018</v>
      </c>
      <c r="AQ116" s="79">
        <f ca="1" t="shared" si="56"/>
        <v>27248.2659567508</v>
      </c>
      <c r="AR116" s="79">
        <f ca="1" t="shared" si="56"/>
        <v>29209.1840501232</v>
      </c>
      <c r="AS116" s="79">
        <f ca="1" t="shared" si="56"/>
        <v>29951.5037675007</v>
      </c>
      <c r="AT116" s="79">
        <f ca="1" t="shared" si="56"/>
        <v>30181.0051133152</v>
      </c>
      <c r="AU116" s="79">
        <f ca="1" t="shared" si="56"/>
        <v>30268.2156247247</v>
      </c>
      <c r="AV116" s="79">
        <f ca="1" t="shared" si="56"/>
        <v>30292.1745584408</v>
      </c>
      <c r="AW116" s="79">
        <f ca="1" t="shared" si="56"/>
        <v>30297.0989091351</v>
      </c>
      <c r="AX116" s="79">
        <f ca="1" t="shared" si="56"/>
        <v>30297.6556587291</v>
      </c>
      <c r="AY116" s="79">
        <f ca="1" t="shared" si="56"/>
        <v>30258.6106263272</v>
      </c>
      <c r="AZ116" s="79">
        <f ca="1" t="shared" si="56"/>
        <v>30242.4590103447</v>
      </c>
      <c r="BA116" s="79">
        <f ca="1" t="shared" si="56"/>
        <v>36874.4741024052</v>
      </c>
    </row>
    <row r="117" s="4" customFormat="1" spans="2:53">
      <c r="B117" s="80"/>
      <c r="C117" s="204" t="s">
        <v>943</v>
      </c>
      <c r="D117" s="79">
        <f ca="1" t="shared" si="54"/>
        <v>751287.235007292</v>
      </c>
      <c r="E117" s="80"/>
      <c r="F117" s="79">
        <f ca="1">F67*参数输入表!$I$241</f>
        <v>0</v>
      </c>
      <c r="G117" s="79">
        <f ca="1">G67*参数输入表!$I$241</f>
        <v>0</v>
      </c>
      <c r="H117" s="79">
        <f ca="1">H67*参数输入表!$I$241</f>
        <v>0</v>
      </c>
      <c r="I117" s="79">
        <f ca="1">I67*参数输入表!$I$241</f>
        <v>0</v>
      </c>
      <c r="J117" s="79">
        <f ca="1">J67*参数输入表!$I$241</f>
        <v>0</v>
      </c>
      <c r="K117" s="79">
        <f ca="1">K67*参数输入表!$I$241</f>
        <v>0</v>
      </c>
      <c r="L117" s="79">
        <f ca="1">L67*参数输入表!$I$241</f>
        <v>0</v>
      </c>
      <c r="M117" s="79">
        <f ca="1">M67*参数输入表!$I$241</f>
        <v>2673.77881351817</v>
      </c>
      <c r="N117" s="79">
        <f ca="1">N67*参数输入表!$I$241</f>
        <v>4774.64279937456</v>
      </c>
      <c r="O117" s="79">
        <f ca="1">O67*参数输入表!$I$241</f>
        <v>6089.59577446209</v>
      </c>
      <c r="P117" s="79">
        <f ca="1">P67*参数输入表!$I$241</f>
        <v>6804.9328396096</v>
      </c>
      <c r="Q117" s="79">
        <f ca="1">Q67*参数输入表!$I$241</f>
        <v>8199.55032210403</v>
      </c>
      <c r="R117" s="79">
        <f ca="1">R67*参数输入表!$I$241</f>
        <v>9325.06212356542</v>
      </c>
      <c r="S117" s="79">
        <f ca="1">S67*参数输入表!$I$241</f>
        <v>9206.60053538265</v>
      </c>
      <c r="T117" s="79">
        <f ca="1">T67*参数输入表!$I$241</f>
        <v>9223.94566091705</v>
      </c>
      <c r="U117" s="79">
        <f ca="1">U67*参数输入表!$I$241</f>
        <v>9490.78846094078</v>
      </c>
      <c r="V117" s="79">
        <f ca="1">V67*参数输入表!$I$241</f>
        <v>9856.63220744463</v>
      </c>
      <c r="W117" s="79">
        <f ca="1">W67*参数输入表!$I$241</f>
        <v>10262.4312130265</v>
      </c>
      <c r="X117" s="79">
        <f ca="1">X67*参数输入表!$I$241</f>
        <v>10631.9310681803</v>
      </c>
      <c r="Y117" s="79">
        <f ca="1">Y67*参数输入表!$I$241</f>
        <v>10452.2981114886</v>
      </c>
      <c r="Z117" s="79">
        <f ca="1">Z67*参数输入表!$I$241</f>
        <v>10528.0108099666</v>
      </c>
      <c r="AA117" s="79">
        <f ca="1">AA67*参数输入表!$I$241</f>
        <v>10857.4256525522</v>
      </c>
      <c r="AB117" s="79">
        <f ca="1">AB67*参数输入表!$I$241</f>
        <v>11412.247081279</v>
      </c>
      <c r="AC117" s="79">
        <f ca="1">AC67*参数输入表!$I$241</f>
        <v>12185.4053375751</v>
      </c>
      <c r="AD117" s="79">
        <f ca="1">AD67*参数输入表!$I$241</f>
        <v>13197.3966131733</v>
      </c>
      <c r="AE117" s="79">
        <f ca="1">AE67*参数输入表!$I$241</f>
        <v>14790.9244266127</v>
      </c>
      <c r="AF117" s="79">
        <f ca="1">AF67*参数输入表!$I$241</f>
        <v>16765.0880716774</v>
      </c>
      <c r="AG117" s="79">
        <f ca="1">AG67*参数输入表!$I$241</f>
        <v>18226.3286759394</v>
      </c>
      <c r="AH117" s="79">
        <f ca="1">AH67*参数输入表!$I$241</f>
        <v>19329.4034019746</v>
      </c>
      <c r="AI117" s="79">
        <f ca="1">AI67*参数输入表!$I$241</f>
        <v>19926.8347697744</v>
      </c>
      <c r="AJ117" s="79">
        <f ca="1">AJ67*参数输入表!$I$241</f>
        <v>20098.5111666025</v>
      </c>
      <c r="AK117" s="79">
        <f ca="1">AK67*参数输入表!$I$241</f>
        <v>20163.7481973972</v>
      </c>
      <c r="AL117" s="79">
        <f ca="1">AL67*参数输入表!$I$241</f>
        <v>20188.5382690992</v>
      </c>
      <c r="AM117" s="79">
        <f ca="1">AM67*参数输入表!$I$241</f>
        <v>20199.3421844193</v>
      </c>
      <c r="AN117" s="79">
        <f ca="1">AN67*参数输入表!$I$241</f>
        <v>20207.8477186809</v>
      </c>
      <c r="AO117" s="79">
        <f ca="1">AO67*参数输入表!$I$241</f>
        <v>20205.296087187</v>
      </c>
      <c r="AP117" s="79">
        <f ca="1">AP67*参数输入表!$I$241</f>
        <v>23254.1204262124</v>
      </c>
      <c r="AQ117" s="79">
        <f ca="1">AQ67*参数输入表!$I$241</f>
        <v>28682.3852176325</v>
      </c>
      <c r="AR117" s="79">
        <f ca="1">AR67*参数输入表!$I$241</f>
        <v>30746.5095264455</v>
      </c>
      <c r="AS117" s="79">
        <f ca="1">AS67*参数输入表!$I$241</f>
        <v>31527.8987026323</v>
      </c>
      <c r="AT117" s="79">
        <f ca="1">AT67*参数输入表!$I$241</f>
        <v>31769.4790666476</v>
      </c>
      <c r="AU117" s="79">
        <f ca="1">AU67*参数输入表!$I$241</f>
        <v>31861.2796049733</v>
      </c>
      <c r="AV117" s="79">
        <f ca="1">AV67*参数输入表!$I$241</f>
        <v>31886.4995352009</v>
      </c>
      <c r="AW117" s="79">
        <f ca="1">AW67*参数输入表!$I$241</f>
        <v>31891.6830622474</v>
      </c>
      <c r="AX117" s="79">
        <f ca="1">AX67*参数输入表!$I$241</f>
        <v>31892.2691144517</v>
      </c>
      <c r="AY117" s="79">
        <f ca="1">AY67*参数输入表!$I$241</f>
        <v>31851.1690803444</v>
      </c>
      <c r="AZ117" s="79">
        <f ca="1">AZ67*参数输入表!$I$241</f>
        <v>31834.1673793102</v>
      </c>
      <c r="BA117" s="79">
        <f ca="1">BA67*参数输入表!$I$241</f>
        <v>38815.2358972686</v>
      </c>
    </row>
    <row r="118" s="4" customFormat="1" spans="2:53">
      <c r="B118" s="80"/>
      <c r="C118" s="204" t="s">
        <v>408</v>
      </c>
      <c r="D118" s="79">
        <f ca="1" t="shared" si="54"/>
        <v>37564.3617503646</v>
      </c>
      <c r="E118" s="80"/>
      <c r="F118" s="79">
        <f ca="1">F117*参数输入表!$I$1044</f>
        <v>0</v>
      </c>
      <c r="G118" s="79">
        <f ca="1">G117*参数输入表!$I$1044</f>
        <v>0</v>
      </c>
      <c r="H118" s="79">
        <f ca="1">H117*参数输入表!$I$1044</f>
        <v>0</v>
      </c>
      <c r="I118" s="79">
        <f ca="1">I117*参数输入表!$I$1044</f>
        <v>0</v>
      </c>
      <c r="J118" s="79">
        <f ca="1">J117*参数输入表!$I$1044</f>
        <v>0</v>
      </c>
      <c r="K118" s="79">
        <f ca="1">K117*参数输入表!$I$1044</f>
        <v>0</v>
      </c>
      <c r="L118" s="79">
        <f ca="1">L117*参数输入表!$I$1044</f>
        <v>0</v>
      </c>
      <c r="M118" s="79">
        <f ca="1">M117*参数输入表!$I$1044</f>
        <v>133.688940675908</v>
      </c>
      <c r="N118" s="79">
        <f ca="1">N117*参数输入表!$I$1044</f>
        <v>238.732139968728</v>
      </c>
      <c r="O118" s="79">
        <f ca="1">O117*参数输入表!$I$1044</f>
        <v>304.479788723105</v>
      </c>
      <c r="P118" s="79">
        <f ca="1">P117*参数输入表!$I$1044</f>
        <v>340.24664198048</v>
      </c>
      <c r="Q118" s="79">
        <f ca="1">Q117*参数输入表!$I$1044</f>
        <v>409.977516105201</v>
      </c>
      <c r="R118" s="79">
        <f ca="1">R117*参数输入表!$I$1044</f>
        <v>466.253106178271</v>
      </c>
      <c r="S118" s="79">
        <f ca="1">S117*参数输入表!$I$1044</f>
        <v>460.330026769133</v>
      </c>
      <c r="T118" s="79">
        <f ca="1">T117*参数输入表!$I$1044</f>
        <v>461.197283045853</v>
      </c>
      <c r="U118" s="79">
        <f ca="1">U117*参数输入表!$I$1044</f>
        <v>474.539423047039</v>
      </c>
      <c r="V118" s="79">
        <f ca="1">V117*参数输入表!$I$1044</f>
        <v>492.831610372232</v>
      </c>
      <c r="W118" s="79">
        <f ca="1">W117*参数输入表!$I$1044</f>
        <v>513.121560651325</v>
      </c>
      <c r="X118" s="79">
        <f ca="1">X117*参数输入表!$I$1044</f>
        <v>531.596553409013</v>
      </c>
      <c r="Y118" s="79">
        <f ca="1">Y117*参数输入表!$I$1044</f>
        <v>522.614905574428</v>
      </c>
      <c r="Z118" s="79">
        <f ca="1">Z117*参数输入表!$I$1044</f>
        <v>526.40054049833</v>
      </c>
      <c r="AA118" s="79">
        <f ca="1">AA117*参数输入表!$I$1044</f>
        <v>542.871282627608</v>
      </c>
      <c r="AB118" s="79">
        <f ca="1">AB117*参数输入表!$I$1044</f>
        <v>570.61235406395</v>
      </c>
      <c r="AC118" s="79">
        <f ca="1">AC117*参数输入表!$I$1044</f>
        <v>609.270266878755</v>
      </c>
      <c r="AD118" s="79">
        <f ca="1">AD117*参数输入表!$I$1044</f>
        <v>659.869830658663</v>
      </c>
      <c r="AE118" s="79">
        <f ca="1">AE117*参数输入表!$I$1044</f>
        <v>739.546221330635</v>
      </c>
      <c r="AF118" s="79">
        <f ca="1">AF117*参数输入表!$I$1044</f>
        <v>838.254403583869</v>
      </c>
      <c r="AG118" s="79">
        <f ca="1">AG117*参数输入表!$I$1044</f>
        <v>911.316433796969</v>
      </c>
      <c r="AH118" s="79">
        <f ca="1">AH117*参数输入表!$I$1044</f>
        <v>966.470170098732</v>
      </c>
      <c r="AI118" s="79">
        <f ca="1">AI117*参数输入表!$I$1044</f>
        <v>996.34173848872</v>
      </c>
      <c r="AJ118" s="79">
        <f ca="1">AJ117*参数输入表!$I$1044</f>
        <v>1004.92555833013</v>
      </c>
      <c r="AK118" s="79">
        <f ca="1">AK117*参数输入表!$I$1044</f>
        <v>1008.18740986986</v>
      </c>
      <c r="AL118" s="79">
        <f ca="1">AL117*参数输入表!$I$1044</f>
        <v>1009.42691345496</v>
      </c>
      <c r="AM118" s="79">
        <f ca="1">AM117*参数输入表!$I$1044</f>
        <v>1009.96710922097</v>
      </c>
      <c r="AN118" s="79">
        <f ca="1">AN117*参数输入表!$I$1044</f>
        <v>1010.39238593404</v>
      </c>
      <c r="AO118" s="79">
        <f ca="1">AO117*参数输入表!$I$1044</f>
        <v>1010.26480435935</v>
      </c>
      <c r="AP118" s="79">
        <f ca="1">AP117*参数输入表!$I$1044</f>
        <v>1162.70602131062</v>
      </c>
      <c r="AQ118" s="79">
        <f ca="1">AQ117*参数输入表!$I$1044</f>
        <v>1434.11926088162</v>
      </c>
      <c r="AR118" s="79">
        <f ca="1">AR117*参数输入表!$I$1044</f>
        <v>1537.32547632227</v>
      </c>
      <c r="AS118" s="79">
        <f ca="1">AS117*参数输入表!$I$1044</f>
        <v>1576.39493513162</v>
      </c>
      <c r="AT118" s="79">
        <f ca="1">AT117*参数输入表!$I$1044</f>
        <v>1588.47395333238</v>
      </c>
      <c r="AU118" s="79">
        <f ca="1">AU117*参数输入表!$I$1044</f>
        <v>1593.06398024867</v>
      </c>
      <c r="AV118" s="79">
        <f ca="1">AV117*参数输入表!$I$1044</f>
        <v>1594.32497676004</v>
      </c>
      <c r="AW118" s="79">
        <f ca="1">AW117*参数输入表!$I$1044</f>
        <v>1594.58415311237</v>
      </c>
      <c r="AX118" s="79">
        <f ca="1">AX117*参数输入表!$I$1044</f>
        <v>1594.61345572259</v>
      </c>
      <c r="AY118" s="79">
        <f ca="1">AY117*参数输入表!$I$1044</f>
        <v>1592.55845401722</v>
      </c>
      <c r="AZ118" s="79">
        <f ca="1">AZ117*参数输入表!$I$1044</f>
        <v>1591.70836896551</v>
      </c>
      <c r="BA118" s="79">
        <f ca="1">BA117*参数输入表!$I$1044</f>
        <v>1940.76179486343</v>
      </c>
    </row>
    <row r="119" s="4" customFormat="1" spans="2:53">
      <c r="B119" s="50">
        <v>1.2</v>
      </c>
      <c r="C119" s="54" t="s">
        <v>944</v>
      </c>
      <c r="D119" s="51">
        <f ca="1" t="shared" si="54"/>
        <v>238607.523878415</v>
      </c>
      <c r="E119" s="50" t="s">
        <v>130</v>
      </c>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f ca="1">('表10-资产负债表'!AZ5-'表10-资产负债表'!AZ57)*参数输入表!I241</f>
        <v>238607.523878415</v>
      </c>
    </row>
    <row r="120" s="4" customFormat="1" spans="2:53">
      <c r="B120" s="76">
        <v>2</v>
      </c>
      <c r="C120" s="95" t="s">
        <v>937</v>
      </c>
      <c r="D120" s="73">
        <f ca="1" t="shared" si="54"/>
        <v>170567.072944353</v>
      </c>
      <c r="E120" s="50" t="s">
        <v>130</v>
      </c>
      <c r="F120" s="73">
        <f ca="1">F121</f>
        <v>16714.4804385304</v>
      </c>
      <c r="G120" s="73">
        <f ca="1" t="shared" ref="G120:BA120" si="57">G121</f>
        <v>16783.0137666065</v>
      </c>
      <c r="H120" s="73">
        <f ca="1" t="shared" si="57"/>
        <v>19517.2901794266</v>
      </c>
      <c r="I120" s="73">
        <f ca="1" t="shared" si="57"/>
        <v>21871.9510811174</v>
      </c>
      <c r="J120" s="73">
        <f ca="1" t="shared" si="57"/>
        <v>29367.0200097672</v>
      </c>
      <c r="K120" s="73">
        <f ca="1" t="shared" si="57"/>
        <v>28073.9069176736</v>
      </c>
      <c r="L120" s="73">
        <f ca="1" t="shared" si="57"/>
        <v>25084.5186075626</v>
      </c>
      <c r="M120" s="73">
        <f ca="1" t="shared" si="57"/>
        <v>13154.8919436693</v>
      </c>
      <c r="N120" s="73">
        <f ca="1" t="shared" si="57"/>
        <v>0</v>
      </c>
      <c r="O120" s="73">
        <f ca="1" t="shared" si="57"/>
        <v>0</v>
      </c>
      <c r="P120" s="73">
        <f ca="1" t="shared" si="57"/>
        <v>0</v>
      </c>
      <c r="Q120" s="73">
        <f ca="1" t="shared" si="57"/>
        <v>0</v>
      </c>
      <c r="R120" s="73">
        <f ca="1" t="shared" si="57"/>
        <v>0</v>
      </c>
      <c r="S120" s="73">
        <f ca="1" t="shared" si="57"/>
        <v>0</v>
      </c>
      <c r="T120" s="73">
        <f ca="1" t="shared" si="57"/>
        <v>0</v>
      </c>
      <c r="U120" s="73">
        <f ca="1" t="shared" si="57"/>
        <v>0</v>
      </c>
      <c r="V120" s="73">
        <f ca="1" t="shared" si="57"/>
        <v>0</v>
      </c>
      <c r="W120" s="73">
        <f ca="1" t="shared" si="57"/>
        <v>0</v>
      </c>
      <c r="X120" s="73">
        <f ca="1" t="shared" si="57"/>
        <v>0</v>
      </c>
      <c r="Y120" s="73">
        <f ca="1" t="shared" si="57"/>
        <v>0</v>
      </c>
      <c r="Z120" s="73">
        <f ca="1" t="shared" si="57"/>
        <v>0</v>
      </c>
      <c r="AA120" s="73">
        <f ca="1" t="shared" si="57"/>
        <v>0</v>
      </c>
      <c r="AB120" s="73">
        <f ca="1" t="shared" si="57"/>
        <v>0</v>
      </c>
      <c r="AC120" s="73">
        <f ca="1" t="shared" si="57"/>
        <v>0</v>
      </c>
      <c r="AD120" s="73">
        <f ca="1" t="shared" si="57"/>
        <v>0</v>
      </c>
      <c r="AE120" s="73">
        <f ca="1" t="shared" si="57"/>
        <v>0</v>
      </c>
      <c r="AF120" s="73">
        <f ca="1" t="shared" si="57"/>
        <v>0</v>
      </c>
      <c r="AG120" s="73">
        <f ca="1" t="shared" si="57"/>
        <v>0</v>
      </c>
      <c r="AH120" s="73">
        <f ca="1" t="shared" si="57"/>
        <v>0</v>
      </c>
      <c r="AI120" s="73">
        <f ca="1" t="shared" si="57"/>
        <v>0</v>
      </c>
      <c r="AJ120" s="73">
        <f ca="1" t="shared" si="57"/>
        <v>0</v>
      </c>
      <c r="AK120" s="73">
        <f ca="1" t="shared" si="57"/>
        <v>0</v>
      </c>
      <c r="AL120" s="73">
        <f ca="1" t="shared" si="57"/>
        <v>0</v>
      </c>
      <c r="AM120" s="73">
        <f ca="1" t="shared" si="57"/>
        <v>0</v>
      </c>
      <c r="AN120" s="73">
        <f ca="1" t="shared" si="57"/>
        <v>0</v>
      </c>
      <c r="AO120" s="73">
        <f ca="1" t="shared" si="57"/>
        <v>0</v>
      </c>
      <c r="AP120" s="73">
        <f ca="1" t="shared" si="57"/>
        <v>0</v>
      </c>
      <c r="AQ120" s="73">
        <f ca="1" t="shared" si="57"/>
        <v>0</v>
      </c>
      <c r="AR120" s="73">
        <f ca="1" t="shared" si="57"/>
        <v>0</v>
      </c>
      <c r="AS120" s="73">
        <f ca="1" t="shared" si="57"/>
        <v>0</v>
      </c>
      <c r="AT120" s="73">
        <f ca="1" t="shared" si="57"/>
        <v>0</v>
      </c>
      <c r="AU120" s="73">
        <f ca="1" t="shared" si="57"/>
        <v>0</v>
      </c>
      <c r="AV120" s="73">
        <f ca="1" t="shared" si="57"/>
        <v>0</v>
      </c>
      <c r="AW120" s="73">
        <f ca="1" t="shared" si="57"/>
        <v>0</v>
      </c>
      <c r="AX120" s="73">
        <f ca="1" t="shared" si="57"/>
        <v>0</v>
      </c>
      <c r="AY120" s="73">
        <f ca="1" t="shared" si="57"/>
        <v>0</v>
      </c>
      <c r="AZ120" s="73">
        <f ca="1" t="shared" si="57"/>
        <v>0</v>
      </c>
      <c r="BA120" s="73">
        <f ca="1" t="shared" si="57"/>
        <v>0</v>
      </c>
    </row>
    <row r="121" s="4" customFormat="1" spans="2:53">
      <c r="B121" s="50">
        <v>2.1</v>
      </c>
      <c r="C121" s="54" t="s">
        <v>938</v>
      </c>
      <c r="D121" s="51">
        <f ca="1" t="shared" si="54"/>
        <v>170567.072944353</v>
      </c>
      <c r="E121" s="50" t="s">
        <v>130</v>
      </c>
      <c r="F121" s="51">
        <f ca="1">('表1-资金筹措及还本付息表'!F37+'表1-资金筹措及还本付息表'!G37)*参数输入表!$I$241</f>
        <v>16714.4804385304</v>
      </c>
      <c r="G121" s="51">
        <f ca="1">'表1-资金筹措及还本付息表'!H37*参数输入表!$I$241</f>
        <v>16783.0137666065</v>
      </c>
      <c r="H121" s="51">
        <f ca="1">'表1-资金筹措及还本付息表'!I37*参数输入表!$I$241</f>
        <v>19517.2901794266</v>
      </c>
      <c r="I121" s="51">
        <f ca="1">'表1-资金筹措及还本付息表'!J37*参数输入表!$I$241</f>
        <v>21871.9510811174</v>
      </c>
      <c r="J121" s="51">
        <f ca="1">'表1-资金筹措及还本付息表'!K37*参数输入表!$I$241</f>
        <v>29367.0200097672</v>
      </c>
      <c r="K121" s="51">
        <f ca="1">'表1-资金筹措及还本付息表'!L37*参数输入表!$I$241</f>
        <v>28073.9069176736</v>
      </c>
      <c r="L121" s="51">
        <f ca="1">('表1-资金筹措及还本付息表'!M37+'表1-资金筹措及还本付息表'!N37)*参数输入表!$I$241</f>
        <v>25084.5186075626</v>
      </c>
      <c r="M121" s="51">
        <f ca="1">('表1-资金筹措及还本付息表'!O37+'表1-资金筹措及还本付息表'!Q37)*参数输入表!$I$241</f>
        <v>13154.8919436693</v>
      </c>
      <c r="N121" s="51">
        <f ca="1">'表1-资金筹措及还本付息表'!R37*参数输入表!$I$241</f>
        <v>0</v>
      </c>
      <c r="O121" s="51">
        <f ca="1">'表1-资金筹措及还本付息表'!S37*参数输入表!$I$241</f>
        <v>0</v>
      </c>
      <c r="P121" s="51">
        <f ca="1">'表1-资金筹措及还本付息表'!T37*参数输入表!$I$241</f>
        <v>0</v>
      </c>
      <c r="Q121" s="51">
        <f ca="1">'表1-资金筹措及还本付息表'!U37*参数输入表!$I$241</f>
        <v>0</v>
      </c>
      <c r="R121" s="51">
        <f ca="1">'表1-资金筹措及还本付息表'!V37*参数输入表!$I$241</f>
        <v>0</v>
      </c>
      <c r="S121" s="51">
        <f ca="1">'表1-资金筹措及还本付息表'!W37*参数输入表!$I$241</f>
        <v>0</v>
      </c>
      <c r="T121" s="51">
        <f ca="1">'表1-资金筹措及还本付息表'!X37*参数输入表!$I$241</f>
        <v>0</v>
      </c>
      <c r="U121" s="51">
        <f ca="1">'表1-资金筹措及还本付息表'!Y37*参数输入表!$I$241</f>
        <v>0</v>
      </c>
      <c r="V121" s="51">
        <f ca="1">'表1-资金筹措及还本付息表'!Z37*参数输入表!$I$241</f>
        <v>0</v>
      </c>
      <c r="W121" s="51">
        <f ca="1">'表1-资金筹措及还本付息表'!AA37*参数输入表!$I$241</f>
        <v>0</v>
      </c>
      <c r="X121" s="51">
        <f ca="1">'表1-资金筹措及还本付息表'!AB37*参数输入表!$I$241</f>
        <v>0</v>
      </c>
      <c r="Y121" s="51">
        <f ca="1">'表1-资金筹措及还本付息表'!AC37*参数输入表!$I$241</f>
        <v>0</v>
      </c>
      <c r="Z121" s="51">
        <f ca="1">'表1-资金筹措及还本付息表'!AD37*参数输入表!$I$241</f>
        <v>0</v>
      </c>
      <c r="AA121" s="51">
        <f ca="1">'表1-资金筹措及还本付息表'!AE37*参数输入表!$I$241</f>
        <v>0</v>
      </c>
      <c r="AB121" s="51">
        <f ca="1">'表1-资金筹措及还本付息表'!AF37*参数输入表!$I$241</f>
        <v>0</v>
      </c>
      <c r="AC121" s="51">
        <f ca="1">'表1-资金筹措及还本付息表'!AG37*参数输入表!$I$241</f>
        <v>0</v>
      </c>
      <c r="AD121" s="51">
        <f ca="1">'表1-资金筹措及还本付息表'!AH37*参数输入表!$I$241</f>
        <v>0</v>
      </c>
      <c r="AE121" s="51">
        <f ca="1">'表1-资金筹措及还本付息表'!AI37*参数输入表!$I$241</f>
        <v>0</v>
      </c>
      <c r="AF121" s="51">
        <f ca="1">'表1-资金筹措及还本付息表'!AJ37*参数输入表!$I$241</f>
        <v>0</v>
      </c>
      <c r="AG121" s="51">
        <f ca="1">'表1-资金筹措及还本付息表'!AK37*参数输入表!$I$241</f>
        <v>0</v>
      </c>
      <c r="AH121" s="51">
        <f ca="1">'表1-资金筹措及还本付息表'!AL37*参数输入表!$I$241</f>
        <v>0</v>
      </c>
      <c r="AI121" s="51">
        <f ca="1">'表1-资金筹措及还本付息表'!AM37*参数输入表!$I$241</f>
        <v>0</v>
      </c>
      <c r="AJ121" s="51">
        <f ca="1">'表1-资金筹措及还本付息表'!AN37*参数输入表!$I$241</f>
        <v>0</v>
      </c>
      <c r="AK121" s="51">
        <f ca="1">'表1-资金筹措及还本付息表'!AO37*参数输入表!$I$241</f>
        <v>0</v>
      </c>
      <c r="AL121" s="51">
        <f ca="1">'表1-资金筹措及还本付息表'!AP37*参数输入表!$I$241</f>
        <v>0</v>
      </c>
      <c r="AM121" s="51">
        <f ca="1">'表1-资金筹措及还本付息表'!AQ37*参数输入表!$I$241</f>
        <v>0</v>
      </c>
      <c r="AN121" s="51">
        <f ca="1">'表1-资金筹措及还本付息表'!AR37*参数输入表!$I$241</f>
        <v>0</v>
      </c>
      <c r="AO121" s="51">
        <f ca="1">'表1-资金筹措及还本付息表'!AS37*参数输入表!$I$241</f>
        <v>0</v>
      </c>
      <c r="AP121" s="51">
        <f ca="1">'表1-资金筹措及还本付息表'!AT37*参数输入表!$I$241</f>
        <v>0</v>
      </c>
      <c r="AQ121" s="51">
        <f ca="1">'表1-资金筹措及还本付息表'!AU37*参数输入表!$I$241</f>
        <v>0</v>
      </c>
      <c r="AR121" s="51">
        <f ca="1">'表1-资金筹措及还本付息表'!AV37*参数输入表!$I$241</f>
        <v>0</v>
      </c>
      <c r="AS121" s="51">
        <f ca="1">'表1-资金筹措及还本付息表'!AW37*参数输入表!$I$241</f>
        <v>0</v>
      </c>
      <c r="AT121" s="51">
        <f ca="1">'表1-资金筹措及还本付息表'!AX37*参数输入表!$I$241</f>
        <v>0</v>
      </c>
      <c r="AU121" s="51">
        <f ca="1">'表1-资金筹措及还本付息表'!AY37*参数输入表!$I$241</f>
        <v>0</v>
      </c>
      <c r="AV121" s="51">
        <f ca="1">'表1-资金筹措及还本付息表'!AZ37*参数输入表!$I$241</f>
        <v>0</v>
      </c>
      <c r="AW121" s="51">
        <f ca="1">'表1-资金筹措及还本付息表'!BA37*参数输入表!$I$241</f>
        <v>0</v>
      </c>
      <c r="AX121" s="51">
        <f ca="1">'表1-资金筹措及还本付息表'!BB37*参数输入表!$I$241</f>
        <v>0</v>
      </c>
      <c r="AY121" s="51">
        <f ca="1">'表1-资金筹措及还本付息表'!BC37*参数输入表!$I$241</f>
        <v>0</v>
      </c>
      <c r="AZ121" s="51">
        <f ca="1">'表1-资金筹措及还本付息表'!BD37*参数输入表!$I$241</f>
        <v>0</v>
      </c>
      <c r="BA121" s="51">
        <f ca="1">'表1-资金筹措及还本付息表'!BE37*参数输入表!$I$241</f>
        <v>0</v>
      </c>
    </row>
    <row r="122" s="4" customFormat="1" spans="2:53">
      <c r="B122" s="76">
        <v>3</v>
      </c>
      <c r="C122" s="95" t="s">
        <v>939</v>
      </c>
      <c r="D122" s="73">
        <f ca="1" t="shared" si="54"/>
        <v>781763.324190989</v>
      </c>
      <c r="E122" s="50" t="s">
        <v>130</v>
      </c>
      <c r="F122" s="73">
        <f ca="1">F115-F120</f>
        <v>-16714.4804385304</v>
      </c>
      <c r="G122" s="73">
        <f ca="1" t="shared" ref="G122:BA122" si="58">G115-G120</f>
        <v>-16783.0137666065</v>
      </c>
      <c r="H122" s="73">
        <f ca="1" t="shared" si="58"/>
        <v>-19517.2901794266</v>
      </c>
      <c r="I122" s="73">
        <f ca="1" t="shared" si="58"/>
        <v>-21871.9510811174</v>
      </c>
      <c r="J122" s="73">
        <f ca="1" t="shared" si="58"/>
        <v>-29367.0200097672</v>
      </c>
      <c r="K122" s="73">
        <f ca="1" t="shared" si="58"/>
        <v>-28073.9069176736</v>
      </c>
      <c r="L122" s="73">
        <f ca="1" t="shared" si="58"/>
        <v>-25084.5186075626</v>
      </c>
      <c r="M122" s="73">
        <f ca="1" t="shared" si="58"/>
        <v>-10614.802070827</v>
      </c>
      <c r="N122" s="73">
        <f ca="1" t="shared" si="58"/>
        <v>4535.91065940584</v>
      </c>
      <c r="O122" s="73">
        <f ca="1" t="shared" si="58"/>
        <v>5785.11598573899</v>
      </c>
      <c r="P122" s="73">
        <f ca="1" t="shared" si="58"/>
        <v>6464.68619762912</v>
      </c>
      <c r="Q122" s="73">
        <f ca="1" t="shared" si="58"/>
        <v>7789.57280599883</v>
      </c>
      <c r="R122" s="73">
        <f ca="1" t="shared" si="58"/>
        <v>8858.80901738715</v>
      </c>
      <c r="S122" s="73">
        <f ca="1" t="shared" si="58"/>
        <v>8746.27050861352</v>
      </c>
      <c r="T122" s="73">
        <f ca="1" t="shared" si="58"/>
        <v>8762.7483778712</v>
      </c>
      <c r="U122" s="73">
        <f ca="1" t="shared" si="58"/>
        <v>9016.24903789374</v>
      </c>
      <c r="V122" s="73">
        <f ca="1" t="shared" si="58"/>
        <v>9363.8005970724</v>
      </c>
      <c r="W122" s="73">
        <f ca="1" t="shared" si="58"/>
        <v>9749.30965237517</v>
      </c>
      <c r="X122" s="73">
        <f ca="1" t="shared" si="58"/>
        <v>10100.3345147712</v>
      </c>
      <c r="Y122" s="73">
        <f ca="1" t="shared" si="58"/>
        <v>9929.68320591413</v>
      </c>
      <c r="Z122" s="73">
        <f ca="1" t="shared" si="58"/>
        <v>10001.6102694683</v>
      </c>
      <c r="AA122" s="73">
        <f ca="1" t="shared" si="58"/>
        <v>10314.5543699246</v>
      </c>
      <c r="AB122" s="73">
        <f ca="1" t="shared" si="58"/>
        <v>10841.634727215</v>
      </c>
      <c r="AC122" s="73">
        <f ca="1" t="shared" si="58"/>
        <v>11576.1350706964</v>
      </c>
      <c r="AD122" s="73">
        <f ca="1" t="shared" si="58"/>
        <v>12537.5267825146</v>
      </c>
      <c r="AE122" s="73">
        <f ca="1" t="shared" si="58"/>
        <v>14051.3782052821</v>
      </c>
      <c r="AF122" s="73">
        <f ca="1" t="shared" si="58"/>
        <v>15926.8336680935</v>
      </c>
      <c r="AG122" s="73">
        <f ca="1" t="shared" si="58"/>
        <v>17315.0122421424</v>
      </c>
      <c r="AH122" s="73">
        <f ca="1" t="shared" si="58"/>
        <v>18362.9332318759</v>
      </c>
      <c r="AI122" s="73">
        <f ca="1" t="shared" si="58"/>
        <v>18930.4930312857</v>
      </c>
      <c r="AJ122" s="73">
        <f ca="1" t="shared" si="58"/>
        <v>19093.5856082724</v>
      </c>
      <c r="AK122" s="73">
        <f ca="1" t="shared" si="58"/>
        <v>19155.5607875274</v>
      </c>
      <c r="AL122" s="73">
        <f ca="1" t="shared" si="58"/>
        <v>19179.1113556442</v>
      </c>
      <c r="AM122" s="73">
        <f ca="1" t="shared" si="58"/>
        <v>19189.3750751984</v>
      </c>
      <c r="AN122" s="73">
        <f ca="1" t="shared" si="58"/>
        <v>19197.4553327468</v>
      </c>
      <c r="AO122" s="73">
        <f ca="1" t="shared" si="58"/>
        <v>19195.0312828276</v>
      </c>
      <c r="AP122" s="73">
        <f ca="1" t="shared" si="58"/>
        <v>22091.4144049018</v>
      </c>
      <c r="AQ122" s="73">
        <f ca="1" t="shared" si="58"/>
        <v>27248.2659567508</v>
      </c>
      <c r="AR122" s="73">
        <f ca="1" t="shared" si="58"/>
        <v>29209.1840501232</v>
      </c>
      <c r="AS122" s="73">
        <f ca="1" t="shared" si="58"/>
        <v>29951.5037675007</v>
      </c>
      <c r="AT122" s="73">
        <f ca="1" t="shared" si="58"/>
        <v>30181.0051133152</v>
      </c>
      <c r="AU122" s="73">
        <f ca="1" t="shared" si="58"/>
        <v>30268.2156247247</v>
      </c>
      <c r="AV122" s="73">
        <f ca="1" t="shared" si="58"/>
        <v>30292.1745584408</v>
      </c>
      <c r="AW122" s="73">
        <f ca="1" t="shared" si="58"/>
        <v>30297.0989091351</v>
      </c>
      <c r="AX122" s="73">
        <f ca="1" t="shared" si="58"/>
        <v>30297.6556587291</v>
      </c>
      <c r="AY122" s="73">
        <f ca="1" t="shared" si="58"/>
        <v>30258.6106263272</v>
      </c>
      <c r="AZ122" s="73">
        <f ca="1" t="shared" si="58"/>
        <v>30242.4590103447</v>
      </c>
      <c r="BA122" s="73">
        <f ca="1" t="shared" si="58"/>
        <v>275481.997980821</v>
      </c>
    </row>
    <row r="123" s="4" customFormat="1" spans="2:53">
      <c r="B123" s="199"/>
      <c r="D123" s="200"/>
      <c r="E123" s="92"/>
      <c r="F123" s="200"/>
      <c r="G123" s="200"/>
      <c r="H123" s="200"/>
      <c r="I123" s="200"/>
      <c r="J123" s="200"/>
      <c r="K123" s="200"/>
      <c r="L123" s="200"/>
      <c r="M123" s="200"/>
      <c r="N123" s="200"/>
      <c r="O123" s="200"/>
      <c r="P123" s="200"/>
      <c r="Q123" s="200"/>
      <c r="R123" s="200"/>
      <c r="S123" s="200"/>
      <c r="T123" s="200"/>
      <c r="U123" s="200"/>
      <c r="V123" s="200"/>
      <c r="W123" s="200"/>
      <c r="X123" s="200"/>
      <c r="Y123" s="200"/>
      <c r="Z123" s="200"/>
      <c r="AA123" s="200"/>
      <c r="AB123" s="200"/>
      <c r="AC123" s="200"/>
      <c r="AD123" s="200"/>
      <c r="AE123" s="200"/>
      <c r="AF123" s="200"/>
      <c r="AG123" s="200"/>
      <c r="AH123" s="200"/>
      <c r="AI123" s="200"/>
      <c r="AJ123" s="200"/>
      <c r="AK123" s="200"/>
      <c r="AL123" s="200"/>
      <c r="AM123" s="200"/>
      <c r="AN123" s="200"/>
      <c r="AO123" s="200"/>
      <c r="AP123" s="200"/>
      <c r="AQ123" s="200"/>
      <c r="AR123" s="200"/>
      <c r="AS123" s="200"/>
      <c r="AT123" s="200"/>
      <c r="AU123" s="200"/>
      <c r="AV123" s="200"/>
      <c r="AW123" s="200"/>
      <c r="AX123" s="200"/>
      <c r="AY123" s="200"/>
      <c r="AZ123" s="200"/>
      <c r="BA123" s="200"/>
    </row>
    <row r="124" s="4" customFormat="1" ht="20" spans="2:53">
      <c r="B124" s="199"/>
      <c r="C124" s="201" t="s">
        <v>940</v>
      </c>
      <c r="D124" s="202">
        <f ca="1">IRR(F122:BA122)</f>
        <v>0.0613738756194357</v>
      </c>
      <c r="E124" s="92"/>
      <c r="F124" s="200"/>
      <c r="G124" s="200"/>
      <c r="H124" s="200"/>
      <c r="I124" s="200"/>
      <c r="J124" s="200"/>
      <c r="K124" s="200"/>
      <c r="L124" s="200"/>
      <c r="M124" s="200"/>
      <c r="N124" s="200"/>
      <c r="O124" s="200"/>
      <c r="P124" s="200"/>
      <c r="Q124" s="200"/>
      <c r="R124" s="200"/>
      <c r="S124" s="200"/>
      <c r="T124" s="200"/>
      <c r="U124" s="200"/>
      <c r="V124" s="200"/>
      <c r="W124" s="200"/>
      <c r="X124" s="200"/>
      <c r="Y124" s="200"/>
      <c r="Z124" s="200"/>
      <c r="AA124" s="200"/>
      <c r="AB124" s="200"/>
      <c r="AC124" s="200"/>
      <c r="AD124" s="200"/>
      <c r="AE124" s="200"/>
      <c r="AF124" s="200"/>
      <c r="AG124" s="200"/>
      <c r="AH124" s="200"/>
      <c r="AI124" s="200"/>
      <c r="AJ124" s="200"/>
      <c r="AK124" s="200"/>
      <c r="AL124" s="200"/>
      <c r="AM124" s="200"/>
      <c r="AN124" s="200"/>
      <c r="AO124" s="200"/>
      <c r="AP124" s="200"/>
      <c r="AQ124" s="200"/>
      <c r="AR124" s="200"/>
      <c r="AS124" s="200"/>
      <c r="AT124" s="200"/>
      <c r="AU124" s="200"/>
      <c r="AV124" s="200"/>
      <c r="AW124" s="200"/>
      <c r="AX124" s="200"/>
      <c r="AY124" s="200"/>
      <c r="AZ124" s="200"/>
      <c r="BA124" s="200"/>
    </row>
    <row r="125" s="4" customFormat="1" spans="2:53">
      <c r="B125" s="199"/>
      <c r="C125" s="140"/>
      <c r="D125" s="200"/>
      <c r="E125" s="92"/>
      <c r="F125" s="200"/>
      <c r="G125" s="200"/>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200"/>
      <c r="AL125" s="200"/>
      <c r="AM125" s="200"/>
      <c r="AN125" s="200"/>
      <c r="AO125" s="200"/>
      <c r="AP125" s="200"/>
      <c r="AQ125" s="200"/>
      <c r="AR125" s="200"/>
      <c r="AS125" s="200"/>
      <c r="AT125" s="200"/>
      <c r="AU125" s="200"/>
      <c r="AV125" s="200"/>
      <c r="AW125" s="200"/>
      <c r="AX125" s="200"/>
      <c r="AY125" s="200"/>
      <c r="AZ125" s="200"/>
      <c r="BA125" s="200"/>
    </row>
    <row r="126" spans="2:53">
      <c r="B126" s="205"/>
      <c r="C126" s="139"/>
      <c r="D126" s="206"/>
      <c r="E126" s="92"/>
      <c r="F126" s="206"/>
      <c r="G126" s="206"/>
      <c r="H126" s="206"/>
      <c r="I126" s="206"/>
      <c r="J126" s="206"/>
      <c r="K126" s="206"/>
      <c r="L126" s="206"/>
      <c r="M126" s="206"/>
      <c r="N126" s="206"/>
      <c r="O126" s="206"/>
      <c r="P126" s="206"/>
      <c r="Q126" s="206"/>
      <c r="R126" s="206"/>
      <c r="S126" s="206"/>
      <c r="T126" s="206"/>
      <c r="U126" s="206"/>
      <c r="V126" s="206"/>
      <c r="W126" s="206"/>
      <c r="X126" s="206"/>
      <c r="Y126" s="206"/>
      <c r="Z126" s="206"/>
      <c r="AA126" s="206"/>
      <c r="AB126" s="206"/>
      <c r="AC126" s="206"/>
      <c r="AD126" s="206"/>
      <c r="AE126" s="206"/>
      <c r="AF126" s="206"/>
      <c r="AG126" s="206"/>
      <c r="AH126" s="206"/>
      <c r="AI126" s="206"/>
      <c r="AJ126" s="206"/>
      <c r="AK126" s="206"/>
      <c r="AL126" s="206"/>
      <c r="AM126" s="206"/>
      <c r="AN126" s="206"/>
      <c r="AO126" s="206"/>
      <c r="AP126" s="206"/>
      <c r="AQ126" s="206"/>
      <c r="AR126" s="206"/>
      <c r="AS126" s="206"/>
      <c r="AT126" s="206"/>
      <c r="AU126" s="206"/>
      <c r="AV126" s="206"/>
      <c r="AW126" s="206"/>
      <c r="AX126" s="206"/>
      <c r="AY126" s="206"/>
      <c r="AZ126" s="206"/>
      <c r="BA126" s="206"/>
    </row>
    <row r="127" spans="2:53">
      <c r="D127" s="6"/>
      <c r="E127" s="6"/>
    </row>
    <row r="128" s="193" customFormat="1" hidden="1" spans="2:53">
      <c r="B128" s="207" t="s">
        <v>945</v>
      </c>
    </row>
    <row r="129" s="193" customFormat="1" hidden="1" spans="2:53">
      <c r="B129" s="208">
        <v>1</v>
      </c>
      <c r="C129" s="194" t="s">
        <v>934</v>
      </c>
      <c r="D129" s="195">
        <f ca="1" t="shared" ref="D129:D134" si="59">SUM(F129:BA129)</f>
        <v>989311.425552374</v>
      </c>
      <c r="E129" s="80" t="s">
        <v>130</v>
      </c>
      <c r="F129" s="195">
        <f ca="1">SUM(F130:F131)</f>
        <v>0</v>
      </c>
      <c r="G129" s="195">
        <f ca="1" t="shared" ref="G129:BA129" si="60">SUM(G130:G131)</f>
        <v>0</v>
      </c>
      <c r="H129" s="195">
        <f ca="1" t="shared" si="60"/>
        <v>0</v>
      </c>
      <c r="I129" s="195">
        <f ca="1" t="shared" si="60"/>
        <v>0</v>
      </c>
      <c r="J129" s="195">
        <f ca="1" t="shared" si="60"/>
        <v>0</v>
      </c>
      <c r="K129" s="195">
        <f ca="1" t="shared" si="60"/>
        <v>0</v>
      </c>
      <c r="L129" s="195">
        <f ca="1" t="shared" si="60"/>
        <v>0</v>
      </c>
      <c r="M129" s="195">
        <f ca="1" t="shared" si="60"/>
        <v>2673.77881351817</v>
      </c>
      <c r="N129" s="195">
        <f ca="1" t="shared" si="60"/>
        <v>4774.64279937456</v>
      </c>
      <c r="O129" s="195">
        <f ca="1" t="shared" si="60"/>
        <v>6089.59577446209</v>
      </c>
      <c r="P129" s="195">
        <f ca="1" t="shared" si="60"/>
        <v>6804.9328396096</v>
      </c>
      <c r="Q129" s="195">
        <f ca="1" t="shared" si="60"/>
        <v>8199.55032210403</v>
      </c>
      <c r="R129" s="195">
        <f ca="1" t="shared" si="60"/>
        <v>9325.06212356542</v>
      </c>
      <c r="S129" s="195">
        <f ca="1" t="shared" si="60"/>
        <v>9206.60053538265</v>
      </c>
      <c r="T129" s="195">
        <f ca="1" t="shared" si="60"/>
        <v>9223.94566091705</v>
      </c>
      <c r="U129" s="195">
        <f ca="1" t="shared" si="60"/>
        <v>9490.78846094078</v>
      </c>
      <c r="V129" s="195">
        <f ca="1" t="shared" si="60"/>
        <v>9856.63220744463</v>
      </c>
      <c r="W129" s="195">
        <f ca="1" t="shared" si="60"/>
        <v>10262.4312130265</v>
      </c>
      <c r="X129" s="195">
        <f ca="1" t="shared" si="60"/>
        <v>10631.9310681803</v>
      </c>
      <c r="Y129" s="195">
        <f ca="1" t="shared" si="60"/>
        <v>10452.2981114886</v>
      </c>
      <c r="Z129" s="195">
        <f ca="1" t="shared" si="60"/>
        <v>10528.0108099666</v>
      </c>
      <c r="AA129" s="195">
        <f ca="1" t="shared" si="60"/>
        <v>10857.4256525522</v>
      </c>
      <c r="AB129" s="195">
        <f ca="1" t="shared" si="60"/>
        <v>11412.247081279</v>
      </c>
      <c r="AC129" s="195">
        <f ca="1" t="shared" si="60"/>
        <v>12185.4053375751</v>
      </c>
      <c r="AD129" s="195">
        <f ca="1" t="shared" si="60"/>
        <v>13197.3966131733</v>
      </c>
      <c r="AE129" s="195">
        <f ca="1" t="shared" si="60"/>
        <v>14790.9244266127</v>
      </c>
      <c r="AF129" s="195">
        <f ca="1" t="shared" si="60"/>
        <v>16765.0880716774</v>
      </c>
      <c r="AG129" s="195">
        <f ca="1" t="shared" si="60"/>
        <v>18226.3286759394</v>
      </c>
      <c r="AH129" s="195">
        <f ca="1" t="shared" si="60"/>
        <v>32706.6699841276</v>
      </c>
      <c r="AI129" s="195">
        <f ca="1" t="shared" si="60"/>
        <v>29031.4532262613</v>
      </c>
      <c r="AJ129" s="195">
        <f ca="1" t="shared" si="60"/>
        <v>41778.3890060778</v>
      </c>
      <c r="AK129" s="195">
        <f ca="1" t="shared" si="60"/>
        <v>41778.3890060778</v>
      </c>
      <c r="AL129" s="195">
        <f ca="1" t="shared" si="60"/>
        <v>41778.3890060778</v>
      </c>
      <c r="AM129" s="195">
        <f ca="1" t="shared" si="60"/>
        <v>41459.7156115824</v>
      </c>
      <c r="AN129" s="195">
        <f ca="1" t="shared" si="60"/>
        <v>40859.3323689097</v>
      </c>
      <c r="AO129" s="195">
        <f ca="1" t="shared" si="60"/>
        <v>41778.3890060778</v>
      </c>
      <c r="AP129" s="195">
        <f ca="1" t="shared" si="60"/>
        <v>39485.3108414214</v>
      </c>
      <c r="AQ129" s="195">
        <f ca="1" t="shared" si="60"/>
        <v>36275.0014109023</v>
      </c>
      <c r="AR129" s="195">
        <f ca="1" t="shared" si="60"/>
        <v>35956.3280164068</v>
      </c>
      <c r="AS129" s="195">
        <f ca="1" t="shared" si="60"/>
        <v>23570.8790867433</v>
      </c>
      <c r="AT129" s="195">
        <f ca="1" t="shared" si="60"/>
        <v>36317.8148665598</v>
      </c>
      <c r="AU129" s="195">
        <f ca="1" t="shared" si="60"/>
        <v>36317.8148665598</v>
      </c>
      <c r="AV129" s="195">
        <f ca="1" t="shared" si="60"/>
        <v>35410.3732736394</v>
      </c>
      <c r="AW129" s="195">
        <f ca="1" t="shared" si="60"/>
        <v>36010.7565163121</v>
      </c>
      <c r="AX129" s="195">
        <f ca="1" t="shared" si="60"/>
        <v>36329.4299108076</v>
      </c>
      <c r="AY129" s="195">
        <f ca="1" t="shared" si="60"/>
        <v>36042.8666080553</v>
      </c>
      <c r="AZ129" s="195">
        <f ca="1" t="shared" si="60"/>
        <v>36361.5400025507</v>
      </c>
      <c r="BA129" s="195">
        <f ca="1" t="shared" si="60"/>
        <v>75107.5663384339</v>
      </c>
    </row>
    <row r="130" s="193" customFormat="1" hidden="1" spans="2:53">
      <c r="B130" s="80">
        <v>1.1</v>
      </c>
      <c r="C130" s="203" t="s">
        <v>942</v>
      </c>
      <c r="D130" s="79">
        <f ca="1" t="shared" si="59"/>
        <v>751287.235007292</v>
      </c>
      <c r="E130" s="80" t="s">
        <v>130</v>
      </c>
      <c r="F130" s="79">
        <f ca="1">F67*参数输入表!$I$241</f>
        <v>0</v>
      </c>
      <c r="G130" s="79">
        <f ca="1">G67*参数输入表!$I$241</f>
        <v>0</v>
      </c>
      <c r="H130" s="79">
        <f ca="1">H67*参数输入表!$I$241</f>
        <v>0</v>
      </c>
      <c r="I130" s="79">
        <f ca="1">I67*参数输入表!$I$241</f>
        <v>0</v>
      </c>
      <c r="J130" s="79">
        <f ca="1">J67*参数输入表!$I$241</f>
        <v>0</v>
      </c>
      <c r="K130" s="79">
        <f ca="1">K67*参数输入表!$I$241</f>
        <v>0</v>
      </c>
      <c r="L130" s="79">
        <f ca="1">L67*参数输入表!$I$241</f>
        <v>0</v>
      </c>
      <c r="M130" s="79">
        <f ca="1">M67*参数输入表!$I$241</f>
        <v>2673.77881351817</v>
      </c>
      <c r="N130" s="79">
        <f ca="1">N67*参数输入表!$I$241</f>
        <v>4774.64279937456</v>
      </c>
      <c r="O130" s="79">
        <f ca="1">O67*参数输入表!$I$241</f>
        <v>6089.59577446209</v>
      </c>
      <c r="P130" s="79">
        <f ca="1">P67*参数输入表!$I$241</f>
        <v>6804.9328396096</v>
      </c>
      <c r="Q130" s="79">
        <f ca="1">Q67*参数输入表!$I$241</f>
        <v>8199.55032210403</v>
      </c>
      <c r="R130" s="79">
        <f ca="1">R67*参数输入表!$I$241</f>
        <v>9325.06212356542</v>
      </c>
      <c r="S130" s="79">
        <f ca="1">S67*参数输入表!$I$241</f>
        <v>9206.60053538265</v>
      </c>
      <c r="T130" s="79">
        <f ca="1">T67*参数输入表!$I$241</f>
        <v>9223.94566091705</v>
      </c>
      <c r="U130" s="79">
        <f ca="1">U67*参数输入表!$I$241</f>
        <v>9490.78846094078</v>
      </c>
      <c r="V130" s="79">
        <f ca="1">V67*参数输入表!$I$241</f>
        <v>9856.63220744463</v>
      </c>
      <c r="W130" s="79">
        <f ca="1">W67*参数输入表!$I$241</f>
        <v>10262.4312130265</v>
      </c>
      <c r="X130" s="79">
        <f ca="1">X67*参数输入表!$I$241</f>
        <v>10631.9310681803</v>
      </c>
      <c r="Y130" s="79">
        <f ca="1">Y67*参数输入表!$I$241</f>
        <v>10452.2981114886</v>
      </c>
      <c r="Z130" s="79">
        <f ca="1">Z67*参数输入表!$I$241</f>
        <v>10528.0108099666</v>
      </c>
      <c r="AA130" s="79">
        <f ca="1">AA67*参数输入表!$I$241</f>
        <v>10857.4256525522</v>
      </c>
      <c r="AB130" s="79">
        <f ca="1">AB67*参数输入表!$I$241</f>
        <v>11412.247081279</v>
      </c>
      <c r="AC130" s="79">
        <f ca="1">AC67*参数输入表!$I$241</f>
        <v>12185.4053375751</v>
      </c>
      <c r="AD130" s="79">
        <f ca="1">AD67*参数输入表!$I$241</f>
        <v>13197.3966131733</v>
      </c>
      <c r="AE130" s="79">
        <f ca="1">AE67*参数输入表!$I$241</f>
        <v>14790.9244266127</v>
      </c>
      <c r="AF130" s="79">
        <f ca="1">AF67*参数输入表!$I$241</f>
        <v>16765.0880716774</v>
      </c>
      <c r="AG130" s="79">
        <f ca="1">AG67*参数输入表!$I$241</f>
        <v>18226.3286759394</v>
      </c>
      <c r="AH130" s="79">
        <f ca="1">AH67*参数输入表!$I$241</f>
        <v>19329.4034019746</v>
      </c>
      <c r="AI130" s="79">
        <f ca="1">AI67*参数输入表!$I$241</f>
        <v>19926.8347697744</v>
      </c>
      <c r="AJ130" s="79">
        <f ca="1">AJ67*参数输入表!$I$241</f>
        <v>20098.5111666025</v>
      </c>
      <c r="AK130" s="79">
        <f ca="1">AK67*参数输入表!$I$241</f>
        <v>20163.7481973972</v>
      </c>
      <c r="AL130" s="79">
        <f ca="1">AL67*参数输入表!$I$241</f>
        <v>20188.5382690992</v>
      </c>
      <c r="AM130" s="79">
        <f ca="1">AM67*参数输入表!$I$241</f>
        <v>20199.3421844193</v>
      </c>
      <c r="AN130" s="79">
        <f ca="1">AN67*参数输入表!$I$241</f>
        <v>20207.8477186809</v>
      </c>
      <c r="AO130" s="79">
        <f ca="1">AO67*参数输入表!$I$241</f>
        <v>20205.296087187</v>
      </c>
      <c r="AP130" s="79">
        <f ca="1">AP67*参数输入表!$I$241</f>
        <v>23254.1204262124</v>
      </c>
      <c r="AQ130" s="79">
        <f ca="1">AQ67*参数输入表!$I$241</f>
        <v>28682.3852176325</v>
      </c>
      <c r="AR130" s="79">
        <f ca="1">AR67*参数输入表!$I$241</f>
        <v>30746.5095264455</v>
      </c>
      <c r="AS130" s="79">
        <f ca="1">AS67*参数输入表!$I$241</f>
        <v>31527.8987026323</v>
      </c>
      <c r="AT130" s="79">
        <f ca="1">AT67*参数输入表!$I$241</f>
        <v>31769.4790666476</v>
      </c>
      <c r="AU130" s="79">
        <f ca="1">AU67*参数输入表!$I$241</f>
        <v>31861.2796049733</v>
      </c>
      <c r="AV130" s="79">
        <f ca="1">AV67*参数输入表!$I$241</f>
        <v>31886.4995352009</v>
      </c>
      <c r="AW130" s="79">
        <f ca="1">AW67*参数输入表!$I$241</f>
        <v>31891.6830622474</v>
      </c>
      <c r="AX130" s="79">
        <f ca="1">AX67*参数输入表!$I$241</f>
        <v>31892.2691144517</v>
      </c>
      <c r="AY130" s="79">
        <f ca="1">AY67*参数输入表!$I$241</f>
        <v>31851.1690803444</v>
      </c>
      <c r="AZ130" s="79">
        <f ca="1">AZ67*参数输入表!$I$241</f>
        <v>31834.1673793102</v>
      </c>
      <c r="BA130" s="79">
        <f ca="1">BA67*参数输入表!$I$241</f>
        <v>38815.2358972686</v>
      </c>
    </row>
    <row r="131" s="193" customFormat="1" hidden="1" spans="2:53">
      <c r="B131" s="80">
        <v>1.2</v>
      </c>
      <c r="C131" s="203" t="s">
        <v>946</v>
      </c>
      <c r="D131" s="79">
        <f ca="1" t="shared" si="59"/>
        <v>238024.190545082</v>
      </c>
      <c r="E131" s="80" t="s">
        <v>130</v>
      </c>
      <c r="F131" s="79">
        <f ca="1">'表9-现金流量表-财务计划'!F60*参数输入表!$I$241</f>
        <v>0</v>
      </c>
      <c r="G131" s="79">
        <f ca="1">'表9-现金流量表-财务计划'!G60*参数输入表!$I$241</f>
        <v>0</v>
      </c>
      <c r="H131" s="79">
        <f ca="1">'表9-现金流量表-财务计划'!H60*参数输入表!$I$241</f>
        <v>0</v>
      </c>
      <c r="I131" s="79">
        <f ca="1">'表9-现金流量表-财务计划'!I60*参数输入表!$I$241</f>
        <v>0</v>
      </c>
      <c r="J131" s="79">
        <f ca="1">'表9-现金流量表-财务计划'!J60*参数输入表!$I$241</f>
        <v>0</v>
      </c>
      <c r="K131" s="79">
        <f ca="1">'表9-现金流量表-财务计划'!K60*参数输入表!$I$241</f>
        <v>0</v>
      </c>
      <c r="L131" s="79">
        <f ca="1">'表9-现金流量表-财务计划'!L60*参数输入表!$I$241</f>
        <v>0</v>
      </c>
      <c r="M131" s="79">
        <f ca="1">'表9-现金流量表-财务计划'!M60*参数输入表!$I$241</f>
        <v>0</v>
      </c>
      <c r="N131" s="79">
        <f ca="1">'表9-现金流量表-财务计划'!N60*参数输入表!$I$241</f>
        <v>0</v>
      </c>
      <c r="O131" s="79">
        <f ca="1">'表9-现金流量表-财务计划'!O60*参数输入表!$I$241</f>
        <v>0</v>
      </c>
      <c r="P131" s="79">
        <f ca="1">'表9-现金流量表-财务计划'!P60*参数输入表!$I$241</f>
        <v>0</v>
      </c>
      <c r="Q131" s="79">
        <f ca="1">'表9-现金流量表-财务计划'!Q60*参数输入表!$I$241</f>
        <v>0</v>
      </c>
      <c r="R131" s="79">
        <f ca="1">'表9-现金流量表-财务计划'!R60*参数输入表!$I$241</f>
        <v>0</v>
      </c>
      <c r="S131" s="79">
        <f ca="1">'表9-现金流量表-财务计划'!S60*参数输入表!$I$241</f>
        <v>0</v>
      </c>
      <c r="T131" s="79">
        <f ca="1">'表9-现金流量表-财务计划'!T60*参数输入表!$I$241</f>
        <v>0</v>
      </c>
      <c r="U131" s="79">
        <f ca="1">'表9-现金流量表-财务计划'!U60*参数输入表!$I$241</f>
        <v>0</v>
      </c>
      <c r="V131" s="79">
        <f ca="1">'表9-现金流量表-财务计划'!V60*参数输入表!$I$241</f>
        <v>0</v>
      </c>
      <c r="W131" s="79">
        <f ca="1">'表9-现金流量表-财务计划'!W60*参数输入表!$I$241</f>
        <v>0</v>
      </c>
      <c r="X131" s="79">
        <f ca="1">'表9-现金流量表-财务计划'!X60*参数输入表!$I$241</f>
        <v>0</v>
      </c>
      <c r="Y131" s="79">
        <f ca="1">'表9-现金流量表-财务计划'!Y60*参数输入表!$I$241</f>
        <v>0</v>
      </c>
      <c r="Z131" s="79">
        <f ca="1">'表9-现金流量表-财务计划'!Z60*参数输入表!$I$241</f>
        <v>0</v>
      </c>
      <c r="AA131" s="79">
        <f ca="1">'表9-现金流量表-财务计划'!AA60*参数输入表!$I$241</f>
        <v>0</v>
      </c>
      <c r="AB131" s="79">
        <f ca="1">'表9-现金流量表-财务计划'!AB60*参数输入表!$I$241</f>
        <v>0</v>
      </c>
      <c r="AC131" s="79">
        <f ca="1">'表9-现金流量表-财务计划'!AC60*参数输入表!$I$241</f>
        <v>0</v>
      </c>
      <c r="AD131" s="79">
        <f ca="1">'表9-现金流量表-财务计划'!AD60*参数输入表!$I$241</f>
        <v>0</v>
      </c>
      <c r="AE131" s="79">
        <f ca="1">'表9-现金流量表-财务计划'!AE60*参数输入表!$I$241</f>
        <v>0</v>
      </c>
      <c r="AF131" s="79">
        <f ca="1">'表9-现金流量表-财务计划'!AF60*参数输入表!$I$241</f>
        <v>0</v>
      </c>
      <c r="AG131" s="79">
        <f ca="1">'表9-现金流量表-财务计划'!AG60*参数输入表!$I$241</f>
        <v>0</v>
      </c>
      <c r="AH131" s="79">
        <f ca="1">'表9-现金流量表-财务计划'!AH60*参数输入表!$I$241</f>
        <v>13377.266582153</v>
      </c>
      <c r="AI131" s="79">
        <f ca="1">'表9-现金流量表-财务计划'!AI60*参数输入表!$I$241</f>
        <v>9104.61845648692</v>
      </c>
      <c r="AJ131" s="79">
        <f ca="1">'表9-现金流量表-财务计划'!AJ60*参数输入表!$I$241</f>
        <v>21679.8778394753</v>
      </c>
      <c r="AK131" s="79">
        <f ca="1">'表9-现金流量表-财务计划'!AK60*参数输入表!$I$241</f>
        <v>21614.6408086806</v>
      </c>
      <c r="AL131" s="79">
        <f ca="1">'表9-现金流量表-财务计划'!AL60*参数输入表!$I$241</f>
        <v>21589.8507369786</v>
      </c>
      <c r="AM131" s="79">
        <f ca="1">'表9-现金流量表-财务计划'!AM60*参数输入表!$I$241</f>
        <v>21260.3734271631</v>
      </c>
      <c r="AN131" s="79">
        <f ca="1">'表9-现金流量表-财务计划'!AN60*参数输入表!$I$241</f>
        <v>20651.4846502288</v>
      </c>
      <c r="AO131" s="79">
        <f ca="1">'表9-现金流量表-财务计划'!AO60*参数输入表!$I$241</f>
        <v>21573.0929188908</v>
      </c>
      <c r="AP131" s="79">
        <f ca="1">'表9-现金流量表-财务计划'!AP60*参数输入表!$I$241</f>
        <v>16231.1904152089</v>
      </c>
      <c r="AQ131" s="79">
        <f ca="1">'表9-现金流量表-财务计划'!AQ60*参数输入表!$I$241</f>
        <v>7592.61619326982</v>
      </c>
      <c r="AR131" s="79">
        <f ca="1">'表9-现金流量表-财务计划'!AR60*参数输入表!$I$241</f>
        <v>5209.81848996139</v>
      </c>
      <c r="AS131" s="79">
        <f ca="1">'表9-现金流量表-财务计划'!AS60*参数输入表!$I$241</f>
        <v>-7957.01961588906</v>
      </c>
      <c r="AT131" s="79">
        <f ca="1">'表9-现金流量表-财务计划'!AT60*参数输入表!$I$241</f>
        <v>4548.33579991222</v>
      </c>
      <c r="AU131" s="79">
        <f ca="1">'表9-现金流量表-财务计划'!AU60*参数输入表!$I$241</f>
        <v>4456.53526158643</v>
      </c>
      <c r="AV131" s="79">
        <f ca="1">'表9-现金流量表-财务计划'!AV60*参数输入表!$I$241</f>
        <v>3523.87373843855</v>
      </c>
      <c r="AW131" s="79">
        <f ca="1">'表9-现金流量表-财务计划'!AW60*参数输入表!$I$241</f>
        <v>4119.0734540647</v>
      </c>
      <c r="AX131" s="79">
        <f ca="1">'表9-现金流量表-财务计划'!AX60*参数输入表!$I$241</f>
        <v>4437.16079635583</v>
      </c>
      <c r="AY131" s="79">
        <f ca="1">'表9-现金流量表-财务计划'!AY60*参数输入表!$I$241</f>
        <v>4191.69752771084</v>
      </c>
      <c r="AZ131" s="79">
        <f ca="1">'表9-现金流量表-财务计划'!AZ60*参数输入表!$I$241</f>
        <v>4527.37262324045</v>
      </c>
      <c r="BA131" s="79">
        <f ca="1">'表9-现金流量表-财务计划'!BA60*参数输入表!$I$241</f>
        <v>36292.3304411652</v>
      </c>
    </row>
    <row r="132" s="193" customFormat="1" hidden="1" spans="2:53">
      <c r="B132" s="208">
        <v>2</v>
      </c>
      <c r="C132" s="194" t="s">
        <v>937</v>
      </c>
      <c r="D132" s="195">
        <f ca="1" t="shared" si="59"/>
        <v>170567.072944353</v>
      </c>
      <c r="E132" s="80" t="s">
        <v>130</v>
      </c>
      <c r="F132" s="195">
        <f ca="1">F133</f>
        <v>16714.4804385304</v>
      </c>
      <c r="G132" s="195">
        <f ca="1" t="shared" ref="G132:BA132" si="61">G133</f>
        <v>16783.0137666065</v>
      </c>
      <c r="H132" s="195">
        <f ca="1" t="shared" si="61"/>
        <v>19517.2901794266</v>
      </c>
      <c r="I132" s="195">
        <f ca="1" t="shared" si="61"/>
        <v>21871.9510811174</v>
      </c>
      <c r="J132" s="195">
        <f ca="1" t="shared" si="61"/>
        <v>29367.0200097672</v>
      </c>
      <c r="K132" s="195">
        <f ca="1" t="shared" si="61"/>
        <v>28073.9069176736</v>
      </c>
      <c r="L132" s="195">
        <f ca="1" t="shared" si="61"/>
        <v>25084.5186075626</v>
      </c>
      <c r="M132" s="195">
        <f ca="1" t="shared" si="61"/>
        <v>13154.8919436693</v>
      </c>
      <c r="N132" s="195">
        <f ca="1" t="shared" si="61"/>
        <v>0</v>
      </c>
      <c r="O132" s="195">
        <f ca="1" t="shared" si="61"/>
        <v>0</v>
      </c>
      <c r="P132" s="195">
        <f ca="1" t="shared" si="61"/>
        <v>0</v>
      </c>
      <c r="Q132" s="195">
        <f ca="1" t="shared" si="61"/>
        <v>0</v>
      </c>
      <c r="R132" s="195">
        <f ca="1" t="shared" si="61"/>
        <v>0</v>
      </c>
      <c r="S132" s="195">
        <f ca="1" t="shared" si="61"/>
        <v>0</v>
      </c>
      <c r="T132" s="195">
        <f ca="1" t="shared" si="61"/>
        <v>0</v>
      </c>
      <c r="U132" s="195">
        <f ca="1" t="shared" si="61"/>
        <v>0</v>
      </c>
      <c r="V132" s="195">
        <f ca="1" t="shared" si="61"/>
        <v>0</v>
      </c>
      <c r="W132" s="195">
        <f ca="1" t="shared" si="61"/>
        <v>0</v>
      </c>
      <c r="X132" s="195">
        <f ca="1" t="shared" si="61"/>
        <v>0</v>
      </c>
      <c r="Y132" s="195">
        <f ca="1" t="shared" si="61"/>
        <v>0</v>
      </c>
      <c r="Z132" s="195">
        <f ca="1" t="shared" si="61"/>
        <v>0</v>
      </c>
      <c r="AA132" s="195">
        <f ca="1" t="shared" si="61"/>
        <v>0</v>
      </c>
      <c r="AB132" s="195">
        <f ca="1" t="shared" si="61"/>
        <v>0</v>
      </c>
      <c r="AC132" s="195">
        <f ca="1" t="shared" si="61"/>
        <v>0</v>
      </c>
      <c r="AD132" s="195">
        <f ca="1" t="shared" si="61"/>
        <v>0</v>
      </c>
      <c r="AE132" s="195">
        <f ca="1" t="shared" si="61"/>
        <v>0</v>
      </c>
      <c r="AF132" s="195">
        <f ca="1" t="shared" si="61"/>
        <v>0</v>
      </c>
      <c r="AG132" s="195">
        <f ca="1" t="shared" si="61"/>
        <v>0</v>
      </c>
      <c r="AH132" s="195">
        <f ca="1" t="shared" si="61"/>
        <v>0</v>
      </c>
      <c r="AI132" s="195">
        <f ca="1" t="shared" si="61"/>
        <v>0</v>
      </c>
      <c r="AJ132" s="195">
        <f ca="1" t="shared" si="61"/>
        <v>0</v>
      </c>
      <c r="AK132" s="195">
        <f ca="1" t="shared" si="61"/>
        <v>0</v>
      </c>
      <c r="AL132" s="195">
        <f ca="1" t="shared" si="61"/>
        <v>0</v>
      </c>
      <c r="AM132" s="195">
        <f ca="1" t="shared" si="61"/>
        <v>0</v>
      </c>
      <c r="AN132" s="195">
        <f ca="1" t="shared" si="61"/>
        <v>0</v>
      </c>
      <c r="AO132" s="195">
        <f ca="1" t="shared" si="61"/>
        <v>0</v>
      </c>
      <c r="AP132" s="195">
        <f ca="1" t="shared" si="61"/>
        <v>0</v>
      </c>
      <c r="AQ132" s="195">
        <f ca="1" t="shared" si="61"/>
        <v>0</v>
      </c>
      <c r="AR132" s="195">
        <f ca="1" t="shared" si="61"/>
        <v>0</v>
      </c>
      <c r="AS132" s="195">
        <f ca="1" t="shared" si="61"/>
        <v>0</v>
      </c>
      <c r="AT132" s="195">
        <f ca="1" t="shared" si="61"/>
        <v>0</v>
      </c>
      <c r="AU132" s="195">
        <f ca="1" t="shared" si="61"/>
        <v>0</v>
      </c>
      <c r="AV132" s="195">
        <f ca="1" t="shared" si="61"/>
        <v>0</v>
      </c>
      <c r="AW132" s="195">
        <f ca="1" t="shared" si="61"/>
        <v>0</v>
      </c>
      <c r="AX132" s="195">
        <f ca="1" t="shared" si="61"/>
        <v>0</v>
      </c>
      <c r="AY132" s="195">
        <f ca="1" t="shared" si="61"/>
        <v>0</v>
      </c>
      <c r="AZ132" s="195">
        <f ca="1" t="shared" si="61"/>
        <v>0</v>
      </c>
      <c r="BA132" s="195">
        <f ca="1" t="shared" si="61"/>
        <v>0</v>
      </c>
    </row>
    <row r="133" s="193" customFormat="1" hidden="1" spans="2:53">
      <c r="B133" s="80">
        <v>2.1</v>
      </c>
      <c r="C133" s="203" t="s">
        <v>938</v>
      </c>
      <c r="D133" s="79">
        <f ca="1" t="shared" si="59"/>
        <v>170567.072944353</v>
      </c>
      <c r="E133" s="80" t="s">
        <v>130</v>
      </c>
      <c r="F133" s="79">
        <f ca="1">('表1-资金筹措及还本付息表'!F37+'表1-资金筹措及还本付息表'!G37)*参数输入表!$I$241</f>
        <v>16714.4804385304</v>
      </c>
      <c r="G133" s="79">
        <f ca="1">'表1-资金筹措及还本付息表'!H37*参数输入表!$I$241</f>
        <v>16783.0137666065</v>
      </c>
      <c r="H133" s="79">
        <f ca="1">'表1-资金筹措及还本付息表'!I37*参数输入表!$I$241</f>
        <v>19517.2901794266</v>
      </c>
      <c r="I133" s="79">
        <f ca="1">'表1-资金筹措及还本付息表'!J37*参数输入表!$I$241</f>
        <v>21871.9510811174</v>
      </c>
      <c r="J133" s="79">
        <f ca="1">'表1-资金筹措及还本付息表'!K37*参数输入表!$I$241</f>
        <v>29367.0200097672</v>
      </c>
      <c r="K133" s="79">
        <f ca="1">'表1-资金筹措及还本付息表'!L37*参数输入表!$I$241</f>
        <v>28073.9069176736</v>
      </c>
      <c r="L133" s="79">
        <f ca="1">('表1-资金筹措及还本付息表'!M37+'表1-资金筹措及还本付息表'!N37)*参数输入表!$I$241</f>
        <v>25084.5186075626</v>
      </c>
      <c r="M133" s="79">
        <f ca="1">('表1-资金筹措及还本付息表'!O37+'表1-资金筹措及还本付息表'!Q37)*参数输入表!$I$241</f>
        <v>13154.8919436693</v>
      </c>
      <c r="N133" s="79">
        <f ca="1">'表1-资金筹措及还本付息表'!R37*参数输入表!$I$241</f>
        <v>0</v>
      </c>
      <c r="O133" s="79">
        <f ca="1">'表1-资金筹措及还本付息表'!S37*参数输入表!$I$241</f>
        <v>0</v>
      </c>
      <c r="P133" s="79">
        <f ca="1">'表1-资金筹措及还本付息表'!T37*参数输入表!$I$241</f>
        <v>0</v>
      </c>
      <c r="Q133" s="79">
        <f ca="1">'表1-资金筹措及还本付息表'!U37*参数输入表!$I$241</f>
        <v>0</v>
      </c>
      <c r="R133" s="79">
        <f ca="1">'表1-资金筹措及还本付息表'!V37*参数输入表!$I$241</f>
        <v>0</v>
      </c>
      <c r="S133" s="79">
        <f ca="1">'表1-资金筹措及还本付息表'!W37*参数输入表!$I$241</f>
        <v>0</v>
      </c>
      <c r="T133" s="79">
        <f ca="1">'表1-资金筹措及还本付息表'!X37*参数输入表!$I$241</f>
        <v>0</v>
      </c>
      <c r="U133" s="79">
        <f ca="1">'表1-资金筹措及还本付息表'!Y37*参数输入表!$I$241</f>
        <v>0</v>
      </c>
      <c r="V133" s="79">
        <f ca="1">'表1-资金筹措及还本付息表'!Z37*参数输入表!$I$241</f>
        <v>0</v>
      </c>
      <c r="W133" s="79">
        <f ca="1">'表1-资金筹措及还本付息表'!AA37*参数输入表!$I$241</f>
        <v>0</v>
      </c>
      <c r="X133" s="79">
        <f ca="1">'表1-资金筹措及还本付息表'!AB37*参数输入表!$I$241</f>
        <v>0</v>
      </c>
      <c r="Y133" s="79">
        <f ca="1">'表1-资金筹措及还本付息表'!AC37*参数输入表!$I$241</f>
        <v>0</v>
      </c>
      <c r="Z133" s="79">
        <f ca="1">'表1-资金筹措及还本付息表'!AD37*参数输入表!$I$241</f>
        <v>0</v>
      </c>
      <c r="AA133" s="79">
        <f ca="1">'表1-资金筹措及还本付息表'!AE37*参数输入表!$I$241</f>
        <v>0</v>
      </c>
      <c r="AB133" s="79">
        <f ca="1">'表1-资金筹措及还本付息表'!AF37*参数输入表!$I$241</f>
        <v>0</v>
      </c>
      <c r="AC133" s="79">
        <f ca="1">'表1-资金筹措及还本付息表'!AG37*参数输入表!$I$241</f>
        <v>0</v>
      </c>
      <c r="AD133" s="79">
        <f ca="1">'表1-资金筹措及还本付息表'!AH37*参数输入表!$I$241</f>
        <v>0</v>
      </c>
      <c r="AE133" s="79">
        <f ca="1">'表1-资金筹措及还本付息表'!AI37*参数输入表!$I$241</f>
        <v>0</v>
      </c>
      <c r="AF133" s="79">
        <f ca="1">'表1-资金筹措及还本付息表'!AJ37*参数输入表!$I$241</f>
        <v>0</v>
      </c>
      <c r="AG133" s="79">
        <f ca="1">'表1-资金筹措及还本付息表'!AK37*参数输入表!$I$241</f>
        <v>0</v>
      </c>
      <c r="AH133" s="79">
        <f ca="1">'表1-资金筹措及还本付息表'!AL37*参数输入表!$I$241</f>
        <v>0</v>
      </c>
      <c r="AI133" s="79">
        <f ca="1">'表1-资金筹措及还本付息表'!AM37*参数输入表!$I$241</f>
        <v>0</v>
      </c>
      <c r="AJ133" s="79">
        <f ca="1">'表1-资金筹措及还本付息表'!AN37*参数输入表!$I$241</f>
        <v>0</v>
      </c>
      <c r="AK133" s="79">
        <f ca="1">'表1-资金筹措及还本付息表'!AO37*参数输入表!$I$241</f>
        <v>0</v>
      </c>
      <c r="AL133" s="79">
        <f ca="1">'表1-资金筹措及还本付息表'!AP37*参数输入表!$I$241</f>
        <v>0</v>
      </c>
      <c r="AM133" s="79">
        <f ca="1">'表1-资金筹措及还本付息表'!AQ37*参数输入表!$I$241</f>
        <v>0</v>
      </c>
      <c r="AN133" s="79">
        <f ca="1">'表1-资金筹措及还本付息表'!AR37*参数输入表!$I$241</f>
        <v>0</v>
      </c>
      <c r="AO133" s="79">
        <f ca="1">'表1-资金筹措及还本付息表'!AS37*参数输入表!$I$241</f>
        <v>0</v>
      </c>
      <c r="AP133" s="79">
        <f ca="1">'表1-资金筹措及还本付息表'!AT37*参数输入表!$I$241</f>
        <v>0</v>
      </c>
      <c r="AQ133" s="79">
        <f ca="1">'表1-资金筹措及还本付息表'!AU37*参数输入表!$I$241</f>
        <v>0</v>
      </c>
      <c r="AR133" s="79">
        <f ca="1">'表1-资金筹措及还本付息表'!AV37*参数输入表!$I$241</f>
        <v>0</v>
      </c>
      <c r="AS133" s="79">
        <f ca="1">'表1-资金筹措及还本付息表'!AW37*参数输入表!$I$241</f>
        <v>0</v>
      </c>
      <c r="AT133" s="79">
        <f ca="1">'表1-资金筹措及还本付息表'!AX37*参数输入表!$I$241</f>
        <v>0</v>
      </c>
      <c r="AU133" s="79">
        <f ca="1">'表1-资金筹措及还本付息表'!AY37*参数输入表!$I$241</f>
        <v>0</v>
      </c>
      <c r="AV133" s="79">
        <f ca="1">'表1-资金筹措及还本付息表'!AZ37*参数输入表!$I$241</f>
        <v>0</v>
      </c>
      <c r="AW133" s="79">
        <f ca="1">'表1-资金筹措及还本付息表'!BA37*参数输入表!$I$241</f>
        <v>0</v>
      </c>
      <c r="AX133" s="79">
        <f ca="1">'表1-资金筹措及还本付息表'!BB37*参数输入表!$I$241</f>
        <v>0</v>
      </c>
      <c r="AY133" s="79">
        <f ca="1">'表1-资金筹措及还本付息表'!BC37*参数输入表!$I$241</f>
        <v>0</v>
      </c>
      <c r="AZ133" s="79">
        <f ca="1">'表1-资金筹措及还本付息表'!BD37*参数输入表!$I$241</f>
        <v>0</v>
      </c>
      <c r="BA133" s="79">
        <f ca="1">'表1-资金筹措及还本付息表'!BE37*参数输入表!$I$241</f>
        <v>0</v>
      </c>
    </row>
    <row r="134" s="193" customFormat="1" hidden="1" spans="2:53">
      <c r="B134" s="208">
        <v>3</v>
      </c>
      <c r="C134" s="194" t="s">
        <v>939</v>
      </c>
      <c r="D134" s="195">
        <f ca="1" t="shared" si="59"/>
        <v>818744.352608021</v>
      </c>
      <c r="E134" s="80" t="s">
        <v>130</v>
      </c>
      <c r="F134" s="195">
        <f ca="1">F129-F132</f>
        <v>-16714.4804385304</v>
      </c>
      <c r="G134" s="195">
        <f ca="1" t="shared" ref="G134:BA134" si="62">G129-G132</f>
        <v>-16783.0137666065</v>
      </c>
      <c r="H134" s="195">
        <f ca="1" t="shared" si="62"/>
        <v>-19517.2901794266</v>
      </c>
      <c r="I134" s="195">
        <f ca="1" t="shared" si="62"/>
        <v>-21871.9510811174</v>
      </c>
      <c r="J134" s="195">
        <f ca="1" t="shared" si="62"/>
        <v>-29367.0200097672</v>
      </c>
      <c r="K134" s="195">
        <f ca="1" t="shared" si="62"/>
        <v>-28073.9069176736</v>
      </c>
      <c r="L134" s="195">
        <f ca="1" t="shared" si="62"/>
        <v>-25084.5186075626</v>
      </c>
      <c r="M134" s="195">
        <f ca="1" t="shared" si="62"/>
        <v>-10481.1131301511</v>
      </c>
      <c r="N134" s="195">
        <f ca="1" t="shared" si="62"/>
        <v>4774.64279937456</v>
      </c>
      <c r="O134" s="195">
        <f ca="1" t="shared" si="62"/>
        <v>6089.59577446209</v>
      </c>
      <c r="P134" s="195">
        <f ca="1" t="shared" si="62"/>
        <v>6804.9328396096</v>
      </c>
      <c r="Q134" s="195">
        <f ca="1" t="shared" si="62"/>
        <v>8199.55032210403</v>
      </c>
      <c r="R134" s="195">
        <f ca="1" t="shared" si="62"/>
        <v>9325.06212356542</v>
      </c>
      <c r="S134" s="195">
        <f ca="1" t="shared" si="62"/>
        <v>9206.60053538265</v>
      </c>
      <c r="T134" s="195">
        <f ca="1" t="shared" si="62"/>
        <v>9223.94566091705</v>
      </c>
      <c r="U134" s="195">
        <f ca="1" t="shared" si="62"/>
        <v>9490.78846094078</v>
      </c>
      <c r="V134" s="195">
        <f ca="1" t="shared" si="62"/>
        <v>9856.63220744463</v>
      </c>
      <c r="W134" s="195">
        <f ca="1" t="shared" si="62"/>
        <v>10262.4312130265</v>
      </c>
      <c r="X134" s="195">
        <f ca="1" t="shared" si="62"/>
        <v>10631.9310681803</v>
      </c>
      <c r="Y134" s="195">
        <f ca="1" t="shared" si="62"/>
        <v>10452.2981114886</v>
      </c>
      <c r="Z134" s="195">
        <f ca="1" t="shared" si="62"/>
        <v>10528.0108099666</v>
      </c>
      <c r="AA134" s="195">
        <f ca="1" t="shared" si="62"/>
        <v>10857.4256525522</v>
      </c>
      <c r="AB134" s="195">
        <f ca="1" t="shared" si="62"/>
        <v>11412.247081279</v>
      </c>
      <c r="AC134" s="195">
        <f ca="1" t="shared" si="62"/>
        <v>12185.4053375751</v>
      </c>
      <c r="AD134" s="195">
        <f ca="1" t="shared" si="62"/>
        <v>13197.3966131733</v>
      </c>
      <c r="AE134" s="195">
        <f ca="1" t="shared" si="62"/>
        <v>14790.9244266127</v>
      </c>
      <c r="AF134" s="195">
        <f ca="1" t="shared" si="62"/>
        <v>16765.0880716774</v>
      </c>
      <c r="AG134" s="195">
        <f ca="1" t="shared" si="62"/>
        <v>18226.3286759394</v>
      </c>
      <c r="AH134" s="195">
        <f ca="1" t="shared" si="62"/>
        <v>32706.6699841276</v>
      </c>
      <c r="AI134" s="195">
        <f ca="1" t="shared" si="62"/>
        <v>29031.4532262613</v>
      </c>
      <c r="AJ134" s="195">
        <f ca="1" t="shared" si="62"/>
        <v>41778.3890060778</v>
      </c>
      <c r="AK134" s="195">
        <f ca="1" t="shared" si="62"/>
        <v>41778.3890060778</v>
      </c>
      <c r="AL134" s="195">
        <f ca="1" t="shared" si="62"/>
        <v>41778.3890060778</v>
      </c>
      <c r="AM134" s="195">
        <f ca="1" t="shared" si="62"/>
        <v>41459.7156115824</v>
      </c>
      <c r="AN134" s="195">
        <f ca="1" t="shared" si="62"/>
        <v>40859.3323689097</v>
      </c>
      <c r="AO134" s="195">
        <f ca="1" t="shared" si="62"/>
        <v>41778.3890060778</v>
      </c>
      <c r="AP134" s="195">
        <f ca="1" t="shared" si="62"/>
        <v>39485.3108414214</v>
      </c>
      <c r="AQ134" s="195">
        <f ca="1" t="shared" si="62"/>
        <v>36275.0014109023</v>
      </c>
      <c r="AR134" s="195">
        <f ca="1" t="shared" si="62"/>
        <v>35956.3280164068</v>
      </c>
      <c r="AS134" s="195">
        <f ca="1" t="shared" si="62"/>
        <v>23570.8790867433</v>
      </c>
      <c r="AT134" s="195">
        <f ca="1" t="shared" si="62"/>
        <v>36317.8148665598</v>
      </c>
      <c r="AU134" s="195">
        <f ca="1" t="shared" si="62"/>
        <v>36317.8148665598</v>
      </c>
      <c r="AV134" s="195">
        <f ca="1" t="shared" si="62"/>
        <v>35410.3732736394</v>
      </c>
      <c r="AW134" s="195">
        <f ca="1" t="shared" si="62"/>
        <v>36010.7565163121</v>
      </c>
      <c r="AX134" s="195">
        <f ca="1" t="shared" si="62"/>
        <v>36329.4299108076</v>
      </c>
      <c r="AY134" s="195">
        <f ca="1" t="shared" si="62"/>
        <v>36042.8666080553</v>
      </c>
      <c r="AZ134" s="195">
        <f ca="1" t="shared" si="62"/>
        <v>36361.5400025507</v>
      </c>
      <c r="BA134" s="195">
        <f ca="1" t="shared" si="62"/>
        <v>75107.5663384339</v>
      </c>
    </row>
    <row r="135" s="193" customFormat="1" hidden="1" spans="2:53">
      <c r="B135" s="209"/>
      <c r="D135" s="209"/>
      <c r="E135" s="209"/>
    </row>
    <row r="136" s="193" customFormat="1" ht="20" hidden="1" spans="2:53">
      <c r="B136" s="209"/>
      <c r="C136" s="210" t="s">
        <v>940</v>
      </c>
      <c r="D136" s="211">
        <f ca="1">IRR(F134:BA134)</f>
        <v>0.0680422143806114</v>
      </c>
      <c r="E136" s="209"/>
    </row>
  </sheetData>
  <mergeCells count="4">
    <mergeCell ref="B3:B4"/>
    <mergeCell ref="C3:C4"/>
    <mergeCell ref="D3:D4"/>
    <mergeCell ref="E3:E4"/>
  </mergeCells>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FF00"/>
  </sheetPr>
  <dimension ref="A1:BE49"/>
  <sheetViews>
    <sheetView showGridLines="0" zoomScale="70" zoomScaleNormal="70" workbookViewId="0">
      <pane xSplit="5" ySplit="4" topLeftCell="F5" activePane="bottomRight" state="frozen"/>
      <selection/>
      <selection pane="topRight"/>
      <selection pane="bottomLeft"/>
      <selection pane="bottomRight" activeCell="C27" sqref="C27"/>
    </sheetView>
  </sheetViews>
  <sheetFormatPr defaultColWidth="8.78181818181818" defaultRowHeight="16.5"/>
  <cols>
    <col min="1" max="1" width="2.33636363636364" style="6" customWidth="1"/>
    <col min="2" max="2" width="8.78181818181818" style="7"/>
    <col min="3" max="3" width="42.1090909090909" style="6" customWidth="1"/>
    <col min="4" max="4" width="17.8909090909091" style="6" customWidth="1"/>
    <col min="5" max="5" width="8.78181818181818" style="6"/>
    <col min="6" max="6" width="13.2181818181818" style="6" customWidth="1"/>
    <col min="7" max="8" width="14.6636363636364" style="6" customWidth="1"/>
    <col min="9" max="9" width="15.3363636363636" style="6" customWidth="1"/>
    <col min="10" max="33" width="16.3363636363636" style="6" customWidth="1"/>
    <col min="34" max="49" width="15.3363636363636" style="6" customWidth="1"/>
    <col min="50" max="57" width="16.8909090909091" style="6" customWidth="1"/>
    <col min="58" max="16384" width="8.78181818181818" style="6"/>
  </cols>
  <sheetData>
    <row r="1" ht="7.05" customHeight="1"/>
    <row r="2" ht="21" customHeight="1" spans="2:57">
      <c r="B2" s="70" t="s">
        <v>947</v>
      </c>
    </row>
    <row r="3" spans="2:57">
      <c r="B3" s="108" t="s">
        <v>2</v>
      </c>
      <c r="C3" s="10" t="s">
        <v>430</v>
      </c>
      <c r="D3" s="10" t="s">
        <v>491</v>
      </c>
      <c r="E3" s="10" t="s">
        <v>9</v>
      </c>
      <c r="F3" s="109">
        <f>'表1-资金筹措及还本付息表'!F3</f>
        <v>45016</v>
      </c>
      <c r="G3" s="110">
        <f>'表1-资金筹措及还本付息表'!G3</f>
        <v>45291</v>
      </c>
      <c r="H3" s="110">
        <f>'表1-资金筹措及还本付息表'!H3</f>
        <v>45657</v>
      </c>
      <c r="I3" s="110">
        <f>'表1-资金筹措及还本付息表'!I3</f>
        <v>46022</v>
      </c>
      <c r="J3" s="110">
        <f>'表1-资金筹措及还本付息表'!J3</f>
        <v>46387</v>
      </c>
      <c r="K3" s="110">
        <f>'表1-资金筹措及还本付息表'!K3</f>
        <v>46752</v>
      </c>
      <c r="L3" s="110">
        <f>'表1-资金筹措及还本付息表'!L3</f>
        <v>47118</v>
      </c>
      <c r="M3" s="111">
        <f>'表1-资金筹措及还本付息表'!M3</f>
        <v>47361</v>
      </c>
      <c r="N3" s="112">
        <f>'表1-资金筹措及还本付息表'!N3</f>
        <v>47483</v>
      </c>
      <c r="O3" s="111">
        <f>'表1-资金筹措及还本付息表'!O3</f>
        <v>47695</v>
      </c>
      <c r="P3" s="111">
        <f>'表1-资金筹措及还本付息表'!P3</f>
        <v>47726</v>
      </c>
      <c r="Q3" s="112">
        <f>'表1-资金筹措及还本付息表'!Q3</f>
        <v>47848</v>
      </c>
      <c r="R3" s="113">
        <f>'表1-资金筹措及还本付息表'!R3</f>
        <v>48213</v>
      </c>
      <c r="S3" s="113">
        <f>'表1-资金筹措及还本付息表'!S3</f>
        <v>48579</v>
      </c>
      <c r="T3" s="113">
        <f>'表1-资金筹措及还本付息表'!T3</f>
        <v>48944</v>
      </c>
      <c r="U3" s="113">
        <f>'表1-资金筹措及还本付息表'!U3</f>
        <v>49309</v>
      </c>
      <c r="V3" s="113">
        <f>'表1-资金筹措及还本付息表'!V3</f>
        <v>49674</v>
      </c>
      <c r="W3" s="113">
        <f>'表1-资金筹措及还本付息表'!W3</f>
        <v>50040</v>
      </c>
      <c r="X3" s="113">
        <f>'表1-资金筹措及还本付息表'!X3</f>
        <v>50405</v>
      </c>
      <c r="Y3" s="113">
        <f>'表1-资金筹措及还本付息表'!Y3</f>
        <v>50770</v>
      </c>
      <c r="Z3" s="113">
        <f>'表1-资金筹措及还本付息表'!Z3</f>
        <v>51135</v>
      </c>
      <c r="AA3" s="113">
        <f>'表1-资金筹措及还本付息表'!AA3</f>
        <v>51501</v>
      </c>
      <c r="AB3" s="113">
        <f>'表1-资金筹措及还本付息表'!AB3</f>
        <v>51866</v>
      </c>
      <c r="AC3" s="113">
        <f>'表1-资金筹措及还本付息表'!AC3</f>
        <v>52231</v>
      </c>
      <c r="AD3" s="113">
        <f>'表1-资金筹措及还本付息表'!AD3</f>
        <v>52596</v>
      </c>
      <c r="AE3" s="113">
        <f>'表1-资金筹措及还本付息表'!AE3</f>
        <v>52962</v>
      </c>
      <c r="AF3" s="113">
        <f>'表1-资金筹措及还本付息表'!AF3</f>
        <v>53327</v>
      </c>
      <c r="AG3" s="113">
        <f>'表1-资金筹措及还本付息表'!AG3</f>
        <v>53692</v>
      </c>
      <c r="AH3" s="113">
        <f>'表1-资金筹措及还本付息表'!AH3</f>
        <v>54057</v>
      </c>
      <c r="AI3" s="113">
        <f>'表1-资金筹措及还本付息表'!AI3</f>
        <v>54423</v>
      </c>
      <c r="AJ3" s="113">
        <f>'表1-资金筹措及还本付息表'!AJ3</f>
        <v>54788</v>
      </c>
      <c r="AK3" s="113">
        <f>'表1-资金筹措及还本付息表'!AK3</f>
        <v>55153</v>
      </c>
      <c r="AL3" s="113">
        <f>'表1-资金筹措及还本付息表'!AL3</f>
        <v>55518</v>
      </c>
      <c r="AM3" s="113">
        <f>'表1-资金筹措及还本付息表'!AM3</f>
        <v>55884</v>
      </c>
      <c r="AN3" s="113">
        <f>'表1-资金筹措及还本付息表'!AN3</f>
        <v>56249</v>
      </c>
      <c r="AO3" s="113">
        <f>'表1-资金筹措及还本付息表'!AO3</f>
        <v>56614</v>
      </c>
      <c r="AP3" s="113">
        <f>'表1-资金筹措及还本付息表'!AP3</f>
        <v>56979</v>
      </c>
      <c r="AQ3" s="113">
        <f>'表1-资金筹措及还本付息表'!AQ3</f>
        <v>57345</v>
      </c>
      <c r="AR3" s="113">
        <f>'表1-资金筹措及还本付息表'!AR3</f>
        <v>57710</v>
      </c>
      <c r="AS3" s="113">
        <f>'表1-资金筹措及还本付息表'!AS3</f>
        <v>58075</v>
      </c>
      <c r="AT3" s="113">
        <f>'表1-资金筹措及还本付息表'!AT3</f>
        <v>58440</v>
      </c>
      <c r="AU3" s="113">
        <f>'表1-资金筹措及还本付息表'!AU3</f>
        <v>58806</v>
      </c>
      <c r="AV3" s="113">
        <f>'表1-资金筹措及还本付息表'!AV3</f>
        <v>59171</v>
      </c>
      <c r="AW3" s="113">
        <f>'表1-资金筹措及还本付息表'!AW3</f>
        <v>59536</v>
      </c>
      <c r="AX3" s="113">
        <f>'表1-资金筹措及还本付息表'!AX3</f>
        <v>59901</v>
      </c>
      <c r="AY3" s="113">
        <f>'表1-资金筹措及还本付息表'!AY3</f>
        <v>60267</v>
      </c>
      <c r="AZ3" s="113">
        <f>'表1-资金筹措及还本付息表'!AZ3</f>
        <v>60632</v>
      </c>
      <c r="BA3" s="113">
        <f>'表1-资金筹措及还本付息表'!BA3</f>
        <v>60997</v>
      </c>
      <c r="BB3" s="113">
        <f>'表1-资金筹措及还本付息表'!BB3</f>
        <v>61362</v>
      </c>
      <c r="BC3" s="113">
        <f>'表1-资金筹措及还本付息表'!BC3</f>
        <v>61728</v>
      </c>
      <c r="BD3" s="113">
        <f>'表1-资金筹措及还本付息表'!BD3</f>
        <v>62093</v>
      </c>
      <c r="BE3" s="114">
        <f>'表1-资金筹措及还本付息表'!BE3</f>
        <v>62458</v>
      </c>
    </row>
    <row r="4" spans="2:57">
      <c r="B4" s="115"/>
      <c r="C4" s="17"/>
      <c r="D4" s="17"/>
      <c r="E4" s="17"/>
      <c r="F4" s="18"/>
      <c r="G4" s="18">
        <v>1</v>
      </c>
      <c r="H4" s="18">
        <v>2</v>
      </c>
      <c r="I4" s="18">
        <v>3</v>
      </c>
      <c r="J4" s="18">
        <v>4</v>
      </c>
      <c r="K4" s="18">
        <v>5</v>
      </c>
      <c r="L4" s="18">
        <v>6</v>
      </c>
      <c r="M4" s="19"/>
      <c r="N4" s="19">
        <v>7</v>
      </c>
      <c r="O4" s="19"/>
      <c r="P4" s="19"/>
      <c r="Q4" s="19">
        <v>8</v>
      </c>
      <c r="R4" s="20">
        <v>9</v>
      </c>
      <c r="S4" s="20">
        <v>10</v>
      </c>
      <c r="T4" s="20">
        <v>11</v>
      </c>
      <c r="U4" s="20">
        <v>12</v>
      </c>
      <c r="V4" s="20">
        <v>13</v>
      </c>
      <c r="W4" s="20">
        <v>14</v>
      </c>
      <c r="X4" s="20">
        <v>15</v>
      </c>
      <c r="Y4" s="20">
        <v>16</v>
      </c>
      <c r="Z4" s="20">
        <v>17</v>
      </c>
      <c r="AA4" s="20">
        <v>18</v>
      </c>
      <c r="AB4" s="20">
        <v>19</v>
      </c>
      <c r="AC4" s="20">
        <v>20</v>
      </c>
      <c r="AD4" s="20">
        <v>21</v>
      </c>
      <c r="AE4" s="20">
        <v>22</v>
      </c>
      <c r="AF4" s="20">
        <v>23</v>
      </c>
      <c r="AG4" s="20">
        <v>24</v>
      </c>
      <c r="AH4" s="20">
        <v>25</v>
      </c>
      <c r="AI4" s="20">
        <v>26</v>
      </c>
      <c r="AJ4" s="20">
        <v>27</v>
      </c>
      <c r="AK4" s="20">
        <v>28</v>
      </c>
      <c r="AL4" s="20">
        <v>29</v>
      </c>
      <c r="AM4" s="20">
        <v>30</v>
      </c>
      <c r="AN4" s="20">
        <v>31</v>
      </c>
      <c r="AO4" s="20">
        <v>32</v>
      </c>
      <c r="AP4" s="20">
        <v>33</v>
      </c>
      <c r="AQ4" s="20">
        <v>34</v>
      </c>
      <c r="AR4" s="20">
        <v>35</v>
      </c>
      <c r="AS4" s="20">
        <v>36</v>
      </c>
      <c r="AT4" s="20">
        <v>37</v>
      </c>
      <c r="AU4" s="20">
        <v>38</v>
      </c>
      <c r="AV4" s="20">
        <v>39</v>
      </c>
      <c r="AW4" s="20">
        <v>40</v>
      </c>
      <c r="AX4" s="20">
        <v>41</v>
      </c>
      <c r="AY4" s="20">
        <v>42</v>
      </c>
      <c r="AZ4" s="20">
        <v>43</v>
      </c>
      <c r="BA4" s="20">
        <v>44</v>
      </c>
      <c r="BB4" s="20">
        <v>45</v>
      </c>
      <c r="BC4" s="20">
        <v>46</v>
      </c>
      <c r="BD4" s="20">
        <v>47</v>
      </c>
      <c r="BE4" s="21">
        <v>48</v>
      </c>
    </row>
    <row r="5" spans="2:57">
      <c r="B5" s="167">
        <v>1</v>
      </c>
      <c r="C5" s="168" t="s">
        <v>934</v>
      </c>
      <c r="D5" s="169">
        <f ca="1" t="shared" ref="D5:D11" si="0">SUM(F5:BE5)</f>
        <v>8860290.38850974</v>
      </c>
      <c r="E5" s="80" t="s">
        <v>130</v>
      </c>
      <c r="F5" s="170">
        <f ca="1">F6+F7+F10+F13+F15+F16+F17</f>
        <v>21197.0400822516</v>
      </c>
      <c r="G5" s="170">
        <f ca="1" t="shared" ref="G5:AL5" si="1">G6+G7+G10+G13+G15+G16+G17</f>
        <v>50436.4475114501</v>
      </c>
      <c r="H5" s="170">
        <f ca="1" t="shared" si="1"/>
        <v>71956.3990609907</v>
      </c>
      <c r="I5" s="170">
        <f ca="1" t="shared" si="1"/>
        <v>83702.9276811892</v>
      </c>
      <c r="J5" s="170">
        <f ca="1" t="shared" si="1"/>
        <v>93826.9437180328</v>
      </c>
      <c r="K5" s="170">
        <f ca="1" t="shared" si="1"/>
        <v>125984.641899568</v>
      </c>
      <c r="L5" s="170">
        <f ca="1" t="shared" si="1"/>
        <v>120491.364462058</v>
      </c>
      <c r="M5" s="170">
        <f ca="1" t="shared" si="1"/>
        <v>65413.6420428689</v>
      </c>
      <c r="N5" s="170">
        <f ca="1" t="shared" si="1"/>
        <v>42310.6429995215</v>
      </c>
      <c r="O5" s="170">
        <f ca="1" t="shared" si="1"/>
        <v>50585.6303084173</v>
      </c>
      <c r="P5" s="170">
        <f ca="1" t="shared" si="1"/>
        <v>0</v>
      </c>
      <c r="Q5" s="170">
        <f ca="1" t="shared" si="1"/>
        <v>59536.443690606</v>
      </c>
      <c r="R5" s="170">
        <f ca="1" t="shared" si="1"/>
        <v>168360.245201987</v>
      </c>
      <c r="S5" s="170">
        <f ca="1" t="shared" si="1"/>
        <v>188268.433521743</v>
      </c>
      <c r="T5" s="170">
        <f ca="1" t="shared" si="1"/>
        <v>189552.697198747</v>
      </c>
      <c r="U5" s="170">
        <f ca="1" t="shared" si="1"/>
        <v>188124.455362498</v>
      </c>
      <c r="V5" s="170">
        <f ca="1" t="shared" si="1"/>
        <v>191825.379601814</v>
      </c>
      <c r="W5" s="170">
        <f ca="1" t="shared" si="1"/>
        <v>199487.814898108</v>
      </c>
      <c r="X5" s="170">
        <f ca="1" t="shared" si="1"/>
        <v>215667.124089701</v>
      </c>
      <c r="Y5" s="170">
        <f ca="1" t="shared" si="1"/>
        <v>231575.377501076</v>
      </c>
      <c r="Z5" s="170">
        <f ca="1" t="shared" si="1"/>
        <v>247343.49921574</v>
      </c>
      <c r="AA5" s="170">
        <f ca="1" t="shared" si="1"/>
        <v>263022.716296999</v>
      </c>
      <c r="AB5" s="170">
        <f ca="1" t="shared" si="1"/>
        <v>279997.920778828</v>
      </c>
      <c r="AC5" s="170">
        <f ca="1" t="shared" si="1"/>
        <v>312158.731529802</v>
      </c>
      <c r="AD5" s="170">
        <f ca="1" t="shared" si="1"/>
        <v>326033.244282481</v>
      </c>
      <c r="AE5" s="170">
        <f ca="1" t="shared" si="1"/>
        <v>339624.855890073</v>
      </c>
      <c r="AF5" s="170">
        <f ca="1" t="shared" si="1"/>
        <v>340845.447010846</v>
      </c>
      <c r="AG5" s="170">
        <f ca="1" t="shared" si="1"/>
        <v>305959.463734209</v>
      </c>
      <c r="AH5" s="170">
        <f ca="1" t="shared" si="1"/>
        <v>270260.488893535</v>
      </c>
      <c r="AI5" s="170">
        <f ca="1" t="shared" si="1"/>
        <v>235567.238788182</v>
      </c>
      <c r="AJ5" s="170">
        <f ca="1" t="shared" si="1"/>
        <v>204054.486030324</v>
      </c>
      <c r="AK5" s="170">
        <f ca="1" t="shared" si="1"/>
        <v>171757.184920568</v>
      </c>
      <c r="AL5" s="170">
        <f ca="1" t="shared" si="1"/>
        <v>159564.360683462</v>
      </c>
      <c r="AM5" s="170">
        <f ca="1" t="shared" ref="AM5:BE5" si="2">AM6+AM7+AM10+AM13+AM15+AM16+AM17</f>
        <v>159564.360683462</v>
      </c>
      <c r="AN5" s="170">
        <f ca="1" t="shared" si="2"/>
        <v>159564.360683462</v>
      </c>
      <c r="AO5" s="170">
        <f ca="1" t="shared" si="2"/>
        <v>159564.360683462</v>
      </c>
      <c r="AP5" s="170">
        <f ca="1" t="shared" si="2"/>
        <v>159564.360683462</v>
      </c>
      <c r="AQ5" s="170">
        <f ca="1" t="shared" si="2"/>
        <v>159564.360683462</v>
      </c>
      <c r="AR5" s="170">
        <f ca="1" t="shared" si="2"/>
        <v>159564.360683462</v>
      </c>
      <c r="AS5" s="170">
        <f ca="1" t="shared" si="2"/>
        <v>159564.360683462</v>
      </c>
      <c r="AT5" s="170">
        <f ca="1" t="shared" si="2"/>
        <v>159564.360683462</v>
      </c>
      <c r="AU5" s="170">
        <f ca="1" t="shared" si="2"/>
        <v>159564.360683462</v>
      </c>
      <c r="AV5" s="170">
        <f ca="1" t="shared" si="2"/>
        <v>159564.360683462</v>
      </c>
      <c r="AW5" s="170">
        <f ca="1" t="shared" si="2"/>
        <v>159564.360683462</v>
      </c>
      <c r="AX5" s="170">
        <f ca="1" t="shared" si="2"/>
        <v>159564.360683462</v>
      </c>
      <c r="AY5" s="170">
        <f ca="1" t="shared" si="2"/>
        <v>159564.360683462</v>
      </c>
      <c r="AZ5" s="170">
        <f ca="1" t="shared" si="2"/>
        <v>159564.360683462</v>
      </c>
      <c r="BA5" s="170">
        <f ca="1" t="shared" si="2"/>
        <v>159564.360683462</v>
      </c>
      <c r="BB5" s="170">
        <f ca="1" t="shared" si="2"/>
        <v>159564.360683462</v>
      </c>
      <c r="BC5" s="170">
        <f ca="1" t="shared" si="2"/>
        <v>159564.360683462</v>
      </c>
      <c r="BD5" s="170">
        <f ca="1" t="shared" si="2"/>
        <v>159564.360683462</v>
      </c>
      <c r="BE5" s="170">
        <f ca="1" t="shared" si="2"/>
        <v>173638.607319756</v>
      </c>
    </row>
    <row r="6" spans="2:57">
      <c r="B6" s="171">
        <v>1.1</v>
      </c>
      <c r="C6" s="172" t="s">
        <v>513</v>
      </c>
      <c r="D6" s="173">
        <f ca="1" t="shared" si="0"/>
        <v>2597312.22972163</v>
      </c>
      <c r="E6" s="29" t="s">
        <v>130</v>
      </c>
      <c r="F6" s="42">
        <f ca="1">'表1-资金筹措及还本付息表'!F294</f>
        <v>21197.0400822516</v>
      </c>
      <c r="G6" s="42">
        <f ca="1">'表1-资金筹措及还本付息表'!G294</f>
        <v>50436.4475114501</v>
      </c>
      <c r="H6" s="42">
        <f ca="1">'表1-资金筹措及还本付息表'!H294</f>
        <v>71927.2018568849</v>
      </c>
      <c r="I6" s="42">
        <f ca="1">'表1-资金筹措及还本付息表'!I294</f>
        <v>83645.5293403997</v>
      </c>
      <c r="J6" s="42">
        <f ca="1">'表1-资金筹措及还本付息表'!J294</f>
        <v>93736.9332047887</v>
      </c>
      <c r="K6" s="42">
        <f ca="1">'表1-资金筹措及还本付息表'!K294</f>
        <v>125858.657184717</v>
      </c>
      <c r="L6" s="42">
        <f ca="1">'表1-资金筹措及还本付息表'!L294</f>
        <v>120316.743932887</v>
      </c>
      <c r="M6" s="42">
        <f ca="1">'表1-资金筹措及还本付息表'!M294</f>
        <v>65413.6420428689</v>
      </c>
      <c r="N6" s="42">
        <f ca="1">'表1-资金筹措及还本付息表'!N294</f>
        <v>42091.4377038279</v>
      </c>
      <c r="O6" s="42">
        <f ca="1">'表1-资金筹措及还本付息表'!O294</f>
        <v>50585.6303084173</v>
      </c>
      <c r="P6" s="124">
        <f ca="1">'表1-资金筹措及还本付息表'!P294</f>
        <v>0</v>
      </c>
      <c r="Q6" s="42">
        <f ca="1">'表1-资金筹措及还本付息表'!Q294</f>
        <v>7688.07889640056</v>
      </c>
      <c r="R6" s="42">
        <f ca="1">'表1-资金筹措及还本付息表'!R294</f>
        <v>27429.1662357059</v>
      </c>
      <c r="S6" s="42">
        <f ca="1">'表1-资金筹措及还本付息表'!S294</f>
        <v>29415.0506783122</v>
      </c>
      <c r="T6" s="42">
        <f ca="1">'表1-资金筹措及还本付息表'!T294</f>
        <v>32660.6358712653</v>
      </c>
      <c r="U6" s="42">
        <f ca="1">'表1-资金筹措及还本付息表'!U294</f>
        <v>31627.037889113</v>
      </c>
      <c r="V6" s="42">
        <f ca="1">'表1-资金筹措及还本付息表'!V294</f>
        <v>35708.6894526235</v>
      </c>
      <c r="W6" s="42">
        <f ca="1">'表1-资金筹措及还本付息表'!W294</f>
        <v>44428.714898108</v>
      </c>
      <c r="X6" s="42">
        <f ca="1">'表1-资金筹措及还本付息表'!X294</f>
        <v>60608.0240897013</v>
      </c>
      <c r="Y6" s="42">
        <f ca="1">'表1-资金筹措及还本付息表'!Y294</f>
        <v>76516.2775010761</v>
      </c>
      <c r="Z6" s="42">
        <f ca="1">'表1-资金筹措及还本付息表'!Z294</f>
        <v>92284.3992157401</v>
      </c>
      <c r="AA6" s="42">
        <f ca="1">'表1-资金筹措及还本付息表'!AA294</f>
        <v>107963.616296999</v>
      </c>
      <c r="AB6" s="42">
        <f ca="1">'表1-资金筹措及还本付息表'!AB294</f>
        <v>124938.820778828</v>
      </c>
      <c r="AC6" s="42">
        <f ca="1">'表1-资金筹措及还本付息表'!AC294</f>
        <v>157099.631529802</v>
      </c>
      <c r="AD6" s="42">
        <f ca="1">'表1-资金筹措及还本付息表'!AD294</f>
        <v>170974.144282481</v>
      </c>
      <c r="AE6" s="42">
        <f ca="1">'表1-资金筹措及还本付息表'!AE294</f>
        <v>184565.755890073</v>
      </c>
      <c r="AF6" s="42">
        <f ca="1">'表1-资金筹措及还本付息表'!AF294</f>
        <v>185786.347010846</v>
      </c>
      <c r="AG6" s="42">
        <f ca="1">'表1-资金筹措及还本付息表'!AG294</f>
        <v>150900.363734209</v>
      </c>
      <c r="AH6" s="42">
        <f ca="1">'表1-资金筹措及还本付息表'!AH294</f>
        <v>115201.388893535</v>
      </c>
      <c r="AI6" s="42">
        <f ca="1">'表1-资金筹措及还本付息表'!AI294</f>
        <v>80508.138788182</v>
      </c>
      <c r="AJ6" s="42">
        <f ca="1">'表1-资金筹措及还本付息表'!AJ294</f>
        <v>48995.3860303238</v>
      </c>
      <c r="AK6" s="42">
        <f ca="1">'表1-资金筹措及还本付息表'!AK294</f>
        <v>16698.0849205678</v>
      </c>
      <c r="AL6" s="42">
        <f ca="1">'表1-资金筹措及还本付息表'!AL294</f>
        <v>4505.2606834619</v>
      </c>
      <c r="AM6" s="42">
        <f ca="1">'表1-资金筹措及还本付息表'!AM294</f>
        <v>4505.2606834619</v>
      </c>
      <c r="AN6" s="42">
        <f ca="1">'表1-资金筹措及还本付息表'!AN294</f>
        <v>4505.2606834619</v>
      </c>
      <c r="AO6" s="42">
        <f ca="1">'表1-资金筹措及还本付息表'!AO294</f>
        <v>4505.2606834619</v>
      </c>
      <c r="AP6" s="42">
        <f ca="1">'表1-资金筹措及还本付息表'!AP294</f>
        <v>4505.2606834619</v>
      </c>
      <c r="AQ6" s="42">
        <f ca="1">'表1-资金筹措及还本付息表'!AQ294</f>
        <v>4505.2606834619</v>
      </c>
      <c r="AR6" s="42">
        <f ca="1">'表1-资金筹措及还本付息表'!AR294</f>
        <v>4505.2606834619</v>
      </c>
      <c r="AS6" s="42">
        <f ca="1">'表1-资金筹措及还本付息表'!AS294</f>
        <v>4505.2606834619</v>
      </c>
      <c r="AT6" s="42">
        <f ca="1">'表1-资金筹措及还本付息表'!AT294</f>
        <v>4505.2606834619</v>
      </c>
      <c r="AU6" s="42">
        <f ca="1">'表1-资金筹措及还本付息表'!AU294</f>
        <v>4505.2606834619</v>
      </c>
      <c r="AV6" s="42">
        <f ca="1">'表1-资金筹措及还本付息表'!AV294</f>
        <v>4505.2606834619</v>
      </c>
      <c r="AW6" s="42">
        <f ca="1">'表1-资金筹措及还本付息表'!AW294</f>
        <v>4505.2606834619</v>
      </c>
      <c r="AX6" s="42">
        <f ca="1">'表1-资金筹措及还本付息表'!AX294</f>
        <v>4505.2606834619</v>
      </c>
      <c r="AY6" s="42">
        <f ca="1">'表1-资金筹措及还本付息表'!AY294</f>
        <v>4505.2606834619</v>
      </c>
      <c r="AZ6" s="42">
        <f ca="1">'表1-资金筹措及还本付息表'!AZ294</f>
        <v>4505.2606834619</v>
      </c>
      <c r="BA6" s="42">
        <f ca="1">'表1-资金筹措及还本付息表'!BA294</f>
        <v>4505.2606834619</v>
      </c>
      <c r="BB6" s="42">
        <f ca="1">'表1-资金筹措及还本付息表'!BB294</f>
        <v>4505.2606834619</v>
      </c>
      <c r="BC6" s="42">
        <f ca="1">'表1-资金筹措及还本付息表'!BC294</f>
        <v>4505.2606834619</v>
      </c>
      <c r="BD6" s="42">
        <f ca="1">'表1-资金筹措及还本付息表'!BD294</f>
        <v>4505.2606834619</v>
      </c>
      <c r="BE6" s="43">
        <f ca="1">'表1-资金筹措及还本付息表'!BE294</f>
        <v>4505.2606834619</v>
      </c>
    </row>
    <row r="7" spans="2:57">
      <c r="B7" s="171">
        <v>1.2</v>
      </c>
      <c r="C7" s="172" t="s">
        <v>345</v>
      </c>
      <c r="D7" s="173">
        <f t="shared" si="0"/>
        <v>6146363.99999999</v>
      </c>
      <c r="E7" s="29" t="s">
        <v>130</v>
      </c>
      <c r="F7" s="42">
        <f t="shared" ref="F7:P7" si="3">SUM(F8:F9)</f>
        <v>0</v>
      </c>
      <c r="G7" s="42">
        <f t="shared" si="3"/>
        <v>0</v>
      </c>
      <c r="H7" s="42">
        <f t="shared" si="3"/>
        <v>0</v>
      </c>
      <c r="I7" s="42">
        <f t="shared" si="3"/>
        <v>0</v>
      </c>
      <c r="J7" s="42">
        <f t="shared" si="3"/>
        <v>0</v>
      </c>
      <c r="K7" s="42">
        <f t="shared" si="3"/>
        <v>0</v>
      </c>
      <c r="L7" s="42">
        <f t="shared" si="3"/>
        <v>0</v>
      </c>
      <c r="M7" s="42">
        <f t="shared" si="3"/>
        <v>0</v>
      </c>
      <c r="N7" s="42">
        <f t="shared" si="3"/>
        <v>0</v>
      </c>
      <c r="O7" s="42">
        <f t="shared" si="3"/>
        <v>0</v>
      </c>
      <c r="P7" s="124">
        <f t="shared" si="3"/>
        <v>0</v>
      </c>
      <c r="Q7" s="42">
        <f t="shared" ref="Q7:BE7" si="4">SUM(Q8:Q9)</f>
        <v>51219.6999999999</v>
      </c>
      <c r="R7" s="42">
        <f t="shared" si="4"/>
        <v>135732.205</v>
      </c>
      <c r="S7" s="42">
        <f t="shared" si="4"/>
        <v>153659.1</v>
      </c>
      <c r="T7" s="42">
        <f t="shared" si="4"/>
        <v>153659.1</v>
      </c>
      <c r="U7" s="42">
        <f t="shared" si="4"/>
        <v>153659.1</v>
      </c>
      <c r="V7" s="42">
        <f t="shared" si="4"/>
        <v>153659.1</v>
      </c>
      <c r="W7" s="42">
        <f t="shared" si="4"/>
        <v>153659.1</v>
      </c>
      <c r="X7" s="42">
        <f t="shared" si="4"/>
        <v>153659.1</v>
      </c>
      <c r="Y7" s="42">
        <f t="shared" si="4"/>
        <v>153659.1</v>
      </c>
      <c r="Z7" s="42">
        <f t="shared" si="4"/>
        <v>153659.1</v>
      </c>
      <c r="AA7" s="42">
        <f t="shared" si="4"/>
        <v>153659.1</v>
      </c>
      <c r="AB7" s="42">
        <f t="shared" si="4"/>
        <v>153659.1</v>
      </c>
      <c r="AC7" s="42">
        <f t="shared" si="4"/>
        <v>153659.1</v>
      </c>
      <c r="AD7" s="42">
        <f t="shared" si="4"/>
        <v>153659.1</v>
      </c>
      <c r="AE7" s="42">
        <f t="shared" si="4"/>
        <v>153659.1</v>
      </c>
      <c r="AF7" s="42">
        <f t="shared" si="4"/>
        <v>153659.1</v>
      </c>
      <c r="AG7" s="42">
        <f t="shared" si="4"/>
        <v>153659.1</v>
      </c>
      <c r="AH7" s="42">
        <f t="shared" si="4"/>
        <v>153659.1</v>
      </c>
      <c r="AI7" s="42">
        <f t="shared" si="4"/>
        <v>153659.1</v>
      </c>
      <c r="AJ7" s="42">
        <f t="shared" si="4"/>
        <v>153659.1</v>
      </c>
      <c r="AK7" s="42">
        <f t="shared" si="4"/>
        <v>153659.1</v>
      </c>
      <c r="AL7" s="42">
        <f t="shared" si="4"/>
        <v>153659.1</v>
      </c>
      <c r="AM7" s="42">
        <f t="shared" si="4"/>
        <v>153659.1</v>
      </c>
      <c r="AN7" s="42">
        <f t="shared" si="4"/>
        <v>153659.1</v>
      </c>
      <c r="AO7" s="42">
        <f t="shared" si="4"/>
        <v>153659.1</v>
      </c>
      <c r="AP7" s="42">
        <f t="shared" si="4"/>
        <v>153659.1</v>
      </c>
      <c r="AQ7" s="42">
        <f t="shared" si="4"/>
        <v>153659.1</v>
      </c>
      <c r="AR7" s="42">
        <f t="shared" si="4"/>
        <v>153659.1</v>
      </c>
      <c r="AS7" s="42">
        <f t="shared" si="4"/>
        <v>153659.1</v>
      </c>
      <c r="AT7" s="42">
        <f t="shared" si="4"/>
        <v>153659.1</v>
      </c>
      <c r="AU7" s="42">
        <f t="shared" si="4"/>
        <v>153659.1</v>
      </c>
      <c r="AV7" s="42">
        <f t="shared" si="4"/>
        <v>153659.1</v>
      </c>
      <c r="AW7" s="42">
        <f t="shared" si="4"/>
        <v>153659.1</v>
      </c>
      <c r="AX7" s="42">
        <f t="shared" si="4"/>
        <v>153659.1</v>
      </c>
      <c r="AY7" s="42">
        <f t="shared" si="4"/>
        <v>153659.1</v>
      </c>
      <c r="AZ7" s="42">
        <f t="shared" si="4"/>
        <v>153659.1</v>
      </c>
      <c r="BA7" s="42">
        <f t="shared" si="4"/>
        <v>153659.1</v>
      </c>
      <c r="BB7" s="42">
        <f t="shared" si="4"/>
        <v>153659.1</v>
      </c>
      <c r="BC7" s="42">
        <f t="shared" si="4"/>
        <v>153659.1</v>
      </c>
      <c r="BD7" s="42">
        <f t="shared" si="4"/>
        <v>153659.1</v>
      </c>
      <c r="BE7" s="43">
        <f t="shared" si="4"/>
        <v>120366.295</v>
      </c>
    </row>
    <row r="8" s="4" customFormat="1" spans="2:57">
      <c r="B8" s="121"/>
      <c r="C8" s="126" t="s">
        <v>346</v>
      </c>
      <c r="D8" s="123">
        <f t="shared" si="0"/>
        <v>3900400</v>
      </c>
      <c r="E8" s="50" t="s">
        <v>130</v>
      </c>
      <c r="F8" s="124">
        <v>0</v>
      </c>
      <c r="G8" s="124">
        <f>IF(G4-参数输入表!$I$25&lt;0,0)</f>
        <v>0</v>
      </c>
      <c r="H8" s="124">
        <f>IF(H4-参数输入表!$I$25&lt;0,0)</f>
        <v>0</v>
      </c>
      <c r="I8" s="124">
        <f>IF(I4-参数输入表!$I$25&lt;0,0)</f>
        <v>0</v>
      </c>
      <c r="J8" s="124">
        <f>IF(J4-参数输入表!$I$25&lt;0,0)</f>
        <v>0</v>
      </c>
      <c r="K8" s="124">
        <f>IF(K4-参数输入表!$I$25&lt;0,0)</f>
        <v>0</v>
      </c>
      <c r="L8" s="124">
        <f>IF(L4-参数输入表!$I$25&lt;0,0)</f>
        <v>0</v>
      </c>
      <c r="M8" s="124">
        <v>0</v>
      </c>
      <c r="N8" s="124">
        <f>('表4-收入税金表'!L7+'表4-收入税金表'!L26)*参数输入表!$I$857</f>
        <v>0</v>
      </c>
      <c r="O8" s="124">
        <v>0</v>
      </c>
      <c r="P8" s="124">
        <v>0</v>
      </c>
      <c r="Q8" s="124">
        <f>('表4-收入税金表'!M7+'表4-收入税金表'!M26)*参数输入表!$I$857+('表4-收入税金表'!L7+'表4-收入税金表'!L26)*(1-参数输入表!$I$857)</f>
        <v>32503.3333333333</v>
      </c>
      <c r="R8" s="124">
        <f>('表4-收入税金表'!N7+'表4-收入税金表'!N26)*参数输入表!$I$857+('表4-收入税金表'!M7+'表4-收入税金表'!M26)*(1-参数输入表!$I$857)</f>
        <v>86133.8333333333</v>
      </c>
      <c r="S8" s="124">
        <f>('表4-收入税金表'!O7+'表4-收入税金表'!O26)*参数输入表!$I$857+('表4-收入税金表'!N7+'表4-收入税金表'!N26)*(1-参数输入表!$I$857)</f>
        <v>97510</v>
      </c>
      <c r="T8" s="124">
        <f>('表4-收入税金表'!P7+'表4-收入税金表'!P26)*参数输入表!$I$857+('表4-收入税金表'!O7+'表4-收入税金表'!O26)*(1-参数输入表!$I$857)</f>
        <v>97510</v>
      </c>
      <c r="U8" s="124">
        <f>('表4-收入税金表'!Q7+'表4-收入税金表'!Q26)*参数输入表!$I$857+('表4-收入税金表'!P7+'表4-收入税金表'!P26)*(1-参数输入表!$I$857)</f>
        <v>97510</v>
      </c>
      <c r="V8" s="124">
        <f>('表4-收入税金表'!R7+'表4-收入税金表'!R26)*参数输入表!$I$857+('表4-收入税金表'!Q7+'表4-收入税金表'!Q26)*(1-参数输入表!$I$857)</f>
        <v>97510</v>
      </c>
      <c r="W8" s="124">
        <f>('表4-收入税金表'!S7+'表4-收入税金表'!S26)*参数输入表!$I$857+('表4-收入税金表'!R7+'表4-收入税金表'!R26)*(1-参数输入表!$I$857)</f>
        <v>97510</v>
      </c>
      <c r="X8" s="124">
        <f>('表4-收入税金表'!T7+'表4-收入税金表'!T26)*参数输入表!$I$857+('表4-收入税金表'!S7+'表4-收入税金表'!S26)*(1-参数输入表!$I$857)</f>
        <v>97510</v>
      </c>
      <c r="Y8" s="124">
        <f>('表4-收入税金表'!U7+'表4-收入税金表'!U26)*参数输入表!$I$857+('表4-收入税金表'!T7+'表4-收入税金表'!T26)*(1-参数输入表!$I$857)</f>
        <v>97510</v>
      </c>
      <c r="Z8" s="124">
        <f>('表4-收入税金表'!V7+'表4-收入税金表'!V26)*参数输入表!$I$857+('表4-收入税金表'!U7+'表4-收入税金表'!U26)*(1-参数输入表!$I$857)</f>
        <v>97510</v>
      </c>
      <c r="AA8" s="124">
        <f>('表4-收入税金表'!W7+'表4-收入税金表'!W26)*参数输入表!$I$857+('表4-收入税金表'!V7+'表4-收入税金表'!V26)*(1-参数输入表!$I$857)</f>
        <v>97510</v>
      </c>
      <c r="AB8" s="124">
        <f>('表4-收入税金表'!X7+'表4-收入税金表'!X26)*参数输入表!$I$857+('表4-收入税金表'!W7+'表4-收入税金表'!W26)*(1-参数输入表!$I$857)</f>
        <v>97510</v>
      </c>
      <c r="AC8" s="124">
        <f>('表4-收入税金表'!Y7+'表4-收入税金表'!Y26)*参数输入表!$I$857+('表4-收入税金表'!X7+'表4-收入税金表'!X26)*(1-参数输入表!$I$857)</f>
        <v>97510</v>
      </c>
      <c r="AD8" s="124">
        <f>('表4-收入税金表'!Z7+'表4-收入税金表'!Z26)*参数输入表!$I$857+('表4-收入税金表'!Y7+'表4-收入税金表'!Y26)*(1-参数输入表!$I$857)</f>
        <v>97510</v>
      </c>
      <c r="AE8" s="124">
        <f>('表4-收入税金表'!AA7+'表4-收入税金表'!AA26)*参数输入表!$I$857+('表4-收入税金表'!Z7+'表4-收入税金表'!Z26)*(1-参数输入表!$I$857)</f>
        <v>97510</v>
      </c>
      <c r="AF8" s="124">
        <f>('表4-收入税金表'!AB7+'表4-收入税金表'!AB26)*参数输入表!$I$857+('表4-收入税金表'!AA7+'表4-收入税金表'!AA26)*(1-参数输入表!$I$857)</f>
        <v>97510</v>
      </c>
      <c r="AG8" s="124">
        <f>('表4-收入税金表'!AC7+'表4-收入税金表'!AC26)*参数输入表!$I$857+('表4-收入税金表'!AB7+'表4-收入税金表'!AB26)*(1-参数输入表!$I$857)</f>
        <v>97510</v>
      </c>
      <c r="AH8" s="124">
        <f>('表4-收入税金表'!AD7+'表4-收入税金表'!AD26)*参数输入表!$I$857+('表4-收入税金表'!AC7+'表4-收入税金表'!AC26)*(1-参数输入表!$I$857)</f>
        <v>97510</v>
      </c>
      <c r="AI8" s="124">
        <f>('表4-收入税金表'!AE7+'表4-收入税金表'!AE26)*参数输入表!$I$857+('表4-收入税金表'!AD7+'表4-收入税金表'!AD26)*(1-参数输入表!$I$857)</f>
        <v>97510</v>
      </c>
      <c r="AJ8" s="124">
        <f>('表4-收入税金表'!AF7+'表4-收入税金表'!AF26)*参数输入表!$I$857+('表4-收入税金表'!AE7+'表4-收入税金表'!AE26)*(1-参数输入表!$I$857)</f>
        <v>97510</v>
      </c>
      <c r="AK8" s="124">
        <f>('表4-收入税金表'!AG7+'表4-收入税金表'!AG26)*参数输入表!$I$857+('表4-收入税金表'!AF7+'表4-收入税金表'!AF26)*(1-参数输入表!$I$857)</f>
        <v>97510</v>
      </c>
      <c r="AL8" s="124">
        <f>('表4-收入税金表'!AH7+'表4-收入税金表'!AH26)*参数输入表!$I$857+('表4-收入税金表'!AG7+'表4-收入税金表'!AG26)*(1-参数输入表!$I$857)</f>
        <v>97510</v>
      </c>
      <c r="AM8" s="124">
        <f>('表4-收入税金表'!AI7+'表4-收入税金表'!AI26)*参数输入表!$I$857+('表4-收入税金表'!AH7+'表4-收入税金表'!AH26)*(1-参数输入表!$I$857)</f>
        <v>97510</v>
      </c>
      <c r="AN8" s="124">
        <f>('表4-收入税金表'!AJ7+'表4-收入税金表'!AJ26)*参数输入表!$I$857+('表4-收入税金表'!AI7+'表4-收入税金表'!AI26)*(1-参数输入表!$I$857)</f>
        <v>97510</v>
      </c>
      <c r="AO8" s="124">
        <f>('表4-收入税金表'!AK7+'表4-收入税金表'!AK26)*参数输入表!$I$857+('表4-收入税金表'!AJ7+'表4-收入税金表'!AJ26)*(1-参数输入表!$I$857)</f>
        <v>97510</v>
      </c>
      <c r="AP8" s="124">
        <f>('表4-收入税金表'!AL7+'表4-收入税金表'!AL26)*参数输入表!$I$857+('表4-收入税金表'!AK7+'表4-收入税金表'!AK26)*(1-参数输入表!$I$857)</f>
        <v>97510</v>
      </c>
      <c r="AQ8" s="124">
        <f>('表4-收入税金表'!AM7+'表4-收入税金表'!AM26)*参数输入表!$I$857+('表4-收入税金表'!AL7+'表4-收入税金表'!AL26)*(1-参数输入表!$I$857)</f>
        <v>97510</v>
      </c>
      <c r="AR8" s="124">
        <f>('表4-收入税金表'!AN7+'表4-收入税金表'!AN26)*参数输入表!$I$857+('表4-收入税金表'!AM7+'表4-收入税金表'!AM26)*(1-参数输入表!$I$857)</f>
        <v>97510</v>
      </c>
      <c r="AS8" s="124">
        <f>('表4-收入税金表'!AO7+'表4-收入税金表'!AO26)*参数输入表!$I$857+('表4-收入税金表'!AN7+'表4-收入税金表'!AN26)*(1-参数输入表!$I$857)</f>
        <v>97510</v>
      </c>
      <c r="AT8" s="124">
        <f>('表4-收入税金表'!AP7+'表4-收入税金表'!AP26)*参数输入表!$I$857+('表4-收入税金表'!AO7+'表4-收入税金表'!AO26)*(1-参数输入表!$I$857)</f>
        <v>97510</v>
      </c>
      <c r="AU8" s="124">
        <f>('表4-收入税金表'!AQ7+'表4-收入税金表'!AQ26)*参数输入表!$I$857+('表4-收入税金表'!AP7+'表4-收入税金表'!AP26)*(1-参数输入表!$I$857)</f>
        <v>97510</v>
      </c>
      <c r="AV8" s="124">
        <f>('表4-收入税金表'!AR7+'表4-收入税金表'!AR26)*参数输入表!$I$857+('表4-收入税金表'!AQ7+'表4-收入税金表'!AQ26)*(1-参数输入表!$I$857)</f>
        <v>97510</v>
      </c>
      <c r="AW8" s="124">
        <f>('表4-收入税金表'!AS7+'表4-收入税金表'!AS26)*参数输入表!$I$857+('表4-收入税金表'!AR7+'表4-收入税金表'!AR26)*(1-参数输入表!$I$857)</f>
        <v>97510</v>
      </c>
      <c r="AX8" s="124">
        <f>('表4-收入税金表'!AT7+'表4-收入税金表'!AT26)*参数输入表!$I$857+('表4-收入税金表'!AS7+'表4-收入税金表'!AS26)*(1-参数输入表!$I$857)</f>
        <v>97510</v>
      </c>
      <c r="AY8" s="124">
        <f>('表4-收入税金表'!AU7+'表4-收入税金表'!AU26)*参数输入表!$I$857+('表4-收入税金表'!AT7+'表4-收入税金表'!AT26)*(1-参数输入表!$I$857)</f>
        <v>97510</v>
      </c>
      <c r="AZ8" s="124">
        <f>('表4-收入税金表'!AV7+'表4-收入税金表'!AV26)*参数输入表!$I$857+('表4-收入税金表'!AU7+'表4-收入税金表'!AU26)*(1-参数输入表!$I$857)</f>
        <v>97510</v>
      </c>
      <c r="BA8" s="124">
        <f>('表4-收入税金表'!AW7+'表4-收入税金表'!AW26)*参数输入表!$I$857+('表4-收入税金表'!AV7+'表4-收入税金表'!AV26)*(1-参数输入表!$I$857)</f>
        <v>97510</v>
      </c>
      <c r="BB8" s="124">
        <f>('表4-收入税金表'!AX7+'表4-收入税金表'!AX26)*参数输入表!$I$857+('表4-收入税金表'!AW7+'表4-收入税金表'!AW26)*(1-参数输入表!$I$857)</f>
        <v>97510</v>
      </c>
      <c r="BC8" s="124">
        <f>('表4-收入税金表'!AY7+'表4-收入税金表'!AY26)*参数输入表!$I$857+('表4-收入税金表'!AX7+'表4-收入税金表'!AX26)*(1-参数输入表!$I$857)</f>
        <v>97510</v>
      </c>
      <c r="BD8" s="124">
        <f>('表4-收入税金表'!AZ7+'表4-收入税金表'!AZ26)*参数输入表!$I$857+('表4-收入税金表'!AY7+'表4-收入税金表'!AY26)*(1-参数输入表!$I$857)</f>
        <v>97510</v>
      </c>
      <c r="BE8" s="125">
        <f>('表4-收入税金表'!BA7+'表4-收入税金表'!BA26)+('表4-收入税金表'!AZ7+'表4-收入税金表'!AZ26)*(1-参数输入表!$I$857)</f>
        <v>76382.8333333333</v>
      </c>
    </row>
    <row r="9" s="4" customFormat="1" spans="2:57">
      <c r="B9" s="121"/>
      <c r="C9" s="126" t="s">
        <v>357</v>
      </c>
      <c r="D9" s="123">
        <f t="shared" si="0"/>
        <v>2245963.99999999</v>
      </c>
      <c r="E9" s="50" t="s">
        <v>130</v>
      </c>
      <c r="F9" s="124">
        <v>0</v>
      </c>
      <c r="G9" s="124">
        <f>IF(G4-参数输入表!$I$25&lt;0,0)</f>
        <v>0</v>
      </c>
      <c r="H9" s="124">
        <f>IF(H4-参数输入表!$I$25&lt;0,0)</f>
        <v>0</v>
      </c>
      <c r="I9" s="124">
        <f>IF(I4-参数输入表!$I$25&lt;0,0)</f>
        <v>0</v>
      </c>
      <c r="J9" s="124">
        <f>IF(J4-参数输入表!$I$25&lt;0,0)</f>
        <v>0</v>
      </c>
      <c r="K9" s="124">
        <f>IF(K4-参数输入表!$I$25&lt;0,0)</f>
        <v>0</v>
      </c>
      <c r="L9" s="124">
        <f>IF(L4-参数输入表!$I$25&lt;0,0)</f>
        <v>0</v>
      </c>
      <c r="M9" s="124">
        <v>0</v>
      </c>
      <c r="N9" s="124">
        <f>('表4-收入税金表'!L10+'表4-收入税金表'!L27)*参数输入表!$I$865</f>
        <v>0</v>
      </c>
      <c r="O9" s="124">
        <v>0</v>
      </c>
      <c r="P9" s="124">
        <v>0</v>
      </c>
      <c r="Q9" s="124">
        <f>('表4-收入税金表'!M10+'表4-收入税金表'!M27)*参数输入表!$I$865+('表4-收入税金表'!L10+'表4-收入税金表'!L27)*(1-参数输入表!$I$865)</f>
        <v>18716.3666666666</v>
      </c>
      <c r="R9" s="124">
        <f>('表4-收入税金表'!N10+'表4-收入税金表'!N27)*参数输入表!$I$865+('表4-收入税金表'!M10+'表4-收入税金表'!M27)*(1-参数输入表!$I$865)</f>
        <v>49598.3716666665</v>
      </c>
      <c r="S9" s="124">
        <f>('表4-收入税金表'!O10+'表4-收入税金表'!O27)*参数输入表!$I$865+('表4-收入税金表'!N10+'表4-收入税金表'!N27)*(1-参数输入表!$I$865)</f>
        <v>56149.0999999998</v>
      </c>
      <c r="T9" s="124">
        <f>('表4-收入税金表'!P10+'表4-收入税金表'!P27)*参数输入表!$I$865+('表4-收入税金表'!O10+'表4-收入税金表'!O27)*(1-参数输入表!$I$865)</f>
        <v>56149.0999999998</v>
      </c>
      <c r="U9" s="124">
        <f>('表4-收入税金表'!Q10+'表4-收入税金表'!Q27)*参数输入表!$I$865+('表4-收入税金表'!P10+'表4-收入税金表'!P27)*(1-参数输入表!$I$865)</f>
        <v>56149.0999999998</v>
      </c>
      <c r="V9" s="124">
        <f>('表4-收入税金表'!R10+'表4-收入税金表'!R27)*参数输入表!$I$865+('表4-收入税金表'!Q10+'表4-收入税金表'!Q27)*(1-参数输入表!$I$865)</f>
        <v>56149.0999999998</v>
      </c>
      <c r="W9" s="124">
        <f>('表4-收入税金表'!S10+'表4-收入税金表'!S27)*参数输入表!$I$865+('表4-收入税金表'!R10+'表4-收入税金表'!R27)*(1-参数输入表!$I$865)</f>
        <v>56149.0999999998</v>
      </c>
      <c r="X9" s="124">
        <f>('表4-收入税金表'!T10+'表4-收入税金表'!T27)*参数输入表!$I$865+('表4-收入税金表'!S10+'表4-收入税金表'!S27)*(1-参数输入表!$I$865)</f>
        <v>56149.0999999998</v>
      </c>
      <c r="Y9" s="124">
        <f>('表4-收入税金表'!U10+'表4-收入税金表'!U27)*参数输入表!$I$865+('表4-收入税金表'!T10+'表4-收入税金表'!T27)*(1-参数输入表!$I$865)</f>
        <v>56149.0999999998</v>
      </c>
      <c r="Z9" s="124">
        <f>('表4-收入税金表'!V10+'表4-收入税金表'!V27)*参数输入表!$I$865+('表4-收入税金表'!U10+'表4-收入税金表'!U27)*(1-参数输入表!$I$865)</f>
        <v>56149.0999999998</v>
      </c>
      <c r="AA9" s="124">
        <f>('表4-收入税金表'!W10+'表4-收入税金表'!W27)*参数输入表!$I$865+('表4-收入税金表'!V10+'表4-收入税金表'!V27)*(1-参数输入表!$I$865)</f>
        <v>56149.0999999998</v>
      </c>
      <c r="AB9" s="124">
        <f>('表4-收入税金表'!X10+'表4-收入税金表'!X27)*参数输入表!$I$865+('表4-收入税金表'!W10+'表4-收入税金表'!W27)*(1-参数输入表!$I$865)</f>
        <v>56149.0999999998</v>
      </c>
      <c r="AC9" s="124">
        <f>('表4-收入税金表'!Y10+'表4-收入税金表'!Y27)*参数输入表!$I$865+('表4-收入税金表'!X10+'表4-收入税金表'!X27)*(1-参数输入表!$I$865)</f>
        <v>56149.0999999998</v>
      </c>
      <c r="AD9" s="124">
        <f>('表4-收入税金表'!Z10+'表4-收入税金表'!Z27)*参数输入表!$I$865+('表4-收入税金表'!Y10+'表4-收入税金表'!Y27)*(1-参数输入表!$I$865)</f>
        <v>56149.0999999998</v>
      </c>
      <c r="AE9" s="124">
        <f>('表4-收入税金表'!AA10+'表4-收入税金表'!AA27)*参数输入表!$I$865+('表4-收入税金表'!Z10+'表4-收入税金表'!Z27)*(1-参数输入表!$I$865)</f>
        <v>56149.0999999998</v>
      </c>
      <c r="AF9" s="124">
        <f>('表4-收入税金表'!AB10+'表4-收入税金表'!AB27)*参数输入表!$I$865+('表4-收入税金表'!AA10+'表4-收入税金表'!AA27)*(1-参数输入表!$I$865)</f>
        <v>56149.0999999998</v>
      </c>
      <c r="AG9" s="124">
        <f>('表4-收入税金表'!AC10+'表4-收入税金表'!AC27)*参数输入表!$I$865+('表4-收入税金表'!AB10+'表4-收入税金表'!AB27)*(1-参数输入表!$I$865)</f>
        <v>56149.0999999998</v>
      </c>
      <c r="AH9" s="124">
        <f>('表4-收入税金表'!AD10+'表4-收入税金表'!AD27)*参数输入表!$I$865+('表4-收入税金表'!AC10+'表4-收入税金表'!AC27)*(1-参数输入表!$I$865)</f>
        <v>56149.0999999998</v>
      </c>
      <c r="AI9" s="124">
        <f>('表4-收入税金表'!AE10+'表4-收入税金表'!AE27)*参数输入表!$I$865+('表4-收入税金表'!AD10+'表4-收入税金表'!AD27)*(1-参数输入表!$I$865)</f>
        <v>56149.0999999998</v>
      </c>
      <c r="AJ9" s="124">
        <f>('表4-收入税金表'!AF10+'表4-收入税金表'!AF27)*参数输入表!$I$865+('表4-收入税金表'!AE10+'表4-收入税金表'!AE27)*(1-参数输入表!$I$865)</f>
        <v>56149.0999999998</v>
      </c>
      <c r="AK9" s="124">
        <f>('表4-收入税金表'!AG10+'表4-收入税金表'!AG27)*参数输入表!$I$865+('表4-收入税金表'!AF10+'表4-收入税金表'!AF27)*(1-参数输入表!$I$865)</f>
        <v>56149.0999999998</v>
      </c>
      <c r="AL9" s="124">
        <f>('表4-收入税金表'!AH10+'表4-收入税金表'!AH27)*参数输入表!$I$865+('表4-收入税金表'!AG10+'表4-收入税金表'!AG27)*(1-参数输入表!$I$865)</f>
        <v>56149.0999999998</v>
      </c>
      <c r="AM9" s="124">
        <f>('表4-收入税金表'!AI10+'表4-收入税金表'!AI27)*参数输入表!$I$865+('表4-收入税金表'!AH10+'表4-收入税金表'!AH27)*(1-参数输入表!$I$865)</f>
        <v>56149.0999999998</v>
      </c>
      <c r="AN9" s="124">
        <f>('表4-收入税金表'!AJ10+'表4-收入税金表'!AJ27)*参数输入表!$I$865+('表4-收入税金表'!AI10+'表4-收入税金表'!AI27)*(1-参数输入表!$I$865)</f>
        <v>56149.0999999998</v>
      </c>
      <c r="AO9" s="124">
        <f>('表4-收入税金表'!AK10+'表4-收入税金表'!AK27)*参数输入表!$I$865+('表4-收入税金表'!AJ10+'表4-收入税金表'!AJ27)*(1-参数输入表!$I$865)</f>
        <v>56149.0999999998</v>
      </c>
      <c r="AP9" s="124">
        <f>('表4-收入税金表'!AL10+'表4-收入税金表'!AL27)*参数输入表!$I$865+('表4-收入税金表'!AK10+'表4-收入税金表'!AK27)*(1-参数输入表!$I$865)</f>
        <v>56149.0999999998</v>
      </c>
      <c r="AQ9" s="124">
        <f>('表4-收入税金表'!AM10+'表4-收入税金表'!AM27)*参数输入表!$I$865+('表4-收入税金表'!AL10+'表4-收入税金表'!AL27)*(1-参数输入表!$I$865)</f>
        <v>56149.0999999998</v>
      </c>
      <c r="AR9" s="124">
        <f>('表4-收入税金表'!AN10+'表4-收入税金表'!AN27)*参数输入表!$I$865+('表4-收入税金表'!AM10+'表4-收入税金表'!AM27)*(1-参数输入表!$I$865)</f>
        <v>56149.0999999998</v>
      </c>
      <c r="AS9" s="124">
        <f>('表4-收入税金表'!AO10+'表4-收入税金表'!AO27)*参数输入表!$I$865+('表4-收入税金表'!AN10+'表4-收入税金表'!AN27)*(1-参数输入表!$I$865)</f>
        <v>56149.0999999998</v>
      </c>
      <c r="AT9" s="124">
        <f>('表4-收入税金表'!AP10+'表4-收入税金表'!AP27)*参数输入表!$I$865+('表4-收入税金表'!AO10+'表4-收入税金表'!AO27)*(1-参数输入表!$I$865)</f>
        <v>56149.0999999998</v>
      </c>
      <c r="AU9" s="124">
        <f>('表4-收入税金表'!AQ10+'表4-收入税金表'!AQ27)*参数输入表!$I$865+('表4-收入税金表'!AP10+'表4-收入税金表'!AP27)*(1-参数输入表!$I$865)</f>
        <v>56149.0999999998</v>
      </c>
      <c r="AV9" s="124">
        <f>('表4-收入税金表'!AR10+'表4-收入税金表'!AR27)*参数输入表!$I$865+('表4-收入税金表'!AQ10+'表4-收入税金表'!AQ27)*(1-参数输入表!$I$865)</f>
        <v>56149.0999999998</v>
      </c>
      <c r="AW9" s="124">
        <f>('表4-收入税金表'!AS10+'表4-收入税金表'!AS27)*参数输入表!$I$865+('表4-收入税金表'!AR10+'表4-收入税金表'!AR27)*(1-参数输入表!$I$865)</f>
        <v>56149.0999999998</v>
      </c>
      <c r="AX9" s="124">
        <f>('表4-收入税金表'!AT10+'表4-收入税金表'!AT27)*参数输入表!$I$865+('表4-收入税金表'!AS10+'表4-收入税金表'!AS27)*(1-参数输入表!$I$865)</f>
        <v>56149.0999999998</v>
      </c>
      <c r="AY9" s="124">
        <f>('表4-收入税金表'!AU10+'表4-收入税金表'!AU27)*参数输入表!$I$865+('表4-收入税金表'!AT10+'表4-收入税金表'!AT27)*(1-参数输入表!$I$865)</f>
        <v>56149.0999999998</v>
      </c>
      <c r="AZ9" s="124">
        <f>('表4-收入税金表'!AV10+'表4-收入税金表'!AV27)*参数输入表!$I$865+('表4-收入税金表'!AU10+'表4-收入税金表'!AU27)*(1-参数输入表!$I$865)</f>
        <v>56149.0999999998</v>
      </c>
      <c r="BA9" s="124">
        <f>('表4-收入税金表'!AW10+'表4-收入税金表'!AW27)*参数输入表!$I$865+('表4-收入税金表'!AV10+'表4-收入税金表'!AV27)*(1-参数输入表!$I$865)</f>
        <v>56149.0999999998</v>
      </c>
      <c r="BB9" s="124">
        <f>('表4-收入税金表'!AX10+'表4-收入税金表'!AX27)*参数输入表!$I$865+('表4-收入税金表'!AW10+'表4-收入税金表'!AW27)*(1-参数输入表!$I$865)</f>
        <v>56149.0999999998</v>
      </c>
      <c r="BC9" s="124">
        <f>('表4-收入税金表'!AY10+'表4-收入税金表'!AY27)*参数输入表!$I$865+('表4-收入税金表'!AX10+'表4-收入税金表'!AX27)*(1-参数输入表!$I$865)</f>
        <v>56149.0999999998</v>
      </c>
      <c r="BD9" s="124">
        <f>('表4-收入税金表'!AZ10+'表4-收入税金表'!AZ27)*参数输入表!$I$865+('表4-收入税金表'!AY10+'表4-收入税金表'!AY27)*(1-参数输入表!$I$865)</f>
        <v>56149.0999999998</v>
      </c>
      <c r="BE9" s="125">
        <f>('表4-收入税金表'!BA10+'表4-收入税金表'!BA27)+('表4-收入税金表'!AZ10+'表4-收入税金表'!AZ27)*(1-参数输入表!$I$865)</f>
        <v>43983.4616666665</v>
      </c>
    </row>
    <row r="10" s="4" customFormat="1" spans="2:57">
      <c r="B10" s="121">
        <v>1.3</v>
      </c>
      <c r="C10" s="122" t="s">
        <v>360</v>
      </c>
      <c r="D10" s="123">
        <f t="shared" si="0"/>
        <v>56000</v>
      </c>
      <c r="E10" s="50" t="s">
        <v>130</v>
      </c>
      <c r="F10" s="124">
        <f t="shared" ref="F10:R10" si="5">SUM(F11:F12)</f>
        <v>0</v>
      </c>
      <c r="G10" s="124">
        <f t="shared" si="5"/>
        <v>0</v>
      </c>
      <c r="H10" s="124">
        <f t="shared" si="5"/>
        <v>0</v>
      </c>
      <c r="I10" s="124">
        <f t="shared" si="5"/>
        <v>0</v>
      </c>
      <c r="J10" s="124">
        <f t="shared" si="5"/>
        <v>0</v>
      </c>
      <c r="K10" s="124">
        <f t="shared" si="5"/>
        <v>0</v>
      </c>
      <c r="L10" s="124">
        <f t="shared" si="5"/>
        <v>0</v>
      </c>
      <c r="M10" s="124">
        <f t="shared" si="5"/>
        <v>0</v>
      </c>
      <c r="N10" s="124">
        <f t="shared" si="5"/>
        <v>0</v>
      </c>
      <c r="O10" s="124">
        <f t="shared" si="5"/>
        <v>0</v>
      </c>
      <c r="P10" s="124">
        <f t="shared" si="5"/>
        <v>0</v>
      </c>
      <c r="Q10" s="124">
        <f t="shared" si="5"/>
        <v>291.666666666667</v>
      </c>
      <c r="R10" s="124">
        <f t="shared" si="5"/>
        <v>991.666666666667</v>
      </c>
      <c r="S10" s="124">
        <f t="shared" ref="S10:AP10" si="6">SUM(S11:S12)</f>
        <v>1400</v>
      </c>
      <c r="T10" s="124">
        <f t="shared" si="6"/>
        <v>1400</v>
      </c>
      <c r="U10" s="124">
        <f t="shared" si="6"/>
        <v>1400</v>
      </c>
      <c r="V10" s="124">
        <f t="shared" si="6"/>
        <v>1400</v>
      </c>
      <c r="W10" s="124">
        <f t="shared" si="6"/>
        <v>1400</v>
      </c>
      <c r="X10" s="124">
        <f t="shared" si="6"/>
        <v>1400</v>
      </c>
      <c r="Y10" s="124">
        <f t="shared" si="6"/>
        <v>1400</v>
      </c>
      <c r="Z10" s="124">
        <f t="shared" si="6"/>
        <v>1400</v>
      </c>
      <c r="AA10" s="124">
        <f t="shared" si="6"/>
        <v>1400</v>
      </c>
      <c r="AB10" s="124">
        <f t="shared" si="6"/>
        <v>1400</v>
      </c>
      <c r="AC10" s="124">
        <f t="shared" si="6"/>
        <v>1400</v>
      </c>
      <c r="AD10" s="124">
        <f t="shared" si="6"/>
        <v>1400</v>
      </c>
      <c r="AE10" s="124">
        <f t="shared" si="6"/>
        <v>1400</v>
      </c>
      <c r="AF10" s="124">
        <f t="shared" si="6"/>
        <v>1400</v>
      </c>
      <c r="AG10" s="124">
        <f t="shared" si="6"/>
        <v>1400</v>
      </c>
      <c r="AH10" s="124">
        <f t="shared" si="6"/>
        <v>1400</v>
      </c>
      <c r="AI10" s="124">
        <f t="shared" si="6"/>
        <v>1400</v>
      </c>
      <c r="AJ10" s="124">
        <f t="shared" si="6"/>
        <v>1400</v>
      </c>
      <c r="AK10" s="124">
        <f t="shared" si="6"/>
        <v>1400</v>
      </c>
      <c r="AL10" s="124">
        <f t="shared" si="6"/>
        <v>1400</v>
      </c>
      <c r="AM10" s="124">
        <f t="shared" si="6"/>
        <v>1400</v>
      </c>
      <c r="AN10" s="124">
        <f t="shared" si="6"/>
        <v>1400</v>
      </c>
      <c r="AO10" s="124">
        <f t="shared" si="6"/>
        <v>1400</v>
      </c>
      <c r="AP10" s="124">
        <f t="shared" si="6"/>
        <v>1400</v>
      </c>
      <c r="AQ10" s="124">
        <f t="shared" ref="AQ10:BE10" si="7">SUM(AQ11:AQ12)</f>
        <v>1400</v>
      </c>
      <c r="AR10" s="124">
        <f t="shared" si="7"/>
        <v>1400</v>
      </c>
      <c r="AS10" s="124">
        <f t="shared" si="7"/>
        <v>1400</v>
      </c>
      <c r="AT10" s="124">
        <f t="shared" si="7"/>
        <v>1400</v>
      </c>
      <c r="AU10" s="124">
        <f t="shared" si="7"/>
        <v>1400</v>
      </c>
      <c r="AV10" s="124">
        <f t="shared" si="7"/>
        <v>1400</v>
      </c>
      <c r="AW10" s="124">
        <f t="shared" si="7"/>
        <v>1400</v>
      </c>
      <c r="AX10" s="124">
        <f t="shared" si="7"/>
        <v>1400</v>
      </c>
      <c r="AY10" s="124">
        <f t="shared" si="7"/>
        <v>1400</v>
      </c>
      <c r="AZ10" s="124">
        <f t="shared" si="7"/>
        <v>1400</v>
      </c>
      <c r="BA10" s="124">
        <f t="shared" si="7"/>
        <v>1400</v>
      </c>
      <c r="BB10" s="124">
        <f t="shared" si="7"/>
        <v>1400</v>
      </c>
      <c r="BC10" s="124">
        <f t="shared" si="7"/>
        <v>1400</v>
      </c>
      <c r="BD10" s="124">
        <f t="shared" si="7"/>
        <v>1400</v>
      </c>
      <c r="BE10" s="125">
        <f t="shared" si="7"/>
        <v>1516.66666666667</v>
      </c>
    </row>
    <row r="11" s="4" customFormat="1" spans="2:57">
      <c r="B11" s="121"/>
      <c r="C11" s="126" t="s">
        <v>795</v>
      </c>
      <c r="D11" s="123">
        <f t="shared" si="0"/>
        <v>0</v>
      </c>
      <c r="E11" s="50" t="s">
        <v>130</v>
      </c>
      <c r="F11" s="124">
        <v>0</v>
      </c>
      <c r="G11" s="124">
        <f>'表4-收入税金表'!F15</f>
        <v>0</v>
      </c>
      <c r="H11" s="124">
        <f>'表4-收入税金表'!G15</f>
        <v>0</v>
      </c>
      <c r="I11" s="124">
        <f>'表4-收入税金表'!H15</f>
        <v>0</v>
      </c>
      <c r="J11" s="124">
        <f>'表4-收入税金表'!I15</f>
        <v>0</v>
      </c>
      <c r="K11" s="124">
        <f>'表4-收入税金表'!J15</f>
        <v>0</v>
      </c>
      <c r="L11" s="124">
        <f>'表4-收入税金表'!K15</f>
        <v>0</v>
      </c>
      <c r="M11" s="124">
        <v>0</v>
      </c>
      <c r="N11" s="124">
        <f>'表4-收入税金表'!L15</f>
        <v>0</v>
      </c>
      <c r="O11" s="124">
        <v>0</v>
      </c>
      <c r="P11" s="124">
        <v>0</v>
      </c>
      <c r="Q11" s="124">
        <f>'表4-收入税金表'!M15</f>
        <v>0</v>
      </c>
      <c r="R11" s="124">
        <f>'表4-收入税金表'!N15</f>
        <v>0</v>
      </c>
      <c r="S11" s="124">
        <f>'表4-收入税金表'!O15</f>
        <v>0</v>
      </c>
      <c r="T11" s="124">
        <f>'表4-收入税金表'!P15</f>
        <v>0</v>
      </c>
      <c r="U11" s="124">
        <f>'表4-收入税金表'!Q15</f>
        <v>0</v>
      </c>
      <c r="V11" s="124">
        <f>'表4-收入税金表'!R15</f>
        <v>0</v>
      </c>
      <c r="W11" s="124">
        <f>'表4-收入税金表'!S15</f>
        <v>0</v>
      </c>
      <c r="X11" s="124">
        <f>'表4-收入税金表'!T15</f>
        <v>0</v>
      </c>
      <c r="Y11" s="124">
        <f>'表4-收入税金表'!U15</f>
        <v>0</v>
      </c>
      <c r="Z11" s="124">
        <f>'表4-收入税金表'!V15</f>
        <v>0</v>
      </c>
      <c r="AA11" s="124">
        <f>'表4-收入税金表'!W15</f>
        <v>0</v>
      </c>
      <c r="AB11" s="124">
        <f>'表4-收入税金表'!X15</f>
        <v>0</v>
      </c>
      <c r="AC11" s="124">
        <f>'表4-收入税金表'!Y15</f>
        <v>0</v>
      </c>
      <c r="AD11" s="124">
        <f>'表4-收入税金表'!Z15</f>
        <v>0</v>
      </c>
      <c r="AE11" s="124">
        <f>'表4-收入税金表'!AA15</f>
        <v>0</v>
      </c>
      <c r="AF11" s="124">
        <f>'表4-收入税金表'!AB15</f>
        <v>0</v>
      </c>
      <c r="AG11" s="124">
        <f>'表4-收入税金表'!AC15</f>
        <v>0</v>
      </c>
      <c r="AH11" s="124">
        <f>'表4-收入税金表'!AD15</f>
        <v>0</v>
      </c>
      <c r="AI11" s="124">
        <f>'表4-收入税金表'!AE15</f>
        <v>0</v>
      </c>
      <c r="AJ11" s="124">
        <f>'表4-收入税金表'!AF15</f>
        <v>0</v>
      </c>
      <c r="AK11" s="124">
        <f>'表4-收入税金表'!AG15</f>
        <v>0</v>
      </c>
      <c r="AL11" s="124">
        <f>'表4-收入税金表'!AH15</f>
        <v>0</v>
      </c>
      <c r="AM11" s="124">
        <f>'表4-收入税金表'!AI15</f>
        <v>0</v>
      </c>
      <c r="AN11" s="124">
        <f>'表4-收入税金表'!AJ15</f>
        <v>0</v>
      </c>
      <c r="AO11" s="124">
        <f>'表4-收入税金表'!AK15</f>
        <v>0</v>
      </c>
      <c r="AP11" s="124">
        <f>'表4-收入税金表'!AL15</f>
        <v>0</v>
      </c>
      <c r="AQ11" s="124">
        <f>'表4-收入税金表'!AM15</f>
        <v>0</v>
      </c>
      <c r="AR11" s="124">
        <f>'表4-收入税金表'!AN15</f>
        <v>0</v>
      </c>
      <c r="AS11" s="124">
        <f>'表4-收入税金表'!AO15</f>
        <v>0</v>
      </c>
      <c r="AT11" s="124">
        <f>'表4-收入税金表'!AP15</f>
        <v>0</v>
      </c>
      <c r="AU11" s="124">
        <f>'表4-收入税金表'!AQ15</f>
        <v>0</v>
      </c>
      <c r="AV11" s="124">
        <f>'表4-收入税金表'!AR15</f>
        <v>0</v>
      </c>
      <c r="AW11" s="124">
        <f>'表4-收入税金表'!AS15</f>
        <v>0</v>
      </c>
      <c r="AX11" s="124">
        <f>'表4-收入税金表'!AT15</f>
        <v>0</v>
      </c>
      <c r="AY11" s="124">
        <f>'表4-收入税金表'!AU15</f>
        <v>0</v>
      </c>
      <c r="AZ11" s="124">
        <f>'表4-收入税金表'!AV15</f>
        <v>0</v>
      </c>
      <c r="BA11" s="124">
        <f>'表4-收入税金表'!AW15</f>
        <v>0</v>
      </c>
      <c r="BB11" s="124">
        <f>'表4-收入税金表'!AX15</f>
        <v>0</v>
      </c>
      <c r="BC11" s="124">
        <f>'表4-收入税金表'!AY15</f>
        <v>0</v>
      </c>
      <c r="BD11" s="124">
        <f>'表4-收入税金表'!AZ15</f>
        <v>0</v>
      </c>
      <c r="BE11" s="125">
        <f>'表4-收入税金表'!BA15</f>
        <v>0</v>
      </c>
    </row>
    <row r="12" s="4" customFormat="1" spans="2:57">
      <c r="B12" s="121"/>
      <c r="C12" s="126" t="s">
        <v>362</v>
      </c>
      <c r="D12" s="123">
        <f t="shared" ref="D12:D17" si="8">SUM(F12:BE12)</f>
        <v>56000</v>
      </c>
      <c r="E12" s="50" t="s">
        <v>130</v>
      </c>
      <c r="F12" s="124">
        <v>0</v>
      </c>
      <c r="G12" s="124">
        <f>IF(G4-参数输入表!$I$25&lt;0,0)</f>
        <v>0</v>
      </c>
      <c r="H12" s="124">
        <f>IF(H4-参数输入表!$I$25&lt;0,0)</f>
        <v>0</v>
      </c>
      <c r="I12" s="124">
        <f>IF(I4-参数输入表!$I$25&lt;0,0)</f>
        <v>0</v>
      </c>
      <c r="J12" s="124">
        <f>IF(J4-参数输入表!$I$25&lt;0,0)</f>
        <v>0</v>
      </c>
      <c r="K12" s="124">
        <f>IF(K4-参数输入表!$I$25&lt;0,0)</f>
        <v>0</v>
      </c>
      <c r="L12" s="124">
        <f>IF(L4-参数输入表!$I$25&lt;0,0)</f>
        <v>0</v>
      </c>
      <c r="M12" s="124">
        <v>0</v>
      </c>
      <c r="N12" s="124">
        <f>('表4-收入税金表'!L16+'表4-收入税金表'!L29)*参数输入表!$I$873</f>
        <v>0</v>
      </c>
      <c r="O12" s="124">
        <v>0</v>
      </c>
      <c r="P12" s="124">
        <v>0</v>
      </c>
      <c r="Q12" s="124">
        <f>('表4-收入税金表'!M16+'表4-收入税金表'!M29)*参数输入表!$I$873+('表4-收入税金表'!L16+'表4-收入税金表'!L29)*(1-参数输入表!$I$873)</f>
        <v>291.666666666667</v>
      </c>
      <c r="R12" s="124">
        <f>('表4-收入税金表'!N16+'表4-收入税金表'!N29)*参数输入表!$I$873+('表4-收入税金表'!M16+'表4-收入税金表'!M29)*(1-参数输入表!$I$873)</f>
        <v>991.666666666667</v>
      </c>
      <c r="S12" s="124">
        <f>('表4-收入税金表'!O16+'表4-收入税金表'!O29)*参数输入表!$I$873+('表4-收入税金表'!N16+'表4-收入税金表'!N29)*(1-参数输入表!$I$873)</f>
        <v>1400</v>
      </c>
      <c r="T12" s="124">
        <f>('表4-收入税金表'!P16+'表4-收入税金表'!P29)*参数输入表!$I$873+('表4-收入税金表'!O16+'表4-收入税金表'!O29)*(1-参数输入表!$I$873)</f>
        <v>1400</v>
      </c>
      <c r="U12" s="124">
        <f>('表4-收入税金表'!Q16+'表4-收入税金表'!Q29)*参数输入表!$I$873+('表4-收入税金表'!P16+'表4-收入税金表'!P29)*(1-参数输入表!$I$873)</f>
        <v>1400</v>
      </c>
      <c r="V12" s="124">
        <f>('表4-收入税金表'!R16+'表4-收入税金表'!R29)*参数输入表!$I$873+('表4-收入税金表'!Q16+'表4-收入税金表'!Q29)*(1-参数输入表!$I$873)</f>
        <v>1400</v>
      </c>
      <c r="W12" s="124">
        <f>('表4-收入税金表'!S16+'表4-收入税金表'!S29)*参数输入表!$I$873+('表4-收入税金表'!R16+'表4-收入税金表'!R29)*(1-参数输入表!$I$873)</f>
        <v>1400</v>
      </c>
      <c r="X12" s="124">
        <f>('表4-收入税金表'!T16+'表4-收入税金表'!T29)*参数输入表!$I$873+('表4-收入税金表'!S16+'表4-收入税金表'!S29)*(1-参数输入表!$I$873)</f>
        <v>1400</v>
      </c>
      <c r="Y12" s="124">
        <f>('表4-收入税金表'!U16+'表4-收入税金表'!U29)*参数输入表!$I$873+('表4-收入税金表'!T16+'表4-收入税金表'!T29)*(1-参数输入表!$I$873)</f>
        <v>1400</v>
      </c>
      <c r="Z12" s="124">
        <f>('表4-收入税金表'!V16+'表4-收入税金表'!V29)*参数输入表!$I$873+('表4-收入税金表'!U16+'表4-收入税金表'!U29)*(1-参数输入表!$I$873)</f>
        <v>1400</v>
      </c>
      <c r="AA12" s="124">
        <f>('表4-收入税金表'!W16+'表4-收入税金表'!W29)*参数输入表!$I$873+('表4-收入税金表'!V16+'表4-收入税金表'!V29)*(1-参数输入表!$I$873)</f>
        <v>1400</v>
      </c>
      <c r="AB12" s="124">
        <f>('表4-收入税金表'!X16+'表4-收入税金表'!X29)*参数输入表!$I$873+('表4-收入税金表'!W16+'表4-收入税金表'!W29)*(1-参数输入表!$I$873)</f>
        <v>1400</v>
      </c>
      <c r="AC12" s="124">
        <f>('表4-收入税金表'!Y16+'表4-收入税金表'!Y29)*参数输入表!$I$873+('表4-收入税金表'!X16+'表4-收入税金表'!X29)*(1-参数输入表!$I$873)</f>
        <v>1400</v>
      </c>
      <c r="AD12" s="124">
        <f>('表4-收入税金表'!Z16+'表4-收入税金表'!Z29)*参数输入表!$I$873+('表4-收入税金表'!Y16+'表4-收入税金表'!Y29)*(1-参数输入表!$I$873)</f>
        <v>1400</v>
      </c>
      <c r="AE12" s="124">
        <f>('表4-收入税金表'!AA16+'表4-收入税金表'!AA29)*参数输入表!$I$873+('表4-收入税金表'!Z16+'表4-收入税金表'!Z29)*(1-参数输入表!$I$873)</f>
        <v>1400</v>
      </c>
      <c r="AF12" s="124">
        <f>('表4-收入税金表'!AB16+'表4-收入税金表'!AB29)*参数输入表!$I$873+('表4-收入税金表'!AA16+'表4-收入税金表'!AA29)*(1-参数输入表!$I$873)</f>
        <v>1400</v>
      </c>
      <c r="AG12" s="124">
        <f>('表4-收入税金表'!AC16+'表4-收入税金表'!AC29)*参数输入表!$I$873+('表4-收入税金表'!AB16+'表4-收入税金表'!AB29)*(1-参数输入表!$I$873)</f>
        <v>1400</v>
      </c>
      <c r="AH12" s="124">
        <f>('表4-收入税金表'!AD16+'表4-收入税金表'!AD29)*参数输入表!$I$873+('表4-收入税金表'!AC16+'表4-收入税金表'!AC29)*(1-参数输入表!$I$873)</f>
        <v>1400</v>
      </c>
      <c r="AI12" s="124">
        <f>('表4-收入税金表'!AE16+'表4-收入税金表'!AE29)*参数输入表!$I$873+('表4-收入税金表'!AD16+'表4-收入税金表'!AD29)*(1-参数输入表!$I$873)</f>
        <v>1400</v>
      </c>
      <c r="AJ12" s="124">
        <f>('表4-收入税金表'!AF16+'表4-收入税金表'!AF29)*参数输入表!$I$873+('表4-收入税金表'!AE16+'表4-收入税金表'!AE29)*(1-参数输入表!$I$873)</f>
        <v>1400</v>
      </c>
      <c r="AK12" s="124">
        <f>('表4-收入税金表'!AG16+'表4-收入税金表'!AG29)*参数输入表!$I$873+('表4-收入税金表'!AF16+'表4-收入税金表'!AF29)*(1-参数输入表!$I$873)</f>
        <v>1400</v>
      </c>
      <c r="AL12" s="124">
        <f>('表4-收入税金表'!AH16+'表4-收入税金表'!AH29)*参数输入表!$I$873+('表4-收入税金表'!AG16+'表4-收入税金表'!AG29)*(1-参数输入表!$I$873)</f>
        <v>1400</v>
      </c>
      <c r="AM12" s="124">
        <f>('表4-收入税金表'!AI16+'表4-收入税金表'!AI29)*参数输入表!$I$873+('表4-收入税金表'!AH16+'表4-收入税金表'!AH29)*(1-参数输入表!$I$873)</f>
        <v>1400</v>
      </c>
      <c r="AN12" s="124">
        <f>('表4-收入税金表'!AJ16+'表4-收入税金表'!AJ29)*参数输入表!$I$873+('表4-收入税金表'!AI16+'表4-收入税金表'!AI29)*(1-参数输入表!$I$873)</f>
        <v>1400</v>
      </c>
      <c r="AO12" s="124">
        <f>('表4-收入税金表'!AK16+'表4-收入税金表'!AK29)*参数输入表!$I$873+('表4-收入税金表'!AJ16+'表4-收入税金表'!AJ29)*(1-参数输入表!$I$873)</f>
        <v>1400</v>
      </c>
      <c r="AP12" s="124">
        <f>('表4-收入税金表'!AL16+'表4-收入税金表'!AL29)*参数输入表!$I$873+('表4-收入税金表'!AK16+'表4-收入税金表'!AK29)*(1-参数输入表!$I$873)</f>
        <v>1400</v>
      </c>
      <c r="AQ12" s="124">
        <f>('表4-收入税金表'!AM16+'表4-收入税金表'!AM29)*参数输入表!$I$873+('表4-收入税金表'!AL16+'表4-收入税金表'!AL29)*(1-参数输入表!$I$873)</f>
        <v>1400</v>
      </c>
      <c r="AR12" s="124">
        <f>('表4-收入税金表'!AN16+'表4-收入税金表'!AN29)*参数输入表!$I$873+('表4-收入税金表'!AM16+'表4-收入税金表'!AM29)*(1-参数输入表!$I$873)</f>
        <v>1400</v>
      </c>
      <c r="AS12" s="124">
        <f>('表4-收入税金表'!AO16+'表4-收入税金表'!AO29)*参数输入表!$I$873+('表4-收入税金表'!AN16+'表4-收入税金表'!AN29)*(1-参数输入表!$I$873)</f>
        <v>1400</v>
      </c>
      <c r="AT12" s="124">
        <f>('表4-收入税金表'!AP16+'表4-收入税金表'!AP29)*参数输入表!$I$873+('表4-收入税金表'!AO16+'表4-收入税金表'!AO29)*(1-参数输入表!$I$873)</f>
        <v>1400</v>
      </c>
      <c r="AU12" s="124">
        <f>('表4-收入税金表'!AQ16+'表4-收入税金表'!AQ29)*参数输入表!$I$873+('表4-收入税金表'!AP16+'表4-收入税金表'!AP29)*(1-参数输入表!$I$873)</f>
        <v>1400</v>
      </c>
      <c r="AV12" s="124">
        <f>('表4-收入税金表'!AR16+'表4-收入税金表'!AR29)*参数输入表!$I$873+('表4-收入税金表'!AQ16+'表4-收入税金表'!AQ29)*(1-参数输入表!$I$873)</f>
        <v>1400</v>
      </c>
      <c r="AW12" s="124">
        <f>('表4-收入税金表'!AS16+'表4-收入税金表'!AS29)*参数输入表!$I$873+('表4-收入税金表'!AR16+'表4-收入税金表'!AR29)*(1-参数输入表!$I$873)</f>
        <v>1400</v>
      </c>
      <c r="AX12" s="124">
        <f>('表4-收入税金表'!AT16+'表4-收入税金表'!AT29)*参数输入表!$I$873+('表4-收入税金表'!AS16+'表4-收入税金表'!AS29)*(1-参数输入表!$I$873)</f>
        <v>1400</v>
      </c>
      <c r="AY12" s="124">
        <f>('表4-收入税金表'!AU16+'表4-收入税金表'!AU29)*参数输入表!$I$873+('表4-收入税金表'!AT16+'表4-收入税金表'!AT29)*(1-参数输入表!$I$873)</f>
        <v>1400</v>
      </c>
      <c r="AZ12" s="124">
        <f>('表4-收入税金表'!AV16+'表4-收入税金表'!AV29)*参数输入表!$I$873+('表4-收入税金表'!AU16+'表4-收入税金表'!AU29)*(1-参数输入表!$I$873)</f>
        <v>1400</v>
      </c>
      <c r="BA12" s="124">
        <f>('表4-收入税金表'!AW16+'表4-收入税金表'!AW29)*参数输入表!$I$873+('表4-收入税金表'!AV16+'表4-收入税金表'!AV29)*(1-参数输入表!$I$873)</f>
        <v>1400</v>
      </c>
      <c r="BB12" s="124">
        <f>('表4-收入税金表'!AX16+'表4-收入税金表'!AX29)*参数输入表!$I$873+('表4-收入税金表'!AW16+'表4-收入税金表'!AW29)*(1-参数输入表!$I$873)</f>
        <v>1400</v>
      </c>
      <c r="BC12" s="124">
        <f>('表4-收入税金表'!AY16+'表4-收入税金表'!AY29)*参数输入表!$I$873+('表4-收入税金表'!AX16+'表4-收入税金表'!AX29)*(1-参数输入表!$I$873)</f>
        <v>1400</v>
      </c>
      <c r="BD12" s="124">
        <f>('表4-收入税金表'!AZ16+'表4-收入税金表'!AZ29)*参数输入表!$I$873+('表4-收入税金表'!AY16+'表4-收入税金表'!AY29)*(1-参数输入表!$I$873)</f>
        <v>1400</v>
      </c>
      <c r="BE12" s="125">
        <f>('表4-收入税金表'!BA16+'表4-收入税金表'!BA29)+('表4-收入税金表'!AZ16+'表4-收入税金表'!AZ29)*(1-参数输入表!$I$873)</f>
        <v>1516.66666666667</v>
      </c>
    </row>
    <row r="13" s="4" customFormat="1" spans="2:57">
      <c r="B13" s="121">
        <v>1.4</v>
      </c>
      <c r="C13" s="122" t="s">
        <v>366</v>
      </c>
      <c r="D13" s="123">
        <f t="shared" si="8"/>
        <v>400</v>
      </c>
      <c r="E13" s="50" t="s">
        <v>130</v>
      </c>
      <c r="F13" s="124">
        <f t="shared" ref="F13:R13" si="9">SUM(F14)</f>
        <v>0</v>
      </c>
      <c r="G13" s="124">
        <f t="shared" si="9"/>
        <v>0</v>
      </c>
      <c r="H13" s="124">
        <f t="shared" si="9"/>
        <v>0</v>
      </c>
      <c r="I13" s="124">
        <f t="shared" si="9"/>
        <v>0</v>
      </c>
      <c r="J13" s="124">
        <f t="shared" si="9"/>
        <v>0</v>
      </c>
      <c r="K13" s="124">
        <f t="shared" si="9"/>
        <v>0</v>
      </c>
      <c r="L13" s="124">
        <f t="shared" si="9"/>
        <v>0</v>
      </c>
      <c r="M13" s="124">
        <f t="shared" si="9"/>
        <v>0</v>
      </c>
      <c r="N13" s="124">
        <f t="shared" si="9"/>
        <v>0</v>
      </c>
      <c r="O13" s="124">
        <f t="shared" si="9"/>
        <v>0</v>
      </c>
      <c r="P13" s="124">
        <f t="shared" si="9"/>
        <v>0</v>
      </c>
      <c r="Q13" s="124">
        <f t="shared" si="9"/>
        <v>0</v>
      </c>
      <c r="R13" s="124">
        <f t="shared" si="9"/>
        <v>400</v>
      </c>
      <c r="S13" s="124">
        <f t="shared" ref="S13:AP13" si="10">SUM(S14)</f>
        <v>0</v>
      </c>
      <c r="T13" s="124">
        <f t="shared" si="10"/>
        <v>0</v>
      </c>
      <c r="U13" s="124">
        <f t="shared" si="10"/>
        <v>0</v>
      </c>
      <c r="V13" s="124">
        <f t="shared" si="10"/>
        <v>0</v>
      </c>
      <c r="W13" s="124">
        <f t="shared" si="10"/>
        <v>0</v>
      </c>
      <c r="X13" s="124">
        <f t="shared" si="10"/>
        <v>0</v>
      </c>
      <c r="Y13" s="124">
        <f t="shared" si="10"/>
        <v>0</v>
      </c>
      <c r="Z13" s="124">
        <f t="shared" si="10"/>
        <v>0</v>
      </c>
      <c r="AA13" s="124">
        <f t="shared" si="10"/>
        <v>0</v>
      </c>
      <c r="AB13" s="124">
        <f t="shared" si="10"/>
        <v>0</v>
      </c>
      <c r="AC13" s="124">
        <f t="shared" si="10"/>
        <v>0</v>
      </c>
      <c r="AD13" s="124">
        <f t="shared" si="10"/>
        <v>0</v>
      </c>
      <c r="AE13" s="124">
        <f t="shared" si="10"/>
        <v>0</v>
      </c>
      <c r="AF13" s="124">
        <f t="shared" si="10"/>
        <v>0</v>
      </c>
      <c r="AG13" s="124">
        <f t="shared" si="10"/>
        <v>0</v>
      </c>
      <c r="AH13" s="124">
        <f t="shared" si="10"/>
        <v>0</v>
      </c>
      <c r="AI13" s="124">
        <f t="shared" si="10"/>
        <v>0</v>
      </c>
      <c r="AJ13" s="124">
        <f t="shared" si="10"/>
        <v>0</v>
      </c>
      <c r="AK13" s="124">
        <f t="shared" si="10"/>
        <v>0</v>
      </c>
      <c r="AL13" s="124">
        <f t="shared" si="10"/>
        <v>0</v>
      </c>
      <c r="AM13" s="124">
        <f t="shared" si="10"/>
        <v>0</v>
      </c>
      <c r="AN13" s="124">
        <f t="shared" si="10"/>
        <v>0</v>
      </c>
      <c r="AO13" s="124">
        <f t="shared" si="10"/>
        <v>0</v>
      </c>
      <c r="AP13" s="124">
        <f t="shared" si="10"/>
        <v>0</v>
      </c>
      <c r="AQ13" s="124">
        <f t="shared" ref="AQ13:BE13" si="11">SUM(AQ14)</f>
        <v>0</v>
      </c>
      <c r="AR13" s="124">
        <f t="shared" si="11"/>
        <v>0</v>
      </c>
      <c r="AS13" s="124">
        <f t="shared" si="11"/>
        <v>0</v>
      </c>
      <c r="AT13" s="124">
        <f t="shared" si="11"/>
        <v>0</v>
      </c>
      <c r="AU13" s="124">
        <f t="shared" si="11"/>
        <v>0</v>
      </c>
      <c r="AV13" s="124">
        <f t="shared" si="11"/>
        <v>0</v>
      </c>
      <c r="AW13" s="124">
        <f t="shared" si="11"/>
        <v>0</v>
      </c>
      <c r="AX13" s="124">
        <f t="shared" si="11"/>
        <v>0</v>
      </c>
      <c r="AY13" s="124">
        <f t="shared" si="11"/>
        <v>0</v>
      </c>
      <c r="AZ13" s="124">
        <f t="shared" si="11"/>
        <v>0</v>
      </c>
      <c r="BA13" s="124">
        <f t="shared" si="11"/>
        <v>0</v>
      </c>
      <c r="BB13" s="124">
        <f t="shared" si="11"/>
        <v>0</v>
      </c>
      <c r="BC13" s="124">
        <f t="shared" si="11"/>
        <v>0</v>
      </c>
      <c r="BD13" s="124">
        <f t="shared" si="11"/>
        <v>0</v>
      </c>
      <c r="BE13" s="125">
        <f t="shared" si="11"/>
        <v>0</v>
      </c>
    </row>
    <row r="14" s="4" customFormat="1" spans="2:57">
      <c r="B14" s="121"/>
      <c r="C14" s="126" t="s">
        <v>796</v>
      </c>
      <c r="D14" s="123">
        <f t="shared" si="8"/>
        <v>400</v>
      </c>
      <c r="E14" s="50" t="s">
        <v>130</v>
      </c>
      <c r="F14" s="124">
        <v>0</v>
      </c>
      <c r="G14" s="124">
        <f>参数输入表!$I$878</f>
        <v>0</v>
      </c>
      <c r="H14" s="124">
        <f>参数输入表!$I$879</f>
        <v>0</v>
      </c>
      <c r="I14" s="124">
        <f>参数输入表!$I$880</f>
        <v>0</v>
      </c>
      <c r="J14" s="124">
        <f>参数输入表!$I$881</f>
        <v>0</v>
      </c>
      <c r="K14" s="124">
        <f>参数输入表!$I$882</f>
        <v>0</v>
      </c>
      <c r="L14" s="124">
        <f>参数输入表!$I$883</f>
        <v>0</v>
      </c>
      <c r="M14" s="124">
        <v>0</v>
      </c>
      <c r="N14" s="124">
        <f>参数输入表!$I$884</f>
        <v>0</v>
      </c>
      <c r="O14" s="124">
        <v>0</v>
      </c>
      <c r="P14" s="124">
        <v>0</v>
      </c>
      <c r="Q14" s="124">
        <f>参数输入表!$I$885</f>
        <v>0</v>
      </c>
      <c r="R14" s="124">
        <f>参数输入表!$I$886</f>
        <v>400</v>
      </c>
      <c r="S14" s="124">
        <f>参数输入表!$I$887</f>
        <v>0</v>
      </c>
      <c r="T14" s="124">
        <f>参数输入表!$I$888</f>
        <v>0</v>
      </c>
      <c r="U14" s="124">
        <f>参数输入表!$I$889</f>
        <v>0</v>
      </c>
      <c r="V14" s="124">
        <f>参数输入表!$I$890</f>
        <v>0</v>
      </c>
      <c r="W14" s="124">
        <f>参数输入表!$I$891</f>
        <v>0</v>
      </c>
      <c r="X14" s="124">
        <f>参数输入表!$I$892</f>
        <v>0</v>
      </c>
      <c r="Y14" s="124">
        <f>参数输入表!$I$893</f>
        <v>0</v>
      </c>
      <c r="Z14" s="124">
        <f>参数输入表!$I$894</f>
        <v>0</v>
      </c>
      <c r="AA14" s="124">
        <f>参数输入表!$I$895</f>
        <v>0</v>
      </c>
      <c r="AB14" s="124">
        <f>参数输入表!$I$896</f>
        <v>0</v>
      </c>
      <c r="AC14" s="124">
        <f>参数输入表!$I$897</f>
        <v>0</v>
      </c>
      <c r="AD14" s="124">
        <f>参数输入表!$I$898</f>
        <v>0</v>
      </c>
      <c r="AE14" s="124">
        <f>参数输入表!$I$899</f>
        <v>0</v>
      </c>
      <c r="AF14" s="124">
        <f>参数输入表!$I$900</f>
        <v>0</v>
      </c>
      <c r="AG14" s="124">
        <f>参数输入表!$I$901</f>
        <v>0</v>
      </c>
      <c r="AH14" s="124">
        <f>参数输入表!$I$902</f>
        <v>0</v>
      </c>
      <c r="AI14" s="124">
        <f>参数输入表!$I$903</f>
        <v>0</v>
      </c>
      <c r="AJ14" s="124">
        <f>参数输入表!$I$904</f>
        <v>0</v>
      </c>
      <c r="AK14" s="124">
        <f>参数输入表!$I$905</f>
        <v>0</v>
      </c>
      <c r="AL14" s="124">
        <f>参数输入表!$I$906</f>
        <v>0</v>
      </c>
      <c r="AM14" s="124">
        <f>参数输入表!$I$907</f>
        <v>0</v>
      </c>
      <c r="AN14" s="124">
        <f>参数输入表!$I$908</f>
        <v>0</v>
      </c>
      <c r="AO14" s="124">
        <f>参数输入表!$I$909</f>
        <v>0</v>
      </c>
      <c r="AP14" s="124">
        <f>参数输入表!$I$910</f>
        <v>0</v>
      </c>
      <c r="AQ14" s="124">
        <f>参数输入表!$I$911</f>
        <v>0</v>
      </c>
      <c r="AR14" s="124">
        <f>参数输入表!$I$912</f>
        <v>0</v>
      </c>
      <c r="AS14" s="124">
        <f>参数输入表!$I$913</f>
        <v>0</v>
      </c>
      <c r="AT14" s="124">
        <f>参数输入表!$I$914</f>
        <v>0</v>
      </c>
      <c r="AU14" s="124">
        <f>参数输入表!$I$915</f>
        <v>0</v>
      </c>
      <c r="AV14" s="124">
        <f>参数输入表!$I$916</f>
        <v>0</v>
      </c>
      <c r="AW14" s="124">
        <f>参数输入表!$I$917</f>
        <v>0</v>
      </c>
      <c r="AX14" s="124">
        <f>参数输入表!$I$918</f>
        <v>0</v>
      </c>
      <c r="AY14" s="124">
        <f>参数输入表!$I$919</f>
        <v>0</v>
      </c>
      <c r="AZ14" s="124">
        <f>参数输入表!$I$920</f>
        <v>0</v>
      </c>
      <c r="BA14" s="124">
        <f>参数输入表!$I$921</f>
        <v>0</v>
      </c>
      <c r="BB14" s="124">
        <f>参数输入表!$I$922</f>
        <v>0</v>
      </c>
      <c r="BC14" s="124">
        <f>参数输入表!$I$923</f>
        <v>0</v>
      </c>
      <c r="BD14" s="124">
        <f>参数输入表!$I$924</f>
        <v>0</v>
      </c>
      <c r="BE14" s="125">
        <f>参数输入表!$I$925</f>
        <v>0</v>
      </c>
    </row>
    <row r="15" s="4" customFormat="1" spans="2:57">
      <c r="B15" s="121">
        <v>1.5</v>
      </c>
      <c r="C15" s="122" t="s">
        <v>948</v>
      </c>
      <c r="D15" s="123">
        <f t="shared" si="8"/>
        <v>1930.82600719796</v>
      </c>
      <c r="E15" s="50" t="s">
        <v>130</v>
      </c>
      <c r="F15" s="124">
        <v>0</v>
      </c>
      <c r="G15" s="124">
        <v>0</v>
      </c>
      <c r="H15" s="124">
        <v>0</v>
      </c>
      <c r="I15" s="124">
        <v>0</v>
      </c>
      <c r="J15" s="124">
        <v>0</v>
      </c>
      <c r="K15" s="124">
        <v>0</v>
      </c>
      <c r="L15" s="124">
        <v>0</v>
      </c>
      <c r="M15" s="124">
        <v>0</v>
      </c>
      <c r="N15" s="124">
        <v>0</v>
      </c>
      <c r="O15" s="124">
        <v>0</v>
      </c>
      <c r="P15" s="124">
        <v>0</v>
      </c>
      <c r="Q15" s="124">
        <v>0</v>
      </c>
      <c r="R15" s="124">
        <v>0</v>
      </c>
      <c r="S15" s="124">
        <v>0</v>
      </c>
      <c r="T15" s="124">
        <v>0</v>
      </c>
      <c r="U15" s="124">
        <v>0</v>
      </c>
      <c r="V15" s="124">
        <v>0</v>
      </c>
      <c r="W15" s="124">
        <v>0</v>
      </c>
      <c r="X15" s="124">
        <v>0</v>
      </c>
      <c r="Y15" s="124">
        <v>0</v>
      </c>
      <c r="Z15" s="124">
        <v>0</v>
      </c>
      <c r="AA15" s="124">
        <v>0</v>
      </c>
      <c r="AB15" s="124">
        <v>0</v>
      </c>
      <c r="AC15" s="124">
        <v>0</v>
      </c>
      <c r="AD15" s="124">
        <v>0</v>
      </c>
      <c r="AE15" s="124">
        <v>0</v>
      </c>
      <c r="AF15" s="124">
        <v>0</v>
      </c>
      <c r="AG15" s="124">
        <v>0</v>
      </c>
      <c r="AH15" s="124">
        <v>0</v>
      </c>
      <c r="AI15" s="124">
        <v>0</v>
      </c>
      <c r="AJ15" s="124">
        <v>0</v>
      </c>
      <c r="AK15" s="124">
        <v>0</v>
      </c>
      <c r="AL15" s="124">
        <v>0</v>
      </c>
      <c r="AM15" s="124">
        <v>0</v>
      </c>
      <c r="AN15" s="124">
        <v>0</v>
      </c>
      <c r="AO15" s="124">
        <v>0</v>
      </c>
      <c r="AP15" s="124">
        <v>0</v>
      </c>
      <c r="AQ15" s="124">
        <v>0</v>
      </c>
      <c r="AR15" s="124">
        <v>0</v>
      </c>
      <c r="AS15" s="124">
        <v>0</v>
      </c>
      <c r="AT15" s="124">
        <v>0</v>
      </c>
      <c r="AU15" s="124">
        <v>0</v>
      </c>
      <c r="AV15" s="124">
        <v>0</v>
      </c>
      <c r="AW15" s="124">
        <v>0</v>
      </c>
      <c r="AX15" s="124">
        <v>0</v>
      </c>
      <c r="AY15" s="124">
        <v>0</v>
      </c>
      <c r="AZ15" s="124">
        <v>0</v>
      </c>
      <c r="BA15" s="124">
        <v>0</v>
      </c>
      <c r="BB15" s="124">
        <v>0</v>
      </c>
      <c r="BC15" s="124">
        <v>0</v>
      </c>
      <c r="BD15" s="124">
        <v>0</v>
      </c>
      <c r="BE15" s="125">
        <f>'表1-资金筹措及还本付息表'!D40</f>
        <v>1930.82600719796</v>
      </c>
    </row>
    <row r="16" s="4" customFormat="1" spans="2:57">
      <c r="B16" s="121">
        <v>1.6</v>
      </c>
      <c r="C16" s="122" t="s">
        <v>949</v>
      </c>
      <c r="D16" s="123">
        <f ca="1" t="shared" si="8"/>
        <v>45319.5589624292</v>
      </c>
      <c r="E16" s="50" t="s">
        <v>130</v>
      </c>
      <c r="F16" s="124">
        <v>0</v>
      </c>
      <c r="G16" s="124">
        <f ca="1">IF(G4-$BE$4&gt;=0,'表2-折旧摊销表'!F231,0)</f>
        <v>0</v>
      </c>
      <c r="H16" s="124">
        <f ca="1">IF(H4-$BE$4&gt;=0,'表2-折旧摊销表'!G231,0)</f>
        <v>0</v>
      </c>
      <c r="I16" s="124">
        <f ca="1">IF(I4-$BE$4&gt;=0,'表2-折旧摊销表'!H231,0)</f>
        <v>0</v>
      </c>
      <c r="J16" s="124">
        <f ca="1">IF(J4-$BE$4&gt;=0,'表2-折旧摊销表'!I231,0)</f>
        <v>0</v>
      </c>
      <c r="K16" s="124">
        <f ca="1">IF(K4-$BE$4&gt;=0,'表2-折旧摊销表'!J231,0)</f>
        <v>0</v>
      </c>
      <c r="L16" s="124">
        <f ca="1">IF(L4-$BE$4&gt;=0,'表2-折旧摊销表'!K231,0)</f>
        <v>0</v>
      </c>
      <c r="M16" s="124">
        <v>0</v>
      </c>
      <c r="N16" s="124">
        <f ca="1">IF(N4-$BE$4&gt;=0,'表2-折旧摊销表'!L231,0)</f>
        <v>0</v>
      </c>
      <c r="O16" s="124">
        <v>0</v>
      </c>
      <c r="P16" s="124">
        <v>0</v>
      </c>
      <c r="Q16" s="124">
        <f ca="1">IF(Q4-$BE$4&gt;=0,'表2-折旧摊销表'!M231,0)</f>
        <v>0</v>
      </c>
      <c r="R16" s="124">
        <f ca="1">IF(R4-$BE$4&gt;=0,'表2-折旧摊销表'!N231,0)</f>
        <v>0</v>
      </c>
      <c r="S16" s="124">
        <f ca="1">IF(S4-$BE$4&gt;=0,'表2-折旧摊销表'!O231,0)</f>
        <v>0</v>
      </c>
      <c r="T16" s="124">
        <f ca="1">IF(T4-$BE$4&gt;=0,'表2-折旧摊销表'!P231,0)</f>
        <v>0</v>
      </c>
      <c r="U16" s="124">
        <f ca="1">IF(U4-$BE$4&gt;=0,'表2-折旧摊销表'!Q231,0)</f>
        <v>0</v>
      </c>
      <c r="V16" s="124">
        <f ca="1">IF(V4-$BE$4&gt;=0,'表2-折旧摊销表'!R231,0)</f>
        <v>0</v>
      </c>
      <c r="W16" s="124">
        <f ca="1">IF(W4-$BE$4&gt;=0,'表2-折旧摊销表'!S231,0)</f>
        <v>0</v>
      </c>
      <c r="X16" s="124">
        <f ca="1">IF(X4-$BE$4&gt;=0,'表2-折旧摊销表'!T231,0)</f>
        <v>0</v>
      </c>
      <c r="Y16" s="124">
        <f ca="1">IF(Y4-$BE$4&gt;=0,'表2-折旧摊销表'!U231,0)</f>
        <v>0</v>
      </c>
      <c r="Z16" s="124">
        <f ca="1">IF(Z4-$BE$4&gt;=0,'表2-折旧摊销表'!V231,0)</f>
        <v>0</v>
      </c>
      <c r="AA16" s="124">
        <f ca="1">IF(AA4-$BE$4&gt;=0,'表2-折旧摊销表'!W231,0)</f>
        <v>0</v>
      </c>
      <c r="AB16" s="124">
        <f ca="1">IF(AB4-$BE$4&gt;=0,'表2-折旧摊销表'!X231,0)</f>
        <v>0</v>
      </c>
      <c r="AC16" s="124">
        <f ca="1">IF(AC4-$BE$4&gt;=0,'表2-折旧摊销表'!Y231,0)</f>
        <v>0</v>
      </c>
      <c r="AD16" s="124">
        <f ca="1">IF(AD4-$BE$4&gt;=0,'表2-折旧摊销表'!Z231,0)</f>
        <v>0</v>
      </c>
      <c r="AE16" s="124">
        <f ca="1">IF(AE4-$BE$4&gt;=0,'表2-折旧摊销表'!AA231,0)</f>
        <v>0</v>
      </c>
      <c r="AF16" s="124">
        <f ca="1">IF(AF4-$BE$4&gt;=0,'表2-折旧摊销表'!AB231,0)</f>
        <v>0</v>
      </c>
      <c r="AG16" s="124">
        <f ca="1">IF(AG4-$BE$4&gt;=0,'表2-折旧摊销表'!AC231,0)</f>
        <v>0</v>
      </c>
      <c r="AH16" s="124">
        <f ca="1">IF(AH4-$BE$4&gt;=0,'表2-折旧摊销表'!AD231,0)</f>
        <v>0</v>
      </c>
      <c r="AI16" s="124">
        <f ca="1">IF(AI4-$BE$4&gt;=0,'表2-折旧摊销表'!AE231,0)</f>
        <v>0</v>
      </c>
      <c r="AJ16" s="124">
        <f ca="1">IF(AJ4-$BE$4&gt;=0,'表2-折旧摊销表'!AF231,0)</f>
        <v>0</v>
      </c>
      <c r="AK16" s="124">
        <f ca="1">IF(AK4-$BE$4&gt;=0,'表2-折旧摊销表'!AG231,0)</f>
        <v>0</v>
      </c>
      <c r="AL16" s="124">
        <f ca="1">IF(AL4-$BE$4&gt;=0,'表2-折旧摊销表'!AH231,0)</f>
        <v>0</v>
      </c>
      <c r="AM16" s="124">
        <f ca="1">IF(AM4-$BE$4&gt;=0,'表2-折旧摊销表'!AI231,0)</f>
        <v>0</v>
      </c>
      <c r="AN16" s="124">
        <f ca="1">IF(AN4-$BE$4&gt;=0,'表2-折旧摊销表'!AJ231,0)</f>
        <v>0</v>
      </c>
      <c r="AO16" s="124">
        <f ca="1">IF(AO4-$BE$4&gt;=0,'表2-折旧摊销表'!AK231,0)</f>
        <v>0</v>
      </c>
      <c r="AP16" s="124">
        <f ca="1">IF(AP4-$BE$4&gt;=0,'表2-折旧摊销表'!AL231,0)</f>
        <v>0</v>
      </c>
      <c r="AQ16" s="124">
        <f ca="1">IF(AQ4-$BE$4&gt;=0,'表2-折旧摊销表'!AM231,0)</f>
        <v>0</v>
      </c>
      <c r="AR16" s="124">
        <f ca="1">IF(AR4-$BE$4&gt;=0,'表2-折旧摊销表'!AN231,0)</f>
        <v>0</v>
      </c>
      <c r="AS16" s="124">
        <f ca="1">IF(AS4-$BE$4&gt;=0,'表2-折旧摊销表'!AO231,0)</f>
        <v>0</v>
      </c>
      <c r="AT16" s="124">
        <f ca="1">IF(AT4-$BE$4&gt;=0,'表2-折旧摊销表'!AP231,0)</f>
        <v>0</v>
      </c>
      <c r="AU16" s="124">
        <f ca="1">IF(AU4-$BE$4&gt;=0,'表2-折旧摊销表'!AQ231,0)</f>
        <v>0</v>
      </c>
      <c r="AV16" s="124">
        <f ca="1">IF(AV4-$BE$4&gt;=0,'表2-折旧摊销表'!AR231,0)</f>
        <v>0</v>
      </c>
      <c r="AW16" s="124">
        <f ca="1">IF(AW4-$BE$4&gt;=0,'表2-折旧摊销表'!AS231,0)</f>
        <v>0</v>
      </c>
      <c r="AX16" s="124">
        <f ca="1">IF(AX4-$BE$4&gt;=0,'表2-折旧摊销表'!AT231,0)</f>
        <v>0</v>
      </c>
      <c r="AY16" s="124">
        <f ca="1">IF(AY4-$BE$4&gt;=0,'表2-折旧摊销表'!AU231,0)</f>
        <v>0</v>
      </c>
      <c r="AZ16" s="124">
        <f ca="1">IF(AZ4-$BE$4&gt;=0,'表2-折旧摊销表'!AV231,0)</f>
        <v>0</v>
      </c>
      <c r="BA16" s="124">
        <f ca="1">IF(BA4-$BE$4&gt;=0,'表2-折旧摊销表'!AW231,0)</f>
        <v>0</v>
      </c>
      <c r="BB16" s="124">
        <f ca="1">IF(BB4-$BE$4&gt;=0,'表2-折旧摊销表'!AX231,0)</f>
        <v>0</v>
      </c>
      <c r="BC16" s="124">
        <f ca="1">IF(BC4-$BE$4&gt;=0,'表2-折旧摊销表'!AY231,0)</f>
        <v>0</v>
      </c>
      <c r="BD16" s="124">
        <f ca="1">IF(BD4-$BE$4&gt;=0,'表2-折旧摊销表'!AZ231,0)</f>
        <v>0</v>
      </c>
      <c r="BE16" s="125">
        <f ca="1">IF(BE4-$BE$4&gt;=0,'表2-折旧摊销表'!BA231,0)</f>
        <v>45319.5589624292</v>
      </c>
    </row>
    <row r="17" s="4" customFormat="1" spans="2:57">
      <c r="B17" s="174">
        <v>1.7</v>
      </c>
      <c r="C17" s="175" t="s">
        <v>950</v>
      </c>
      <c r="D17" s="176">
        <f ca="1" t="shared" si="8"/>
        <v>12963.7738184977</v>
      </c>
      <c r="E17" s="80" t="s">
        <v>130</v>
      </c>
      <c r="F17" s="177">
        <f>F35-(F39-F38)</f>
        <v>0</v>
      </c>
      <c r="G17" s="177">
        <f ca="1" t="shared" ref="G17:AL17" si="12">G35-(G39-G38)</f>
        <v>0</v>
      </c>
      <c r="H17" s="177">
        <f ca="1" t="shared" si="12"/>
        <v>29.1972041057535</v>
      </c>
      <c r="I17" s="177">
        <f ca="1" t="shared" si="12"/>
        <v>57.3983407895516</v>
      </c>
      <c r="J17" s="177">
        <f ca="1" t="shared" si="12"/>
        <v>90.010513244128</v>
      </c>
      <c r="K17" s="177">
        <f ca="1" t="shared" si="12"/>
        <v>125.984714851662</v>
      </c>
      <c r="L17" s="177">
        <f ca="1" t="shared" si="12"/>
        <v>174.620529171493</v>
      </c>
      <c r="M17" s="177">
        <f t="shared" si="12"/>
        <v>0</v>
      </c>
      <c r="N17" s="177">
        <f ca="1" t="shared" si="12"/>
        <v>219.205295693542</v>
      </c>
      <c r="O17" s="177">
        <f t="shared" si="12"/>
        <v>0</v>
      </c>
      <c r="P17" s="177">
        <f t="shared" si="12"/>
        <v>0</v>
      </c>
      <c r="Q17" s="177">
        <f ca="1" t="shared" si="12"/>
        <v>336.998127538889</v>
      </c>
      <c r="R17" s="177">
        <f ca="1" t="shared" si="12"/>
        <v>3807.2072996143</v>
      </c>
      <c r="S17" s="177">
        <f ca="1" t="shared" si="12"/>
        <v>3794.28284343042</v>
      </c>
      <c r="T17" s="177">
        <f ca="1" t="shared" si="12"/>
        <v>1832.96132748206</v>
      </c>
      <c r="U17" s="177">
        <f ca="1" t="shared" si="12"/>
        <v>1438.31747338548</v>
      </c>
      <c r="V17" s="177">
        <f ca="1" t="shared" si="12"/>
        <v>1057.59014919045</v>
      </c>
      <c r="W17" s="177">
        <f ca="1" t="shared" si="12"/>
        <v>0</v>
      </c>
      <c r="X17" s="177">
        <f ca="1" t="shared" si="12"/>
        <v>0</v>
      </c>
      <c r="Y17" s="177">
        <f ca="1" t="shared" si="12"/>
        <v>0</v>
      </c>
      <c r="Z17" s="177">
        <f ca="1" t="shared" si="12"/>
        <v>0</v>
      </c>
      <c r="AA17" s="177">
        <f ca="1" t="shared" si="12"/>
        <v>0</v>
      </c>
      <c r="AB17" s="177">
        <f ca="1" t="shared" si="12"/>
        <v>0</v>
      </c>
      <c r="AC17" s="177">
        <f ca="1" t="shared" si="12"/>
        <v>0</v>
      </c>
      <c r="AD17" s="177">
        <f ca="1" t="shared" si="12"/>
        <v>0</v>
      </c>
      <c r="AE17" s="177">
        <f ca="1" t="shared" si="12"/>
        <v>0</v>
      </c>
      <c r="AF17" s="177">
        <f ca="1" t="shared" si="12"/>
        <v>0</v>
      </c>
      <c r="AG17" s="177">
        <f ca="1" t="shared" si="12"/>
        <v>0</v>
      </c>
      <c r="AH17" s="177">
        <f ca="1" t="shared" si="12"/>
        <v>0</v>
      </c>
      <c r="AI17" s="177">
        <f ca="1" t="shared" si="12"/>
        <v>0</v>
      </c>
      <c r="AJ17" s="177">
        <f ca="1" t="shared" si="12"/>
        <v>0</v>
      </c>
      <c r="AK17" s="177">
        <f ca="1" t="shared" si="12"/>
        <v>0</v>
      </c>
      <c r="AL17" s="177">
        <f ca="1" t="shared" si="12"/>
        <v>0</v>
      </c>
      <c r="AM17" s="177">
        <f ca="1" t="shared" ref="AM17:BE17" si="13">AM35-(AM39-AM38)</f>
        <v>0</v>
      </c>
      <c r="AN17" s="177">
        <f ca="1" t="shared" si="13"/>
        <v>0</v>
      </c>
      <c r="AO17" s="177">
        <f ca="1" t="shared" si="13"/>
        <v>0</v>
      </c>
      <c r="AP17" s="177">
        <f ca="1" t="shared" si="13"/>
        <v>0</v>
      </c>
      <c r="AQ17" s="177">
        <f ca="1" t="shared" si="13"/>
        <v>0</v>
      </c>
      <c r="AR17" s="177">
        <f ca="1" t="shared" si="13"/>
        <v>0</v>
      </c>
      <c r="AS17" s="177">
        <f ca="1" t="shared" si="13"/>
        <v>0</v>
      </c>
      <c r="AT17" s="177">
        <f ca="1" t="shared" si="13"/>
        <v>0</v>
      </c>
      <c r="AU17" s="177">
        <f ca="1" t="shared" si="13"/>
        <v>0</v>
      </c>
      <c r="AV17" s="177">
        <f ca="1" t="shared" si="13"/>
        <v>0</v>
      </c>
      <c r="AW17" s="177">
        <f ca="1" t="shared" si="13"/>
        <v>0</v>
      </c>
      <c r="AX17" s="177">
        <f ca="1" t="shared" si="13"/>
        <v>0</v>
      </c>
      <c r="AY17" s="177">
        <f ca="1" t="shared" si="13"/>
        <v>0</v>
      </c>
      <c r="AZ17" s="177">
        <f ca="1" t="shared" si="13"/>
        <v>0</v>
      </c>
      <c r="BA17" s="177">
        <f ca="1" t="shared" si="13"/>
        <v>0</v>
      </c>
      <c r="BB17" s="177">
        <f ca="1" t="shared" si="13"/>
        <v>0</v>
      </c>
      <c r="BC17" s="177">
        <f ca="1" t="shared" si="13"/>
        <v>0</v>
      </c>
      <c r="BD17" s="177">
        <f ca="1" t="shared" si="13"/>
        <v>0</v>
      </c>
      <c r="BE17" s="177">
        <f ca="1" t="shared" si="13"/>
        <v>0</v>
      </c>
    </row>
    <row r="18" s="4" customFormat="1" spans="2:57">
      <c r="B18" s="178">
        <v>2</v>
      </c>
      <c r="C18" s="179" t="s">
        <v>937</v>
      </c>
      <c r="D18" s="180">
        <f ca="1" t="shared" ref="D18:D36" si="14">SUM(F18:BE18)</f>
        <v>7289999.80897153</v>
      </c>
      <c r="E18" s="80" t="s">
        <v>130</v>
      </c>
      <c r="F18" s="170">
        <f ca="1">F19+F22+F27+F28+F29+F30+F31+F32+F35</f>
        <v>28262.7201096688</v>
      </c>
      <c r="G18" s="170">
        <f ca="1" t="shared" ref="G18:AL18" si="15">G19+G22+G27+G28+G29+G30+G31+G32+G35</f>
        <v>67248.5966819334</v>
      </c>
      <c r="H18" s="170">
        <f ca="1" t="shared" si="15"/>
        <v>95932.1330132857</v>
      </c>
      <c r="I18" s="170">
        <f ca="1" t="shared" si="15"/>
        <v>111584.770794656</v>
      </c>
      <c r="J18" s="170">
        <f ca="1" t="shared" si="15"/>
        <v>125072.588119629</v>
      </c>
      <c r="K18" s="170">
        <f ca="1" t="shared" si="15"/>
        <v>167937.527627807</v>
      </c>
      <c r="L18" s="170">
        <f ca="1" t="shared" si="15"/>
        <v>160596.945773021</v>
      </c>
      <c r="M18" s="170">
        <f ca="1" t="shared" si="15"/>
        <v>87218.1893904918</v>
      </c>
      <c r="N18" s="170">
        <f ca="1" t="shared" si="15"/>
        <v>56341.1222341308</v>
      </c>
      <c r="O18" s="170">
        <f ca="1" t="shared" si="15"/>
        <v>67447.5070778898</v>
      </c>
      <c r="P18" s="170">
        <f ca="1" t="shared" si="15"/>
        <v>2598.66652635376</v>
      </c>
      <c r="Q18" s="170">
        <f ca="1" t="shared" si="15"/>
        <v>55754.5287830862</v>
      </c>
      <c r="R18" s="170">
        <f ca="1" t="shared" si="15"/>
        <v>161005.13318061</v>
      </c>
      <c r="S18" s="170">
        <f ca="1" t="shared" si="15"/>
        <v>178947.397312688</v>
      </c>
      <c r="T18" s="170">
        <f ca="1" t="shared" si="15"/>
        <v>179111.039167656</v>
      </c>
      <c r="U18" s="170">
        <f ca="1" t="shared" si="15"/>
        <v>175594.487013985</v>
      </c>
      <c r="V18" s="170">
        <f ca="1" t="shared" si="15"/>
        <v>177597.075162944</v>
      </c>
      <c r="W18" s="170">
        <f ca="1" t="shared" si="15"/>
        <v>183656.892516504</v>
      </c>
      <c r="X18" s="170">
        <f ca="1" t="shared" si="15"/>
        <v>199570.618636796</v>
      </c>
      <c r="Y18" s="170">
        <f ca="1" t="shared" si="15"/>
        <v>214707.813437284</v>
      </c>
      <c r="Z18" s="170">
        <f ca="1" t="shared" si="15"/>
        <v>229558.927230259</v>
      </c>
      <c r="AA18" s="170">
        <f ca="1" t="shared" si="15"/>
        <v>244261.54009567</v>
      </c>
      <c r="AB18" s="170">
        <f ca="1" t="shared" si="15"/>
        <v>260366.524519876</v>
      </c>
      <c r="AC18" s="170">
        <f ca="1" t="shared" si="15"/>
        <v>293032.297598915</v>
      </c>
      <c r="AD18" s="170">
        <f ca="1" t="shared" si="15"/>
        <v>306593.514926328</v>
      </c>
      <c r="AE18" s="170">
        <f ca="1" t="shared" si="15"/>
        <v>319275.287428192</v>
      </c>
      <c r="AF18" s="170">
        <f ca="1" t="shared" si="15"/>
        <v>319124.949990939</v>
      </c>
      <c r="AG18" s="170">
        <f ca="1" t="shared" si="15"/>
        <v>282411.376438825</v>
      </c>
      <c r="AH18" s="170">
        <f ca="1" t="shared" si="15"/>
        <v>244378.979910333</v>
      </c>
      <c r="AI18" s="170">
        <f ca="1" t="shared" si="15"/>
        <v>205990.709614986</v>
      </c>
      <c r="AJ18" s="170">
        <f ca="1" t="shared" si="15"/>
        <v>170067.768537078</v>
      </c>
      <c r="AK18" s="170">
        <f ca="1" t="shared" si="15"/>
        <v>134805.83441697</v>
      </c>
      <c r="AL18" s="170">
        <f ca="1" t="shared" si="15"/>
        <v>101220.337486033</v>
      </c>
      <c r="AM18" s="170">
        <f ca="1" t="shared" ref="AM18:BE18" si="16">AM19+AM22+AM27+AM28+AM29+AM30+AM31+AM32+AM35</f>
        <v>106250.703693656</v>
      </c>
      <c r="AN18" s="170">
        <f ca="1" t="shared" si="16"/>
        <v>88106.1234238764</v>
      </c>
      <c r="AO18" s="170">
        <f ca="1" t="shared" si="16"/>
        <v>88117.1788433623</v>
      </c>
      <c r="AP18" s="170">
        <f ca="1" t="shared" si="16"/>
        <v>88127.861479815</v>
      </c>
      <c r="AQ18" s="170">
        <f ca="1" t="shared" si="16"/>
        <v>88590.456747706</v>
      </c>
      <c r="AR18" s="170">
        <f ca="1" t="shared" si="16"/>
        <v>89454.4878561483</v>
      </c>
      <c r="AS18" s="170">
        <f ca="1" t="shared" si="16"/>
        <v>88157.5493316197</v>
      </c>
      <c r="AT18" s="170">
        <f ca="1" t="shared" si="16"/>
        <v>88155.7102042487</v>
      </c>
      <c r="AU18" s="170">
        <f ca="1" t="shared" si="16"/>
        <v>88162.1098601163</v>
      </c>
      <c r="AV18" s="170">
        <f ca="1" t="shared" si="16"/>
        <v>88649.547360999</v>
      </c>
      <c r="AW18" s="170">
        <f ca="1" t="shared" si="16"/>
        <v>106376.661214455</v>
      </c>
      <c r="AX18" s="170">
        <f ca="1" t="shared" si="16"/>
        <v>88238.5968059666</v>
      </c>
      <c r="AY18" s="170">
        <f ca="1" t="shared" si="16"/>
        <v>88255.7686355029</v>
      </c>
      <c r="AZ18" s="170">
        <f ca="1" t="shared" si="16"/>
        <v>89579.9052600035</v>
      </c>
      <c r="BA18" s="170">
        <f ca="1" t="shared" si="16"/>
        <v>88740.9386591655</v>
      </c>
      <c r="BB18" s="170">
        <f ca="1" t="shared" si="16"/>
        <v>88303.3820330823</v>
      </c>
      <c r="BC18" s="170">
        <f ca="1" t="shared" si="16"/>
        <v>88771.9236452854</v>
      </c>
      <c r="BD18" s="170">
        <f ca="1" t="shared" si="16"/>
        <v>88334.7820139088</v>
      </c>
      <c r="BE18" s="170">
        <f ca="1" t="shared" si="16"/>
        <v>54352.3211477929</v>
      </c>
    </row>
    <row r="19" s="4" customFormat="1" spans="2:57">
      <c r="B19" s="121">
        <v>2.1</v>
      </c>
      <c r="C19" s="122" t="s">
        <v>951</v>
      </c>
      <c r="D19" s="123">
        <f ca="1" t="shared" si="14"/>
        <v>966945.684224657</v>
      </c>
      <c r="E19" s="50" t="s">
        <v>130</v>
      </c>
      <c r="F19" s="119">
        <f ca="1" t="shared" ref="F19:S19" si="17">SUM(F20:F21)</f>
        <v>28262.7201096688</v>
      </c>
      <c r="G19" s="119">
        <f ca="1" t="shared" si="17"/>
        <v>67248.5966819334</v>
      </c>
      <c r="H19" s="119">
        <f ca="1" t="shared" si="17"/>
        <v>95902.9358091799</v>
      </c>
      <c r="I19" s="119">
        <f ca="1" t="shared" si="17"/>
        <v>111527.372453866</v>
      </c>
      <c r="J19" s="119">
        <f ca="1" t="shared" si="17"/>
        <v>124982.577606385</v>
      </c>
      <c r="K19" s="119">
        <f ca="1" t="shared" si="17"/>
        <v>167811.542912955</v>
      </c>
      <c r="L19" s="119">
        <f ca="1" t="shared" si="17"/>
        <v>160422.325243849</v>
      </c>
      <c r="M19" s="119">
        <f ca="1" t="shared" si="17"/>
        <v>87218.1893904918</v>
      </c>
      <c r="N19" s="119">
        <f ca="1" t="shared" si="17"/>
        <v>56121.9169384372</v>
      </c>
      <c r="O19" s="119">
        <f ca="1" t="shared" si="17"/>
        <v>67447.5070778898</v>
      </c>
      <c r="P19" s="119">
        <f ca="1" t="shared" si="17"/>
        <v>0</v>
      </c>
      <c r="Q19" s="119">
        <f ca="1" t="shared" si="17"/>
        <v>0</v>
      </c>
      <c r="R19" s="119">
        <f ca="1" t="shared" si="17"/>
        <v>0</v>
      </c>
      <c r="S19" s="119">
        <f ca="1" t="shared" si="17"/>
        <v>0</v>
      </c>
      <c r="T19" s="119">
        <f ca="1" t="shared" ref="T19:AP19" si="18">SUM(T20:T21)</f>
        <v>0</v>
      </c>
      <c r="U19" s="119">
        <f ca="1" t="shared" si="18"/>
        <v>0</v>
      </c>
      <c r="V19" s="119">
        <f ca="1" t="shared" si="18"/>
        <v>0</v>
      </c>
      <c r="W19" s="119">
        <f ca="1" t="shared" si="18"/>
        <v>0</v>
      </c>
      <c r="X19" s="119">
        <f ca="1" t="shared" si="18"/>
        <v>0</v>
      </c>
      <c r="Y19" s="119">
        <f ca="1" t="shared" si="18"/>
        <v>0</v>
      </c>
      <c r="Z19" s="119">
        <f ca="1" t="shared" si="18"/>
        <v>0</v>
      </c>
      <c r="AA19" s="119">
        <f ca="1" t="shared" si="18"/>
        <v>0</v>
      </c>
      <c r="AB19" s="119">
        <f ca="1" t="shared" si="18"/>
        <v>0</v>
      </c>
      <c r="AC19" s="119">
        <f ca="1" t="shared" si="18"/>
        <v>0</v>
      </c>
      <c r="AD19" s="119">
        <f ca="1" t="shared" si="18"/>
        <v>0</v>
      </c>
      <c r="AE19" s="119">
        <f ca="1" t="shared" si="18"/>
        <v>0</v>
      </c>
      <c r="AF19" s="119">
        <f ca="1" t="shared" si="18"/>
        <v>0</v>
      </c>
      <c r="AG19" s="119">
        <f ca="1" t="shared" si="18"/>
        <v>0</v>
      </c>
      <c r="AH19" s="119">
        <f ca="1" t="shared" si="18"/>
        <v>0</v>
      </c>
      <c r="AI19" s="119">
        <f ca="1" t="shared" si="18"/>
        <v>0</v>
      </c>
      <c r="AJ19" s="119">
        <f ca="1" t="shared" si="18"/>
        <v>0</v>
      </c>
      <c r="AK19" s="119">
        <f ca="1" t="shared" si="18"/>
        <v>0</v>
      </c>
      <c r="AL19" s="119">
        <f ca="1" t="shared" si="18"/>
        <v>0</v>
      </c>
      <c r="AM19" s="119">
        <f ca="1" t="shared" si="18"/>
        <v>0</v>
      </c>
      <c r="AN19" s="119">
        <f ca="1" t="shared" si="18"/>
        <v>0</v>
      </c>
      <c r="AO19" s="119">
        <f ca="1" t="shared" si="18"/>
        <v>0</v>
      </c>
      <c r="AP19" s="119">
        <f ca="1" t="shared" si="18"/>
        <v>0</v>
      </c>
      <c r="AQ19" s="119">
        <f ca="1" t="shared" ref="AQ19:BE19" si="19">SUM(AQ20:AQ21)</f>
        <v>0</v>
      </c>
      <c r="AR19" s="119">
        <f ca="1" t="shared" si="19"/>
        <v>0</v>
      </c>
      <c r="AS19" s="119">
        <f ca="1" t="shared" si="19"/>
        <v>0</v>
      </c>
      <c r="AT19" s="119">
        <f ca="1" t="shared" si="19"/>
        <v>0</v>
      </c>
      <c r="AU19" s="119">
        <f ca="1" t="shared" si="19"/>
        <v>0</v>
      </c>
      <c r="AV19" s="119">
        <f ca="1" t="shared" si="19"/>
        <v>0</v>
      </c>
      <c r="AW19" s="119">
        <f ca="1" t="shared" si="19"/>
        <v>0</v>
      </c>
      <c r="AX19" s="119">
        <f ca="1" t="shared" si="19"/>
        <v>0</v>
      </c>
      <c r="AY19" s="119">
        <f ca="1" t="shared" si="19"/>
        <v>0</v>
      </c>
      <c r="AZ19" s="119">
        <f ca="1" t="shared" si="19"/>
        <v>0</v>
      </c>
      <c r="BA19" s="119">
        <f ca="1" t="shared" si="19"/>
        <v>0</v>
      </c>
      <c r="BB19" s="119">
        <f ca="1" t="shared" si="19"/>
        <v>0</v>
      </c>
      <c r="BC19" s="119">
        <f ca="1" t="shared" si="19"/>
        <v>0</v>
      </c>
      <c r="BD19" s="119">
        <f ca="1" t="shared" si="19"/>
        <v>0</v>
      </c>
      <c r="BE19" s="120">
        <f ca="1" t="shared" si="19"/>
        <v>0</v>
      </c>
    </row>
    <row r="20" s="4" customFormat="1" spans="2:57">
      <c r="B20" s="121"/>
      <c r="C20" s="126" t="s">
        <v>952</v>
      </c>
      <c r="D20" s="123">
        <f ca="1" t="shared" si="14"/>
        <v>241736.421056164</v>
      </c>
      <c r="E20" s="50" t="s">
        <v>130</v>
      </c>
      <c r="F20" s="124">
        <f ca="1">'表1-资金筹措及还本付息表'!F37-'表1-资金筹措及还本付息表'!F40</f>
        <v>7065.6800274172</v>
      </c>
      <c r="G20" s="124">
        <f ca="1">'表1-资金筹措及还本付息表'!G37-'表1-资金筹措及还本付息表'!G40</f>
        <v>16812.1491704834</v>
      </c>
      <c r="H20" s="124">
        <f ca="1">'表1-资金筹措及还本付息表'!H37-'表1-资金筹措及还本付息表'!H40</f>
        <v>23975.733952295</v>
      </c>
      <c r="I20" s="124">
        <f ca="1">'表1-资金筹措及还本付息表'!I37-'表1-资金筹措及还本付息表'!I40</f>
        <v>27881.8431134666</v>
      </c>
      <c r="J20" s="124">
        <f ca="1">'表1-资金筹措及还本付息表'!J37-'表1-资金筹措及还本付息表'!J40</f>
        <v>31245.6444015962</v>
      </c>
      <c r="K20" s="124">
        <f ca="1">'表1-资金筹措及还本付息表'!K37-'表1-资金筹措及还本付息表'!K40</f>
        <v>41952.8857282388</v>
      </c>
      <c r="L20" s="124">
        <f ca="1">'表1-资金筹措及还本付息表'!L37-'表1-资金筹措及还本付息表'!L40</f>
        <v>40105.5813109623</v>
      </c>
      <c r="M20" s="124">
        <f ca="1">'表1-资金筹措及还本付息表'!M37-'表1-资金筹措及还本付息表'!M40</f>
        <v>21804.547347623</v>
      </c>
      <c r="N20" s="124">
        <f ca="1">'表1-资金筹措及还本付息表'!N37-'表1-资金筹措及还本付息表'!N40</f>
        <v>14030.4792346093</v>
      </c>
      <c r="O20" s="124">
        <f ca="1">'表1-资金筹措及还本付息表'!O37-'表1-资金筹措及还本付息表'!O40</f>
        <v>16861.8767694724</v>
      </c>
      <c r="P20" s="124">
        <f ca="1">'表1-资金筹措及还本付息表'!P37-'表1-资金筹措及还本付息表'!P40</f>
        <v>0</v>
      </c>
      <c r="Q20" s="124">
        <f ca="1">'表1-资金筹措及还本付息表'!Q37-'表1-资金筹措及还本付息表'!Q40</f>
        <v>0</v>
      </c>
      <c r="R20" s="124">
        <f ca="1">'表1-资金筹措及还本付息表'!R37-'表1-资金筹措及还本付息表'!R40</f>
        <v>0</v>
      </c>
      <c r="S20" s="124">
        <f ca="1">'表1-资金筹措及还本付息表'!S37-'表1-资金筹措及还本付息表'!S40</f>
        <v>0</v>
      </c>
      <c r="T20" s="124">
        <f ca="1">'表1-资金筹措及还本付息表'!T37-'表1-资金筹措及还本付息表'!T40</f>
        <v>0</v>
      </c>
      <c r="U20" s="124">
        <f ca="1">'表1-资金筹措及还本付息表'!U37-'表1-资金筹措及还本付息表'!U40</f>
        <v>0</v>
      </c>
      <c r="V20" s="124">
        <f ca="1">'表1-资金筹措及还本付息表'!V37-'表1-资金筹措及还本付息表'!V40</f>
        <v>0</v>
      </c>
      <c r="W20" s="124">
        <f ca="1">'表1-资金筹措及还本付息表'!W37-'表1-资金筹措及还本付息表'!W40</f>
        <v>0</v>
      </c>
      <c r="X20" s="124">
        <f ca="1">'表1-资金筹措及还本付息表'!X37-'表1-资金筹措及还本付息表'!X40</f>
        <v>0</v>
      </c>
      <c r="Y20" s="124">
        <f ca="1">'表1-资金筹措及还本付息表'!Y37-'表1-资金筹措及还本付息表'!Y40</f>
        <v>0</v>
      </c>
      <c r="Z20" s="124">
        <f ca="1">'表1-资金筹措及还本付息表'!Z37-'表1-资金筹措及还本付息表'!Z40</f>
        <v>0</v>
      </c>
      <c r="AA20" s="124">
        <f ca="1">'表1-资金筹措及还本付息表'!AA37-'表1-资金筹措及还本付息表'!AA40</f>
        <v>0</v>
      </c>
      <c r="AB20" s="124">
        <f ca="1">'表1-资金筹措及还本付息表'!AB37-'表1-资金筹措及还本付息表'!AB40</f>
        <v>0</v>
      </c>
      <c r="AC20" s="124">
        <f ca="1">'表1-资金筹措及还本付息表'!AC37-'表1-资金筹措及还本付息表'!AC40</f>
        <v>0</v>
      </c>
      <c r="AD20" s="124">
        <f ca="1">'表1-资金筹措及还本付息表'!AD37-'表1-资金筹措及还本付息表'!AD40</f>
        <v>0</v>
      </c>
      <c r="AE20" s="124">
        <f ca="1">'表1-资金筹措及还本付息表'!AE37-'表1-资金筹措及还本付息表'!AE40</f>
        <v>0</v>
      </c>
      <c r="AF20" s="124">
        <f ca="1">'表1-资金筹措及还本付息表'!AF37-'表1-资金筹措及还本付息表'!AF40</f>
        <v>0</v>
      </c>
      <c r="AG20" s="124">
        <f ca="1">'表1-资金筹措及还本付息表'!AG37-'表1-资金筹措及还本付息表'!AG40</f>
        <v>0</v>
      </c>
      <c r="AH20" s="124">
        <f ca="1">'表1-资金筹措及还本付息表'!AH37-'表1-资金筹措及还本付息表'!AH40</f>
        <v>0</v>
      </c>
      <c r="AI20" s="124">
        <f ca="1">'表1-资金筹措及还本付息表'!AI37-'表1-资金筹措及还本付息表'!AI40</f>
        <v>0</v>
      </c>
      <c r="AJ20" s="124">
        <f ca="1">'表1-资金筹措及还本付息表'!AJ37-'表1-资金筹措及还本付息表'!AJ40</f>
        <v>0</v>
      </c>
      <c r="AK20" s="124">
        <f ca="1">'表1-资金筹措及还本付息表'!AK37-'表1-资金筹措及还本付息表'!AK40</f>
        <v>0</v>
      </c>
      <c r="AL20" s="124">
        <f ca="1">'表1-资金筹措及还本付息表'!AL37-'表1-资金筹措及还本付息表'!AL40</f>
        <v>0</v>
      </c>
      <c r="AM20" s="124">
        <f ca="1">'表1-资金筹措及还本付息表'!AM37-'表1-资金筹措及还本付息表'!AM40</f>
        <v>0</v>
      </c>
      <c r="AN20" s="124">
        <f ca="1">'表1-资金筹措及还本付息表'!AN37-'表1-资金筹措及还本付息表'!AN40</f>
        <v>0</v>
      </c>
      <c r="AO20" s="124">
        <f ca="1">'表1-资金筹措及还本付息表'!AO37-'表1-资金筹措及还本付息表'!AO40</f>
        <v>0</v>
      </c>
      <c r="AP20" s="124">
        <f ca="1">'表1-资金筹措及还本付息表'!AP37-'表1-资金筹措及还本付息表'!AP40</f>
        <v>0</v>
      </c>
      <c r="AQ20" s="124">
        <f ca="1">'表1-资金筹措及还本付息表'!AQ37-'表1-资金筹措及还本付息表'!AQ40</f>
        <v>0</v>
      </c>
      <c r="AR20" s="124">
        <f ca="1">'表1-资金筹措及还本付息表'!AR37-'表1-资金筹措及还本付息表'!AR40</f>
        <v>0</v>
      </c>
      <c r="AS20" s="124">
        <f ca="1">'表1-资金筹措及还本付息表'!AS37-'表1-资金筹措及还本付息表'!AS40</f>
        <v>0</v>
      </c>
      <c r="AT20" s="124">
        <f ca="1">'表1-资金筹措及还本付息表'!AT37-'表1-资金筹措及还本付息表'!AT40</f>
        <v>0</v>
      </c>
      <c r="AU20" s="124">
        <f ca="1">'表1-资金筹措及还本付息表'!AU37-'表1-资金筹措及还本付息表'!AU40</f>
        <v>0</v>
      </c>
      <c r="AV20" s="124">
        <f ca="1">'表1-资金筹措及还本付息表'!AV37-'表1-资金筹措及还本付息表'!AV40</f>
        <v>0</v>
      </c>
      <c r="AW20" s="124">
        <f ca="1">'表1-资金筹措及还本付息表'!AW37-'表1-资金筹措及还本付息表'!AW40</f>
        <v>0</v>
      </c>
      <c r="AX20" s="124">
        <f ca="1">'表1-资金筹措及还本付息表'!AX37-'表1-资金筹措及还本付息表'!AX40</f>
        <v>0</v>
      </c>
      <c r="AY20" s="124">
        <f ca="1">'表1-资金筹措及还本付息表'!AY37-'表1-资金筹措及还本付息表'!AY40</f>
        <v>0</v>
      </c>
      <c r="AZ20" s="124">
        <f ca="1">'表1-资金筹措及还本付息表'!AZ37-'表1-资金筹措及还本付息表'!AZ40</f>
        <v>0</v>
      </c>
      <c r="BA20" s="124">
        <f ca="1">'表1-资金筹措及还本付息表'!BA37-'表1-资金筹措及还本付息表'!BA40</f>
        <v>0</v>
      </c>
      <c r="BB20" s="124">
        <f ca="1">'表1-资金筹措及还本付息表'!BB37-'表1-资金筹措及还本付息表'!BB40</f>
        <v>0</v>
      </c>
      <c r="BC20" s="124">
        <f ca="1">'表1-资金筹措及还本付息表'!BC37-'表1-资金筹措及还本付息表'!BC40</f>
        <v>0</v>
      </c>
      <c r="BD20" s="124">
        <f ca="1">'表1-资金筹措及还本付息表'!BD37-'表1-资金筹措及还本付息表'!BD40</f>
        <v>0</v>
      </c>
      <c r="BE20" s="125">
        <f ca="1">'表1-资金筹措及还本付息表'!BE37-'表1-资金筹措及还本付息表'!BE40</f>
        <v>0</v>
      </c>
    </row>
    <row r="21" s="4" customFormat="1" spans="2:57">
      <c r="B21" s="121"/>
      <c r="C21" s="126" t="s">
        <v>953</v>
      </c>
      <c r="D21" s="123">
        <f ca="1" t="shared" si="14"/>
        <v>725209.263168492</v>
      </c>
      <c r="E21" s="50" t="s">
        <v>130</v>
      </c>
      <c r="F21" s="124">
        <f ca="1">'表1-资金筹措及还本付息表'!F176</f>
        <v>21197.0400822516</v>
      </c>
      <c r="G21" s="124">
        <f ca="1">'表1-资金筹措及还本付息表'!G176</f>
        <v>50436.4475114501</v>
      </c>
      <c r="H21" s="124">
        <f ca="1">'表1-资金筹措及还本付息表'!H176</f>
        <v>71927.2018568849</v>
      </c>
      <c r="I21" s="124">
        <f ca="1">'表1-资金筹措及还本付息表'!I176</f>
        <v>83645.5293403997</v>
      </c>
      <c r="J21" s="124">
        <f ca="1">'表1-资金筹措及还本付息表'!J176</f>
        <v>93736.9332047887</v>
      </c>
      <c r="K21" s="124">
        <f ca="1">'表1-资金筹措及还本付息表'!K176</f>
        <v>125858.657184717</v>
      </c>
      <c r="L21" s="124">
        <f ca="1">'表1-资金筹措及还本付息表'!L176</f>
        <v>120316.743932887</v>
      </c>
      <c r="M21" s="124">
        <f ca="1">'表1-资金筹措及还本付息表'!M176</f>
        <v>65413.6420428689</v>
      </c>
      <c r="N21" s="124">
        <f ca="1">'表1-资金筹措及还本付息表'!N176</f>
        <v>42091.4377038279</v>
      </c>
      <c r="O21" s="124">
        <f ca="1">'表1-资金筹措及还本付息表'!O176</f>
        <v>50585.6303084173</v>
      </c>
      <c r="P21" s="124">
        <f ca="1">'表1-资金筹措及还本付息表'!P176</f>
        <v>0</v>
      </c>
      <c r="Q21" s="124">
        <f ca="1">'表1-资金筹措及还本付息表'!Q176</f>
        <v>0</v>
      </c>
      <c r="R21" s="124">
        <f ca="1">'表1-资金筹措及还本付息表'!R176</f>
        <v>0</v>
      </c>
      <c r="S21" s="124">
        <f ca="1">'表1-资金筹措及还本付息表'!S176</f>
        <v>0</v>
      </c>
      <c r="T21" s="124">
        <f ca="1">'表1-资金筹措及还本付息表'!T176</f>
        <v>0</v>
      </c>
      <c r="U21" s="124">
        <f ca="1">'表1-资金筹措及还本付息表'!U176</f>
        <v>0</v>
      </c>
      <c r="V21" s="124">
        <f ca="1">'表1-资金筹措及还本付息表'!V176</f>
        <v>0</v>
      </c>
      <c r="W21" s="124">
        <f ca="1">'表1-资金筹措及还本付息表'!W176</f>
        <v>0</v>
      </c>
      <c r="X21" s="124">
        <f ca="1">'表1-资金筹措及还本付息表'!X176</f>
        <v>0</v>
      </c>
      <c r="Y21" s="124">
        <f ca="1">'表1-资金筹措及还本付息表'!Y176</f>
        <v>0</v>
      </c>
      <c r="Z21" s="124">
        <f ca="1">'表1-资金筹措及还本付息表'!Z176</f>
        <v>0</v>
      </c>
      <c r="AA21" s="124">
        <f ca="1">'表1-资金筹措及还本付息表'!AA176</f>
        <v>0</v>
      </c>
      <c r="AB21" s="124">
        <f ca="1">'表1-资金筹措及还本付息表'!AB176</f>
        <v>0</v>
      </c>
      <c r="AC21" s="124">
        <f ca="1">'表1-资金筹措及还本付息表'!AC176</f>
        <v>0</v>
      </c>
      <c r="AD21" s="124">
        <f ca="1">'表1-资金筹措及还本付息表'!AD176</f>
        <v>0</v>
      </c>
      <c r="AE21" s="124">
        <f ca="1">'表1-资金筹措及还本付息表'!AE176</f>
        <v>0</v>
      </c>
      <c r="AF21" s="124">
        <f ca="1">'表1-资金筹措及还本付息表'!AF176</f>
        <v>0</v>
      </c>
      <c r="AG21" s="124">
        <f ca="1">'表1-资金筹措及还本付息表'!AG176</f>
        <v>0</v>
      </c>
      <c r="AH21" s="124">
        <f ca="1">'表1-资金筹措及还本付息表'!AH176</f>
        <v>0</v>
      </c>
      <c r="AI21" s="124">
        <f ca="1">'表1-资金筹措及还本付息表'!AI176</f>
        <v>0</v>
      </c>
      <c r="AJ21" s="124">
        <f ca="1">'表1-资金筹措及还本付息表'!AJ176</f>
        <v>0</v>
      </c>
      <c r="AK21" s="124">
        <f ca="1">'表1-资金筹措及还本付息表'!AK176</f>
        <v>0</v>
      </c>
      <c r="AL21" s="124">
        <f ca="1">'表1-资金筹措及还本付息表'!AL176</f>
        <v>0</v>
      </c>
      <c r="AM21" s="124">
        <f ca="1">'表1-资金筹措及还本付息表'!AM176</f>
        <v>0</v>
      </c>
      <c r="AN21" s="124">
        <f ca="1">'表1-资金筹措及还本付息表'!AN176</f>
        <v>0</v>
      </c>
      <c r="AO21" s="124">
        <f ca="1">'表1-资金筹措及还本付息表'!AO176</f>
        <v>0</v>
      </c>
      <c r="AP21" s="124">
        <f ca="1">'表1-资金筹措及还本付息表'!AP176</f>
        <v>0</v>
      </c>
      <c r="AQ21" s="124">
        <f ca="1">'表1-资金筹措及还本付息表'!AQ176</f>
        <v>0</v>
      </c>
      <c r="AR21" s="124">
        <f ca="1">'表1-资金筹措及还本付息表'!AR176</f>
        <v>0</v>
      </c>
      <c r="AS21" s="124">
        <f ca="1">'表1-资金筹措及还本付息表'!AS176</f>
        <v>0</v>
      </c>
      <c r="AT21" s="124">
        <f ca="1">'表1-资金筹措及还本付息表'!AT176</f>
        <v>0</v>
      </c>
      <c r="AU21" s="124">
        <f ca="1">'表1-资金筹措及还本付息表'!AU176</f>
        <v>0</v>
      </c>
      <c r="AV21" s="124">
        <f ca="1">'表1-资金筹措及还本付息表'!AV176</f>
        <v>0</v>
      </c>
      <c r="AW21" s="124">
        <f ca="1">'表1-资金筹措及还本付息表'!AW176</f>
        <v>0</v>
      </c>
      <c r="AX21" s="124">
        <f ca="1">'表1-资金筹措及还本付息表'!AX176</f>
        <v>0</v>
      </c>
      <c r="AY21" s="124">
        <f ca="1">'表1-资金筹措及还本付息表'!AY176</f>
        <v>0</v>
      </c>
      <c r="AZ21" s="124">
        <f ca="1">'表1-资金筹措及还本付息表'!AZ176</f>
        <v>0</v>
      </c>
      <c r="BA21" s="124">
        <f ca="1">'表1-资金筹措及还本付息表'!BA176</f>
        <v>0</v>
      </c>
      <c r="BB21" s="124">
        <f ca="1">'表1-资金筹措及还本付息表'!BB176</f>
        <v>0</v>
      </c>
      <c r="BC21" s="124">
        <f ca="1">'表1-资金筹措及还本付息表'!BC176</f>
        <v>0</v>
      </c>
      <c r="BD21" s="124">
        <f ca="1">'表1-资金筹措及还本付息表'!BD176</f>
        <v>0</v>
      </c>
      <c r="BE21" s="125">
        <f ca="1">'表1-资金筹措及还本付息表'!BE176</f>
        <v>0</v>
      </c>
    </row>
    <row r="22" s="4" customFormat="1" spans="2:57">
      <c r="B22" s="121">
        <v>2.2</v>
      </c>
      <c r="C22" s="122" t="s">
        <v>954</v>
      </c>
      <c r="D22" s="123">
        <f ca="1" t="shared" si="14"/>
        <v>2967994.88484869</v>
      </c>
      <c r="E22" s="50" t="s">
        <v>130</v>
      </c>
      <c r="F22" s="124">
        <f ca="1" t="shared" ref="F22:S22" si="20">SUM(F23:F26)</f>
        <v>0</v>
      </c>
      <c r="G22" s="124">
        <f ca="1" t="shared" si="20"/>
        <v>0</v>
      </c>
      <c r="H22" s="124">
        <f ca="1" t="shared" si="20"/>
        <v>0</v>
      </c>
      <c r="I22" s="124">
        <f ca="1" t="shared" si="20"/>
        <v>0</v>
      </c>
      <c r="J22" s="124">
        <f ca="1" t="shared" si="20"/>
        <v>0</v>
      </c>
      <c r="K22" s="124">
        <f ca="1" t="shared" si="20"/>
        <v>0</v>
      </c>
      <c r="L22" s="124">
        <f ca="1" t="shared" si="20"/>
        <v>0</v>
      </c>
      <c r="M22" s="124">
        <f ca="1" t="shared" si="20"/>
        <v>0</v>
      </c>
      <c r="N22" s="124">
        <f ca="1" t="shared" si="20"/>
        <v>0</v>
      </c>
      <c r="O22" s="124">
        <f ca="1" t="shared" si="20"/>
        <v>0</v>
      </c>
      <c r="P22" s="124">
        <f ca="1" t="shared" si="20"/>
        <v>2598.66652635376</v>
      </c>
      <c r="Q22" s="124">
        <f ca="1" t="shared" si="20"/>
        <v>24668.69619505</v>
      </c>
      <c r="R22" s="124">
        <f ca="1" t="shared" si="20"/>
        <v>87037.3655930772</v>
      </c>
      <c r="S22" s="124">
        <f ca="1" t="shared" si="20"/>
        <v>105492.554181339</v>
      </c>
      <c r="T22" s="124">
        <f ca="1" t="shared" ref="T22:AP22" si="21">SUM(T23:T26)</f>
        <v>105816.704044561</v>
      </c>
      <c r="U22" s="124">
        <f ca="1" t="shared" si="21"/>
        <v>102454.796674625</v>
      </c>
      <c r="V22" s="124">
        <f ca="1" t="shared" si="21"/>
        <v>104611.956927109</v>
      </c>
      <c r="W22" s="124">
        <f ca="1" t="shared" si="21"/>
        <v>107057.873980365</v>
      </c>
      <c r="X22" s="124">
        <f ca="1" t="shared" si="21"/>
        <v>114583.72941902</v>
      </c>
      <c r="Y22" s="124">
        <f ca="1" t="shared" si="21"/>
        <v>129831.238924538</v>
      </c>
      <c r="Z22" s="124">
        <f ca="1" t="shared" si="21"/>
        <v>144792.684306931</v>
      </c>
      <c r="AA22" s="124">
        <f ca="1" t="shared" si="21"/>
        <v>159605.638166563</v>
      </c>
      <c r="AB22" s="124">
        <f ca="1" t="shared" si="21"/>
        <v>174061.245913791</v>
      </c>
      <c r="AC22" s="124">
        <f ca="1" t="shared" si="21"/>
        <v>190432.466105534</v>
      </c>
      <c r="AD22" s="124">
        <f ca="1" t="shared" si="21"/>
        <v>222194.632943309</v>
      </c>
      <c r="AE22" s="124">
        <f ca="1" t="shared" si="21"/>
        <v>234992.726014055</v>
      </c>
      <c r="AF22" s="124">
        <f ca="1" t="shared" si="21"/>
        <v>234959.228747341</v>
      </c>
      <c r="AG22" s="124">
        <f ca="1" t="shared" si="21"/>
        <v>197910.969938094</v>
      </c>
      <c r="AH22" s="124">
        <f ca="1" t="shared" si="21"/>
        <v>160448.635690175</v>
      </c>
      <c r="AI22" s="124">
        <f ca="1" t="shared" si="21"/>
        <v>122180.344638972</v>
      </c>
      <c r="AJ22" s="124">
        <f ca="1" t="shared" si="21"/>
        <v>85070.5754291111</v>
      </c>
      <c r="AK22" s="124">
        <f ca="1" t="shared" si="21"/>
        <v>51228.755705085</v>
      </c>
      <c r="AL22" s="124">
        <f ca="1" t="shared" si="21"/>
        <v>17307.5650201685</v>
      </c>
      <c r="AM22" s="124">
        <f ca="1" t="shared" si="21"/>
        <v>4669.70269840826</v>
      </c>
      <c r="AN22" s="124">
        <f ca="1" t="shared" si="21"/>
        <v>4669.70269840826</v>
      </c>
      <c r="AO22" s="124">
        <f ca="1" t="shared" si="21"/>
        <v>4669.70269840826</v>
      </c>
      <c r="AP22" s="124">
        <f ca="1" t="shared" si="21"/>
        <v>4669.70269840826</v>
      </c>
      <c r="AQ22" s="124">
        <f ca="1" t="shared" ref="AQ22:BE22" si="22">SUM(AQ23:AQ26)</f>
        <v>4669.70269840826</v>
      </c>
      <c r="AR22" s="124">
        <f ca="1" t="shared" si="22"/>
        <v>4669.70269840826</v>
      </c>
      <c r="AS22" s="124">
        <f ca="1" t="shared" si="22"/>
        <v>4669.70269840826</v>
      </c>
      <c r="AT22" s="124">
        <f ca="1" t="shared" si="22"/>
        <v>4669.70269840826</v>
      </c>
      <c r="AU22" s="124">
        <f ca="1" t="shared" si="22"/>
        <v>4669.70269840826</v>
      </c>
      <c r="AV22" s="124">
        <f ca="1" t="shared" si="22"/>
        <v>4669.70269840826</v>
      </c>
      <c r="AW22" s="124">
        <f ca="1" t="shared" si="22"/>
        <v>4669.70269840826</v>
      </c>
      <c r="AX22" s="124">
        <f ca="1" t="shared" si="22"/>
        <v>4669.70269840826</v>
      </c>
      <c r="AY22" s="124">
        <f ca="1" t="shared" si="22"/>
        <v>4669.70269840826</v>
      </c>
      <c r="AZ22" s="124">
        <f ca="1" t="shared" si="22"/>
        <v>4669.70269840826</v>
      </c>
      <c r="BA22" s="124">
        <f ca="1" t="shared" si="22"/>
        <v>4669.70269840826</v>
      </c>
      <c r="BB22" s="124">
        <f ca="1" t="shared" si="22"/>
        <v>4669.70269840826</v>
      </c>
      <c r="BC22" s="124">
        <f ca="1" t="shared" si="22"/>
        <v>4669.70269840826</v>
      </c>
      <c r="BD22" s="124">
        <f ca="1" t="shared" si="22"/>
        <v>4669.70269840826</v>
      </c>
      <c r="BE22" s="125">
        <f ca="1" t="shared" si="22"/>
        <v>4601.18519218061</v>
      </c>
    </row>
    <row r="23" spans="2:57">
      <c r="B23" s="181"/>
      <c r="C23" s="182" t="s">
        <v>955</v>
      </c>
      <c r="D23" s="173">
        <f ca="1" t="shared" si="14"/>
        <v>730209.263168492</v>
      </c>
      <c r="E23" s="29" t="s">
        <v>130</v>
      </c>
      <c r="F23" s="42">
        <f ca="1">'表1-资金筹措及还本付息表'!F168</f>
        <v>0</v>
      </c>
      <c r="G23" s="42">
        <f ca="1">'表1-资金筹措及还本付息表'!G168</f>
        <v>0</v>
      </c>
      <c r="H23" s="42">
        <f ca="1">'表1-资金筹措及还本付息表'!H168</f>
        <v>0</v>
      </c>
      <c r="I23" s="42">
        <f ca="1">'表1-资金筹措及还本付息表'!I168</f>
        <v>0</v>
      </c>
      <c r="J23" s="42">
        <f ca="1">'表1-资金筹措及还本付息表'!J168</f>
        <v>0</v>
      </c>
      <c r="K23" s="42">
        <f ca="1">'表1-资金筹措及还本付息表'!K168</f>
        <v>0</v>
      </c>
      <c r="L23" s="42">
        <f ca="1">'表1-资金筹措及还本付息表'!L168</f>
        <v>0</v>
      </c>
      <c r="M23" s="42">
        <f ca="1">'表1-资金筹措及还本付息表'!M168</f>
        <v>0</v>
      </c>
      <c r="N23" s="42">
        <f ca="1">'表1-资金筹措及还本付息表'!N168</f>
        <v>0</v>
      </c>
      <c r="O23" s="42">
        <f ca="1">'表1-资金筹措及还本付息表'!O168</f>
        <v>0</v>
      </c>
      <c r="P23" s="124">
        <f ca="1">'表1-资金筹措及还本付息表'!P168</f>
        <v>0</v>
      </c>
      <c r="Q23" s="42">
        <f ca="1">'表1-资金筹措及还本付息表'!Q168</f>
        <v>12086.8210528082</v>
      </c>
      <c r="R23" s="42">
        <f ca="1">'表1-资金筹措及还本付息表'!R168</f>
        <v>48347.2842112328</v>
      </c>
      <c r="S23" s="42">
        <f ca="1">'表1-资金筹措及还本付息表'!S168</f>
        <v>48347.2842112328</v>
      </c>
      <c r="T23" s="42">
        <f ca="1">'表1-资金筹措及还本付息表'!T168</f>
        <v>48659.7842112328</v>
      </c>
      <c r="U23" s="42">
        <f ca="1">'表1-资金筹措及还本付息表'!U168</f>
        <v>48972.2842112328</v>
      </c>
      <c r="V23" s="42">
        <f ca="1">'表1-资金筹措及还本付息表'!V168</f>
        <v>48972.2842112328</v>
      </c>
      <c r="W23" s="42">
        <f ca="1">'表1-资金筹措及还本付息表'!W168</f>
        <v>48972.2842112328</v>
      </c>
      <c r="X23" s="42">
        <f ca="1">'表1-资金筹措及还本付息表'!X168</f>
        <v>48972.2842112328</v>
      </c>
      <c r="Y23" s="42">
        <f ca="1">'表1-资金筹措及还本付息表'!Y168</f>
        <v>48972.2842112328</v>
      </c>
      <c r="Z23" s="42">
        <f ca="1">'表1-资金筹措及还本付息表'!Z168</f>
        <v>48972.2842112328</v>
      </c>
      <c r="AA23" s="42">
        <f ca="1">'表1-资金筹措及还本付息表'!AA168</f>
        <v>48972.2842112328</v>
      </c>
      <c r="AB23" s="42">
        <f ca="1">'表1-资金筹措及还本付息表'!AB168</f>
        <v>48659.7842112328</v>
      </c>
      <c r="AC23" s="42">
        <f ca="1">'表1-资金筹措及还本付息表'!AC168</f>
        <v>48347.2842112328</v>
      </c>
      <c r="AD23" s="42">
        <f ca="1">'表1-资金筹措及还本付息表'!AD168</f>
        <v>48347.2842112328</v>
      </c>
      <c r="AE23" s="42">
        <f ca="1">'表1-资金筹措及还本付息表'!AE168</f>
        <v>48347.2842112328</v>
      </c>
      <c r="AF23" s="42">
        <f ca="1">'表1-资金筹措及还本付息表'!AF168</f>
        <v>36260.4631584246</v>
      </c>
      <c r="AG23" s="42">
        <f ca="1">'表1-资金筹措及还本付息表'!AG168</f>
        <v>0</v>
      </c>
      <c r="AH23" s="42">
        <f ca="1">'表1-资金筹措及还本付息表'!AH168</f>
        <v>0</v>
      </c>
      <c r="AI23" s="42">
        <f ca="1">'表1-资金筹措及还本付息表'!AI168</f>
        <v>0</v>
      </c>
      <c r="AJ23" s="42">
        <f ca="1">'表1-资金筹措及还本付息表'!AJ168</f>
        <v>0</v>
      </c>
      <c r="AK23" s="42">
        <f ca="1">'表1-资金筹措及还本付息表'!AK168</f>
        <v>0</v>
      </c>
      <c r="AL23" s="42">
        <f ca="1">'表1-资金筹措及还本付息表'!AL168</f>
        <v>0</v>
      </c>
      <c r="AM23" s="42">
        <f ca="1">'表1-资金筹措及还本付息表'!AM168</f>
        <v>0</v>
      </c>
      <c r="AN23" s="42">
        <f ca="1">'表1-资金筹措及还本付息表'!AN168</f>
        <v>0</v>
      </c>
      <c r="AO23" s="42">
        <f ca="1">'表1-资金筹措及还本付息表'!AO168</f>
        <v>0</v>
      </c>
      <c r="AP23" s="42">
        <f ca="1">'表1-资金筹措及还本付息表'!AP168</f>
        <v>0</v>
      </c>
      <c r="AQ23" s="42">
        <f ca="1">'表1-资金筹措及还本付息表'!AQ168</f>
        <v>0</v>
      </c>
      <c r="AR23" s="42">
        <f ca="1">'表1-资金筹措及还本付息表'!AR168</f>
        <v>0</v>
      </c>
      <c r="AS23" s="42">
        <f ca="1">'表1-资金筹措及还本付息表'!AS168</f>
        <v>0</v>
      </c>
      <c r="AT23" s="42">
        <f ca="1">'表1-资金筹措及还本付息表'!AT168</f>
        <v>0</v>
      </c>
      <c r="AU23" s="42">
        <f ca="1">'表1-资金筹措及还本付息表'!AU168</f>
        <v>0</v>
      </c>
      <c r="AV23" s="42">
        <f ca="1">'表1-资金筹措及还本付息表'!AV168</f>
        <v>0</v>
      </c>
      <c r="AW23" s="42">
        <f ca="1">'表1-资金筹措及还本付息表'!AW168</f>
        <v>0</v>
      </c>
      <c r="AX23" s="42">
        <f ca="1">'表1-资金筹措及还本付息表'!AX168</f>
        <v>0</v>
      </c>
      <c r="AY23" s="42">
        <f ca="1">'表1-资金筹措及还本付息表'!AY168</f>
        <v>0</v>
      </c>
      <c r="AZ23" s="42">
        <f ca="1">'表1-资金筹措及还本付息表'!AZ168</f>
        <v>0</v>
      </c>
      <c r="BA23" s="42">
        <f ca="1">'表1-资金筹措及还本付息表'!BA168</f>
        <v>0</v>
      </c>
      <c r="BB23" s="42">
        <f ca="1">'表1-资金筹措及还本付息表'!BB168</f>
        <v>0</v>
      </c>
      <c r="BC23" s="42">
        <f ca="1">'表1-资金筹措及还本付息表'!BC168</f>
        <v>0</v>
      </c>
      <c r="BD23" s="42">
        <f ca="1">'表1-资金筹措及还本付息表'!BD168</f>
        <v>0</v>
      </c>
      <c r="BE23" s="43">
        <f ca="1">'表1-资金筹措及还本付息表'!BE168</f>
        <v>0</v>
      </c>
    </row>
    <row r="24" spans="2:57">
      <c r="B24" s="181"/>
      <c r="C24" s="182" t="s">
        <v>956</v>
      </c>
      <c r="D24" s="173">
        <f t="shared" si="14"/>
        <v>184715.688021938</v>
      </c>
      <c r="E24" s="29" t="s">
        <v>130</v>
      </c>
      <c r="F24" s="42">
        <f>'表1-资金筹措及还本付息表'!F276</f>
        <v>0</v>
      </c>
      <c r="G24" s="42">
        <f>'表1-资金筹措及还本付息表'!G276</f>
        <v>0</v>
      </c>
      <c r="H24" s="42">
        <f>'表1-资金筹措及还本付息表'!H276</f>
        <v>0</v>
      </c>
      <c r="I24" s="42">
        <f>'表1-资金筹措及还本付息表'!I276</f>
        <v>0</v>
      </c>
      <c r="J24" s="42">
        <f>'表1-资金筹措及还本付息表'!J276</f>
        <v>0</v>
      </c>
      <c r="K24" s="42">
        <f>'表1-资金筹措及还本付息表'!K276</f>
        <v>0</v>
      </c>
      <c r="L24" s="42">
        <f>'表1-资金筹措及还本付息表'!L276</f>
        <v>0</v>
      </c>
      <c r="M24" s="42">
        <f>'表1-资金筹措及还本付息表'!M276</f>
        <v>0</v>
      </c>
      <c r="N24" s="42">
        <f>'表1-资金筹措及还本付息表'!N276</f>
        <v>0</v>
      </c>
      <c r="O24" s="42">
        <f>'表1-资金筹措及还本付息表'!O276</f>
        <v>0</v>
      </c>
      <c r="P24" s="124">
        <f>'表1-资金筹措及还本付息表'!P276</f>
        <v>0</v>
      </c>
      <c r="Q24" s="42">
        <f>'表1-资金筹措及还本付息表'!Q276</f>
        <v>4505.26068346191</v>
      </c>
      <c r="R24" s="42">
        <f>'表1-资金筹措及还本付息表'!R276</f>
        <v>4505.26068346191</v>
      </c>
      <c r="S24" s="42">
        <f>'表1-资金筹措及还本付息表'!S276</f>
        <v>4505.26068346191</v>
      </c>
      <c r="T24" s="42">
        <f>'表1-资金筹措及还本付息表'!T276</f>
        <v>4505.26068346191</v>
      </c>
      <c r="U24" s="42">
        <f>'表1-资金筹措及还本付息表'!U276</f>
        <v>4505.26068346191</v>
      </c>
      <c r="V24" s="42">
        <f>'表1-资金筹措及还本付息表'!V276</f>
        <v>4505.26068346191</v>
      </c>
      <c r="W24" s="42">
        <f>'表1-资金筹措及还本付息表'!W276</f>
        <v>4505.26068346191</v>
      </c>
      <c r="X24" s="42">
        <f>'表1-资金筹措及还本付息表'!X276</f>
        <v>4505.26068346191</v>
      </c>
      <c r="Y24" s="42">
        <f>'表1-资金筹措及还本付息表'!Y276</f>
        <v>4505.26068346191</v>
      </c>
      <c r="Z24" s="42">
        <f>'表1-资金筹措及还本付息表'!Z276</f>
        <v>4505.26068346191</v>
      </c>
      <c r="AA24" s="42">
        <f>'表1-资金筹措及还本付息表'!AA276</f>
        <v>4505.26068346191</v>
      </c>
      <c r="AB24" s="42">
        <f>'表1-资金筹措及还本付息表'!AB276</f>
        <v>4505.26068346191</v>
      </c>
      <c r="AC24" s="42">
        <f>'表1-资金筹措及还本付息表'!AC276</f>
        <v>4505.26068346191</v>
      </c>
      <c r="AD24" s="42">
        <f>'表1-资金筹措及还本付息表'!AD276</f>
        <v>4505.26068346191</v>
      </c>
      <c r="AE24" s="42">
        <f>'表1-资金筹措及还本付息表'!AE276</f>
        <v>4505.26068346191</v>
      </c>
      <c r="AF24" s="42">
        <f>'表1-资金筹措及还本付息表'!AF276</f>
        <v>4505.26068346191</v>
      </c>
      <c r="AG24" s="42">
        <f>'表1-资金筹措及还本付息表'!AG276</f>
        <v>4505.26068346191</v>
      </c>
      <c r="AH24" s="42">
        <f>'表1-资金筹措及还本付息表'!AH276</f>
        <v>4505.26068346191</v>
      </c>
      <c r="AI24" s="42">
        <f>'表1-资金筹措及还本付息表'!AI276</f>
        <v>4505.26068346191</v>
      </c>
      <c r="AJ24" s="42">
        <f>'表1-资金筹措及还本付息表'!AJ276</f>
        <v>4505.26068346191</v>
      </c>
      <c r="AK24" s="42">
        <f>'表1-资金筹措及还本付息表'!AK276</f>
        <v>4505.26068346191</v>
      </c>
      <c r="AL24" s="42">
        <f>'表1-资金筹措及还本付息表'!AL276</f>
        <v>4505.26068346191</v>
      </c>
      <c r="AM24" s="42">
        <f>'表1-资金筹措及还本付息表'!AM276</f>
        <v>4505.26068346191</v>
      </c>
      <c r="AN24" s="42">
        <f>'表1-资金筹措及还本付息表'!AN276</f>
        <v>4505.26068346191</v>
      </c>
      <c r="AO24" s="42">
        <f>'表1-资金筹措及还本付息表'!AO276</f>
        <v>4505.26068346191</v>
      </c>
      <c r="AP24" s="42">
        <f>'表1-资金筹措及还本付息表'!AP276</f>
        <v>4505.26068346191</v>
      </c>
      <c r="AQ24" s="42">
        <f>'表1-资金筹措及还本付息表'!AQ276</f>
        <v>4505.26068346191</v>
      </c>
      <c r="AR24" s="42">
        <f>'表1-资金筹措及还本付息表'!AR276</f>
        <v>4505.26068346191</v>
      </c>
      <c r="AS24" s="42">
        <f>'表1-资金筹措及还本付息表'!AS276</f>
        <v>4505.26068346191</v>
      </c>
      <c r="AT24" s="42">
        <f>'表1-资金筹措及还本付息表'!AT276</f>
        <v>4505.26068346191</v>
      </c>
      <c r="AU24" s="42">
        <f>'表1-资金筹措及还本付息表'!AU276</f>
        <v>4505.26068346191</v>
      </c>
      <c r="AV24" s="42">
        <f>'表1-资金筹措及还本付息表'!AV276</f>
        <v>4505.26068346191</v>
      </c>
      <c r="AW24" s="42">
        <f>'表1-资金筹措及还本付息表'!AW276</f>
        <v>4505.26068346191</v>
      </c>
      <c r="AX24" s="42">
        <f>'表1-资金筹措及还本付息表'!AX276</f>
        <v>4505.26068346191</v>
      </c>
      <c r="AY24" s="42">
        <f>'表1-资金筹措及还本付息表'!AY276</f>
        <v>4505.26068346191</v>
      </c>
      <c r="AZ24" s="42">
        <f>'表1-资金筹措及还本付息表'!AZ276</f>
        <v>4505.26068346191</v>
      </c>
      <c r="BA24" s="42">
        <f>'表1-资金筹措及还本付息表'!BA276</f>
        <v>4505.26068346191</v>
      </c>
      <c r="BB24" s="42">
        <f>'表1-资金筹措及还本付息表'!BB276</f>
        <v>4505.26068346191</v>
      </c>
      <c r="BC24" s="42">
        <f>'表1-资金筹措及还本付息表'!BC276</f>
        <v>4505.26068346191</v>
      </c>
      <c r="BD24" s="42">
        <f>'表1-资金筹措及还本付息表'!BD276</f>
        <v>4505.26068346191</v>
      </c>
      <c r="BE24" s="43">
        <f>'表1-资金筹措及还本付息表'!BE276</f>
        <v>4505.26068346191</v>
      </c>
    </row>
    <row r="25" spans="2:57">
      <c r="B25" s="181"/>
      <c r="C25" s="182" t="s">
        <v>957</v>
      </c>
      <c r="D25" s="173">
        <f ca="1" t="shared" si="14"/>
        <v>1682387.27853119</v>
      </c>
      <c r="E25" s="29" t="s">
        <v>130</v>
      </c>
      <c r="F25" s="42">
        <f>'表1-资金筹措及还本付息表'!F286</f>
        <v>0</v>
      </c>
      <c r="G25" s="42">
        <f>'表1-资金筹措及还本付息表'!G286</f>
        <v>0</v>
      </c>
      <c r="H25" s="42">
        <f ca="1">'表1-资金筹措及还本付息表'!H286</f>
        <v>0</v>
      </c>
      <c r="I25" s="42">
        <f ca="1">'表1-资金筹措及还本付息表'!I286</f>
        <v>0</v>
      </c>
      <c r="J25" s="42">
        <f ca="1">'表1-资金筹措及还本付息表'!J286</f>
        <v>0</v>
      </c>
      <c r="K25" s="42">
        <f ca="1">'表1-资金筹措及还本付息表'!K286</f>
        <v>0</v>
      </c>
      <c r="L25" s="42">
        <f ca="1">'表1-资金筹措及还本付息表'!L286</f>
        <v>0</v>
      </c>
      <c r="M25" s="42">
        <f>'表1-资金筹措及还本付息表'!M286</f>
        <v>0</v>
      </c>
      <c r="N25" s="42">
        <f ca="1">'表1-资金筹措及还本付息表'!N286</f>
        <v>0</v>
      </c>
      <c r="O25" s="42">
        <f>'表1-资金筹措及还本付息表'!O286</f>
        <v>0</v>
      </c>
      <c r="P25" s="124">
        <f>'表1-资金筹措及还本付息表'!P286</f>
        <v>0</v>
      </c>
      <c r="Q25" s="42">
        <f ca="1">'表1-资金筹措及还本付息表'!Q286</f>
        <v>0</v>
      </c>
      <c r="R25" s="42">
        <f ca="1">'表1-资金筹措及还本付息表'!R286</f>
        <v>3182.81821293866</v>
      </c>
      <c r="S25" s="42">
        <f ca="1">'表1-资金筹措及还本付息表'!S286</f>
        <v>22923.905552244</v>
      </c>
      <c r="T25" s="42">
        <f ca="1">'表1-资金筹措及还本付息表'!T286</f>
        <v>24909.7899948503</v>
      </c>
      <c r="U25" s="42">
        <f ca="1">'表1-资金筹措及还本付息表'!U286</f>
        <v>23155.3751878034</v>
      </c>
      <c r="V25" s="42">
        <f ca="1">'表1-资金筹措及还本付息表'!V286</f>
        <v>27121.7772056511</v>
      </c>
      <c r="W25" s="42">
        <f ca="1">'表1-资金筹措及还本付息表'!W286</f>
        <v>31203.4287691616</v>
      </c>
      <c r="X25" s="42">
        <f ca="1">'表1-资金筹措及还本付息表'!X286</f>
        <v>39923.4542146461</v>
      </c>
      <c r="Y25" s="42">
        <f ca="1">'表1-资金筹措及还本付息表'!Y286</f>
        <v>56102.7634062394</v>
      </c>
      <c r="Z25" s="42">
        <f ca="1">'表1-资金筹措及还本付息表'!Z286</f>
        <v>72011.0168176142</v>
      </c>
      <c r="AA25" s="42">
        <f ca="1">'表1-资金筹措及还本付息表'!AA286</f>
        <v>87779.1385322782</v>
      </c>
      <c r="AB25" s="42">
        <f ca="1">'表1-资金筹措及还本付息表'!AB286</f>
        <v>103458.355613537</v>
      </c>
      <c r="AC25" s="42">
        <f ca="1">'表1-资金筹措及还本付息表'!AC286</f>
        <v>120433.560095366</v>
      </c>
      <c r="AD25" s="42">
        <f ca="1">'表1-资金筹措及还本付息表'!AD286</f>
        <v>152594.37084634</v>
      </c>
      <c r="AE25" s="42">
        <f ca="1">'表1-资金筹措及还本付息表'!AE286</f>
        <v>166468.88359902</v>
      </c>
      <c r="AF25" s="42">
        <f ca="1">'表1-资金筹措及还本付息表'!AF286</f>
        <v>180060.495206611</v>
      </c>
      <c r="AG25" s="42">
        <f ca="1">'表1-资金筹措及还本付息表'!AG286</f>
        <v>181281.086327384</v>
      </c>
      <c r="AH25" s="42">
        <f ca="1">'表1-资金筹措及还本付息表'!AH286</f>
        <v>146395.103050747</v>
      </c>
      <c r="AI25" s="42">
        <f ca="1">'表1-资金筹措及还本付息表'!AI286</f>
        <v>110696.128210073</v>
      </c>
      <c r="AJ25" s="42">
        <f ca="1">'表1-资金筹措及还本付息表'!AJ286</f>
        <v>76002.8781047201</v>
      </c>
      <c r="AK25" s="42">
        <f ca="1">'表1-资金筹措及还本付息表'!AK286</f>
        <v>44490.1253468619</v>
      </c>
      <c r="AL25" s="42">
        <f ca="1">'表1-资金筹措及还本付息表'!AL286</f>
        <v>12192.8242371059</v>
      </c>
      <c r="AM25" s="42">
        <f ca="1">'表1-资金筹措及还本付息表'!AM286</f>
        <v>0</v>
      </c>
      <c r="AN25" s="42">
        <f ca="1">'表1-资金筹措及还本付息表'!AN286</f>
        <v>0</v>
      </c>
      <c r="AO25" s="42">
        <f ca="1">'表1-资金筹措及还本付息表'!AO286</f>
        <v>0</v>
      </c>
      <c r="AP25" s="42">
        <f ca="1">'表1-资金筹措及还本付息表'!AP286</f>
        <v>0</v>
      </c>
      <c r="AQ25" s="42">
        <f ca="1">'表1-资金筹措及还本付息表'!AQ286</f>
        <v>0</v>
      </c>
      <c r="AR25" s="42">
        <f ca="1">'表1-资金筹措及还本付息表'!AR286</f>
        <v>0</v>
      </c>
      <c r="AS25" s="42">
        <f ca="1">'表1-资金筹措及还本付息表'!AS286</f>
        <v>0</v>
      </c>
      <c r="AT25" s="42">
        <f ca="1">'表1-资金筹措及还本付息表'!AT286</f>
        <v>0</v>
      </c>
      <c r="AU25" s="42">
        <f ca="1">'表1-资金筹措及还本付息表'!AU286</f>
        <v>0</v>
      </c>
      <c r="AV25" s="42">
        <f ca="1">'表1-资金筹措及还本付息表'!AV286</f>
        <v>0</v>
      </c>
      <c r="AW25" s="42">
        <f ca="1">'表1-资金筹措及还本付息表'!AW286</f>
        <v>0</v>
      </c>
      <c r="AX25" s="42">
        <f ca="1">'表1-资金筹措及还本付息表'!AX286</f>
        <v>0</v>
      </c>
      <c r="AY25" s="42">
        <f ca="1">'表1-资金筹措及还本付息表'!AY286</f>
        <v>0</v>
      </c>
      <c r="AZ25" s="42">
        <f ca="1">'表1-资金筹措及还本付息表'!AZ286</f>
        <v>0</v>
      </c>
      <c r="BA25" s="42">
        <f ca="1">'表1-资金筹措及还本付息表'!BA286</f>
        <v>0</v>
      </c>
      <c r="BB25" s="42">
        <f ca="1">'表1-资金筹措及还本付息表'!BB286</f>
        <v>0</v>
      </c>
      <c r="BC25" s="42">
        <f ca="1">'表1-资金筹措及还本付息表'!BC286</f>
        <v>0</v>
      </c>
      <c r="BD25" s="42">
        <f ca="1">'表1-资金筹措及还本付息表'!BD286</f>
        <v>0</v>
      </c>
      <c r="BE25" s="43">
        <f ca="1">'表1-资金筹措及还本付息表'!BE286</f>
        <v>0</v>
      </c>
    </row>
    <row r="26" spans="2:57">
      <c r="B26" s="181"/>
      <c r="C26" s="182" t="s">
        <v>958</v>
      </c>
      <c r="D26" s="173">
        <f ca="1" t="shared" si="14"/>
        <v>370682.655127073</v>
      </c>
      <c r="E26" s="29" t="s">
        <v>130</v>
      </c>
      <c r="F26" s="42">
        <f ca="1">'表1-资金筹措及还本付息表'!F297</f>
        <v>0</v>
      </c>
      <c r="G26" s="42">
        <f ca="1">'表1-资金筹措及还本付息表'!G297</f>
        <v>0</v>
      </c>
      <c r="H26" s="42">
        <f ca="1">'表1-资金筹措及还本付息表'!H297</f>
        <v>0</v>
      </c>
      <c r="I26" s="42">
        <f ca="1">'表1-资金筹措及还本付息表'!I297</f>
        <v>0</v>
      </c>
      <c r="J26" s="42">
        <f ca="1">'表1-资金筹措及还本付息表'!J297</f>
        <v>0</v>
      </c>
      <c r="K26" s="42">
        <f ca="1">'表1-资金筹措及还本付息表'!K297</f>
        <v>0</v>
      </c>
      <c r="L26" s="42">
        <f ca="1">'表1-资金筹措及还本付息表'!L297</f>
        <v>0</v>
      </c>
      <c r="M26" s="42">
        <f ca="1">'表1-资金筹措及还本付息表'!M297</f>
        <v>0</v>
      </c>
      <c r="N26" s="42">
        <f ca="1">'表1-资金筹措及还本付息表'!N297</f>
        <v>0</v>
      </c>
      <c r="O26" s="42">
        <f ca="1">'表1-资金筹措及还本付息表'!O297</f>
        <v>0</v>
      </c>
      <c r="P26" s="124">
        <f ca="1">'表1-资金筹措及还本付息表'!P297</f>
        <v>2598.66652635376</v>
      </c>
      <c r="Q26" s="42">
        <f ca="1">'表1-资金筹措及还本付息表'!Q297</f>
        <v>8076.61445877991</v>
      </c>
      <c r="R26" s="42">
        <f ca="1">'表1-资金筹措及还本付息表'!R297</f>
        <v>31002.0024854438</v>
      </c>
      <c r="S26" s="42">
        <f ca="1">'表1-资金筹措及还本付息表'!S297</f>
        <v>29716.1037344006</v>
      </c>
      <c r="T26" s="42">
        <f ca="1">'表1-资金筹措及还本付息表'!T297</f>
        <v>27741.8691550155</v>
      </c>
      <c r="U26" s="42">
        <f ca="1">'表1-资金筹措及还本付息表'!U297</f>
        <v>25821.8765921267</v>
      </c>
      <c r="V26" s="42">
        <f ca="1">'表1-资金筹措及还本付息表'!V297</f>
        <v>24012.6348267633</v>
      </c>
      <c r="W26" s="42">
        <f ca="1">'表1-资金筹措及还本付息表'!W297</f>
        <v>22376.9003165086</v>
      </c>
      <c r="X26" s="42">
        <f ca="1">'表1-资金筹措及还本付息表'!X297</f>
        <v>21182.7303096789</v>
      </c>
      <c r="Y26" s="42">
        <f ca="1">'表1-资金筹措及还本付息表'!Y297</f>
        <v>20250.9306236042</v>
      </c>
      <c r="Z26" s="42">
        <f ca="1">'表1-资金筹措及还本付息表'!Z297</f>
        <v>19304.1225946216</v>
      </c>
      <c r="AA26" s="42">
        <f ca="1">'表1-资金筹措及还本付息表'!AA297</f>
        <v>18348.9547395898</v>
      </c>
      <c r="AB26" s="42">
        <f ca="1">'表1-资金筹措及还本付息表'!AB297</f>
        <v>17437.8454055595</v>
      </c>
      <c r="AC26" s="42">
        <f ca="1">'表1-资金筹措及还本付息表'!AC297</f>
        <v>17146.3611154738</v>
      </c>
      <c r="AD26" s="42">
        <f ca="1">'表1-资金筹措及还本付息表'!AD297</f>
        <v>16747.7172022741</v>
      </c>
      <c r="AE26" s="42">
        <f ca="1">'表1-资金筹措及还本付息表'!AE297</f>
        <v>15671.297520341</v>
      </c>
      <c r="AF26" s="42">
        <f ca="1">'表1-资金筹措及还本付息表'!AF297</f>
        <v>14133.0096988433</v>
      </c>
      <c r="AG26" s="42">
        <f ca="1">'表1-资金筹措及还本付息表'!AG297</f>
        <v>12124.6229272481</v>
      </c>
      <c r="AH26" s="42">
        <f ca="1">'表1-资金筹措及还本付息表'!AH297</f>
        <v>9548.2719559663</v>
      </c>
      <c r="AI26" s="42">
        <f ca="1">'表1-资金筹措及还本付息表'!AI297</f>
        <v>6978.95574543632</v>
      </c>
      <c r="AJ26" s="42">
        <f ca="1">'表1-资金筹措及还本付息表'!AJ297</f>
        <v>4562.4366409291</v>
      </c>
      <c r="AK26" s="42">
        <f ca="1">'表1-资金筹措及还本付息表'!AK297</f>
        <v>2233.36967476118</v>
      </c>
      <c r="AL26" s="42">
        <f ca="1">'表1-资金筹措及还本付息表'!AL297</f>
        <v>609.480099600724</v>
      </c>
      <c r="AM26" s="42">
        <f ca="1">'表1-资金筹措及还本付息表'!AM297</f>
        <v>164.442014946359</v>
      </c>
      <c r="AN26" s="42">
        <f ca="1">'表1-资金筹措及还本付息表'!AN297</f>
        <v>164.442014946359</v>
      </c>
      <c r="AO26" s="42">
        <f ca="1">'表1-资金筹措及还本付息表'!AO297</f>
        <v>164.442014946359</v>
      </c>
      <c r="AP26" s="42">
        <f ca="1">'表1-资金筹措及还本付息表'!AP297</f>
        <v>164.442014946359</v>
      </c>
      <c r="AQ26" s="42">
        <f ca="1">'表1-资金筹措及还本付息表'!AQ297</f>
        <v>164.442014946359</v>
      </c>
      <c r="AR26" s="42">
        <f ca="1">'表1-资金筹措及还本付息表'!AR297</f>
        <v>164.442014946359</v>
      </c>
      <c r="AS26" s="42">
        <f ca="1">'表1-资金筹措及还本付息表'!AS297</f>
        <v>164.442014946359</v>
      </c>
      <c r="AT26" s="42">
        <f ca="1">'表1-资金筹措及还本付息表'!AT297</f>
        <v>164.442014946359</v>
      </c>
      <c r="AU26" s="42">
        <f ca="1">'表1-资金筹措及还本付息表'!AU297</f>
        <v>164.442014946359</v>
      </c>
      <c r="AV26" s="42">
        <f ca="1">'表1-资金筹措及还本付息表'!AV297</f>
        <v>164.442014946359</v>
      </c>
      <c r="AW26" s="42">
        <f ca="1">'表1-资金筹措及还本付息表'!AW297</f>
        <v>164.442014946359</v>
      </c>
      <c r="AX26" s="42">
        <f ca="1">'表1-资金筹措及还本付息表'!AX297</f>
        <v>164.442014946359</v>
      </c>
      <c r="AY26" s="42">
        <f ca="1">'表1-资金筹措及还本付息表'!AY297</f>
        <v>164.442014946359</v>
      </c>
      <c r="AZ26" s="42">
        <f ca="1">'表1-资金筹措及还本付息表'!AZ297</f>
        <v>164.442014946359</v>
      </c>
      <c r="BA26" s="42">
        <f ca="1">'表1-资金筹措及还本付息表'!BA297</f>
        <v>164.442014946359</v>
      </c>
      <c r="BB26" s="42">
        <f ca="1">'表1-资金筹措及还本付息表'!BB297</f>
        <v>164.442014946359</v>
      </c>
      <c r="BC26" s="42">
        <f ca="1">'表1-资金筹措及还本付息表'!BC297</f>
        <v>164.442014946359</v>
      </c>
      <c r="BD26" s="42">
        <f ca="1">'表1-资金筹措及还本付息表'!BD297</f>
        <v>164.442014946359</v>
      </c>
      <c r="BE26" s="43">
        <f ca="1">'表1-资金筹措及还本付息表'!BE297</f>
        <v>95.9245087187097</v>
      </c>
    </row>
    <row r="27" s="4" customFormat="1" spans="2:57">
      <c r="B27" s="171">
        <v>2.3</v>
      </c>
      <c r="C27" s="172" t="s">
        <v>959</v>
      </c>
      <c r="D27" s="173">
        <f t="shared" si="14"/>
        <v>1930.82600719796</v>
      </c>
      <c r="E27" s="29" t="s">
        <v>130</v>
      </c>
      <c r="F27" s="124">
        <f>'表1-资金筹措及还本付息表'!F40</f>
        <v>0</v>
      </c>
      <c r="G27" s="124">
        <f>'表1-资金筹措及还本付息表'!G40</f>
        <v>0</v>
      </c>
      <c r="H27" s="124">
        <f>'表1-资金筹措及还本付息表'!H40</f>
        <v>0</v>
      </c>
      <c r="I27" s="124">
        <f>'表1-资金筹措及还本付息表'!I40</f>
        <v>0</v>
      </c>
      <c r="J27" s="124">
        <f>'表1-资金筹措及还本付息表'!J40</f>
        <v>0</v>
      </c>
      <c r="K27" s="124">
        <f>'表1-资金筹措及还本付息表'!K40</f>
        <v>0</v>
      </c>
      <c r="L27" s="124">
        <f>'表1-资金筹措及还本付息表'!L40</f>
        <v>0</v>
      </c>
      <c r="M27" s="124">
        <f>'表1-资金筹措及还本付息表'!M40</f>
        <v>0</v>
      </c>
      <c r="N27" s="124">
        <f>'表1-资金筹措及还本付息表'!N40</f>
        <v>0</v>
      </c>
      <c r="O27" s="124">
        <f>'表1-资金筹措及还本付息表'!O40</f>
        <v>0</v>
      </c>
      <c r="P27" s="124">
        <f>'表1-资金筹措及还本付息表'!P40</f>
        <v>0</v>
      </c>
      <c r="Q27" s="124">
        <f>'表1-资金筹措及还本付息表'!Q40</f>
        <v>1930.82600719796</v>
      </c>
      <c r="R27" s="124">
        <f>'表1-资金筹措及还本付息表'!R40</f>
        <v>0</v>
      </c>
      <c r="S27" s="124">
        <f>'表1-资金筹措及还本付息表'!S40</f>
        <v>0</v>
      </c>
      <c r="T27" s="124">
        <f>'表1-资金筹措及还本付息表'!T40</f>
        <v>0</v>
      </c>
      <c r="U27" s="124">
        <f>'表1-资金筹措及还本付息表'!U40</f>
        <v>0</v>
      </c>
      <c r="V27" s="124">
        <f>'表1-资金筹措及还本付息表'!V40</f>
        <v>0</v>
      </c>
      <c r="W27" s="124">
        <f>'表1-资金筹措及还本付息表'!W40</f>
        <v>0</v>
      </c>
      <c r="X27" s="124">
        <f>'表1-资金筹措及还本付息表'!X40</f>
        <v>0</v>
      </c>
      <c r="Y27" s="124">
        <f>'表1-资金筹措及还本付息表'!Y40</f>
        <v>0</v>
      </c>
      <c r="Z27" s="124">
        <f>'表1-资金筹措及还本付息表'!Z40</f>
        <v>0</v>
      </c>
      <c r="AA27" s="124">
        <f>'表1-资金筹措及还本付息表'!AA40</f>
        <v>0</v>
      </c>
      <c r="AB27" s="124">
        <f>'表1-资金筹措及还本付息表'!AB40</f>
        <v>0</v>
      </c>
      <c r="AC27" s="124">
        <f>'表1-资金筹措及还本付息表'!AC40</f>
        <v>0</v>
      </c>
      <c r="AD27" s="124">
        <f>'表1-资金筹措及还本付息表'!AD40</f>
        <v>0</v>
      </c>
      <c r="AE27" s="124">
        <f>'表1-资金筹措及还本付息表'!AE40</f>
        <v>0</v>
      </c>
      <c r="AF27" s="124">
        <f>'表1-资金筹措及还本付息表'!AF40</f>
        <v>0</v>
      </c>
      <c r="AG27" s="124">
        <f>'表1-资金筹措及还本付息表'!AG40</f>
        <v>0</v>
      </c>
      <c r="AH27" s="124">
        <f>'表1-资金筹措及还本付息表'!AH40</f>
        <v>0</v>
      </c>
      <c r="AI27" s="124">
        <f>'表1-资金筹措及还本付息表'!AI40</f>
        <v>0</v>
      </c>
      <c r="AJ27" s="124">
        <f>'表1-资金筹措及还本付息表'!AJ40</f>
        <v>0</v>
      </c>
      <c r="AK27" s="124">
        <f>'表1-资金筹措及还本付息表'!AK40</f>
        <v>0</v>
      </c>
      <c r="AL27" s="124">
        <f>'表1-资金筹措及还本付息表'!AL40</f>
        <v>0</v>
      </c>
      <c r="AM27" s="124">
        <f>'表1-资金筹措及还本付息表'!AM40</f>
        <v>0</v>
      </c>
      <c r="AN27" s="124">
        <f>'表1-资金筹措及还本付息表'!AN40</f>
        <v>0</v>
      </c>
      <c r="AO27" s="124">
        <f>'表1-资金筹措及还本付息表'!AO40</f>
        <v>0</v>
      </c>
      <c r="AP27" s="124">
        <f>'表1-资金筹措及还本付息表'!AP40</f>
        <v>0</v>
      </c>
      <c r="AQ27" s="124">
        <f>'表1-资金筹措及还本付息表'!AQ40</f>
        <v>0</v>
      </c>
      <c r="AR27" s="124">
        <f>'表1-资金筹措及还本付息表'!AR40</f>
        <v>0</v>
      </c>
      <c r="AS27" s="124">
        <f>'表1-资金筹措及还本付息表'!AS40</f>
        <v>0</v>
      </c>
      <c r="AT27" s="124">
        <f>'表1-资金筹措及还本付息表'!AT40</f>
        <v>0</v>
      </c>
      <c r="AU27" s="124">
        <f>'表1-资金筹措及还本付息表'!AU40</f>
        <v>0</v>
      </c>
      <c r="AV27" s="124">
        <f>'表1-资金筹措及还本付息表'!AV40</f>
        <v>0</v>
      </c>
      <c r="AW27" s="124">
        <f>'表1-资金筹措及还本付息表'!AW40</f>
        <v>0</v>
      </c>
      <c r="AX27" s="124">
        <f>'表1-资金筹措及还本付息表'!AX40</f>
        <v>0</v>
      </c>
      <c r="AY27" s="124">
        <f>'表1-资金筹措及还本付息表'!AY40</f>
        <v>0</v>
      </c>
      <c r="AZ27" s="124">
        <f>'表1-资金筹措及还本付息表'!AZ40</f>
        <v>0</v>
      </c>
      <c r="BA27" s="124">
        <f>'表1-资金筹措及还本付息表'!BA40</f>
        <v>0</v>
      </c>
      <c r="BB27" s="124">
        <f>'表1-资金筹措及还本付息表'!BB40</f>
        <v>0</v>
      </c>
      <c r="BC27" s="124">
        <f>'表1-资金筹措及还本付息表'!BC40</f>
        <v>0</v>
      </c>
      <c r="BD27" s="124">
        <f>'表1-资金筹措及还本付息表'!BD40</f>
        <v>0</v>
      </c>
      <c r="BE27" s="125">
        <f>'表1-资金筹措及还本付息表'!BE40</f>
        <v>0</v>
      </c>
    </row>
    <row r="28" s="4" customFormat="1" spans="2:57">
      <c r="B28" s="121">
        <v>2.4</v>
      </c>
      <c r="C28" s="122" t="s">
        <v>960</v>
      </c>
      <c r="D28" s="123">
        <f t="shared" si="14"/>
        <v>2784922.41151674</v>
      </c>
      <c r="E28" s="50" t="s">
        <v>130</v>
      </c>
      <c r="F28" s="124">
        <v>0</v>
      </c>
      <c r="G28" s="124">
        <f>'表3-成本费用表'!F73</f>
        <v>0</v>
      </c>
      <c r="H28" s="124">
        <f>'表3-成本费用表'!G73</f>
        <v>0</v>
      </c>
      <c r="I28" s="124">
        <f>'表3-成本费用表'!H73</f>
        <v>0</v>
      </c>
      <c r="J28" s="124">
        <f>'表3-成本费用表'!I73</f>
        <v>0</v>
      </c>
      <c r="K28" s="124">
        <f>'表3-成本费用表'!J73</f>
        <v>0</v>
      </c>
      <c r="L28" s="124">
        <f>'表3-成本费用表'!K73</f>
        <v>0</v>
      </c>
      <c r="M28" s="124">
        <v>0</v>
      </c>
      <c r="N28" s="124">
        <f>'表3-成本费用表'!L73</f>
        <v>0</v>
      </c>
      <c r="O28" s="124">
        <v>0</v>
      </c>
      <c r="P28" s="124">
        <v>0</v>
      </c>
      <c r="Q28" s="124">
        <f>'表3-成本费用表'!M73</f>
        <v>28818.0084532993</v>
      </c>
      <c r="R28" s="124">
        <f>'表3-成本费用表'!N73</f>
        <v>70010.5602879184</v>
      </c>
      <c r="S28" s="124">
        <f>'表3-成本费用表'!O73</f>
        <v>69510.5602879184</v>
      </c>
      <c r="T28" s="124">
        <f>'表3-成本费用表'!P73</f>
        <v>69510.5602879184</v>
      </c>
      <c r="U28" s="124">
        <f>'表3-成本费用表'!Q73</f>
        <v>69510.5602879184</v>
      </c>
      <c r="V28" s="124">
        <f>'表3-成本费用表'!R73</f>
        <v>69510.5602879184</v>
      </c>
      <c r="W28" s="124">
        <f>'表3-成本费用表'!S73</f>
        <v>70010.5602879184</v>
      </c>
      <c r="X28" s="124">
        <f>'表3-成本费用表'!T73</f>
        <v>69510.5602879184</v>
      </c>
      <c r="Y28" s="124">
        <f>'表3-成本费用表'!U73</f>
        <v>69510.5602879184</v>
      </c>
      <c r="Z28" s="124">
        <f>'表3-成本费用表'!V73</f>
        <v>69510.5602879184</v>
      </c>
      <c r="AA28" s="124">
        <f>'表3-成本费用表'!W73</f>
        <v>69510.5602879184</v>
      </c>
      <c r="AB28" s="124">
        <f>'表3-成本费用表'!X73</f>
        <v>70010.5602879184</v>
      </c>
      <c r="AC28" s="124">
        <f>'表3-成本费用表'!Y73</f>
        <v>69510.5602879184</v>
      </c>
      <c r="AD28" s="124">
        <f>'表3-成本费用表'!Z73</f>
        <v>69510.5602879184</v>
      </c>
      <c r="AE28" s="124">
        <f>'表3-成本费用表'!AA73</f>
        <v>69510.5602879184</v>
      </c>
      <c r="AF28" s="124">
        <f>'表3-成本费用表'!AB73</f>
        <v>69510.5602879184</v>
      </c>
      <c r="AG28" s="124">
        <f>'表3-成本费用表'!AC73</f>
        <v>70010.5602879184</v>
      </c>
      <c r="AH28" s="124">
        <f>'表3-成本费用表'!AD73</f>
        <v>69510.5602879184</v>
      </c>
      <c r="AI28" s="124">
        <f>'表3-成本费用表'!AE73</f>
        <v>69510.5602879184</v>
      </c>
      <c r="AJ28" s="124">
        <f>'表3-成本费用表'!AF73</f>
        <v>69510.5602879184</v>
      </c>
      <c r="AK28" s="124">
        <f>'表3-成本费用表'!AG73</f>
        <v>69510.5602879184</v>
      </c>
      <c r="AL28" s="124">
        <f>'表3-成本费用表'!AH73</f>
        <v>70010.5602879184</v>
      </c>
      <c r="AM28" s="124">
        <f>'表3-成本费用表'!AI73</f>
        <v>69510.5602879184</v>
      </c>
      <c r="AN28" s="124">
        <f>'表3-成本费用表'!AJ73</f>
        <v>69510.5602879184</v>
      </c>
      <c r="AO28" s="124">
        <f>'表3-成本费用表'!AK73</f>
        <v>69510.5602879184</v>
      </c>
      <c r="AP28" s="124">
        <f>'表3-成本费用表'!AL73</f>
        <v>69510.5602879184</v>
      </c>
      <c r="AQ28" s="124">
        <f>'表3-成本费用表'!AM73</f>
        <v>70010.5602879184</v>
      </c>
      <c r="AR28" s="124">
        <f>'表3-成本费用表'!AN73</f>
        <v>69510.5602879184</v>
      </c>
      <c r="AS28" s="124">
        <f>'表3-成本费用表'!AO73</f>
        <v>69510.5602879184</v>
      </c>
      <c r="AT28" s="124">
        <f>'表3-成本费用表'!AP73</f>
        <v>69510.5602879184</v>
      </c>
      <c r="AU28" s="124">
        <f>'表3-成本费用表'!AQ73</f>
        <v>69510.5602879184</v>
      </c>
      <c r="AV28" s="124">
        <f>'表3-成本费用表'!AR73</f>
        <v>70010.5602879184</v>
      </c>
      <c r="AW28" s="124">
        <f>'表3-成本费用表'!AS73</f>
        <v>69510.5602879184</v>
      </c>
      <c r="AX28" s="124">
        <f>'表3-成本费用表'!AT73</f>
        <v>69510.5602879184</v>
      </c>
      <c r="AY28" s="124">
        <f>'表3-成本费用表'!AU73</f>
        <v>69510.5602879184</v>
      </c>
      <c r="AZ28" s="124">
        <f>'表3-成本费用表'!AV73</f>
        <v>69510.5602879184</v>
      </c>
      <c r="BA28" s="124">
        <f>'表3-成本费用表'!AW73</f>
        <v>70010.5602879184</v>
      </c>
      <c r="BB28" s="124">
        <f>'表3-成本费用表'!AX73</f>
        <v>69510.5602879184</v>
      </c>
      <c r="BC28" s="124">
        <f>'表3-成本费用表'!AY73</f>
        <v>70010.5602879184</v>
      </c>
      <c r="BD28" s="124">
        <f>'表3-成本费用表'!AZ73</f>
        <v>69510.5602879184</v>
      </c>
      <c r="BE28" s="125">
        <f>'表3-成本费用表'!BA73</f>
        <v>40692.5518346191</v>
      </c>
    </row>
    <row r="29" s="4" customFormat="1" spans="2:57">
      <c r="B29" s="121">
        <v>2.5</v>
      </c>
      <c r="C29" s="122" t="s">
        <v>341</v>
      </c>
      <c r="D29" s="123">
        <f t="shared" si="14"/>
        <v>0</v>
      </c>
      <c r="E29" s="50" t="s">
        <v>130</v>
      </c>
      <c r="F29" s="124">
        <v>0</v>
      </c>
      <c r="G29" s="124">
        <f>'表3-成本费用表'!F91</f>
        <v>0</v>
      </c>
      <c r="H29" s="124">
        <f>'表3-成本费用表'!G91</f>
        <v>0</v>
      </c>
      <c r="I29" s="124">
        <f>'表3-成本费用表'!H91</f>
        <v>0</v>
      </c>
      <c r="J29" s="124">
        <f>'表3-成本费用表'!I91</f>
        <v>0</v>
      </c>
      <c r="K29" s="124">
        <f>'表3-成本费用表'!J91</f>
        <v>0</v>
      </c>
      <c r="L29" s="124">
        <f>'表3-成本费用表'!K91</f>
        <v>0</v>
      </c>
      <c r="M29" s="124">
        <v>0</v>
      </c>
      <c r="N29" s="124">
        <f>'表3-成本费用表'!L91</f>
        <v>0</v>
      </c>
      <c r="O29" s="124">
        <v>0</v>
      </c>
      <c r="P29" s="124">
        <v>0</v>
      </c>
      <c r="Q29" s="124">
        <f>'表3-成本费用表'!M91</f>
        <v>0</v>
      </c>
      <c r="R29" s="124">
        <f>'表3-成本费用表'!N91</f>
        <v>0</v>
      </c>
      <c r="S29" s="124">
        <f>'表3-成本费用表'!O91</f>
        <v>0</v>
      </c>
      <c r="T29" s="124">
        <f>'表3-成本费用表'!P91</f>
        <v>0</v>
      </c>
      <c r="U29" s="124">
        <f>'表3-成本费用表'!Q91</f>
        <v>0</v>
      </c>
      <c r="V29" s="124">
        <f>'表3-成本费用表'!R91</f>
        <v>0</v>
      </c>
      <c r="W29" s="124">
        <f>'表3-成本费用表'!S91</f>
        <v>0</v>
      </c>
      <c r="X29" s="124">
        <f>'表3-成本费用表'!T91</f>
        <v>0</v>
      </c>
      <c r="Y29" s="124">
        <f>'表3-成本费用表'!U91</f>
        <v>0</v>
      </c>
      <c r="Z29" s="124">
        <f>'表3-成本费用表'!V91</f>
        <v>0</v>
      </c>
      <c r="AA29" s="124">
        <f>'表3-成本费用表'!W91</f>
        <v>0</v>
      </c>
      <c r="AB29" s="124">
        <f>'表3-成本费用表'!X91</f>
        <v>0</v>
      </c>
      <c r="AC29" s="124">
        <f>'表3-成本费用表'!Y91</f>
        <v>0</v>
      </c>
      <c r="AD29" s="124">
        <f>'表3-成本费用表'!Z91</f>
        <v>0</v>
      </c>
      <c r="AE29" s="124">
        <f>'表3-成本费用表'!AA91</f>
        <v>0</v>
      </c>
      <c r="AF29" s="124">
        <f>'表3-成本费用表'!AB91</f>
        <v>0</v>
      </c>
      <c r="AG29" s="124">
        <f>'表3-成本费用表'!AC91</f>
        <v>0</v>
      </c>
      <c r="AH29" s="124">
        <f>'表3-成本费用表'!AD91</f>
        <v>0</v>
      </c>
      <c r="AI29" s="124">
        <f>'表3-成本费用表'!AE91</f>
        <v>0</v>
      </c>
      <c r="AJ29" s="124">
        <f>'表3-成本费用表'!AF91</f>
        <v>0</v>
      </c>
      <c r="AK29" s="124">
        <f>'表3-成本费用表'!AG91</f>
        <v>0</v>
      </c>
      <c r="AL29" s="124">
        <f>'表3-成本费用表'!AH91</f>
        <v>0</v>
      </c>
      <c r="AM29" s="124">
        <f>'表3-成本费用表'!AI91</f>
        <v>0</v>
      </c>
      <c r="AN29" s="124">
        <f>'表3-成本费用表'!AJ91</f>
        <v>0</v>
      </c>
      <c r="AO29" s="124">
        <f>'表3-成本费用表'!AK91</f>
        <v>0</v>
      </c>
      <c r="AP29" s="124">
        <f>'表3-成本费用表'!AL91</f>
        <v>0</v>
      </c>
      <c r="AQ29" s="124">
        <f>'表3-成本费用表'!AM91</f>
        <v>0</v>
      </c>
      <c r="AR29" s="124">
        <f>'表3-成本费用表'!AN91</f>
        <v>0</v>
      </c>
      <c r="AS29" s="124">
        <f>'表3-成本费用表'!AO91</f>
        <v>0</v>
      </c>
      <c r="AT29" s="124">
        <f>'表3-成本费用表'!AP91</f>
        <v>0</v>
      </c>
      <c r="AU29" s="124">
        <f>'表3-成本费用表'!AQ91</f>
        <v>0</v>
      </c>
      <c r="AV29" s="124">
        <f>'表3-成本费用表'!AR91</f>
        <v>0</v>
      </c>
      <c r="AW29" s="124">
        <f>'表3-成本费用表'!AS91</f>
        <v>0</v>
      </c>
      <c r="AX29" s="124">
        <f>'表3-成本费用表'!AT91</f>
        <v>0</v>
      </c>
      <c r="AY29" s="124">
        <f>'表3-成本费用表'!AU91</f>
        <v>0</v>
      </c>
      <c r="AZ29" s="124">
        <f>'表3-成本费用表'!AV91</f>
        <v>0</v>
      </c>
      <c r="BA29" s="124">
        <f>'表3-成本费用表'!AW91</f>
        <v>0</v>
      </c>
      <c r="BB29" s="124">
        <f>'表3-成本费用表'!AX91</f>
        <v>0</v>
      </c>
      <c r="BC29" s="124">
        <f>'表3-成本费用表'!AY91</f>
        <v>0</v>
      </c>
      <c r="BD29" s="124">
        <f>'表3-成本费用表'!AZ91</f>
        <v>0</v>
      </c>
      <c r="BE29" s="125">
        <f>'表3-成本费用表'!BA91</f>
        <v>0</v>
      </c>
    </row>
    <row r="30" s="4" customFormat="1" spans="2:57">
      <c r="B30" s="121">
        <v>2.6</v>
      </c>
      <c r="C30" s="122" t="s">
        <v>961</v>
      </c>
      <c r="D30" s="123">
        <f t="shared" si="14"/>
        <v>367413.123781626</v>
      </c>
      <c r="E30" s="50" t="s">
        <v>130</v>
      </c>
      <c r="F30" s="124">
        <v>0</v>
      </c>
      <c r="G30" s="124">
        <f>'表4-收入税金表'!F23</f>
        <v>0</v>
      </c>
      <c r="H30" s="124">
        <f>'表4-收入税金表'!G23</f>
        <v>0</v>
      </c>
      <c r="I30" s="124">
        <f>'表4-收入税金表'!H23</f>
        <v>0</v>
      </c>
      <c r="J30" s="124">
        <f>'表4-收入税金表'!I23</f>
        <v>0</v>
      </c>
      <c r="K30" s="124">
        <f>'表4-收入税金表'!J23</f>
        <v>0</v>
      </c>
      <c r="L30" s="124">
        <f>'表4-收入税金表'!K23</f>
        <v>0</v>
      </c>
      <c r="M30" s="124">
        <v>0</v>
      </c>
      <c r="N30" s="124">
        <f>'表4-收入税金表'!L23</f>
        <v>0</v>
      </c>
      <c r="O30" s="124">
        <v>0</v>
      </c>
      <c r="P30" s="124">
        <v>0</v>
      </c>
      <c r="Q30" s="124">
        <f>'表4-收入税金表'!M23</f>
        <v>0</v>
      </c>
      <c r="R30" s="124">
        <f>'表4-收入税金表'!N23</f>
        <v>0</v>
      </c>
      <c r="S30" s="124">
        <f>'表4-收入税金表'!O23</f>
        <v>0</v>
      </c>
      <c r="T30" s="124">
        <f>'表4-收入税金表'!P23</f>
        <v>0</v>
      </c>
      <c r="U30" s="124">
        <f>'表4-收入税金表'!Q23</f>
        <v>0</v>
      </c>
      <c r="V30" s="124">
        <f>'表4-收入税金表'!R23</f>
        <v>0</v>
      </c>
      <c r="W30" s="124">
        <f>'表4-收入税金表'!S23</f>
        <v>2938.79250985871</v>
      </c>
      <c r="X30" s="124">
        <f>'表4-收入税金表'!T23</f>
        <v>11029.5895579457</v>
      </c>
      <c r="Y30" s="124">
        <f>'表4-收入税金表'!U23</f>
        <v>11029.5895579457</v>
      </c>
      <c r="Z30" s="124">
        <f>'表4-收入税金表'!V23</f>
        <v>11029.5895579457</v>
      </c>
      <c r="AA30" s="124">
        <f>'表4-收入税金表'!W23</f>
        <v>11029.5895579457</v>
      </c>
      <c r="AB30" s="124">
        <f>'表4-收入税金表'!X23</f>
        <v>10815.7387825945</v>
      </c>
      <c r="AC30" s="124">
        <f>'表4-收入税金表'!Y23</f>
        <v>9378.21341115667</v>
      </c>
      <c r="AD30" s="124">
        <f>'表4-收入税金表'!Z23</f>
        <v>11029.5895579457</v>
      </c>
      <c r="AE30" s="124">
        <f>'表4-收入税金表'!AA23</f>
        <v>11029.5895579457</v>
      </c>
      <c r="AF30" s="124">
        <f>'表4-收入税金表'!AB23</f>
        <v>11029.5895579457</v>
      </c>
      <c r="AG30" s="124">
        <f>'表4-收入税金表'!AC23</f>
        <v>10988.3051542759</v>
      </c>
      <c r="AH30" s="124">
        <f>'表4-收入税金表'!AD23</f>
        <v>11029.5895579457</v>
      </c>
      <c r="AI30" s="124">
        <f>'表4-收入税金表'!AE23</f>
        <v>11029.5895579457</v>
      </c>
      <c r="AJ30" s="124">
        <f>'表4-收入税金表'!AF23</f>
        <v>10857.0231862642</v>
      </c>
      <c r="AK30" s="124">
        <f>'表4-收入税金表'!AG23</f>
        <v>11029.5895579457</v>
      </c>
      <c r="AL30" s="124">
        <f>'表4-收入税金表'!AH23</f>
        <v>10988.3051542759</v>
      </c>
      <c r="AM30" s="124">
        <f>'表4-收入税金表'!AI23</f>
        <v>9378.21341115667</v>
      </c>
      <c r="AN30" s="124">
        <f>'表4-收入税金表'!AJ23</f>
        <v>11029.5895579457</v>
      </c>
      <c r="AO30" s="124">
        <f>'表4-收入税金表'!AK23</f>
        <v>11029.5895579457</v>
      </c>
      <c r="AP30" s="124">
        <f>'表4-收入税金表'!AL23</f>
        <v>11029.5895579457</v>
      </c>
      <c r="AQ30" s="124">
        <f>'表4-收入税金表'!AM23</f>
        <v>10988.3051542759</v>
      </c>
      <c r="AR30" s="124">
        <f>'表4-收入税金表'!AN23</f>
        <v>10857.0231862642</v>
      </c>
      <c r="AS30" s="124">
        <f>'表4-收入税金表'!AO23</f>
        <v>11029.5895579457</v>
      </c>
      <c r="AT30" s="124">
        <f>'表4-收入税金表'!AP23</f>
        <v>11029.5895579457</v>
      </c>
      <c r="AU30" s="124">
        <f>'表4-收入税金表'!AQ23</f>
        <v>11029.5895579457</v>
      </c>
      <c r="AV30" s="124">
        <f>'表4-收入税金表'!AR23</f>
        <v>10988.3051542759</v>
      </c>
      <c r="AW30" s="124">
        <f>'表4-收入税金表'!AS23</f>
        <v>9378.21341115667</v>
      </c>
      <c r="AX30" s="124">
        <f>'表4-收入税金表'!AT23</f>
        <v>11029.5895579457</v>
      </c>
      <c r="AY30" s="124">
        <f>'表4-收入税金表'!AU23</f>
        <v>11029.5895579457</v>
      </c>
      <c r="AZ30" s="124">
        <f>'表4-收入税金表'!AV23</f>
        <v>10857.0231862642</v>
      </c>
      <c r="BA30" s="124">
        <f>'表4-收入税金表'!AW23</f>
        <v>10988.3051542759</v>
      </c>
      <c r="BB30" s="124">
        <f>'表4-收入税金表'!AX23</f>
        <v>11029.5895579457</v>
      </c>
      <c r="BC30" s="124">
        <f>'表4-收入税金表'!AY23</f>
        <v>10988.3051542759</v>
      </c>
      <c r="BD30" s="124">
        <f>'表4-收入税金表'!AZ23</f>
        <v>11029.5895579457</v>
      </c>
      <c r="BE30" s="125">
        <f>'表4-收入税金表'!BA23</f>
        <v>6431.26061234146</v>
      </c>
    </row>
    <row r="31" s="4" customFormat="1" spans="2:57">
      <c r="B31" s="121">
        <v>2.7</v>
      </c>
      <c r="C31" s="122" t="s">
        <v>962</v>
      </c>
      <c r="D31" s="123">
        <f t="shared" si="14"/>
        <v>50089.5748537951</v>
      </c>
      <c r="E31" s="50" t="s">
        <v>130</v>
      </c>
      <c r="F31" s="124">
        <v>0</v>
      </c>
      <c r="G31" s="124">
        <f>'表4-收入税金表'!F55+'表4-收入税金表'!F59</f>
        <v>0</v>
      </c>
      <c r="H31" s="124">
        <f>'表4-收入税金表'!G55+'表4-收入税金表'!G59</f>
        <v>0</v>
      </c>
      <c r="I31" s="124">
        <f>'表4-收入税金表'!H55+'表4-收入税金表'!H59</f>
        <v>0</v>
      </c>
      <c r="J31" s="124">
        <f>'表4-收入税金表'!I55+'表4-收入税金表'!I59</f>
        <v>0</v>
      </c>
      <c r="K31" s="124">
        <f>'表4-收入税金表'!J55+'表4-收入税金表'!J59</f>
        <v>0</v>
      </c>
      <c r="L31" s="124">
        <f>'表4-收入税金表'!K55+'表4-收入税金表'!K59</f>
        <v>0</v>
      </c>
      <c r="M31" s="124">
        <v>0</v>
      </c>
      <c r="N31" s="124">
        <f>'表4-收入税金表'!L55+'表4-收入税金表'!L59</f>
        <v>0</v>
      </c>
      <c r="O31" s="124">
        <v>0</v>
      </c>
      <c r="P31" s="124">
        <v>0</v>
      </c>
      <c r="Q31" s="124">
        <f>'表4-收入税金表'!M55+'表4-收入税金表'!M59</f>
        <v>0</v>
      </c>
      <c r="R31" s="124">
        <f>'表4-收入税金表'!N55+'表4-收入税金表'!N59</f>
        <v>150</v>
      </c>
      <c r="S31" s="124">
        <f>'表4-收入税金表'!O55+'表4-收入税金表'!O59</f>
        <v>150</v>
      </c>
      <c r="T31" s="124">
        <f>'表4-收入税金表'!P55+'表4-收入税金表'!P59</f>
        <v>150</v>
      </c>
      <c r="U31" s="124">
        <f>'表4-收入税金表'!Q55+'表4-收入税金表'!Q59</f>
        <v>150</v>
      </c>
      <c r="V31" s="124">
        <f>'表4-收入税金表'!R55+'表4-收入税金表'!R59</f>
        <v>150</v>
      </c>
      <c r="W31" s="124">
        <f>'表4-收入税金表'!S55+'表4-收入税金表'!S59</f>
        <v>502.655101183045</v>
      </c>
      <c r="X31" s="124">
        <f>'表4-收入税金表'!T55+'表4-收入税金表'!T59</f>
        <v>1473.55074695348</v>
      </c>
      <c r="Y31" s="124">
        <f>'表4-收入税金表'!U55+'表4-收入税金表'!U59</f>
        <v>1473.55074695348</v>
      </c>
      <c r="Z31" s="124">
        <f>'表4-收入税金表'!V55+'表4-收入税金表'!V59</f>
        <v>1473.55074695348</v>
      </c>
      <c r="AA31" s="124">
        <f>'表4-收入税金表'!W55+'表4-收入税金表'!W59</f>
        <v>1473.55074695348</v>
      </c>
      <c r="AB31" s="124">
        <f>'表4-收入税金表'!X55+'表4-收入税金表'!X59</f>
        <v>1447.88865391134</v>
      </c>
      <c r="AC31" s="124">
        <f>'表4-收入税金表'!Y55+'表4-收入税金表'!Y59</f>
        <v>1275.3856093388</v>
      </c>
      <c r="AD31" s="124">
        <f>'表4-收入税金表'!Z55+'表4-收入税金表'!Z59</f>
        <v>1473.55074695348</v>
      </c>
      <c r="AE31" s="124">
        <f>'表4-收入税金表'!AA55+'表4-收入税金表'!AA59</f>
        <v>1473.55074695348</v>
      </c>
      <c r="AF31" s="124">
        <f>'表4-收入税金表'!AB55+'表4-收入税金表'!AB59</f>
        <v>1473.55074695348</v>
      </c>
      <c r="AG31" s="124">
        <f>'表4-收入税金表'!AC55+'表4-收入税金表'!AC59</f>
        <v>1468.59661851311</v>
      </c>
      <c r="AH31" s="124">
        <f>'表4-收入税金表'!AD55+'表4-收入税金表'!AD59</f>
        <v>1473.55074695348</v>
      </c>
      <c r="AI31" s="124">
        <f>'表4-收入税金表'!AE55+'表4-收入税金表'!AE59</f>
        <v>1473.55074695348</v>
      </c>
      <c r="AJ31" s="124">
        <f>'表4-收入税金表'!AF55+'表4-收入税金表'!AF59</f>
        <v>1452.84278235171</v>
      </c>
      <c r="AK31" s="124">
        <f>'表4-收入税金表'!AG55+'表4-收入税金表'!AG59</f>
        <v>1473.55074695348</v>
      </c>
      <c r="AL31" s="124">
        <f>'表4-收入税金表'!AH55+'表4-收入税金表'!AH59</f>
        <v>1468.59661851311</v>
      </c>
      <c r="AM31" s="124">
        <f>'表4-收入税金表'!AI55+'表4-收入税金表'!AI59</f>
        <v>1275.3856093388</v>
      </c>
      <c r="AN31" s="124">
        <f>'表4-收入税金表'!AJ55+'表4-收入税金表'!AJ59</f>
        <v>1473.55074695348</v>
      </c>
      <c r="AO31" s="124">
        <f>'表4-收入税金表'!AK55+'表4-收入税金表'!AK59</f>
        <v>1473.55074695348</v>
      </c>
      <c r="AP31" s="124">
        <f>'表4-收入税金表'!AL55+'表4-收入税金表'!AL59</f>
        <v>1473.55074695348</v>
      </c>
      <c r="AQ31" s="124">
        <f>'表4-收入税金表'!AM55+'表4-收入税金表'!AM59</f>
        <v>1468.59661851311</v>
      </c>
      <c r="AR31" s="124">
        <f>'表4-收入税金表'!AN55+'表4-收入税金表'!AN59</f>
        <v>1452.84278235171</v>
      </c>
      <c r="AS31" s="124">
        <f>'表4-收入税金表'!AO55+'表4-收入税金表'!AO59</f>
        <v>1473.55074695348</v>
      </c>
      <c r="AT31" s="124">
        <f>'表4-收入税金表'!AP55+'表4-收入税金表'!AP59</f>
        <v>1473.55074695348</v>
      </c>
      <c r="AU31" s="124">
        <f>'表4-收入税金表'!AQ55+'表4-收入税金表'!AQ59</f>
        <v>1473.55074695348</v>
      </c>
      <c r="AV31" s="124">
        <f>'表4-收入税金表'!AR55+'表4-收入税金表'!AR59</f>
        <v>1468.59661851311</v>
      </c>
      <c r="AW31" s="124">
        <f>'表4-收入税金表'!AS55+'表4-收入税金表'!AS59</f>
        <v>1275.3856093388</v>
      </c>
      <c r="AX31" s="124">
        <f>'表4-收入税金表'!AT55+'表4-收入税金表'!AT59</f>
        <v>1473.55074695348</v>
      </c>
      <c r="AY31" s="124">
        <f>'表4-收入税金表'!AU55+'表4-收入税金表'!AU59</f>
        <v>1473.55074695348</v>
      </c>
      <c r="AZ31" s="124">
        <f>'表4-收入税金表'!AV55+'表4-收入税金表'!AV59</f>
        <v>1452.84278235171</v>
      </c>
      <c r="BA31" s="124">
        <f>'表4-收入税金表'!AW55+'表4-收入税金表'!AW59</f>
        <v>1468.59661851311</v>
      </c>
      <c r="BB31" s="124">
        <f>'表4-收入税金表'!AX55+'表4-收入税金表'!AX59</f>
        <v>1473.55074695348</v>
      </c>
      <c r="BC31" s="124">
        <f>'表4-收入税金表'!AY55+'表4-收入税金表'!AY59</f>
        <v>1468.59661851311</v>
      </c>
      <c r="BD31" s="124">
        <f>'表4-收入税金表'!AZ55+'表4-收入税金表'!AZ59</f>
        <v>1473.55074695348</v>
      </c>
      <c r="BE31" s="125">
        <f>'表4-收入税金表'!BA55+'表4-收入税金表'!BA59</f>
        <v>921.751273480975</v>
      </c>
    </row>
    <row r="32" s="4" customFormat="1" spans="2:57">
      <c r="B32" s="121">
        <v>2.8</v>
      </c>
      <c r="C32" s="122" t="s">
        <v>963</v>
      </c>
      <c r="D32" s="123">
        <f t="shared" si="14"/>
        <v>66000</v>
      </c>
      <c r="E32" s="50" t="s">
        <v>130</v>
      </c>
      <c r="F32" s="124">
        <v>0</v>
      </c>
      <c r="G32" s="124">
        <f t="shared" ref="G32:P32" si="23">SUM(G33:G34)</f>
        <v>0</v>
      </c>
      <c r="H32" s="124">
        <f t="shared" si="23"/>
        <v>0</v>
      </c>
      <c r="I32" s="124">
        <f t="shared" si="23"/>
        <v>0</v>
      </c>
      <c r="J32" s="124">
        <f t="shared" si="23"/>
        <v>0</v>
      </c>
      <c r="K32" s="124">
        <f t="shared" si="23"/>
        <v>0</v>
      </c>
      <c r="L32" s="124">
        <f t="shared" si="23"/>
        <v>0</v>
      </c>
      <c r="M32" s="124">
        <f t="shared" si="23"/>
        <v>0</v>
      </c>
      <c r="N32" s="124">
        <f t="shared" si="23"/>
        <v>0</v>
      </c>
      <c r="O32" s="124">
        <f t="shared" si="23"/>
        <v>0</v>
      </c>
      <c r="P32" s="124">
        <f t="shared" si="23"/>
        <v>0</v>
      </c>
      <c r="Q32" s="124">
        <f t="shared" ref="Q32:BE32" si="24">SUM(Q33:Q34)</f>
        <v>0</v>
      </c>
      <c r="R32" s="124">
        <f t="shared" si="24"/>
        <v>0</v>
      </c>
      <c r="S32" s="124">
        <f t="shared" si="24"/>
        <v>0</v>
      </c>
      <c r="T32" s="124">
        <f t="shared" si="24"/>
        <v>0</v>
      </c>
      <c r="U32" s="124">
        <f t="shared" si="24"/>
        <v>0</v>
      </c>
      <c r="V32" s="124">
        <f t="shared" si="24"/>
        <v>0</v>
      </c>
      <c r="W32" s="124">
        <f t="shared" si="24"/>
        <v>0</v>
      </c>
      <c r="X32" s="124">
        <f t="shared" si="24"/>
        <v>0</v>
      </c>
      <c r="Y32" s="124">
        <f t="shared" si="24"/>
        <v>0</v>
      </c>
      <c r="Z32" s="124">
        <f t="shared" si="24"/>
        <v>0</v>
      </c>
      <c r="AA32" s="124">
        <f t="shared" si="24"/>
        <v>0</v>
      </c>
      <c r="AB32" s="124">
        <f t="shared" si="24"/>
        <v>1500</v>
      </c>
      <c r="AC32" s="124">
        <f t="shared" si="24"/>
        <v>20000</v>
      </c>
      <c r="AD32" s="124">
        <f t="shared" si="24"/>
        <v>0</v>
      </c>
      <c r="AE32" s="124">
        <f t="shared" si="24"/>
        <v>0</v>
      </c>
      <c r="AF32" s="124">
        <f t="shared" si="24"/>
        <v>0</v>
      </c>
      <c r="AG32" s="124">
        <f t="shared" si="24"/>
        <v>0</v>
      </c>
      <c r="AH32" s="124">
        <f t="shared" si="24"/>
        <v>0</v>
      </c>
      <c r="AI32" s="124">
        <f t="shared" si="24"/>
        <v>0</v>
      </c>
      <c r="AJ32" s="124">
        <f t="shared" si="24"/>
        <v>1500</v>
      </c>
      <c r="AK32" s="124">
        <f t="shared" si="24"/>
        <v>0</v>
      </c>
      <c r="AL32" s="124">
        <f t="shared" si="24"/>
        <v>0</v>
      </c>
      <c r="AM32" s="124">
        <f t="shared" si="24"/>
        <v>20000</v>
      </c>
      <c r="AN32" s="124">
        <f t="shared" si="24"/>
        <v>0</v>
      </c>
      <c r="AO32" s="124">
        <f t="shared" si="24"/>
        <v>0</v>
      </c>
      <c r="AP32" s="124">
        <f t="shared" si="24"/>
        <v>0</v>
      </c>
      <c r="AQ32" s="124">
        <f t="shared" si="24"/>
        <v>0</v>
      </c>
      <c r="AR32" s="124">
        <f t="shared" si="24"/>
        <v>1500</v>
      </c>
      <c r="AS32" s="124">
        <f t="shared" si="24"/>
        <v>0</v>
      </c>
      <c r="AT32" s="124">
        <f t="shared" si="24"/>
        <v>0</v>
      </c>
      <c r="AU32" s="124">
        <f t="shared" si="24"/>
        <v>0</v>
      </c>
      <c r="AV32" s="124">
        <f t="shared" si="24"/>
        <v>0</v>
      </c>
      <c r="AW32" s="124">
        <f t="shared" si="24"/>
        <v>20000</v>
      </c>
      <c r="AX32" s="124">
        <f t="shared" si="24"/>
        <v>0</v>
      </c>
      <c r="AY32" s="124">
        <f t="shared" si="24"/>
        <v>0</v>
      </c>
      <c r="AZ32" s="124">
        <f t="shared" si="24"/>
        <v>1500</v>
      </c>
      <c r="BA32" s="124">
        <f t="shared" si="24"/>
        <v>0</v>
      </c>
      <c r="BB32" s="124">
        <f t="shared" si="24"/>
        <v>0</v>
      </c>
      <c r="BC32" s="124">
        <f t="shared" si="24"/>
        <v>0</v>
      </c>
      <c r="BD32" s="124">
        <f t="shared" si="24"/>
        <v>0</v>
      </c>
      <c r="BE32" s="125">
        <f t="shared" si="24"/>
        <v>0</v>
      </c>
    </row>
    <row r="33" s="4" customFormat="1" spans="1:57">
      <c r="B33" s="121"/>
      <c r="C33" s="126" t="s">
        <v>331</v>
      </c>
      <c r="D33" s="123">
        <f t="shared" si="14"/>
        <v>60000</v>
      </c>
      <c r="E33" s="50" t="s">
        <v>130</v>
      </c>
      <c r="F33" s="124">
        <v>0</v>
      </c>
      <c r="G33" s="124">
        <f>参数输入表!$I$695</f>
        <v>0</v>
      </c>
      <c r="H33" s="124">
        <f>参数输入表!$I$696</f>
        <v>0</v>
      </c>
      <c r="I33" s="124">
        <f>参数输入表!$I$697</f>
        <v>0</v>
      </c>
      <c r="J33" s="124">
        <f>参数输入表!$I$698</f>
        <v>0</v>
      </c>
      <c r="K33" s="124">
        <f>参数输入表!$I$699</f>
        <v>0</v>
      </c>
      <c r="L33" s="124">
        <f>参数输入表!$I$700</f>
        <v>0</v>
      </c>
      <c r="M33" s="124">
        <v>0</v>
      </c>
      <c r="N33" s="124">
        <f>参数输入表!$I$701</f>
        <v>0</v>
      </c>
      <c r="O33" s="124">
        <v>0</v>
      </c>
      <c r="P33" s="124">
        <v>0</v>
      </c>
      <c r="Q33" s="124">
        <f>参数输入表!$I$702</f>
        <v>0</v>
      </c>
      <c r="R33" s="124">
        <f>参数输入表!$I$703</f>
        <v>0</v>
      </c>
      <c r="S33" s="124">
        <f>参数输入表!$I$704</f>
        <v>0</v>
      </c>
      <c r="T33" s="124">
        <f>参数输入表!$I$705</f>
        <v>0</v>
      </c>
      <c r="U33" s="124">
        <f>参数输入表!$I$706</f>
        <v>0</v>
      </c>
      <c r="V33" s="124">
        <f>参数输入表!$I$707</f>
        <v>0</v>
      </c>
      <c r="W33" s="124">
        <f>参数输入表!$I$708</f>
        <v>0</v>
      </c>
      <c r="X33" s="124">
        <f>参数输入表!$I$709</f>
        <v>0</v>
      </c>
      <c r="Y33" s="124">
        <f>参数输入表!$I$710</f>
        <v>0</v>
      </c>
      <c r="Z33" s="124">
        <f>参数输入表!$I$711</f>
        <v>0</v>
      </c>
      <c r="AA33" s="124">
        <f>参数输入表!$I$712</f>
        <v>0</v>
      </c>
      <c r="AB33" s="124">
        <f>参数输入表!$I$713</f>
        <v>0</v>
      </c>
      <c r="AC33" s="124">
        <f>参数输入表!$I$714</f>
        <v>20000</v>
      </c>
      <c r="AD33" s="124">
        <f>参数输入表!$I$715</f>
        <v>0</v>
      </c>
      <c r="AE33" s="124">
        <f>参数输入表!$I$716</f>
        <v>0</v>
      </c>
      <c r="AF33" s="124">
        <f>参数输入表!$I$717</f>
        <v>0</v>
      </c>
      <c r="AG33" s="124">
        <f>参数输入表!$I$718</f>
        <v>0</v>
      </c>
      <c r="AH33" s="124">
        <f>参数输入表!$I$719</f>
        <v>0</v>
      </c>
      <c r="AI33" s="124">
        <f>参数输入表!$I$720</f>
        <v>0</v>
      </c>
      <c r="AJ33" s="124">
        <f>参数输入表!$I$721</f>
        <v>0</v>
      </c>
      <c r="AK33" s="124">
        <f>参数输入表!$I$722</f>
        <v>0</v>
      </c>
      <c r="AL33" s="124">
        <f>参数输入表!$I$723</f>
        <v>0</v>
      </c>
      <c r="AM33" s="124">
        <f>参数输入表!$I$724</f>
        <v>20000</v>
      </c>
      <c r="AN33" s="124">
        <f>参数输入表!$I$725</f>
        <v>0</v>
      </c>
      <c r="AO33" s="124">
        <f>参数输入表!$I$726</f>
        <v>0</v>
      </c>
      <c r="AP33" s="124">
        <f>参数输入表!$I$727</f>
        <v>0</v>
      </c>
      <c r="AQ33" s="124">
        <f>参数输入表!$I$728</f>
        <v>0</v>
      </c>
      <c r="AR33" s="124">
        <f>参数输入表!$I$729</f>
        <v>0</v>
      </c>
      <c r="AS33" s="124">
        <f>参数输入表!$I$730</f>
        <v>0</v>
      </c>
      <c r="AT33" s="124">
        <f>参数输入表!$I$731</f>
        <v>0</v>
      </c>
      <c r="AU33" s="124">
        <f>参数输入表!$I$732</f>
        <v>0</v>
      </c>
      <c r="AV33" s="124">
        <f>参数输入表!$I$733</f>
        <v>0</v>
      </c>
      <c r="AW33" s="124">
        <f>参数输入表!$I$734</f>
        <v>20000</v>
      </c>
      <c r="AX33" s="124">
        <f>参数输入表!$I$735</f>
        <v>0</v>
      </c>
      <c r="AY33" s="124">
        <f>参数输入表!$I$736</f>
        <v>0</v>
      </c>
      <c r="AZ33" s="124">
        <f>参数输入表!$I$737</f>
        <v>0</v>
      </c>
      <c r="BA33" s="124">
        <f>参数输入表!$I$738</f>
        <v>0</v>
      </c>
      <c r="BB33" s="124">
        <f>参数输入表!$I$739</f>
        <v>0</v>
      </c>
      <c r="BC33" s="124">
        <f>参数输入表!$I$740</f>
        <v>0</v>
      </c>
      <c r="BD33" s="124">
        <f>参数输入表!$I$741</f>
        <v>0</v>
      </c>
      <c r="BE33" s="125">
        <f>参数输入表!$I$742</f>
        <v>0</v>
      </c>
    </row>
    <row r="34" s="4" customFormat="1" spans="1:57">
      <c r="B34" s="121"/>
      <c r="C34" s="126" t="s">
        <v>964</v>
      </c>
      <c r="D34" s="123">
        <f t="shared" si="14"/>
        <v>6000</v>
      </c>
      <c r="E34" s="50" t="s">
        <v>130</v>
      </c>
      <c r="F34" s="124">
        <v>0</v>
      </c>
      <c r="G34" s="124">
        <f>参数输入表!$I$749</f>
        <v>0</v>
      </c>
      <c r="H34" s="124">
        <f>参数输入表!$I$750</f>
        <v>0</v>
      </c>
      <c r="I34" s="124">
        <f>参数输入表!$I$751</f>
        <v>0</v>
      </c>
      <c r="J34" s="124">
        <f>参数输入表!$I$752</f>
        <v>0</v>
      </c>
      <c r="K34" s="124">
        <f>参数输入表!$I$753</f>
        <v>0</v>
      </c>
      <c r="L34" s="124">
        <f>参数输入表!$I$754</f>
        <v>0</v>
      </c>
      <c r="M34" s="124">
        <v>0</v>
      </c>
      <c r="N34" s="124">
        <f>参数输入表!$I$755</f>
        <v>0</v>
      </c>
      <c r="O34" s="124">
        <v>0</v>
      </c>
      <c r="P34" s="124">
        <v>0</v>
      </c>
      <c r="Q34" s="124">
        <f>参数输入表!$I$756</f>
        <v>0</v>
      </c>
      <c r="R34" s="124">
        <f>参数输入表!$I$757</f>
        <v>0</v>
      </c>
      <c r="S34" s="124">
        <f>参数输入表!$I$758</f>
        <v>0</v>
      </c>
      <c r="T34" s="124">
        <f>参数输入表!$I$759</f>
        <v>0</v>
      </c>
      <c r="U34" s="124">
        <f>参数输入表!$I$760</f>
        <v>0</v>
      </c>
      <c r="V34" s="124">
        <f>参数输入表!$I$761</f>
        <v>0</v>
      </c>
      <c r="W34" s="124">
        <f>参数输入表!$I$762</f>
        <v>0</v>
      </c>
      <c r="X34" s="124">
        <f>参数输入表!$I$763</f>
        <v>0</v>
      </c>
      <c r="Y34" s="124">
        <f>参数输入表!$I$764</f>
        <v>0</v>
      </c>
      <c r="Z34" s="124">
        <f>参数输入表!$I$765</f>
        <v>0</v>
      </c>
      <c r="AA34" s="124">
        <f>参数输入表!$I$766</f>
        <v>0</v>
      </c>
      <c r="AB34" s="124">
        <f>参数输入表!$I$767</f>
        <v>1500</v>
      </c>
      <c r="AC34" s="124">
        <f>参数输入表!$I$768</f>
        <v>0</v>
      </c>
      <c r="AD34" s="124">
        <f>参数输入表!$I$769</f>
        <v>0</v>
      </c>
      <c r="AE34" s="124">
        <f>参数输入表!$I$770</f>
        <v>0</v>
      </c>
      <c r="AF34" s="124">
        <f>参数输入表!$I$771</f>
        <v>0</v>
      </c>
      <c r="AG34" s="124">
        <f>参数输入表!$I$772</f>
        <v>0</v>
      </c>
      <c r="AH34" s="124">
        <f>参数输入表!$I$773</f>
        <v>0</v>
      </c>
      <c r="AI34" s="124">
        <f>参数输入表!$I$774</f>
        <v>0</v>
      </c>
      <c r="AJ34" s="124">
        <f>参数输入表!$I$775</f>
        <v>1500</v>
      </c>
      <c r="AK34" s="124">
        <f>参数输入表!$I$776</f>
        <v>0</v>
      </c>
      <c r="AL34" s="124">
        <f>参数输入表!$I$777</f>
        <v>0</v>
      </c>
      <c r="AM34" s="124">
        <f>参数输入表!$I$778</f>
        <v>0</v>
      </c>
      <c r="AN34" s="124">
        <f>参数输入表!$I$779</f>
        <v>0</v>
      </c>
      <c r="AO34" s="124">
        <f>参数输入表!$I$780</f>
        <v>0</v>
      </c>
      <c r="AP34" s="124">
        <f>参数输入表!$I$781</f>
        <v>0</v>
      </c>
      <c r="AQ34" s="124">
        <f>参数输入表!$I$782</f>
        <v>0</v>
      </c>
      <c r="AR34" s="124">
        <f>参数输入表!$I$783</f>
        <v>1500</v>
      </c>
      <c r="AS34" s="124">
        <f>参数输入表!$I$784</f>
        <v>0</v>
      </c>
      <c r="AT34" s="124">
        <f>参数输入表!$I$785</f>
        <v>0</v>
      </c>
      <c r="AU34" s="124">
        <f>参数输入表!$I$786</f>
        <v>0</v>
      </c>
      <c r="AV34" s="124">
        <f>参数输入表!$I$787</f>
        <v>0</v>
      </c>
      <c r="AW34" s="124">
        <f>参数输入表!$I$788</f>
        <v>0</v>
      </c>
      <c r="AX34" s="124">
        <f>参数输入表!$I$789</f>
        <v>0</v>
      </c>
      <c r="AY34" s="124">
        <f>参数输入表!$I$790</f>
        <v>0</v>
      </c>
      <c r="AZ34" s="124">
        <f>参数输入表!$I$791</f>
        <v>1500</v>
      </c>
      <c r="BA34" s="124">
        <f>参数输入表!$I$792</f>
        <v>0</v>
      </c>
      <c r="BB34" s="124">
        <f>参数输入表!$I$793</f>
        <v>0</v>
      </c>
      <c r="BC34" s="124">
        <f>参数输入表!$I$794</f>
        <v>0</v>
      </c>
      <c r="BD34" s="124">
        <f>参数输入表!$I$795</f>
        <v>0</v>
      </c>
      <c r="BE34" s="125">
        <f>参数输入表!$I$796</f>
        <v>0</v>
      </c>
    </row>
    <row r="35" s="4" customFormat="1" spans="1:57">
      <c r="A35" s="183"/>
      <c r="B35" s="174">
        <v>2.9</v>
      </c>
      <c r="C35" s="175" t="s">
        <v>965</v>
      </c>
      <c r="D35" s="176">
        <f ca="1" t="shared" si="14"/>
        <v>84703.3037388229</v>
      </c>
      <c r="E35" s="80" t="s">
        <v>130</v>
      </c>
      <c r="F35" s="177"/>
      <c r="G35" s="177"/>
      <c r="H35" s="177">
        <f ca="1">IF('表4-收入税金表'!G61/9-'表4-收入税金表'!G60/12&gt;=0,'表4-收入税金表'!G60/12*3+'表4-收入税金表'!G61,'表4-收入税金表'!G60)</f>
        <v>29.1972041057535</v>
      </c>
      <c r="I35" s="177">
        <f ca="1">IF('表4-收入税金表'!H61/9-'表4-收入税金表'!H60/12&gt;=0,'表4-收入税金表'!H60/12*3+'表4-收入税金表'!H61,'表4-收入税金表'!H60)</f>
        <v>57.3983407895516</v>
      </c>
      <c r="J35" s="177">
        <f ca="1">IF('表4-收入税金表'!I61/9-'表4-收入税金表'!I60/12&gt;=0,'表4-收入税金表'!I60/12*3+'表4-收入税金表'!I61,'表4-收入税金表'!I60)</f>
        <v>90.010513244128</v>
      </c>
      <c r="K35" s="177">
        <f ca="1">IF('表4-收入税金表'!J61/9-'表4-收入税金表'!J60/12&gt;=0,'表4-收入税金表'!J60/12*3+'表4-收入税金表'!J61,'表4-收入税金表'!J60)</f>
        <v>125.984714851662</v>
      </c>
      <c r="L35" s="177">
        <f ca="1">IF('表4-收入税金表'!K61/9-'表4-收入税金表'!K60/12&gt;=0,'表4-收入税金表'!K60/12*3+'表4-收入税金表'!K61,'表4-收入税金表'!K60)</f>
        <v>174.620529171493</v>
      </c>
      <c r="M35" s="177"/>
      <c r="N35" s="177">
        <f ca="1">IF('表4-收入税金表'!L61/9-'表4-收入税金表'!L60/12&gt;=0,'表4-收入税金表'!L60/12*3+'表4-收入税金表'!L61,'表4-收入税金表'!L60)</f>
        <v>219.205295693542</v>
      </c>
      <c r="O35" s="177"/>
      <c r="P35" s="177"/>
      <c r="Q35" s="177">
        <f ca="1">IF('表4-收入税金表'!M61/9-'表4-收入税金表'!M60/12&gt;=0,'表4-收入税金表'!M60/12*3+'表4-收入税金表'!M61,'表4-收入税金表'!M60)</f>
        <v>336.998127538889</v>
      </c>
      <c r="R35" s="177">
        <f ca="1">IF('表4-收入税金表'!N61/9-'表4-收入税金表'!N60/12&gt;=0,'表4-收入税金表'!N60/12*3+'表4-收入税金表'!N61,'表4-收入税金表'!N60)</f>
        <v>3807.2072996143</v>
      </c>
      <c r="S35" s="177">
        <f ca="1">IF('表4-收入税金表'!O61/9-'表4-收入税金表'!O60/12&gt;=0,'表4-收入税金表'!O60/12*3+'表4-收入税金表'!O61,'表4-收入税金表'!O60)</f>
        <v>3794.28284343042</v>
      </c>
      <c r="T35" s="177">
        <f ca="1">IF('表4-收入税金表'!P61/9-'表4-收入税金表'!P60/12&gt;=0,'表4-收入税金表'!P60/12*3+'表4-收入税金表'!P61,'表4-收入税金表'!P60)</f>
        <v>3633.77483517685</v>
      </c>
      <c r="U35" s="177">
        <f ca="1">IF('表4-收入税金表'!Q61/9-'表4-收入税金表'!Q60/12&gt;=0,'表4-收入税金表'!Q60/12*3+'表4-收入税金表'!Q61,'表4-收入税金表'!Q60)</f>
        <v>3479.13005144137</v>
      </c>
      <c r="V35" s="177">
        <f ca="1">IF('表4-收入税金表'!R61/9-'表4-收入税金表'!R60/12&gt;=0,'表4-收入税金表'!R60/12*3+'表4-收入税金表'!R61,'表4-收入税金表'!R60)</f>
        <v>3324.55794791677</v>
      </c>
      <c r="W35" s="177">
        <f ca="1">IF('表4-收入税金表'!S61/9-'表4-收入税金表'!S60/12&gt;=0,'表4-收入税金表'!S60/12*3+'表4-收入税金表'!S61,'表4-收入税金表'!S60)</f>
        <v>3147.01063717886</v>
      </c>
      <c r="X35" s="177">
        <f ca="1">IF('表4-收入税金表'!T61/9-'表4-收入税金表'!T60/12&gt;=0,'表4-收入税金表'!T60/12*3+'表4-收入税金表'!T61,'表4-收入税金表'!T60)</f>
        <v>2973.18862495874</v>
      </c>
      <c r="Y35" s="177">
        <f ca="1">IF('表4-收入税金表'!U61/9-'表4-收入税金表'!U60/12&gt;=0,'表4-收入税金表'!U60/12*3+'表4-收入税金表'!U61,'表4-收入税金表'!U60)</f>
        <v>2862.87391992761</v>
      </c>
      <c r="Z35" s="177">
        <f ca="1">IF('表4-收入税金表'!V61/9-'表4-收入税金表'!V60/12&gt;=0,'表4-收入税金表'!V60/12*3+'表4-收入税金表'!V61,'表4-收入税金表'!V60)</f>
        <v>2752.54233051071</v>
      </c>
      <c r="AA35" s="177">
        <f ca="1">IF('表4-收入税金表'!W61/9-'表4-收入税金表'!W60/12&gt;=0,'表4-收入税金表'!W60/12*3+'表4-收入税金表'!W61,'表4-收入税金表'!W60)</f>
        <v>2642.2013362895</v>
      </c>
      <c r="AB35" s="177">
        <f ca="1">IF('表4-收入税金表'!X61/9-'表4-收入税金表'!X60/12&gt;=0,'表4-收入税金表'!X60/12*3+'表4-收入税金表'!X61,'表4-收入税金表'!X60)</f>
        <v>2531.0908816602</v>
      </c>
      <c r="AC35" s="177">
        <f ca="1">IF('表4-收入税金表'!Y61/9-'表4-收入税金表'!Y60/12&gt;=0,'表4-收入税金表'!Y60/12*3+'表4-收入税金表'!Y61,'表4-收入税金表'!Y60)</f>
        <v>2435.67218496706</v>
      </c>
      <c r="AD35" s="177">
        <f ca="1">IF('表4-收入税金表'!Z61/9-'表4-收入税金表'!Z60/12&gt;=0,'表4-收入税金表'!Z60/12*3+'表4-收入税金表'!Z61,'表4-收入税金表'!Z60)</f>
        <v>2385.18139020111</v>
      </c>
      <c r="AE35" s="177">
        <f ca="1">IF('表4-收入税金表'!AA61/9-'表4-收入税金表'!AA60/12&gt;=0,'表4-收入税金表'!AA60/12*3+'表4-收入税金表'!AA61,'表4-收入税金表'!AA60)</f>
        <v>2268.8608213192</v>
      </c>
      <c r="AF35" s="177">
        <f ca="1">IF('表4-收入税金表'!AB61/9-'表4-收入税金表'!AB60/12&gt;=0,'表4-收入税金表'!AB60/12*3+'表4-收入税金表'!AB61,'表4-收入税金表'!AB60)</f>
        <v>2152.02065078027</v>
      </c>
      <c r="AG35" s="177">
        <f ca="1">IF('表4-收入税金表'!AC61/9-'表4-收入税金表'!AC60/12&gt;=0,'表4-收入税金表'!AC60/12*3+'表4-收入税金表'!AC61,'表4-收入税金表'!AC60)</f>
        <v>2032.94444002341</v>
      </c>
      <c r="AH35" s="177">
        <f ca="1">IF('表4-收入税金表'!AD61/9-'表4-收入税金表'!AD60/12&gt;=0,'表4-收入税金表'!AD60/12*3+'表4-收入税金表'!AD61,'表4-收入税金表'!AD60)</f>
        <v>1916.64362734006</v>
      </c>
      <c r="AI35" s="177">
        <f ca="1">IF('表4-收入税金表'!AE61/9-'表4-收入税金表'!AE60/12&gt;=0,'表4-收入税金表'!AE60/12*3+'表4-收入税金表'!AE61,'表4-收入税金表'!AE60)</f>
        <v>1796.66438319681</v>
      </c>
      <c r="AJ35" s="177">
        <f ca="1">IF('表4-收入税金表'!AF61/9-'表4-收入税金表'!AF60/12&gt;=0,'表4-收入税金表'!AF60/12*3+'表4-收入税金表'!AF61,'表4-收入税金表'!AF60)</f>
        <v>1676.76685143205</v>
      </c>
      <c r="AK35" s="177">
        <f ca="1">IF('表4-收入税金表'!AG61/9-'表4-收入税金表'!AG60/12&gt;=0,'表4-收入税金表'!AG60/12*3+'表4-收入税金表'!AG61,'表4-收入税金表'!AG60)</f>
        <v>1563.37811906776</v>
      </c>
      <c r="AL35" s="177">
        <f ca="1">IF('表4-收入税金表'!AH61/9-'表4-收入税金表'!AH60/12&gt;=0,'表4-收入税金表'!AH60/12*3+'表4-收入税金表'!AH61,'表4-收入税金表'!AH60)</f>
        <v>1445.31040515688</v>
      </c>
      <c r="AM35" s="177">
        <f ca="1">IF('表4-收入税金表'!AI61/9-'表4-收入税金表'!AI60/12&gt;=0,'表4-收入税金表'!AI60/12*3+'表4-收入税金表'!AI61,'表4-收入税金表'!AI60)</f>
        <v>1416.84168683427</v>
      </c>
      <c r="AN35" s="177">
        <f ca="1">IF('表4-收入税金表'!AJ61/9-'表4-收入税金表'!AJ60/12&gt;=0,'表4-收入税金表'!AJ60/12*3+'表4-收入税金表'!AJ61,'表4-收入税金表'!AJ60)</f>
        <v>1422.7201326506</v>
      </c>
      <c r="AO35" s="177">
        <f ca="1">IF('表4-收入税金表'!AK61/9-'表4-收入税金表'!AK60/12&gt;=0,'表4-收入税金表'!AK60/12*3+'表4-收入税金表'!AK61,'表4-收入税金表'!AK60)</f>
        <v>1433.77555213644</v>
      </c>
      <c r="AP35" s="177">
        <f ca="1">IF('表4-收入税金表'!AL61/9-'表4-收入税金表'!AL60/12&gt;=0,'表4-收入税金表'!AL60/12*3+'表4-收入税金表'!AL61,'表4-收入税金表'!AL60)</f>
        <v>1444.45818858916</v>
      </c>
      <c r="AQ35" s="177">
        <f ca="1">IF('表4-收入税金表'!AM61/9-'表4-收入税金表'!AM60/12&gt;=0,'表4-收入税金表'!AM60/12*3+'表4-收入税金表'!AM61,'表4-收入税金表'!AM60)</f>
        <v>1453.29198859021</v>
      </c>
      <c r="AR35" s="177">
        <f ca="1">IF('表4-收入税金表'!AN61/9-'表4-收入税金表'!AN60/12&gt;=0,'表4-收入税金表'!AN60/12*3+'表4-收入税金表'!AN61,'表4-收入税金表'!AN60)</f>
        <v>1464.35890120566</v>
      </c>
      <c r="AS35" s="177">
        <f ca="1">IF('表4-收入税金表'!AO61/9-'表4-收入税金表'!AO60/12&gt;=0,'表4-收入税金表'!AO60/12*3+'表4-收入税金表'!AO61,'表4-收入税金表'!AO60)</f>
        <v>1474.1460403939</v>
      </c>
      <c r="AT35" s="177">
        <f ca="1">IF('表4-收入税金表'!AP61/9-'表4-收入税金表'!AP60/12&gt;=0,'表4-收入税金表'!AP60/12*3+'表4-收入税金表'!AP61,'表4-收入税金表'!AP60)</f>
        <v>1472.30691302288</v>
      </c>
      <c r="AU35" s="177">
        <f ca="1">IF('表4-收入税金表'!AQ61/9-'表4-收入税金表'!AQ60/12&gt;=0,'表4-收入税金表'!AQ60/12*3+'表4-收入税金表'!AQ61,'表4-收入税金表'!AQ60)</f>
        <v>1478.70656889049</v>
      </c>
      <c r="AV35" s="177">
        <f ca="1">IF('表4-收入税金表'!AR61/9-'表4-收入税金表'!AR60/12&gt;=0,'表4-收入税金表'!AR60/12*3+'表4-收入税金表'!AR61,'表4-收入税金表'!AR60)</f>
        <v>1512.38260188321</v>
      </c>
      <c r="AW35" s="177">
        <f ca="1">IF('表4-收入税金表'!AS61/9-'表4-收入税金表'!AS60/12&gt;=0,'表4-收入税金表'!AS60/12*3+'表4-收入税金表'!AS61,'表4-收入税金表'!AS60)</f>
        <v>1542.79920763292</v>
      </c>
      <c r="AX35" s="177">
        <f ca="1">IF('表4-收入税金表'!AT61/9-'表4-收入税金表'!AT60/12&gt;=0,'表4-收入税金表'!AT60/12*3+'表4-收入税金表'!AT61,'表4-收入税金表'!AT60)</f>
        <v>1555.19351474079</v>
      </c>
      <c r="AY35" s="177">
        <f ca="1">IF('表4-收入税金表'!AU61/9-'表4-收入税金表'!AU60/12&gt;=0,'表4-收入税金表'!AU60/12*3+'表4-收入税金表'!AU61,'表4-收入税金表'!AU60)</f>
        <v>1572.36534427708</v>
      </c>
      <c r="AZ35" s="177">
        <f ca="1">IF('表4-收入税金表'!AV61/9-'表4-收入税金表'!AV60/12&gt;=0,'表4-收入税金表'!AV60/12*3+'表4-收入税金表'!AV61,'表4-收入税金表'!AV60)</f>
        <v>1589.77630506087</v>
      </c>
      <c r="BA35" s="177">
        <f ca="1">IF('表4-收入税金表'!AW61/9-'表4-收入税金表'!AW60/12&gt;=0,'表4-收入税金表'!AW60/12*3+'表4-收入税金表'!AW61,'表4-收入税金表'!AW60)</f>
        <v>1603.77390004971</v>
      </c>
      <c r="BB35" s="177">
        <f ca="1">IF('表4-收入税金表'!AX61/9-'表4-收入税金表'!AX60/12&gt;=0,'表4-收入税金表'!AX60/12*3+'表4-收入税金表'!AX61,'表4-收入税金表'!AX60)</f>
        <v>1619.97874185647</v>
      </c>
      <c r="BC35" s="177">
        <f ca="1">IF('表4-收入税金表'!AY61/9-'表4-收入税金表'!AY60/12&gt;=0,'表4-收入税金表'!AY60/12*3+'表4-收入税金表'!AY61,'表4-收入税金表'!AY60)</f>
        <v>1634.75888616964</v>
      </c>
      <c r="BD35" s="177">
        <f ca="1">IF('表4-收入税金表'!AZ61/9-'表4-收入税金表'!AZ60/12&gt;=0,'表4-收入税金表'!AZ60/12*3+'表4-收入税金表'!AZ61,'表4-收入税金表'!AZ60)</f>
        <v>1651.37872268296</v>
      </c>
      <c r="BE35" s="177">
        <f ca="1">IF('表4-收入税金表'!BA61/9-'表4-收入税金表'!BA60/12&gt;=0,'表4-收入税金表'!BA60/12*3+'表4-收入税金表'!BA61,'表4-收入税金表'!BA60)</f>
        <v>1705.5722351707</v>
      </c>
    </row>
    <row r="36" s="4" customFormat="1" spans="1:57">
      <c r="B36" s="116">
        <v>3</v>
      </c>
      <c r="C36" s="117" t="s">
        <v>966</v>
      </c>
      <c r="D36" s="118">
        <f ca="1" t="shared" si="14"/>
        <v>1570290.57953822</v>
      </c>
      <c r="E36" s="50" t="s">
        <v>130</v>
      </c>
      <c r="F36" s="119">
        <f ca="1" t="shared" ref="F36:T36" si="25">F5-F18</f>
        <v>-7065.68002741719</v>
      </c>
      <c r="G36" s="119">
        <f ca="1" t="shared" si="25"/>
        <v>-16812.1491704834</v>
      </c>
      <c r="H36" s="119">
        <f ca="1" t="shared" si="25"/>
        <v>-23975.733952295</v>
      </c>
      <c r="I36" s="119">
        <f ca="1" t="shared" si="25"/>
        <v>-27881.8431134666</v>
      </c>
      <c r="J36" s="119">
        <f ca="1" t="shared" si="25"/>
        <v>-31245.6444015962</v>
      </c>
      <c r="K36" s="119">
        <f ca="1" t="shared" si="25"/>
        <v>-41952.8857282388</v>
      </c>
      <c r="L36" s="119">
        <f ca="1" t="shared" si="25"/>
        <v>-40105.5813109623</v>
      </c>
      <c r="M36" s="119">
        <f ca="1" t="shared" si="25"/>
        <v>-21804.5473476229</v>
      </c>
      <c r="N36" s="119">
        <f ca="1" t="shared" si="25"/>
        <v>-14030.4792346093</v>
      </c>
      <c r="O36" s="119">
        <f ca="1" t="shared" si="25"/>
        <v>-16861.8767694724</v>
      </c>
      <c r="P36" s="119">
        <f ca="1" t="shared" si="25"/>
        <v>-2598.66652635376</v>
      </c>
      <c r="Q36" s="119">
        <f ca="1" t="shared" si="25"/>
        <v>3781.91490751984</v>
      </c>
      <c r="R36" s="119">
        <f ca="1" t="shared" si="25"/>
        <v>7355.11202137696</v>
      </c>
      <c r="S36" s="119">
        <f ca="1" t="shared" si="25"/>
        <v>9321.03620905449</v>
      </c>
      <c r="T36" s="119">
        <f ca="1" t="shared" si="25"/>
        <v>10441.6580310916</v>
      </c>
      <c r="U36" s="119">
        <f ca="1" t="shared" ref="U36:AP36" si="26">U5-U18</f>
        <v>12529.9683485138</v>
      </c>
      <c r="V36" s="119">
        <f ca="1" t="shared" si="26"/>
        <v>14228.3044388697</v>
      </c>
      <c r="W36" s="119">
        <f ca="1" t="shared" si="26"/>
        <v>15830.9223816039</v>
      </c>
      <c r="X36" s="119">
        <f ca="1" t="shared" si="26"/>
        <v>16096.5054529052</v>
      </c>
      <c r="Y36" s="119">
        <f ca="1" t="shared" si="26"/>
        <v>16867.5640637926</v>
      </c>
      <c r="Z36" s="119">
        <f ca="1" t="shared" si="26"/>
        <v>17784.5719854812</v>
      </c>
      <c r="AA36" s="119">
        <f ca="1" t="shared" si="26"/>
        <v>18761.176201329</v>
      </c>
      <c r="AB36" s="119">
        <f ca="1" t="shared" si="26"/>
        <v>19631.396258952</v>
      </c>
      <c r="AC36" s="119">
        <f ca="1" t="shared" si="26"/>
        <v>19126.4339308867</v>
      </c>
      <c r="AD36" s="119">
        <f ca="1" t="shared" si="26"/>
        <v>19439.7293561539</v>
      </c>
      <c r="AE36" s="119">
        <f ca="1" t="shared" si="26"/>
        <v>20349.5684618808</v>
      </c>
      <c r="AF36" s="119">
        <f ca="1" t="shared" si="26"/>
        <v>21720.4970199075</v>
      </c>
      <c r="AG36" s="119">
        <f ca="1" t="shared" si="26"/>
        <v>23548.0872953837</v>
      </c>
      <c r="AH36" s="119">
        <f ca="1" t="shared" si="26"/>
        <v>25881.5089832025</v>
      </c>
      <c r="AI36" s="119">
        <f ca="1" t="shared" si="26"/>
        <v>29576.5291731961</v>
      </c>
      <c r="AJ36" s="119">
        <f ca="1" t="shared" si="26"/>
        <v>33986.7174932462</v>
      </c>
      <c r="AK36" s="119">
        <f ca="1" t="shared" si="26"/>
        <v>36951.3505035975</v>
      </c>
      <c r="AL36" s="119">
        <f ca="1" t="shared" si="26"/>
        <v>58344.023197429</v>
      </c>
      <c r="AM36" s="119">
        <f ca="1" t="shared" si="26"/>
        <v>53313.6569898055</v>
      </c>
      <c r="AN36" s="119">
        <f ca="1" t="shared" si="26"/>
        <v>71458.2372595855</v>
      </c>
      <c r="AO36" s="119">
        <f ca="1" t="shared" si="26"/>
        <v>71447.1818400996</v>
      </c>
      <c r="AP36" s="119">
        <f ca="1" t="shared" si="26"/>
        <v>71436.4992036469</v>
      </c>
      <c r="AQ36" s="119">
        <f ca="1" t="shared" ref="AQ36:BE36" si="27">AQ5-AQ18</f>
        <v>70973.9039357559</v>
      </c>
      <c r="AR36" s="119">
        <f ca="1" t="shared" si="27"/>
        <v>70109.8728273136</v>
      </c>
      <c r="AS36" s="119">
        <f ca="1" t="shared" si="27"/>
        <v>71406.8113518422</v>
      </c>
      <c r="AT36" s="119">
        <f ca="1" t="shared" si="27"/>
        <v>71408.6504792132</v>
      </c>
      <c r="AU36" s="119">
        <f ca="1" t="shared" si="27"/>
        <v>71402.2508233456</v>
      </c>
      <c r="AV36" s="119">
        <f ca="1" t="shared" si="27"/>
        <v>70914.8133224629</v>
      </c>
      <c r="AW36" s="119">
        <f ca="1" t="shared" si="27"/>
        <v>53187.6994690068</v>
      </c>
      <c r="AX36" s="119">
        <f ca="1" t="shared" si="27"/>
        <v>71325.7638774953</v>
      </c>
      <c r="AY36" s="119">
        <f ca="1" t="shared" si="27"/>
        <v>71308.592047959</v>
      </c>
      <c r="AZ36" s="119">
        <f ca="1" t="shared" si="27"/>
        <v>69984.4554234584</v>
      </c>
      <c r="BA36" s="119">
        <f ca="1" t="shared" si="27"/>
        <v>70823.4220242964</v>
      </c>
      <c r="BB36" s="119">
        <f ca="1" t="shared" si="27"/>
        <v>71260.9786503796</v>
      </c>
      <c r="BC36" s="119">
        <f ca="1" t="shared" si="27"/>
        <v>70792.4370381765</v>
      </c>
      <c r="BD36" s="119">
        <f ca="1" t="shared" si="27"/>
        <v>71229.5786695531</v>
      </c>
      <c r="BE36" s="120">
        <f ca="1" t="shared" si="27"/>
        <v>119286.286171963</v>
      </c>
    </row>
    <row r="37" s="4" customFormat="1" spans="1:57">
      <c r="B37" s="116">
        <v>4</v>
      </c>
      <c r="C37" s="95" t="s">
        <v>967</v>
      </c>
      <c r="D37" s="95"/>
      <c r="E37" s="50" t="s">
        <v>130</v>
      </c>
      <c r="F37" s="119">
        <f ca="1">F36</f>
        <v>-7065.68002741719</v>
      </c>
      <c r="G37" s="119">
        <f ca="1" t="shared" ref="G37:H37" si="28">F37+G36</f>
        <v>-23877.8291979006</v>
      </c>
      <c r="H37" s="119">
        <f ca="1" t="shared" si="28"/>
        <v>-47853.5631501956</v>
      </c>
      <c r="I37" s="119">
        <f ca="1" t="shared" ref="I37" si="29">H37+I36</f>
        <v>-75735.4062636621</v>
      </c>
      <c r="J37" s="119">
        <f ca="1" t="shared" ref="J37" si="30">I37+J36</f>
        <v>-106981.050665258</v>
      </c>
      <c r="K37" s="119">
        <f ca="1" t="shared" ref="K37" si="31">J37+K36</f>
        <v>-148933.936393497</v>
      </c>
      <c r="L37" s="119">
        <f ca="1" t="shared" ref="L37" si="32">K37+L36</f>
        <v>-189039.517704459</v>
      </c>
      <c r="M37" s="119">
        <f ca="1" t="shared" ref="M37" si="33">L37+M36</f>
        <v>-210844.065052082</v>
      </c>
      <c r="N37" s="119">
        <f ca="1" t="shared" ref="N37" si="34">M37+N36</f>
        <v>-224874.544286692</v>
      </c>
      <c r="O37" s="119">
        <f ca="1" t="shared" ref="O37:Q37" si="35">N37+O36</f>
        <v>-241736.421056164</v>
      </c>
      <c r="P37" s="119">
        <f ca="1" t="shared" si="35"/>
        <v>-244335.087582518</v>
      </c>
      <c r="Q37" s="119">
        <f ca="1" t="shared" si="35"/>
        <v>-240553.172674998</v>
      </c>
      <c r="R37" s="119">
        <f ca="1" t="shared" ref="R37" si="36">Q37+R36</f>
        <v>-233198.060653621</v>
      </c>
      <c r="S37" s="119">
        <f ca="1" t="shared" ref="S37" si="37">R37+S36</f>
        <v>-223877.024444567</v>
      </c>
      <c r="T37" s="119">
        <f ca="1" t="shared" ref="T37:AP37" si="38">S37+T36</f>
        <v>-213435.366413475</v>
      </c>
      <c r="U37" s="119">
        <f ca="1" t="shared" si="38"/>
        <v>-200905.398064961</v>
      </c>
      <c r="V37" s="119">
        <f ca="1" t="shared" si="38"/>
        <v>-186677.093626091</v>
      </c>
      <c r="W37" s="119">
        <f ca="1" t="shared" si="38"/>
        <v>-170846.171244488</v>
      </c>
      <c r="X37" s="119">
        <f ca="1" t="shared" si="38"/>
        <v>-154749.665791582</v>
      </c>
      <c r="Y37" s="119">
        <f ca="1" t="shared" si="38"/>
        <v>-137882.10172779</v>
      </c>
      <c r="Z37" s="119">
        <f ca="1" t="shared" si="38"/>
        <v>-120097.529742309</v>
      </c>
      <c r="AA37" s="119">
        <f ca="1" t="shared" si="38"/>
        <v>-101336.35354098</v>
      </c>
      <c r="AB37" s="119">
        <f ca="1" t="shared" si="38"/>
        <v>-81704.9572820276</v>
      </c>
      <c r="AC37" s="119">
        <f ca="1" t="shared" si="38"/>
        <v>-62578.523351141</v>
      </c>
      <c r="AD37" s="119">
        <f ca="1" t="shared" si="38"/>
        <v>-43138.793994987</v>
      </c>
      <c r="AE37" s="119">
        <f ca="1" t="shared" si="38"/>
        <v>-22789.2255331062</v>
      </c>
      <c r="AF37" s="119">
        <f ca="1" t="shared" si="38"/>
        <v>-1068.72851319873</v>
      </c>
      <c r="AG37" s="119">
        <f ca="1" t="shared" si="38"/>
        <v>22479.358782185</v>
      </c>
      <c r="AH37" s="119">
        <f ca="1" t="shared" si="38"/>
        <v>48360.8677653875</v>
      </c>
      <c r="AI37" s="119">
        <f ca="1" t="shared" si="38"/>
        <v>77937.3969385836</v>
      </c>
      <c r="AJ37" s="119">
        <f ca="1" t="shared" si="38"/>
        <v>111924.11443183</v>
      </c>
      <c r="AK37" s="119">
        <f ca="1" t="shared" si="38"/>
        <v>148875.464935427</v>
      </c>
      <c r="AL37" s="119">
        <f ca="1" t="shared" si="38"/>
        <v>207219.488132856</v>
      </c>
      <c r="AM37" s="119">
        <f ca="1" t="shared" si="38"/>
        <v>260533.145122662</v>
      </c>
      <c r="AN37" s="119">
        <f ca="1" t="shared" si="38"/>
        <v>331991.382382247</v>
      </c>
      <c r="AO37" s="119">
        <f ca="1" t="shared" si="38"/>
        <v>403438.564222347</v>
      </c>
      <c r="AP37" s="119">
        <f ca="1" t="shared" si="38"/>
        <v>474875.063425994</v>
      </c>
      <c r="AQ37" s="119">
        <f ca="1" t="shared" ref="AQ37:BE37" si="39">AP37+AQ36</f>
        <v>545848.96736175</v>
      </c>
      <c r="AR37" s="119">
        <f ca="1" t="shared" si="39"/>
        <v>615958.840189063</v>
      </c>
      <c r="AS37" s="119">
        <f ca="1" t="shared" si="39"/>
        <v>687365.651540905</v>
      </c>
      <c r="AT37" s="119">
        <f ca="1" t="shared" si="39"/>
        <v>758774.302020119</v>
      </c>
      <c r="AU37" s="119">
        <f ca="1" t="shared" si="39"/>
        <v>830176.552843464</v>
      </c>
      <c r="AV37" s="119">
        <f ca="1" t="shared" si="39"/>
        <v>901091.366165927</v>
      </c>
      <c r="AW37" s="119">
        <f ca="1" t="shared" si="39"/>
        <v>954279.065634934</v>
      </c>
      <c r="AX37" s="119">
        <f ca="1" t="shared" si="39"/>
        <v>1025604.82951243</v>
      </c>
      <c r="AY37" s="119">
        <f ca="1" t="shared" si="39"/>
        <v>1096913.42156039</v>
      </c>
      <c r="AZ37" s="119">
        <f ca="1" t="shared" si="39"/>
        <v>1166897.87698385</v>
      </c>
      <c r="BA37" s="119">
        <f ca="1" t="shared" si="39"/>
        <v>1237721.29900814</v>
      </c>
      <c r="BB37" s="119">
        <f ca="1" t="shared" si="39"/>
        <v>1308982.27765852</v>
      </c>
      <c r="BC37" s="119">
        <f ca="1" t="shared" si="39"/>
        <v>1379774.7146967</v>
      </c>
      <c r="BD37" s="119">
        <f ca="1" t="shared" si="39"/>
        <v>1451004.29336625</v>
      </c>
      <c r="BE37" s="120">
        <f ca="1" t="shared" si="39"/>
        <v>1570290.57953822</v>
      </c>
    </row>
    <row r="38" s="140" customFormat="1" spans="1:57">
      <c r="B38" s="178">
        <v>5</v>
      </c>
      <c r="C38" s="184" t="s">
        <v>968</v>
      </c>
      <c r="D38" s="180">
        <f ca="1">SUM(F38:BE38)</f>
        <v>318920.951291925</v>
      </c>
      <c r="E38" s="80" t="s">
        <v>130</v>
      </c>
      <c r="F38" s="170"/>
      <c r="G38" s="170">
        <f ca="1" t="shared" ref="G38:AL38" si="40">IF(G39-G35&gt;=0,G39-G35,0)</f>
        <v>0</v>
      </c>
      <c r="H38" s="170">
        <f ca="1" t="shared" si="40"/>
        <v>0</v>
      </c>
      <c r="I38" s="170">
        <f ca="1" t="shared" si="40"/>
        <v>0</v>
      </c>
      <c r="J38" s="170">
        <f ca="1" t="shared" si="40"/>
        <v>0</v>
      </c>
      <c r="K38" s="170">
        <f ca="1" t="shared" si="40"/>
        <v>0</v>
      </c>
      <c r="L38" s="170">
        <f ca="1" t="shared" si="40"/>
        <v>0</v>
      </c>
      <c r="M38" s="170"/>
      <c r="N38" s="170">
        <f ca="1" t="shared" si="40"/>
        <v>0</v>
      </c>
      <c r="O38" s="170"/>
      <c r="P38" s="170"/>
      <c r="Q38" s="170">
        <f ca="1" t="shared" si="40"/>
        <v>0</v>
      </c>
      <c r="R38" s="170">
        <f ca="1" t="shared" si="40"/>
        <v>0</v>
      </c>
      <c r="S38" s="170">
        <f ca="1" t="shared" si="40"/>
        <v>0</v>
      </c>
      <c r="T38" s="170">
        <f ca="1" t="shared" si="40"/>
        <v>0</v>
      </c>
      <c r="U38" s="170">
        <f ca="1" t="shared" si="40"/>
        <v>0</v>
      </c>
      <c r="V38" s="170">
        <f ca="1" t="shared" si="40"/>
        <v>0</v>
      </c>
      <c r="W38" s="170">
        <f ca="1" t="shared" si="40"/>
        <v>1707.69481254169</v>
      </c>
      <c r="X38" s="170">
        <f ca="1" t="shared" si="40"/>
        <v>1937.33541502662</v>
      </c>
      <c r="Y38" s="170">
        <f ca="1" t="shared" si="40"/>
        <v>2280.60004157642</v>
      </c>
      <c r="Z38" s="170">
        <f ca="1" t="shared" si="40"/>
        <v>2627.63363823897</v>
      </c>
      <c r="AA38" s="170">
        <f ca="1" t="shared" si="40"/>
        <v>2976.76659621814</v>
      </c>
      <c r="AB38" s="170">
        <f ca="1" t="shared" si="40"/>
        <v>3280.58760673059</v>
      </c>
      <c r="AC38" s="170">
        <f ca="1" t="shared" si="40"/>
        <v>3089.53754075802</v>
      </c>
      <c r="AD38" s="170">
        <f ca="1" t="shared" si="40"/>
        <v>3268.89802942021</v>
      </c>
      <c r="AE38" s="170">
        <f ca="1" t="shared" si="40"/>
        <v>3654.3235187854</v>
      </c>
      <c r="AF38" s="170">
        <f ca="1" t="shared" si="40"/>
        <v>4155.73564469875</v>
      </c>
      <c r="AG38" s="170">
        <f ca="1" t="shared" si="40"/>
        <v>4778.1470804645</v>
      </c>
      <c r="AH38" s="170">
        <f ca="1" t="shared" si="40"/>
        <v>5537.29710385823</v>
      </c>
      <c r="AI38" s="170">
        <f ca="1" t="shared" si="40"/>
        <v>6739.42021544879</v>
      </c>
      <c r="AJ38" s="170">
        <f ca="1" t="shared" si="40"/>
        <v>8084.36525523153</v>
      </c>
      <c r="AK38" s="170">
        <f ca="1" t="shared" si="40"/>
        <v>8834.21873798736</v>
      </c>
      <c r="AL38" s="170">
        <f ca="1" t="shared" si="40"/>
        <v>9442.62237779844</v>
      </c>
      <c r="AM38" s="170">
        <f ca="1" t="shared" ref="AM38:BE38" si="41">IF(AM39-AM35&gt;=0,AM39-AM35,0)</f>
        <v>9630.65336957822</v>
      </c>
      <c r="AN38" s="170">
        <f ca="1" t="shared" si="41"/>
        <v>9575.23363935822</v>
      </c>
      <c r="AO38" s="170">
        <f ca="1" t="shared" si="41"/>
        <v>9564.17821987239</v>
      </c>
      <c r="AP38" s="170">
        <f ca="1" t="shared" si="41"/>
        <v>9553.49558341967</v>
      </c>
      <c r="AQ38" s="170">
        <f ca="1" t="shared" si="41"/>
        <v>9545.9003155287</v>
      </c>
      <c r="AR38" s="170">
        <f ca="1" t="shared" si="41"/>
        <v>9538.77186195361</v>
      </c>
      <c r="AS38" s="170">
        <f ca="1" t="shared" si="41"/>
        <v>9523.80773161492</v>
      </c>
      <c r="AT38" s="170">
        <f ca="1" t="shared" si="41"/>
        <v>12255.5018169103</v>
      </c>
      <c r="AU38" s="170">
        <f ca="1" t="shared" si="41"/>
        <v>16070.8991021368</v>
      </c>
      <c r="AV38" s="170">
        <f ca="1" t="shared" si="41"/>
        <v>16038.4616012542</v>
      </c>
      <c r="AW38" s="170">
        <f ca="1" t="shared" si="41"/>
        <v>16005.3793482058</v>
      </c>
      <c r="AX38" s="170">
        <f ca="1" t="shared" si="41"/>
        <v>15943.4437566943</v>
      </c>
      <c r="AY38" s="170">
        <f ca="1" t="shared" si="41"/>
        <v>15926.271927158</v>
      </c>
      <c r="AZ38" s="170">
        <f ca="1" t="shared" si="41"/>
        <v>15900.2105238963</v>
      </c>
      <c r="BA38" s="170">
        <f ca="1" t="shared" si="41"/>
        <v>15882.2744698671</v>
      </c>
      <c r="BB38" s="170">
        <f ca="1" t="shared" si="41"/>
        <v>15864.8310959503</v>
      </c>
      <c r="BC38" s="170">
        <f ca="1" t="shared" si="41"/>
        <v>15813.063184053</v>
      </c>
      <c r="BD38" s="170">
        <f ca="1" t="shared" si="41"/>
        <v>15795.2048154296</v>
      </c>
      <c r="BE38" s="170">
        <f ca="1" t="shared" si="41"/>
        <v>8098.18531425939</v>
      </c>
    </row>
    <row r="39" s="4" customFormat="1" spans="1:57">
      <c r="B39" s="174"/>
      <c r="C39" s="185" t="s">
        <v>969</v>
      </c>
      <c r="D39" s="176">
        <f ca="1">SUM(F39:BE39)</f>
        <v>390660.48121225</v>
      </c>
      <c r="E39" s="80" t="s">
        <v>130</v>
      </c>
      <c r="F39" s="177"/>
      <c r="G39" s="177">
        <f ca="1">'表5-利润表-资本金'!F56</f>
        <v>0</v>
      </c>
      <c r="H39" s="177">
        <f ca="1">'表5-利润表-资本金'!G56</f>
        <v>0</v>
      </c>
      <c r="I39" s="177">
        <f ca="1">'表5-利润表-资本金'!H56</f>
        <v>0</v>
      </c>
      <c r="J39" s="177">
        <f ca="1">'表5-利润表-资本金'!I56</f>
        <v>0</v>
      </c>
      <c r="K39" s="177">
        <f ca="1">'表5-利润表-资本金'!J56</f>
        <v>0</v>
      </c>
      <c r="L39" s="177">
        <f ca="1">'表5-利润表-资本金'!K56</f>
        <v>0</v>
      </c>
      <c r="M39" s="177"/>
      <c r="N39" s="177">
        <f ca="1">'表5-利润表-资本金'!L56</f>
        <v>0</v>
      </c>
      <c r="O39" s="177"/>
      <c r="P39" s="177"/>
      <c r="Q39" s="177">
        <f ca="1">'表5-利润表-资本金'!M56</f>
        <v>0</v>
      </c>
      <c r="R39" s="177">
        <f ca="1">'表5-利润表-资本金'!N56</f>
        <v>0</v>
      </c>
      <c r="S39" s="177">
        <f ca="1">'表5-利润表-资本金'!O56</f>
        <v>0</v>
      </c>
      <c r="T39" s="177">
        <f ca="1">'表5-利润表-资本金'!P56</f>
        <v>1800.81350769479</v>
      </c>
      <c r="U39" s="177">
        <f ca="1">'表5-利润表-资本金'!Q56</f>
        <v>2040.81257805589</v>
      </c>
      <c r="V39" s="177">
        <f ca="1">'表5-利润表-资本金'!R56</f>
        <v>2266.96779872632</v>
      </c>
      <c r="W39" s="177">
        <f ca="1">'表5-利润表-资本金'!S56</f>
        <v>4854.70544972054</v>
      </c>
      <c r="X39" s="177">
        <f ca="1">'表5-利润表-资本金'!T56</f>
        <v>4910.52403998536</v>
      </c>
      <c r="Y39" s="177">
        <f ca="1">'表5-利润表-资本金'!U56</f>
        <v>5143.47396150403</v>
      </c>
      <c r="Z39" s="177">
        <f ca="1">'表5-利润表-资本金'!V56</f>
        <v>5380.17596874968</v>
      </c>
      <c r="AA39" s="177">
        <f ca="1">'表5-利润表-资本金'!W56</f>
        <v>5618.96793250764</v>
      </c>
      <c r="AB39" s="177">
        <f ca="1">'表5-利润表-资本金'!X56</f>
        <v>5811.67848839079</v>
      </c>
      <c r="AC39" s="177">
        <f ca="1">'表5-利润表-资本金'!Y56</f>
        <v>5525.20972572508</v>
      </c>
      <c r="AD39" s="177">
        <f ca="1">'表5-利润表-资本金'!Z56</f>
        <v>5654.07941962132</v>
      </c>
      <c r="AE39" s="177">
        <f ca="1">'表5-利润表-资本金'!AA56</f>
        <v>5923.1843401046</v>
      </c>
      <c r="AF39" s="177">
        <f ca="1">'表5-利润表-资本金'!AB56</f>
        <v>6307.75629547903</v>
      </c>
      <c r="AG39" s="177">
        <f ca="1">'表5-利润表-资本金'!AC56</f>
        <v>6811.09152048791</v>
      </c>
      <c r="AH39" s="177">
        <f ca="1">'表5-利润表-资本金'!AD56</f>
        <v>7453.94073119828</v>
      </c>
      <c r="AI39" s="177">
        <f ca="1">'表5-利润表-资本金'!AE56</f>
        <v>8536.08459864559</v>
      </c>
      <c r="AJ39" s="177">
        <f ca="1">'表5-利润表-资本金'!AF56</f>
        <v>9761.13210666358</v>
      </c>
      <c r="AK39" s="177">
        <f ca="1">'表5-利润表-资本金'!AG56</f>
        <v>10397.5968570551</v>
      </c>
      <c r="AL39" s="177">
        <f ca="1">'表5-利润表-资本金'!AH56</f>
        <v>10887.9327829553</v>
      </c>
      <c r="AM39" s="177">
        <f ca="1">'表5-利润表-资本金'!AI56</f>
        <v>11047.4950564125</v>
      </c>
      <c r="AN39" s="177">
        <f ca="1">'表5-利润表-资本金'!AJ56</f>
        <v>10997.9537720088</v>
      </c>
      <c r="AO39" s="177">
        <f ca="1">'表5-利润表-资本金'!AK56</f>
        <v>10997.9537720088</v>
      </c>
      <c r="AP39" s="177">
        <f ca="1">'表5-利润表-资本金'!AL56</f>
        <v>10997.9537720088</v>
      </c>
      <c r="AQ39" s="177">
        <f ca="1">'表5-利润表-资本金'!AM56</f>
        <v>10999.1923041189</v>
      </c>
      <c r="AR39" s="177">
        <f ca="1">'表5-利润表-资本金'!AN56</f>
        <v>11003.1307631593</v>
      </c>
      <c r="AS39" s="177">
        <f ca="1">'表5-利润表-资本金'!AO56</f>
        <v>10997.9537720088</v>
      </c>
      <c r="AT39" s="177">
        <f ca="1">'表5-利润表-资本金'!AP56</f>
        <v>13727.8087299332</v>
      </c>
      <c r="AU39" s="177">
        <f ca="1">'表5-利润表-资本金'!AQ56</f>
        <v>17549.6056710273</v>
      </c>
      <c r="AV39" s="177">
        <f ca="1">'表5-利润表-资本金'!AR56</f>
        <v>17550.8442031374</v>
      </c>
      <c r="AW39" s="177">
        <f ca="1">'表5-利润表-资本金'!AS56</f>
        <v>17548.1785558388</v>
      </c>
      <c r="AX39" s="177">
        <f ca="1">'表5-利润表-资本金'!AT56</f>
        <v>17498.6372714351</v>
      </c>
      <c r="AY39" s="177">
        <f ca="1">'表5-利润表-资本金'!AU56</f>
        <v>17498.6372714351</v>
      </c>
      <c r="AZ39" s="177">
        <f ca="1">'表5-利润表-资本金'!AV56</f>
        <v>17489.9868289572</v>
      </c>
      <c r="BA39" s="177">
        <f ca="1">'表5-利润表-资本金'!AW56</f>
        <v>17486.0483699169</v>
      </c>
      <c r="BB39" s="177">
        <f ca="1">'表5-利润表-资本金'!AX56</f>
        <v>17484.8098378068</v>
      </c>
      <c r="BC39" s="177">
        <f ca="1">'表5-利润表-资本金'!AY56</f>
        <v>17447.8220702227</v>
      </c>
      <c r="BD39" s="177">
        <f ca="1">'表5-利润表-资本金'!AZ56</f>
        <v>17446.5835381126</v>
      </c>
      <c r="BE39" s="177">
        <f ca="1">'表5-利润表-资本金'!BA56</f>
        <v>9803.75754943009</v>
      </c>
    </row>
    <row r="40" s="4" customFormat="1" spans="1:57">
      <c r="B40" s="178">
        <v>6</v>
      </c>
      <c r="C40" s="184" t="s">
        <v>406</v>
      </c>
      <c r="D40" s="180">
        <f ca="1">SUM(F40:BE40)</f>
        <v>80901.5054729275</v>
      </c>
      <c r="E40" s="80" t="s">
        <v>130</v>
      </c>
      <c r="F40" s="170">
        <v>0</v>
      </c>
      <c r="G40" s="170">
        <f ca="1">'表5-利润表-资本金'!F57</f>
        <v>0</v>
      </c>
      <c r="H40" s="170">
        <f ca="1">'表5-利润表-资本金'!G57</f>
        <v>0</v>
      </c>
      <c r="I40" s="170">
        <f ca="1">'表5-利润表-资本金'!H57</f>
        <v>0</v>
      </c>
      <c r="J40" s="170">
        <f ca="1">'表5-利润表-资本金'!I57</f>
        <v>0</v>
      </c>
      <c r="K40" s="170">
        <f ca="1">'表5-利润表-资本金'!J57</f>
        <v>0</v>
      </c>
      <c r="L40" s="170">
        <f ca="1">'表5-利润表-资本金'!K57</f>
        <v>0</v>
      </c>
      <c r="M40" s="170">
        <v>0</v>
      </c>
      <c r="N40" s="170">
        <f ca="1">'表5-利润表-资本金'!L57</f>
        <v>0</v>
      </c>
      <c r="O40" s="170">
        <v>0</v>
      </c>
      <c r="P40" s="170">
        <v>0</v>
      </c>
      <c r="Q40" s="170">
        <f ca="1">'表5-利润表-资本金'!M57</f>
        <v>391.883042916966</v>
      </c>
      <c r="R40" s="170">
        <f ca="1">'表5-利润表-资本金'!N57</f>
        <v>534.193736556501</v>
      </c>
      <c r="S40" s="170">
        <f ca="1">'表5-利润表-资本金'!O57</f>
        <v>621.613674108663</v>
      </c>
      <c r="T40" s="170">
        <f ca="1">'表5-利润表-资本金'!P57</f>
        <v>720.325403077917</v>
      </c>
      <c r="U40" s="170">
        <f ca="1">'表5-利润表-资本金'!Q57</f>
        <v>816.325031222356</v>
      </c>
      <c r="V40" s="170">
        <f ca="1">'表5-利润表-资本金'!R57</f>
        <v>906.787119490528</v>
      </c>
      <c r="W40" s="170">
        <f ca="1">'表5-利润表-资本金'!S57</f>
        <v>970.941089944109</v>
      </c>
      <c r="X40" s="170">
        <f ca="1">'表5-利润表-资本金'!T57</f>
        <v>982.104807997072</v>
      </c>
      <c r="Y40" s="170">
        <f ca="1">'表5-利润表-资本金'!U57</f>
        <v>1028.69479230081</v>
      </c>
      <c r="Z40" s="170">
        <f ca="1">'表5-利润表-资本金'!V57</f>
        <v>1076.03519374994</v>
      </c>
      <c r="AA40" s="170">
        <f ca="1">'表5-利润表-资本金'!W57</f>
        <v>1123.79358650153</v>
      </c>
      <c r="AB40" s="170">
        <f ca="1">'表5-利润表-资本金'!X57</f>
        <v>1162.33569767816</v>
      </c>
      <c r="AC40" s="170">
        <f ca="1">'表5-利润表-资本金'!Y57</f>
        <v>1105.04194514502</v>
      </c>
      <c r="AD40" s="170">
        <f ca="1">'表5-利润表-资本金'!Z57</f>
        <v>1130.81588392426</v>
      </c>
      <c r="AE40" s="170">
        <f ca="1">'表5-利润表-资本金'!AA57</f>
        <v>1184.63686802092</v>
      </c>
      <c r="AF40" s="170">
        <f ca="1">'表5-利润表-资本金'!AB57</f>
        <v>1261.55125909581</v>
      </c>
      <c r="AG40" s="170">
        <f ca="1">'表5-利润表-资本金'!AC57</f>
        <v>1362.21830409758</v>
      </c>
      <c r="AH40" s="170">
        <f ca="1">'表5-利润表-资本金'!AD57</f>
        <v>1490.78814623966</v>
      </c>
      <c r="AI40" s="170">
        <f ca="1">'表5-利润表-资本金'!AE57</f>
        <v>1707.21691972912</v>
      </c>
      <c r="AJ40" s="170">
        <f ca="1">'表5-利润表-资本金'!AF57</f>
        <v>1952.22642133272</v>
      </c>
      <c r="AK40" s="170">
        <f ca="1">'表5-利润表-资本金'!AG57</f>
        <v>2079.51937141102</v>
      </c>
      <c r="AL40" s="170">
        <f ca="1">'表5-利润表-资本金'!AH57</f>
        <v>2177.58655659106</v>
      </c>
      <c r="AM40" s="170">
        <f ca="1">'表5-利润表-资本金'!AI57</f>
        <v>2209.4990112825</v>
      </c>
      <c r="AN40" s="170">
        <f ca="1">'表5-利润表-资本金'!AJ57</f>
        <v>2199.59075440177</v>
      </c>
      <c r="AO40" s="170">
        <f ca="1">'表5-利润表-资本金'!AK57</f>
        <v>2199.59075440177</v>
      </c>
      <c r="AP40" s="170">
        <f ca="1">'表5-利润表-资本金'!AL57</f>
        <v>2199.59075440177</v>
      </c>
      <c r="AQ40" s="170">
        <f ca="1">'表5-利润表-资本金'!AM57</f>
        <v>2199.83846082378</v>
      </c>
      <c r="AR40" s="170">
        <f ca="1">'表5-利润表-资本金'!AN57</f>
        <v>2200.62615263185</v>
      </c>
      <c r="AS40" s="170">
        <f ca="1">'表5-利润表-资本金'!AO57</f>
        <v>2199.59075440177</v>
      </c>
      <c r="AT40" s="170">
        <f ca="1">'表5-利润表-资本金'!AP57</f>
        <v>2745.56174598664</v>
      </c>
      <c r="AU40" s="170">
        <f ca="1">'表5-利润表-资本金'!AQ57</f>
        <v>3509.92113420547</v>
      </c>
      <c r="AV40" s="170">
        <f ca="1">'表5-利润表-资本金'!AR57</f>
        <v>3510.16884062749</v>
      </c>
      <c r="AW40" s="170">
        <f ca="1">'表5-利润表-资本金'!AS57</f>
        <v>3509.63571116775</v>
      </c>
      <c r="AX40" s="170">
        <f ca="1">'表5-利润表-资本金'!AT57</f>
        <v>3499.72745428702</v>
      </c>
      <c r="AY40" s="170">
        <f ca="1">'表5-利润表-资本金'!AU57</f>
        <v>3499.72745428702</v>
      </c>
      <c r="AZ40" s="170">
        <f ca="1">'表5-利润表-资本金'!AV57</f>
        <v>3497.99736579144</v>
      </c>
      <c r="BA40" s="170">
        <f ca="1">'表5-利润表-资本金'!AW57</f>
        <v>3497.20967398337</v>
      </c>
      <c r="BB40" s="170">
        <f ca="1">'表5-利润表-资本金'!AX57</f>
        <v>3496.96196756135</v>
      </c>
      <c r="BC40" s="170">
        <f ca="1">'表5-利润表-资本金'!AY57</f>
        <v>3489.56441404453</v>
      </c>
      <c r="BD40" s="170">
        <f ca="1">'表5-利润表-资本金'!AZ57</f>
        <v>3489.31670762251</v>
      </c>
      <c r="BE40" s="170">
        <f ca="1">'表5-利润表-资本金'!BA57</f>
        <v>1960.75150988602</v>
      </c>
    </row>
    <row r="41" spans="1:57">
      <c r="B41" s="71">
        <v>7</v>
      </c>
      <c r="C41" s="127" t="s">
        <v>970</v>
      </c>
      <c r="D41" s="186">
        <f ca="1">SUM(F41:BE41)</f>
        <v>1170468.12277336</v>
      </c>
      <c r="E41" s="29" t="s">
        <v>130</v>
      </c>
      <c r="F41" s="134">
        <f ca="1">F36-F38-F40</f>
        <v>-7065.68002741719</v>
      </c>
      <c r="G41" s="134">
        <f ca="1" t="shared" ref="G41:AL41" si="42">G36-G38-G40</f>
        <v>-16812.1491704834</v>
      </c>
      <c r="H41" s="134">
        <f ca="1" t="shared" si="42"/>
        <v>-23975.733952295</v>
      </c>
      <c r="I41" s="134">
        <f ca="1" t="shared" si="42"/>
        <v>-27881.8431134666</v>
      </c>
      <c r="J41" s="134">
        <f ca="1" t="shared" si="42"/>
        <v>-31245.6444015962</v>
      </c>
      <c r="K41" s="134">
        <f ca="1" t="shared" si="42"/>
        <v>-41952.8857282388</v>
      </c>
      <c r="L41" s="134">
        <f ca="1" t="shared" si="42"/>
        <v>-40105.5813109623</v>
      </c>
      <c r="M41" s="134">
        <f ca="1" t="shared" si="42"/>
        <v>-21804.5473476229</v>
      </c>
      <c r="N41" s="134">
        <f ca="1" t="shared" si="42"/>
        <v>-14030.4792346093</v>
      </c>
      <c r="O41" s="134">
        <f ca="1" t="shared" si="42"/>
        <v>-16861.8767694724</v>
      </c>
      <c r="P41" s="134">
        <f ca="1" t="shared" si="42"/>
        <v>-2598.66652635376</v>
      </c>
      <c r="Q41" s="134">
        <f ca="1" t="shared" si="42"/>
        <v>3390.03186460288</v>
      </c>
      <c r="R41" s="134">
        <f ca="1" t="shared" si="42"/>
        <v>6820.91828482046</v>
      </c>
      <c r="S41" s="134">
        <f ca="1" t="shared" si="42"/>
        <v>8699.42253494583</v>
      </c>
      <c r="T41" s="134">
        <f ca="1" t="shared" si="42"/>
        <v>9721.33262801367</v>
      </c>
      <c r="U41" s="134">
        <f ca="1" t="shared" si="42"/>
        <v>11713.6433172915</v>
      </c>
      <c r="V41" s="134">
        <f ca="1" t="shared" si="42"/>
        <v>13321.5173193792</v>
      </c>
      <c r="W41" s="134">
        <f ca="1" t="shared" si="42"/>
        <v>13152.2864791181</v>
      </c>
      <c r="X41" s="134">
        <f ca="1" t="shared" si="42"/>
        <v>13177.0652298815</v>
      </c>
      <c r="Y41" s="134">
        <f ca="1" t="shared" si="42"/>
        <v>13558.2692299154</v>
      </c>
      <c r="Z41" s="134">
        <f ca="1" t="shared" si="42"/>
        <v>14080.9031534923</v>
      </c>
      <c r="AA41" s="134">
        <f ca="1" t="shared" si="42"/>
        <v>14660.6160186093</v>
      </c>
      <c r="AB41" s="134">
        <f ca="1" t="shared" si="42"/>
        <v>15188.4729545433</v>
      </c>
      <c r="AC41" s="134">
        <f ca="1" t="shared" si="42"/>
        <v>14931.8544449836</v>
      </c>
      <c r="AD41" s="134">
        <f ca="1" t="shared" si="42"/>
        <v>15040.0154428095</v>
      </c>
      <c r="AE41" s="134">
        <f ca="1" t="shared" si="42"/>
        <v>15510.6080750745</v>
      </c>
      <c r="AF41" s="134">
        <f ca="1" t="shared" si="42"/>
        <v>16303.2101161129</v>
      </c>
      <c r="AG41" s="134">
        <f ca="1" t="shared" si="42"/>
        <v>17407.7219108217</v>
      </c>
      <c r="AH41" s="134">
        <f ca="1" t="shared" si="42"/>
        <v>18853.4237331046</v>
      </c>
      <c r="AI41" s="134">
        <f ca="1" t="shared" si="42"/>
        <v>21129.8920380182</v>
      </c>
      <c r="AJ41" s="134">
        <f ca="1" t="shared" si="42"/>
        <v>23950.125816682</v>
      </c>
      <c r="AK41" s="134">
        <f ca="1" t="shared" si="42"/>
        <v>26037.6123941991</v>
      </c>
      <c r="AL41" s="134">
        <f ca="1" t="shared" si="42"/>
        <v>46723.8142630395</v>
      </c>
      <c r="AM41" s="134">
        <f ca="1" t="shared" ref="AM41:BE41" si="43">AM36-AM38-AM40</f>
        <v>41473.5046089448</v>
      </c>
      <c r="AN41" s="134">
        <f ca="1" t="shared" si="43"/>
        <v>59683.4128658255</v>
      </c>
      <c r="AO41" s="134">
        <f ca="1" t="shared" si="43"/>
        <v>59683.4128658255</v>
      </c>
      <c r="AP41" s="134">
        <f ca="1" t="shared" si="43"/>
        <v>59683.4128658255</v>
      </c>
      <c r="AQ41" s="134">
        <f ca="1" t="shared" si="43"/>
        <v>59228.1651594034</v>
      </c>
      <c r="AR41" s="134">
        <f ca="1" t="shared" si="43"/>
        <v>58370.4748127281</v>
      </c>
      <c r="AS41" s="134">
        <f ca="1" t="shared" si="43"/>
        <v>59683.4128658255</v>
      </c>
      <c r="AT41" s="134">
        <f ca="1" t="shared" si="43"/>
        <v>56407.5869163162</v>
      </c>
      <c r="AU41" s="134">
        <f ca="1" t="shared" si="43"/>
        <v>51821.4305870033</v>
      </c>
      <c r="AV41" s="134">
        <f ca="1" t="shared" si="43"/>
        <v>51366.1828805812</v>
      </c>
      <c r="AW41" s="134">
        <f ca="1" t="shared" si="43"/>
        <v>33672.6844096332</v>
      </c>
      <c r="AX41" s="134">
        <f ca="1" t="shared" si="43"/>
        <v>51882.592666514</v>
      </c>
      <c r="AY41" s="134">
        <f ca="1" t="shared" si="43"/>
        <v>51882.592666514</v>
      </c>
      <c r="AZ41" s="134">
        <f ca="1" t="shared" si="43"/>
        <v>50586.2475337706</v>
      </c>
      <c r="BA41" s="134">
        <f ca="1" t="shared" si="43"/>
        <v>51443.9378804459</v>
      </c>
      <c r="BB41" s="134">
        <f ca="1" t="shared" si="43"/>
        <v>51899.185586868</v>
      </c>
      <c r="BC41" s="134">
        <f ca="1" t="shared" si="43"/>
        <v>51489.8094400789</v>
      </c>
      <c r="BD41" s="134">
        <f ca="1" t="shared" si="43"/>
        <v>51945.057146501</v>
      </c>
      <c r="BE41" s="134">
        <f ca="1" t="shared" si="43"/>
        <v>109227.349347817</v>
      </c>
    </row>
    <row r="42" ht="17.25" spans="1:57">
      <c r="B42" s="87">
        <v>8</v>
      </c>
      <c r="C42" s="128" t="s">
        <v>971</v>
      </c>
      <c r="D42" s="187"/>
      <c r="E42" s="165" t="s">
        <v>130</v>
      </c>
      <c r="F42" s="188">
        <f ca="1">F41</f>
        <v>-7065.68002741719</v>
      </c>
      <c r="G42" s="188">
        <f ca="1" t="shared" ref="G42:M42" si="44">F42+G41</f>
        <v>-23877.8291979006</v>
      </c>
      <c r="H42" s="188">
        <f ca="1" t="shared" si="44"/>
        <v>-47853.5631501956</v>
      </c>
      <c r="I42" s="188">
        <f ca="1" t="shared" si="44"/>
        <v>-75735.4062636621</v>
      </c>
      <c r="J42" s="188">
        <f ca="1" t="shared" si="44"/>
        <v>-106981.050665258</v>
      </c>
      <c r="K42" s="188">
        <f ca="1" t="shared" si="44"/>
        <v>-148933.936393497</v>
      </c>
      <c r="L42" s="188">
        <f ca="1" t="shared" si="44"/>
        <v>-189039.517704459</v>
      </c>
      <c r="M42" s="188">
        <f ca="1" t="shared" si="44"/>
        <v>-210844.065052082</v>
      </c>
      <c r="N42" s="188">
        <f ca="1" t="shared" ref="N42" si="45">M42+N41</f>
        <v>-224874.544286692</v>
      </c>
      <c r="O42" s="188">
        <f ca="1" t="shared" ref="O42:Q42" si="46">N42+O41</f>
        <v>-241736.421056164</v>
      </c>
      <c r="P42" s="129">
        <f ca="1" t="shared" si="46"/>
        <v>-244335.087582518</v>
      </c>
      <c r="Q42" s="188">
        <f ca="1" t="shared" si="46"/>
        <v>-240945.055717915</v>
      </c>
      <c r="R42" s="188">
        <f ca="1" t="shared" ref="R42" si="47">Q42+R41</f>
        <v>-234124.137433095</v>
      </c>
      <c r="S42" s="188">
        <f ca="1" t="shared" ref="S42:Z42" si="48">R42+S41</f>
        <v>-225424.714898149</v>
      </c>
      <c r="T42" s="188">
        <f ca="1" t="shared" si="48"/>
        <v>-215703.382270135</v>
      </c>
      <c r="U42" s="188">
        <f ca="1" t="shared" si="48"/>
        <v>-203989.738952844</v>
      </c>
      <c r="V42" s="188">
        <f ca="1" t="shared" si="48"/>
        <v>-190668.221633464</v>
      </c>
      <c r="W42" s="188">
        <f ca="1" t="shared" si="48"/>
        <v>-177515.935154346</v>
      </c>
      <c r="X42" s="188">
        <f ca="1" t="shared" si="48"/>
        <v>-164338.869924465</v>
      </c>
      <c r="Y42" s="188">
        <f ca="1" t="shared" si="48"/>
        <v>-150780.60069455</v>
      </c>
      <c r="Z42" s="188">
        <f ca="1" t="shared" si="48"/>
        <v>-136699.697541057</v>
      </c>
      <c r="AA42" s="188">
        <f ca="1" t="shared" ref="AA42:AP42" si="49">Z42+AA41</f>
        <v>-122039.081522448</v>
      </c>
      <c r="AB42" s="188">
        <f ca="1" t="shared" si="49"/>
        <v>-106850.608567905</v>
      </c>
      <c r="AC42" s="188">
        <f ca="1" t="shared" si="49"/>
        <v>-91918.754122921</v>
      </c>
      <c r="AD42" s="188">
        <f ca="1" t="shared" si="49"/>
        <v>-76878.7386801115</v>
      </c>
      <c r="AE42" s="188">
        <f ca="1" t="shared" si="49"/>
        <v>-61368.130605037</v>
      </c>
      <c r="AF42" s="188">
        <f ca="1" t="shared" si="49"/>
        <v>-45064.9204889241</v>
      </c>
      <c r="AG42" s="188">
        <f ca="1" t="shared" si="49"/>
        <v>-27657.1985781025</v>
      </c>
      <c r="AH42" s="188">
        <f ca="1" t="shared" si="49"/>
        <v>-8803.77484499784</v>
      </c>
      <c r="AI42" s="188">
        <f ca="1" t="shared" si="49"/>
        <v>12326.1171930203</v>
      </c>
      <c r="AJ42" s="188">
        <f ca="1" t="shared" si="49"/>
        <v>36276.2430097023</v>
      </c>
      <c r="AK42" s="188">
        <f ca="1" t="shared" si="49"/>
        <v>62313.8554039014</v>
      </c>
      <c r="AL42" s="188">
        <f ca="1" t="shared" si="49"/>
        <v>109037.669666941</v>
      </c>
      <c r="AM42" s="188">
        <f ca="1" t="shared" si="49"/>
        <v>150511.174275886</v>
      </c>
      <c r="AN42" s="188">
        <f ca="1" t="shared" si="49"/>
        <v>210194.587141711</v>
      </c>
      <c r="AO42" s="188">
        <f ca="1" t="shared" si="49"/>
        <v>269878.000007537</v>
      </c>
      <c r="AP42" s="188">
        <f ca="1" t="shared" si="49"/>
        <v>329561.412873362</v>
      </c>
      <c r="AQ42" s="188">
        <f ca="1" t="shared" ref="AQ42:BE42" si="50">AP42+AQ41</f>
        <v>388789.578032765</v>
      </c>
      <c r="AR42" s="188">
        <f ca="1" t="shared" si="50"/>
        <v>447160.052845494</v>
      </c>
      <c r="AS42" s="188">
        <f ca="1" t="shared" si="50"/>
        <v>506843.465711319</v>
      </c>
      <c r="AT42" s="188">
        <f ca="1" t="shared" si="50"/>
        <v>563251.052627635</v>
      </c>
      <c r="AU42" s="188">
        <f ca="1" t="shared" si="50"/>
        <v>615072.483214638</v>
      </c>
      <c r="AV42" s="188">
        <f ca="1" t="shared" si="50"/>
        <v>666438.66609522</v>
      </c>
      <c r="AW42" s="188">
        <f ca="1" t="shared" si="50"/>
        <v>700111.350504853</v>
      </c>
      <c r="AX42" s="188">
        <f ca="1" t="shared" si="50"/>
        <v>751993.943171367</v>
      </c>
      <c r="AY42" s="188">
        <f ca="1" t="shared" si="50"/>
        <v>803876.535837881</v>
      </c>
      <c r="AZ42" s="188">
        <f ca="1" t="shared" si="50"/>
        <v>854462.783371652</v>
      </c>
      <c r="BA42" s="188">
        <f ca="1" t="shared" si="50"/>
        <v>905906.721252097</v>
      </c>
      <c r="BB42" s="188">
        <f ca="1" t="shared" si="50"/>
        <v>957805.906838965</v>
      </c>
      <c r="BC42" s="188">
        <f ca="1" t="shared" si="50"/>
        <v>1009295.71627904</v>
      </c>
      <c r="BD42" s="188">
        <f ca="1" t="shared" si="50"/>
        <v>1061240.77342555</v>
      </c>
      <c r="BE42" s="189">
        <f ca="1" t="shared" si="50"/>
        <v>1170468.12277336</v>
      </c>
    </row>
    <row r="43" spans="1:57">
      <c r="P43" s="4"/>
    </row>
    <row r="44" spans="1:57">
      <c r="C44" s="28" t="s">
        <v>972</v>
      </c>
      <c r="D44" s="131">
        <f ca="1">XIRR(F36:BE36,F3:BE3)</f>
        <v>0.0781709469068184</v>
      </c>
      <c r="E44" s="144"/>
      <c r="F44" s="144"/>
      <c r="G44" s="144"/>
      <c r="H44" s="144"/>
      <c r="I44" s="144"/>
      <c r="J44" s="144"/>
      <c r="K44" s="144"/>
      <c r="L44" s="144"/>
      <c r="M44" s="144"/>
      <c r="N44" s="144"/>
      <c r="O44" s="144"/>
      <c r="P44" s="75"/>
      <c r="Q44" s="144"/>
      <c r="R44" s="144"/>
      <c r="S44" s="144"/>
      <c r="T44" s="144"/>
      <c r="U44" s="144"/>
      <c r="V44" s="144"/>
      <c r="W44" s="144"/>
      <c r="X44" s="144"/>
      <c r="Y44" s="144"/>
      <c r="Z44" s="144"/>
      <c r="AA44" s="144"/>
      <c r="AB44" s="144"/>
      <c r="AC44" s="144"/>
      <c r="AD44" s="144"/>
      <c r="AE44" s="144"/>
      <c r="AF44" s="144"/>
      <c r="AG44" s="144"/>
      <c r="AH44" s="144"/>
      <c r="AI44" s="144"/>
      <c r="AJ44" s="144"/>
      <c r="AK44" s="144"/>
      <c r="AL44" s="144"/>
      <c r="AM44" s="144"/>
      <c r="AN44" s="144"/>
      <c r="AO44" s="144"/>
      <c r="AP44" s="144"/>
      <c r="AQ44" s="144"/>
      <c r="AR44" s="144"/>
      <c r="AS44" s="144"/>
      <c r="AT44" s="144"/>
      <c r="AU44" s="144"/>
      <c r="AV44" s="144"/>
      <c r="AW44" s="144"/>
      <c r="AX44" s="144"/>
      <c r="AY44" s="144"/>
      <c r="AZ44" s="144"/>
      <c r="BA44" s="144"/>
      <c r="BB44" s="144"/>
      <c r="BC44" s="144"/>
      <c r="BD44" s="144"/>
      <c r="BE44" s="144"/>
    </row>
    <row r="45" spans="1:57">
      <c r="C45" s="28" t="s">
        <v>973</v>
      </c>
      <c r="D45" s="131">
        <f ca="1">XIRR(F41:BE41,F3:BE3)</f>
        <v>0.06760812738745</v>
      </c>
      <c r="E45" s="144"/>
      <c r="F45" s="144"/>
      <c r="G45" s="144"/>
      <c r="H45" s="144"/>
      <c r="I45" s="144"/>
      <c r="J45" s="144"/>
      <c r="K45" s="144"/>
      <c r="L45" s="144"/>
      <c r="M45" s="144"/>
      <c r="N45" s="144"/>
      <c r="O45" s="144"/>
      <c r="P45" s="75"/>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144"/>
      <c r="BC45" s="144"/>
      <c r="BD45" s="144"/>
      <c r="BE45" s="144"/>
    </row>
    <row r="46" spans="1:57">
      <c r="C46" s="28" t="s">
        <v>974</v>
      </c>
      <c r="D46" s="134">
        <f ca="1">SUM(G46:BE46)</f>
        <v>25.4166502521242</v>
      </c>
      <c r="E46" s="29" t="s">
        <v>15</v>
      </c>
      <c r="F46" s="29"/>
      <c r="G46" s="42">
        <v>0</v>
      </c>
      <c r="H46" s="42">
        <f ca="1" t="shared" ref="H46:S46" si="51">IF(H42/G42&lt;0,G4+ABS(G42/H41),0)</f>
        <v>0</v>
      </c>
      <c r="I46" s="42">
        <f ca="1" t="shared" si="51"/>
        <v>0</v>
      </c>
      <c r="J46" s="42">
        <f ca="1" t="shared" si="51"/>
        <v>0</v>
      </c>
      <c r="K46" s="42">
        <f ca="1" t="shared" si="51"/>
        <v>0</v>
      </c>
      <c r="L46" s="42">
        <f ca="1" t="shared" si="51"/>
        <v>0</v>
      </c>
      <c r="M46" s="42">
        <f ca="1" t="shared" si="51"/>
        <v>0</v>
      </c>
      <c r="N46" s="42">
        <f ca="1" t="shared" si="51"/>
        <v>0</v>
      </c>
      <c r="O46" s="42">
        <f ca="1" t="shared" si="51"/>
        <v>0</v>
      </c>
      <c r="P46" s="124">
        <f ca="1" t="shared" si="51"/>
        <v>0</v>
      </c>
      <c r="Q46" s="42">
        <f ca="1" t="shared" si="51"/>
        <v>0</v>
      </c>
      <c r="R46" s="42">
        <f ca="1" t="shared" si="51"/>
        <v>0</v>
      </c>
      <c r="S46" s="42">
        <f ca="1" t="shared" si="51"/>
        <v>0</v>
      </c>
      <c r="T46" s="42">
        <f ca="1" t="shared" ref="T46:AP46" si="52">IF(T42/S42&lt;0,S4+ABS(S42/T41),0)</f>
        <v>0</v>
      </c>
      <c r="U46" s="42">
        <f ca="1" t="shared" si="52"/>
        <v>0</v>
      </c>
      <c r="V46" s="42">
        <f ca="1" t="shared" si="52"/>
        <v>0</v>
      </c>
      <c r="W46" s="42">
        <f ca="1" t="shared" si="52"/>
        <v>0</v>
      </c>
      <c r="X46" s="42">
        <f ca="1" t="shared" si="52"/>
        <v>0</v>
      </c>
      <c r="Y46" s="42">
        <f ca="1" t="shared" si="52"/>
        <v>0</v>
      </c>
      <c r="Z46" s="42">
        <f ca="1" t="shared" si="52"/>
        <v>0</v>
      </c>
      <c r="AA46" s="42">
        <f ca="1" t="shared" si="52"/>
        <v>0</v>
      </c>
      <c r="AB46" s="42">
        <f ca="1" t="shared" si="52"/>
        <v>0</v>
      </c>
      <c r="AC46" s="42">
        <f ca="1" t="shared" si="52"/>
        <v>0</v>
      </c>
      <c r="AD46" s="42">
        <f ca="1" t="shared" si="52"/>
        <v>0</v>
      </c>
      <c r="AE46" s="42">
        <f ca="1" t="shared" si="52"/>
        <v>0</v>
      </c>
      <c r="AF46" s="42">
        <f ca="1" t="shared" si="52"/>
        <v>0</v>
      </c>
      <c r="AG46" s="42">
        <f ca="1" t="shared" si="52"/>
        <v>0</v>
      </c>
      <c r="AH46" s="42">
        <f ca="1" t="shared" si="52"/>
        <v>0</v>
      </c>
      <c r="AI46" s="42">
        <f ca="1" t="shared" si="52"/>
        <v>25.4166502521242</v>
      </c>
      <c r="AJ46" s="42">
        <f ca="1" t="shared" si="52"/>
        <v>0</v>
      </c>
      <c r="AK46" s="42">
        <f ca="1" t="shared" si="52"/>
        <v>0</v>
      </c>
      <c r="AL46" s="42">
        <f ca="1" t="shared" si="52"/>
        <v>0</v>
      </c>
      <c r="AM46" s="42">
        <f ca="1" t="shared" si="52"/>
        <v>0</v>
      </c>
      <c r="AN46" s="42">
        <f ca="1" t="shared" si="52"/>
        <v>0</v>
      </c>
      <c r="AO46" s="42">
        <f ca="1" t="shared" si="52"/>
        <v>0</v>
      </c>
      <c r="AP46" s="42">
        <f ca="1" t="shared" si="52"/>
        <v>0</v>
      </c>
      <c r="AQ46" s="42">
        <f ca="1" t="shared" ref="AQ46:BE46" si="53">IF(AQ42/AP42&lt;0,AP4+ABS(AP42/AQ41),0)</f>
        <v>0</v>
      </c>
      <c r="AR46" s="42">
        <f ca="1" t="shared" si="53"/>
        <v>0</v>
      </c>
      <c r="AS46" s="42">
        <f ca="1" t="shared" si="53"/>
        <v>0</v>
      </c>
      <c r="AT46" s="42">
        <f ca="1" t="shared" si="53"/>
        <v>0</v>
      </c>
      <c r="AU46" s="42">
        <f ca="1" t="shared" si="53"/>
        <v>0</v>
      </c>
      <c r="AV46" s="42">
        <f ca="1" t="shared" si="53"/>
        <v>0</v>
      </c>
      <c r="AW46" s="42">
        <f ca="1" t="shared" si="53"/>
        <v>0</v>
      </c>
      <c r="AX46" s="42">
        <f ca="1" t="shared" si="53"/>
        <v>0</v>
      </c>
      <c r="AY46" s="42">
        <f ca="1" t="shared" si="53"/>
        <v>0</v>
      </c>
      <c r="AZ46" s="42">
        <f ca="1" t="shared" si="53"/>
        <v>0</v>
      </c>
      <c r="BA46" s="42">
        <f ca="1" t="shared" si="53"/>
        <v>0</v>
      </c>
      <c r="BB46" s="42">
        <f ca="1" t="shared" si="53"/>
        <v>0</v>
      </c>
      <c r="BC46" s="42">
        <f ca="1" t="shared" si="53"/>
        <v>0</v>
      </c>
      <c r="BD46" s="42">
        <f ca="1" t="shared" si="53"/>
        <v>0</v>
      </c>
      <c r="BE46" s="42">
        <f ca="1" t="shared" si="53"/>
        <v>0</v>
      </c>
    </row>
    <row r="49" ht="22.5" spans="3:4">
      <c r="C49" s="190" t="s">
        <v>356</v>
      </c>
      <c r="D49" s="191">
        <f ca="1">D41-'表5-利润表-资本金'!D58</f>
        <v>-9.77888703346252e-9</v>
      </c>
    </row>
  </sheetData>
  <mergeCells count="4">
    <mergeCell ref="B3:B4"/>
    <mergeCell ref="C3:C4"/>
    <mergeCell ref="D3:D4"/>
    <mergeCell ref="E3:E4"/>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B1:BA97"/>
  <sheetViews>
    <sheetView showGridLines="0" zoomScale="70" zoomScaleNormal="70" workbookViewId="0">
      <pane xSplit="5" ySplit="4" topLeftCell="F5" activePane="bottomRight" state="frozen"/>
      <selection/>
      <selection pane="topRight"/>
      <selection pane="bottomLeft"/>
      <selection pane="bottomRight" activeCell="F5" sqref="F5"/>
    </sheetView>
  </sheetViews>
  <sheetFormatPr defaultColWidth="9" defaultRowHeight="16.5"/>
  <cols>
    <col min="1" max="1" width="2.89090909090909" style="6" customWidth="1"/>
    <col min="2" max="2" width="7.10909090909091" style="7" customWidth="1"/>
    <col min="3" max="3" width="56.6636363636364" style="6" customWidth="1"/>
    <col min="4" max="4" width="17.6636363636364" style="7" customWidth="1"/>
    <col min="5" max="5" width="9" style="7"/>
    <col min="6" max="12" width="9.25454545454545" style="6" customWidth="1"/>
    <col min="13" max="13" width="10.8909090909091" style="6" customWidth="1"/>
    <col min="14" max="52" width="13.2545454545455" style="6" customWidth="1"/>
    <col min="53" max="53" width="11.8727272727273" style="6" customWidth="1"/>
    <col min="54" max="16384" width="9" style="6"/>
  </cols>
  <sheetData>
    <row r="1" ht="7.95" customHeight="1"/>
    <row r="2" ht="24" customHeight="1" spans="2:53">
      <c r="B2" s="142" t="s">
        <v>975</v>
      </c>
    </row>
    <row r="3" spans="2:53">
      <c r="B3" s="8" t="s">
        <v>2</v>
      </c>
      <c r="C3" s="9" t="s">
        <v>430</v>
      </c>
      <c r="D3" s="10" t="s">
        <v>491</v>
      </c>
      <c r="E3" s="10" t="s">
        <v>9</v>
      </c>
      <c r="F3" s="11">
        <v>2023</v>
      </c>
      <c r="G3" s="11">
        <v>2024</v>
      </c>
      <c r="H3" s="11">
        <v>2025</v>
      </c>
      <c r="I3" s="11">
        <v>2026</v>
      </c>
      <c r="J3" s="11">
        <v>2027</v>
      </c>
      <c r="K3" s="11">
        <v>2028</v>
      </c>
      <c r="L3" s="12">
        <v>2029</v>
      </c>
      <c r="M3" s="12">
        <v>2030</v>
      </c>
      <c r="N3" s="13">
        <v>2031</v>
      </c>
      <c r="O3" s="13">
        <v>2032</v>
      </c>
      <c r="P3" s="13">
        <v>2033</v>
      </c>
      <c r="Q3" s="13">
        <v>2034</v>
      </c>
      <c r="R3" s="13">
        <v>2035</v>
      </c>
      <c r="S3" s="13">
        <v>2036</v>
      </c>
      <c r="T3" s="13">
        <v>2037</v>
      </c>
      <c r="U3" s="13">
        <v>2038</v>
      </c>
      <c r="V3" s="13">
        <v>2039</v>
      </c>
      <c r="W3" s="13">
        <v>2040</v>
      </c>
      <c r="X3" s="13">
        <v>2041</v>
      </c>
      <c r="Y3" s="13">
        <v>2042</v>
      </c>
      <c r="Z3" s="13">
        <v>2043</v>
      </c>
      <c r="AA3" s="13">
        <v>2044</v>
      </c>
      <c r="AB3" s="13">
        <v>2045</v>
      </c>
      <c r="AC3" s="13">
        <v>2046</v>
      </c>
      <c r="AD3" s="13">
        <v>2047</v>
      </c>
      <c r="AE3" s="13">
        <v>2048</v>
      </c>
      <c r="AF3" s="13">
        <v>2049</v>
      </c>
      <c r="AG3" s="13">
        <v>2050</v>
      </c>
      <c r="AH3" s="13">
        <v>2051</v>
      </c>
      <c r="AI3" s="13">
        <v>2052</v>
      </c>
      <c r="AJ3" s="13">
        <v>2053</v>
      </c>
      <c r="AK3" s="13">
        <v>2054</v>
      </c>
      <c r="AL3" s="13">
        <v>2055</v>
      </c>
      <c r="AM3" s="13">
        <v>2056</v>
      </c>
      <c r="AN3" s="13">
        <v>2057</v>
      </c>
      <c r="AO3" s="13">
        <v>2058</v>
      </c>
      <c r="AP3" s="13">
        <v>2059</v>
      </c>
      <c r="AQ3" s="13">
        <v>2060</v>
      </c>
      <c r="AR3" s="13">
        <v>2061</v>
      </c>
      <c r="AS3" s="13">
        <v>2062</v>
      </c>
      <c r="AT3" s="13">
        <v>2063</v>
      </c>
      <c r="AU3" s="13">
        <v>2064</v>
      </c>
      <c r="AV3" s="13">
        <v>2065</v>
      </c>
      <c r="AW3" s="13">
        <v>2066</v>
      </c>
      <c r="AX3" s="13">
        <v>2067</v>
      </c>
      <c r="AY3" s="13">
        <v>2068</v>
      </c>
      <c r="AZ3" s="13">
        <v>2069</v>
      </c>
      <c r="BA3" s="14">
        <v>2070</v>
      </c>
    </row>
    <row r="4" spans="2:53">
      <c r="B4" s="15"/>
      <c r="C4" s="16"/>
      <c r="D4" s="17"/>
      <c r="E4" s="17"/>
      <c r="F4" s="18">
        <v>1</v>
      </c>
      <c r="G4" s="18">
        <v>2</v>
      </c>
      <c r="H4" s="18">
        <v>3</v>
      </c>
      <c r="I4" s="18">
        <v>4</v>
      </c>
      <c r="J4" s="18">
        <v>5</v>
      </c>
      <c r="K4" s="18">
        <v>6</v>
      </c>
      <c r="L4" s="19">
        <v>7</v>
      </c>
      <c r="M4" s="19">
        <v>8</v>
      </c>
      <c r="N4" s="20">
        <v>9</v>
      </c>
      <c r="O4" s="20">
        <v>10</v>
      </c>
      <c r="P4" s="20">
        <v>11</v>
      </c>
      <c r="Q4" s="20">
        <v>12</v>
      </c>
      <c r="R4" s="20">
        <v>13</v>
      </c>
      <c r="S4" s="20">
        <v>14</v>
      </c>
      <c r="T4" s="20">
        <v>15</v>
      </c>
      <c r="U4" s="20">
        <v>16</v>
      </c>
      <c r="V4" s="20">
        <v>17</v>
      </c>
      <c r="W4" s="20">
        <v>18</v>
      </c>
      <c r="X4" s="20">
        <v>19</v>
      </c>
      <c r="Y4" s="20">
        <v>20</v>
      </c>
      <c r="Z4" s="20">
        <v>21</v>
      </c>
      <c r="AA4" s="20">
        <v>22</v>
      </c>
      <c r="AB4" s="20">
        <v>23</v>
      </c>
      <c r="AC4" s="20">
        <v>24</v>
      </c>
      <c r="AD4" s="20">
        <v>25</v>
      </c>
      <c r="AE4" s="20">
        <v>26</v>
      </c>
      <c r="AF4" s="20">
        <v>27</v>
      </c>
      <c r="AG4" s="20">
        <v>28</v>
      </c>
      <c r="AH4" s="20">
        <v>29</v>
      </c>
      <c r="AI4" s="20">
        <v>30</v>
      </c>
      <c r="AJ4" s="20">
        <v>31</v>
      </c>
      <c r="AK4" s="20">
        <v>32</v>
      </c>
      <c r="AL4" s="20">
        <v>33</v>
      </c>
      <c r="AM4" s="20">
        <v>34</v>
      </c>
      <c r="AN4" s="20">
        <v>35</v>
      </c>
      <c r="AO4" s="20">
        <v>36</v>
      </c>
      <c r="AP4" s="20">
        <v>37</v>
      </c>
      <c r="AQ4" s="20">
        <v>38</v>
      </c>
      <c r="AR4" s="20">
        <v>39</v>
      </c>
      <c r="AS4" s="20">
        <v>40</v>
      </c>
      <c r="AT4" s="20">
        <v>41</v>
      </c>
      <c r="AU4" s="20">
        <v>42</v>
      </c>
      <c r="AV4" s="20">
        <v>43</v>
      </c>
      <c r="AW4" s="20">
        <v>44</v>
      </c>
      <c r="AX4" s="20">
        <v>45</v>
      </c>
      <c r="AY4" s="20">
        <v>46</v>
      </c>
      <c r="AZ4" s="20">
        <v>47</v>
      </c>
      <c r="BA4" s="21">
        <v>48</v>
      </c>
    </row>
    <row r="5" s="139" customFormat="1" spans="2:53">
      <c r="B5" s="27" t="s">
        <v>834</v>
      </c>
      <c r="C5" s="28" t="s">
        <v>835</v>
      </c>
      <c r="D5" s="30">
        <f t="shared" ref="D5:D11" si="0">SUM(F5:BA5)</f>
        <v>5439260.17699115</v>
      </c>
      <c r="E5" s="29" t="s">
        <v>130</v>
      </c>
      <c r="F5" s="134">
        <f>SUM(F6:F9)</f>
        <v>0</v>
      </c>
      <c r="G5" s="134">
        <f t="shared" ref="G5:P5" si="1">SUM(G6:G9)</f>
        <v>0</v>
      </c>
      <c r="H5" s="134">
        <f t="shared" si="1"/>
        <v>0</v>
      </c>
      <c r="I5" s="134">
        <f t="shared" si="1"/>
        <v>0</v>
      </c>
      <c r="J5" s="134">
        <f t="shared" si="1"/>
        <v>0</v>
      </c>
      <c r="K5" s="134">
        <f t="shared" si="1"/>
        <v>0</v>
      </c>
      <c r="L5" s="134">
        <f t="shared" si="1"/>
        <v>0</v>
      </c>
      <c r="M5" s="134">
        <f t="shared" si="1"/>
        <v>56658.9601769911</v>
      </c>
      <c r="N5" s="134">
        <f t="shared" si="1"/>
        <v>135981.504424779</v>
      </c>
      <c r="O5" s="134">
        <f t="shared" si="1"/>
        <v>135981.504424779</v>
      </c>
      <c r="P5" s="134">
        <f t="shared" si="1"/>
        <v>135981.504424779</v>
      </c>
      <c r="Q5" s="134">
        <f t="shared" ref="Q5:AL5" si="2">SUM(Q6:Q9)</f>
        <v>135981.504424779</v>
      </c>
      <c r="R5" s="134">
        <f t="shared" si="2"/>
        <v>135981.504424779</v>
      </c>
      <c r="S5" s="134">
        <f t="shared" si="2"/>
        <v>135981.504424779</v>
      </c>
      <c r="T5" s="134">
        <f t="shared" si="2"/>
        <v>135981.504424779</v>
      </c>
      <c r="U5" s="134">
        <f t="shared" si="2"/>
        <v>135981.504424779</v>
      </c>
      <c r="V5" s="134">
        <f t="shared" si="2"/>
        <v>135981.504424779</v>
      </c>
      <c r="W5" s="134">
        <f t="shared" si="2"/>
        <v>135981.504424779</v>
      </c>
      <c r="X5" s="134">
        <f t="shared" si="2"/>
        <v>135981.504424779</v>
      </c>
      <c r="Y5" s="134">
        <f t="shared" si="2"/>
        <v>135981.504424779</v>
      </c>
      <c r="Z5" s="134">
        <f t="shared" si="2"/>
        <v>135981.504424779</v>
      </c>
      <c r="AA5" s="134">
        <f t="shared" si="2"/>
        <v>135981.504424779</v>
      </c>
      <c r="AB5" s="134">
        <f t="shared" si="2"/>
        <v>135981.504424779</v>
      </c>
      <c r="AC5" s="134">
        <f t="shared" si="2"/>
        <v>135981.504424779</v>
      </c>
      <c r="AD5" s="134">
        <f t="shared" si="2"/>
        <v>135981.504424779</v>
      </c>
      <c r="AE5" s="134">
        <f t="shared" si="2"/>
        <v>135981.504424779</v>
      </c>
      <c r="AF5" s="134">
        <f t="shared" si="2"/>
        <v>135981.504424779</v>
      </c>
      <c r="AG5" s="134">
        <f t="shared" si="2"/>
        <v>135981.504424779</v>
      </c>
      <c r="AH5" s="134">
        <f t="shared" si="2"/>
        <v>135981.504424779</v>
      </c>
      <c r="AI5" s="134">
        <f t="shared" si="2"/>
        <v>135981.504424779</v>
      </c>
      <c r="AJ5" s="134">
        <f t="shared" si="2"/>
        <v>135981.504424779</v>
      </c>
      <c r="AK5" s="134">
        <f t="shared" si="2"/>
        <v>135981.504424779</v>
      </c>
      <c r="AL5" s="134">
        <f t="shared" si="2"/>
        <v>135981.504424779</v>
      </c>
      <c r="AM5" s="134">
        <f t="shared" ref="AM5:BA5" si="3">SUM(AM6:AM9)</f>
        <v>135981.504424779</v>
      </c>
      <c r="AN5" s="134">
        <f t="shared" si="3"/>
        <v>135981.504424779</v>
      </c>
      <c r="AO5" s="134">
        <f t="shared" si="3"/>
        <v>135981.504424779</v>
      </c>
      <c r="AP5" s="134">
        <f t="shared" si="3"/>
        <v>135981.504424779</v>
      </c>
      <c r="AQ5" s="134">
        <f t="shared" si="3"/>
        <v>135981.504424779</v>
      </c>
      <c r="AR5" s="134">
        <f t="shared" si="3"/>
        <v>135981.504424779</v>
      </c>
      <c r="AS5" s="134">
        <f t="shared" si="3"/>
        <v>135981.504424779</v>
      </c>
      <c r="AT5" s="134">
        <f t="shared" si="3"/>
        <v>135981.504424779</v>
      </c>
      <c r="AU5" s="134">
        <f t="shared" si="3"/>
        <v>135981.504424779</v>
      </c>
      <c r="AV5" s="134">
        <f t="shared" si="3"/>
        <v>135981.504424779</v>
      </c>
      <c r="AW5" s="134">
        <f t="shared" si="3"/>
        <v>135981.504424779</v>
      </c>
      <c r="AX5" s="134">
        <f t="shared" si="3"/>
        <v>135981.504424779</v>
      </c>
      <c r="AY5" s="134">
        <f t="shared" si="3"/>
        <v>135981.504424779</v>
      </c>
      <c r="AZ5" s="134">
        <f t="shared" si="3"/>
        <v>135981.504424779</v>
      </c>
      <c r="BA5" s="143">
        <f t="shared" si="3"/>
        <v>79322.5442477875</v>
      </c>
    </row>
    <row r="6" spans="2:53">
      <c r="B6" s="32"/>
      <c r="C6" s="144" t="s">
        <v>836</v>
      </c>
      <c r="D6" s="34">
        <f t="shared" si="0"/>
        <v>5439260.17699115</v>
      </c>
      <c r="E6" s="29" t="s">
        <v>130</v>
      </c>
      <c r="F6" s="34">
        <f>'表4-收入税金表'!F6</f>
        <v>0</v>
      </c>
      <c r="G6" s="34">
        <f>'表4-收入税金表'!G6</f>
        <v>0</v>
      </c>
      <c r="H6" s="34">
        <f>'表4-收入税金表'!H6</f>
        <v>0</v>
      </c>
      <c r="I6" s="34">
        <f>'表4-收入税金表'!I6</f>
        <v>0</v>
      </c>
      <c r="J6" s="34">
        <f>'表4-收入税金表'!J6</f>
        <v>0</v>
      </c>
      <c r="K6" s="34">
        <f>'表4-收入税金表'!K6</f>
        <v>0</v>
      </c>
      <c r="L6" s="34">
        <f>'表4-收入税金表'!L6</f>
        <v>0</v>
      </c>
      <c r="M6" s="34">
        <f>'表4-收入税金表'!M6</f>
        <v>56658.9601769911</v>
      </c>
      <c r="N6" s="34">
        <f>'表4-收入税金表'!N6</f>
        <v>135981.504424779</v>
      </c>
      <c r="O6" s="34">
        <f>'表4-收入税金表'!O6</f>
        <v>135981.504424779</v>
      </c>
      <c r="P6" s="34">
        <f>'表4-收入税金表'!P6</f>
        <v>135981.504424779</v>
      </c>
      <c r="Q6" s="34">
        <f>'表4-收入税金表'!Q6</f>
        <v>135981.504424779</v>
      </c>
      <c r="R6" s="34">
        <f>'表4-收入税金表'!R6</f>
        <v>135981.504424779</v>
      </c>
      <c r="S6" s="34">
        <f>'表4-收入税金表'!S6</f>
        <v>135981.504424779</v>
      </c>
      <c r="T6" s="34">
        <f>'表4-收入税金表'!T6</f>
        <v>135981.504424779</v>
      </c>
      <c r="U6" s="34">
        <f>'表4-收入税金表'!U6</f>
        <v>135981.504424779</v>
      </c>
      <c r="V6" s="34">
        <f>'表4-收入税金表'!V6</f>
        <v>135981.504424779</v>
      </c>
      <c r="W6" s="34">
        <f>'表4-收入税金表'!W6</f>
        <v>135981.504424779</v>
      </c>
      <c r="X6" s="34">
        <f>'表4-收入税金表'!X6</f>
        <v>135981.504424779</v>
      </c>
      <c r="Y6" s="34">
        <f>'表4-收入税金表'!Y6</f>
        <v>135981.504424779</v>
      </c>
      <c r="Z6" s="34">
        <f>'表4-收入税金表'!Z6</f>
        <v>135981.504424779</v>
      </c>
      <c r="AA6" s="34">
        <f>'表4-收入税金表'!AA6</f>
        <v>135981.504424779</v>
      </c>
      <c r="AB6" s="34">
        <f>'表4-收入税金表'!AB6</f>
        <v>135981.504424779</v>
      </c>
      <c r="AC6" s="34">
        <f>'表4-收入税金表'!AC6</f>
        <v>135981.504424779</v>
      </c>
      <c r="AD6" s="34">
        <f>'表4-收入税金表'!AD6</f>
        <v>135981.504424779</v>
      </c>
      <c r="AE6" s="34">
        <f>'表4-收入税金表'!AE6</f>
        <v>135981.504424779</v>
      </c>
      <c r="AF6" s="34">
        <f>'表4-收入税金表'!AF6</f>
        <v>135981.504424779</v>
      </c>
      <c r="AG6" s="34">
        <f>'表4-收入税金表'!AG6</f>
        <v>135981.504424779</v>
      </c>
      <c r="AH6" s="34">
        <f>'表4-收入税金表'!AH6</f>
        <v>135981.504424779</v>
      </c>
      <c r="AI6" s="34">
        <f>'表4-收入税金表'!AI6</f>
        <v>135981.504424779</v>
      </c>
      <c r="AJ6" s="34">
        <f>'表4-收入税金表'!AJ6</f>
        <v>135981.504424779</v>
      </c>
      <c r="AK6" s="34">
        <f>'表4-收入税金表'!AK6</f>
        <v>135981.504424779</v>
      </c>
      <c r="AL6" s="34">
        <f>'表4-收入税金表'!AL6</f>
        <v>135981.504424779</v>
      </c>
      <c r="AM6" s="34">
        <f>'表4-收入税金表'!AM6</f>
        <v>135981.504424779</v>
      </c>
      <c r="AN6" s="34">
        <f>'表4-收入税金表'!AN6</f>
        <v>135981.504424779</v>
      </c>
      <c r="AO6" s="34">
        <f>'表4-收入税金表'!AO6</f>
        <v>135981.504424779</v>
      </c>
      <c r="AP6" s="34">
        <f>'表4-收入税金表'!AP6</f>
        <v>135981.504424779</v>
      </c>
      <c r="AQ6" s="34">
        <f>'表4-收入税金表'!AQ6</f>
        <v>135981.504424779</v>
      </c>
      <c r="AR6" s="34">
        <f>'表4-收入税金表'!AR6</f>
        <v>135981.504424779</v>
      </c>
      <c r="AS6" s="34">
        <f>'表4-收入税金表'!AS6</f>
        <v>135981.504424779</v>
      </c>
      <c r="AT6" s="34">
        <f>'表4-收入税金表'!AT6</f>
        <v>135981.504424779</v>
      </c>
      <c r="AU6" s="34">
        <f>'表4-收入税金表'!AU6</f>
        <v>135981.504424779</v>
      </c>
      <c r="AV6" s="34">
        <f>'表4-收入税金表'!AV6</f>
        <v>135981.504424779</v>
      </c>
      <c r="AW6" s="34">
        <f>'表4-收入税金表'!AW6</f>
        <v>135981.504424779</v>
      </c>
      <c r="AX6" s="34">
        <f>'表4-收入税金表'!AX6</f>
        <v>135981.504424779</v>
      </c>
      <c r="AY6" s="34">
        <f>'表4-收入税金表'!AY6</f>
        <v>135981.504424779</v>
      </c>
      <c r="AZ6" s="34">
        <f>'表4-收入税金表'!AZ6</f>
        <v>135981.504424779</v>
      </c>
      <c r="BA6" s="35">
        <f>'表4-收入税金表'!BA6</f>
        <v>79322.5442477875</v>
      </c>
    </row>
    <row r="7" spans="2:53">
      <c r="B7" s="32"/>
      <c r="C7" s="145" t="s">
        <v>837</v>
      </c>
      <c r="D7" s="34">
        <f t="shared" si="0"/>
        <v>0</v>
      </c>
      <c r="E7" s="29" t="s">
        <v>130</v>
      </c>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5"/>
    </row>
    <row r="8" spans="2:53">
      <c r="B8" s="32"/>
      <c r="C8" s="145" t="s">
        <v>838</v>
      </c>
      <c r="D8" s="34">
        <f t="shared" si="0"/>
        <v>0</v>
      </c>
      <c r="E8" s="29" t="s">
        <v>130</v>
      </c>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5"/>
    </row>
    <row r="9" spans="2:53">
      <c r="B9" s="32"/>
      <c r="C9" s="145" t="s">
        <v>839</v>
      </c>
      <c r="D9" s="34">
        <f t="shared" si="0"/>
        <v>0</v>
      </c>
      <c r="E9" s="29" t="s">
        <v>130</v>
      </c>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5"/>
    </row>
    <row r="10" s="139" customFormat="1" spans="2:53">
      <c r="B10" s="27" t="s">
        <v>840</v>
      </c>
      <c r="C10" s="28" t="s">
        <v>841</v>
      </c>
      <c r="D10" s="30">
        <f ca="1" t="shared" si="0"/>
        <v>3374881.78701601</v>
      </c>
      <c r="E10" s="29" t="s">
        <v>130</v>
      </c>
      <c r="F10" s="134">
        <f ca="1">SUM(F11:F23)+F27</f>
        <v>0</v>
      </c>
      <c r="G10" s="134">
        <f ca="1" t="shared" ref="G10:S10" si="4">SUM(G11:G23)+G27</f>
        <v>0</v>
      </c>
      <c r="H10" s="134">
        <f ca="1" t="shared" si="4"/>
        <v>0</v>
      </c>
      <c r="I10" s="134">
        <f ca="1" t="shared" si="4"/>
        <v>0</v>
      </c>
      <c r="J10" s="134">
        <f ca="1" t="shared" si="4"/>
        <v>0</v>
      </c>
      <c r="K10" s="134">
        <f ca="1" t="shared" si="4"/>
        <v>0</v>
      </c>
      <c r="L10" s="134">
        <f ca="1" t="shared" si="4"/>
        <v>0</v>
      </c>
      <c r="M10" s="134">
        <f ca="1" t="shared" si="4"/>
        <v>37202.1398281503</v>
      </c>
      <c r="N10" s="134">
        <f ca="1" t="shared" si="4"/>
        <v>91440.3187953224</v>
      </c>
      <c r="O10" s="134">
        <f ca="1" t="shared" si="4"/>
        <v>90977.8187953224</v>
      </c>
      <c r="P10" s="134">
        <f ca="1" t="shared" si="4"/>
        <v>90977.8187953224</v>
      </c>
      <c r="Q10" s="134">
        <f ca="1" t="shared" si="4"/>
        <v>90977.8187953224</v>
      </c>
      <c r="R10" s="134">
        <f ca="1" t="shared" si="4"/>
        <v>90977.8187953224</v>
      </c>
      <c r="S10" s="134">
        <f ca="1" t="shared" si="4"/>
        <v>91330.4738965054</v>
      </c>
      <c r="T10" s="134">
        <f ca="1" t="shared" ref="T10:AL10" si="5">SUM(T11:T23)+T27</f>
        <v>92301.3695422758</v>
      </c>
      <c r="U10" s="134">
        <f ca="1" t="shared" si="5"/>
        <v>92301.3695422758</v>
      </c>
      <c r="V10" s="134">
        <f ca="1" t="shared" si="5"/>
        <v>92301.3695422758</v>
      </c>
      <c r="W10" s="134">
        <f ca="1" t="shared" si="5"/>
        <v>92301.3695422758</v>
      </c>
      <c r="X10" s="134">
        <f ca="1" t="shared" si="5"/>
        <v>92441.6366527735</v>
      </c>
      <c r="Y10" s="134">
        <f ca="1" t="shared" si="5"/>
        <v>93878.9959935221</v>
      </c>
      <c r="Z10" s="134">
        <f ca="1" t="shared" si="5"/>
        <v>93762.1611311368</v>
      </c>
      <c r="AA10" s="134">
        <f ca="1" t="shared" si="5"/>
        <v>93762.1611311368</v>
      </c>
      <c r="AB10" s="134">
        <f ca="1" t="shared" si="5"/>
        <v>93762.1611311368</v>
      </c>
      <c r="AC10" s="134">
        <f ca="1" t="shared" si="5"/>
        <v>93757.2070026964</v>
      </c>
      <c r="AD10" s="134">
        <f ca="1" t="shared" si="5"/>
        <v>93762.1611311368</v>
      </c>
      <c r="AE10" s="134">
        <f ca="1" t="shared" si="5"/>
        <v>92002.9018718775</v>
      </c>
      <c r="AF10" s="134">
        <f ca="1" t="shared" si="5"/>
        <v>89519.2309443128</v>
      </c>
      <c r="AG10" s="134">
        <f ca="1" t="shared" si="5"/>
        <v>89302.4389089146</v>
      </c>
      <c r="AH10" s="134">
        <f ca="1" t="shared" si="5"/>
        <v>88964.9847804742</v>
      </c>
      <c r="AI10" s="134">
        <f ca="1" t="shared" si="5"/>
        <v>88771.7737712999</v>
      </c>
      <c r="AJ10" s="134">
        <f ca="1" t="shared" si="5"/>
        <v>88969.9389089146</v>
      </c>
      <c r="AK10" s="134">
        <f ca="1" t="shared" si="5"/>
        <v>88969.9389089146</v>
      </c>
      <c r="AL10" s="134">
        <f ca="1" t="shared" si="5"/>
        <v>88969.9389089146</v>
      </c>
      <c r="AM10" s="134">
        <f ca="1" t="shared" ref="AM10:BA10" si="6">SUM(AM11:AM23)+AM27</f>
        <v>88964.9847804742</v>
      </c>
      <c r="AN10" s="134">
        <f ca="1" t="shared" si="6"/>
        <v>88949.2309443128</v>
      </c>
      <c r="AO10" s="134">
        <f ca="1" t="shared" si="6"/>
        <v>88969.9389089146</v>
      </c>
      <c r="AP10" s="134">
        <f ca="1" t="shared" si="6"/>
        <v>79510.6217713754</v>
      </c>
      <c r="AQ10" s="134">
        <f ca="1" t="shared" si="6"/>
        <v>66267.5777788207</v>
      </c>
      <c r="AR10" s="134">
        <f ca="1" t="shared" si="6"/>
        <v>66262.6236503803</v>
      </c>
      <c r="AS10" s="134">
        <f ca="1" t="shared" si="6"/>
        <v>66273.286239575</v>
      </c>
      <c r="AT10" s="134">
        <f ca="1" t="shared" si="6"/>
        <v>66471.4513771897</v>
      </c>
      <c r="AU10" s="134">
        <f ca="1" t="shared" si="6"/>
        <v>66471.4513771897</v>
      </c>
      <c r="AV10" s="134">
        <f ca="1" t="shared" si="6"/>
        <v>66506.0531471012</v>
      </c>
      <c r="AW10" s="134">
        <f ca="1" t="shared" si="6"/>
        <v>66521.8069832626</v>
      </c>
      <c r="AX10" s="134">
        <f ca="1" t="shared" si="6"/>
        <v>66526.7611117029</v>
      </c>
      <c r="AY10" s="134">
        <f ca="1" t="shared" si="6"/>
        <v>66674.7121820393</v>
      </c>
      <c r="AZ10" s="134">
        <f ca="1" t="shared" si="6"/>
        <v>66679.6663104797</v>
      </c>
      <c r="BA10" s="143">
        <f ca="1" t="shared" si="6"/>
        <v>40144.3034056552</v>
      </c>
    </row>
    <row r="11" spans="2:53">
      <c r="B11" s="32"/>
      <c r="C11" s="144" t="s">
        <v>842</v>
      </c>
      <c r="D11" s="34">
        <f ca="1" t="shared" si="0"/>
        <v>3252570.26765982</v>
      </c>
      <c r="E11" s="29" t="s">
        <v>130</v>
      </c>
      <c r="F11" s="34">
        <f ca="1">'表3-成本费用表'!F42</f>
        <v>0</v>
      </c>
      <c r="G11" s="34">
        <f ca="1">'表3-成本费用表'!G42</f>
        <v>0</v>
      </c>
      <c r="H11" s="34">
        <f ca="1">'表3-成本费用表'!H42</f>
        <v>0</v>
      </c>
      <c r="I11" s="34">
        <f ca="1">'表3-成本费用表'!I42</f>
        <v>0</v>
      </c>
      <c r="J11" s="34">
        <f ca="1">'表3-成本费用表'!J42</f>
        <v>0</v>
      </c>
      <c r="K11" s="34">
        <f ca="1">'表3-成本费用表'!K42</f>
        <v>0</v>
      </c>
      <c r="L11" s="34">
        <f ca="1">'表3-成本费用表'!L42</f>
        <v>0</v>
      </c>
      <c r="M11" s="34">
        <f ca="1">'表3-成本费用表'!M42</f>
        <v>36449.8279062504</v>
      </c>
      <c r="N11" s="34">
        <f ca="1">'表3-成本费用表'!N42</f>
        <v>89484.7701827626</v>
      </c>
      <c r="O11" s="34">
        <f ca="1">'表3-成本费用表'!O42</f>
        <v>89022.2701827626</v>
      </c>
      <c r="P11" s="34">
        <f ca="1">'表3-成本费用表'!P42</f>
        <v>89022.2701827626</v>
      </c>
      <c r="Q11" s="34">
        <f ca="1">'表3-成本费用表'!Q42</f>
        <v>89022.2701827626</v>
      </c>
      <c r="R11" s="34">
        <f ca="1">'表3-成本费用表'!R42</f>
        <v>89022.2701827626</v>
      </c>
      <c r="S11" s="34">
        <f ca="1">'表3-成本费用表'!S42</f>
        <v>89022.2701827626</v>
      </c>
      <c r="T11" s="34">
        <f ca="1">'表3-成本费用表'!T42</f>
        <v>89022.2701827626</v>
      </c>
      <c r="U11" s="34">
        <f ca="1">'表3-成本费用表'!U42</f>
        <v>89022.2701827626</v>
      </c>
      <c r="V11" s="34">
        <f ca="1">'表3-成本费用表'!V42</f>
        <v>89022.2701827626</v>
      </c>
      <c r="W11" s="34">
        <f ca="1">'表3-成本费用表'!W42</f>
        <v>89022.2701827626</v>
      </c>
      <c r="X11" s="34">
        <f ca="1">'表3-成本费用表'!X42</f>
        <v>89188.1993863024</v>
      </c>
      <c r="Y11" s="34">
        <f ca="1">'表3-成本费用表'!Y42</f>
        <v>90798.0617716235</v>
      </c>
      <c r="Z11" s="34">
        <f ca="1">'表3-成本费用表'!Z42</f>
        <v>90483.0617716235</v>
      </c>
      <c r="AA11" s="34">
        <f ca="1">'表3-成本费用表'!AA42</f>
        <v>90483.0617716235</v>
      </c>
      <c r="AB11" s="34">
        <f ca="1">'表3-成本费用表'!AB42</f>
        <v>90483.0617716235</v>
      </c>
      <c r="AC11" s="34">
        <f ca="1">'表3-成本费用表'!AC42</f>
        <v>90483.0617716235</v>
      </c>
      <c r="AD11" s="34">
        <f ca="1">'表3-成本费用表'!AD42</f>
        <v>90483.0617716235</v>
      </c>
      <c r="AE11" s="34">
        <f ca="1">'表3-成本费用表'!AE42</f>
        <v>88723.8025123642</v>
      </c>
      <c r="AF11" s="34">
        <f ca="1">'表3-成本费用表'!AF42</f>
        <v>86260.8395494013</v>
      </c>
      <c r="AG11" s="34">
        <f ca="1">'表3-成本费用表'!AG42</f>
        <v>86023.3395494013</v>
      </c>
      <c r="AH11" s="34">
        <f ca="1">'表3-成本费用表'!AH42</f>
        <v>85690.8395494013</v>
      </c>
      <c r="AI11" s="34">
        <f ca="1">'表3-成本费用表'!AI42</f>
        <v>85690.8395494013</v>
      </c>
      <c r="AJ11" s="34">
        <f ca="1">'表3-成本费用表'!AJ42</f>
        <v>85690.8395494013</v>
      </c>
      <c r="AK11" s="34">
        <f ca="1">'表3-成本费用表'!AK42</f>
        <v>85690.8395494013</v>
      </c>
      <c r="AL11" s="34">
        <f ca="1">'表3-成本费用表'!AL42</f>
        <v>85690.8395494013</v>
      </c>
      <c r="AM11" s="34">
        <f ca="1">'表3-成本费用表'!AM42</f>
        <v>85690.8395494013</v>
      </c>
      <c r="AN11" s="34">
        <f ca="1">'表3-成本费用表'!AN42</f>
        <v>85690.8395494013</v>
      </c>
      <c r="AO11" s="34">
        <f ca="1">'表3-成本费用表'!AO42</f>
        <v>85690.8395494013</v>
      </c>
      <c r="AP11" s="34">
        <f ca="1">'表3-成本费用表'!AP42</f>
        <v>76231.5224118622</v>
      </c>
      <c r="AQ11" s="34">
        <f ca="1">'表3-成本费用表'!AQ42</f>
        <v>62988.4784193074</v>
      </c>
      <c r="AR11" s="34">
        <f ca="1">'表3-成本费用表'!AR42</f>
        <v>62988.4784193074</v>
      </c>
      <c r="AS11" s="34">
        <f ca="1">'表3-成本费用表'!AS42</f>
        <v>63192.3520176764</v>
      </c>
      <c r="AT11" s="34">
        <f ca="1">'表3-成本费用表'!AT42</f>
        <v>63192.3520176764</v>
      </c>
      <c r="AU11" s="34">
        <f ca="1">'表3-成本费用表'!AU42</f>
        <v>63192.3520176764</v>
      </c>
      <c r="AV11" s="34">
        <f ca="1">'表3-成本费用表'!AV42</f>
        <v>63247.6617521897</v>
      </c>
      <c r="AW11" s="34">
        <f ca="1">'表3-成本费用表'!AW42</f>
        <v>63247.6617521897</v>
      </c>
      <c r="AX11" s="34">
        <f ca="1">'表3-成本费用表'!AX42</f>
        <v>63247.6617521897</v>
      </c>
      <c r="AY11" s="34">
        <f ca="1">'表3-成本费用表'!AY42</f>
        <v>63400.5669509664</v>
      </c>
      <c r="AZ11" s="34">
        <f ca="1">'表3-成本费用表'!AZ42</f>
        <v>63400.5669509664</v>
      </c>
      <c r="BA11" s="35">
        <f ca="1">'表3-成本费用表'!BA42</f>
        <v>38169.3154415144</v>
      </c>
    </row>
    <row r="12" spans="2:53">
      <c r="B12" s="32"/>
      <c r="C12" s="145" t="s">
        <v>843</v>
      </c>
      <c r="D12" s="34">
        <f t="shared" ref="D12:D28" si="7">SUM(F12:BA12)</f>
        <v>0</v>
      </c>
      <c r="E12" s="29" t="s">
        <v>130</v>
      </c>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5"/>
    </row>
    <row r="13" spans="2:53">
      <c r="B13" s="32"/>
      <c r="C13" s="145" t="s">
        <v>844</v>
      </c>
      <c r="D13" s="34">
        <f t="shared" si="7"/>
        <v>0</v>
      </c>
      <c r="E13" s="29" t="s">
        <v>130</v>
      </c>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5"/>
    </row>
    <row r="14" spans="2:53">
      <c r="B14" s="32"/>
      <c r="C14" s="145" t="s">
        <v>845</v>
      </c>
      <c r="D14" s="34">
        <f t="shared" si="7"/>
        <v>0</v>
      </c>
      <c r="E14" s="29" t="s">
        <v>130</v>
      </c>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5"/>
    </row>
    <row r="15" spans="2:53">
      <c r="B15" s="32"/>
      <c r="C15" s="145" t="s">
        <v>846</v>
      </c>
      <c r="D15" s="34">
        <f t="shared" si="7"/>
        <v>0</v>
      </c>
      <c r="E15" s="29" t="s">
        <v>130</v>
      </c>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5"/>
    </row>
    <row r="16" spans="2:53">
      <c r="B16" s="32"/>
      <c r="C16" s="145" t="s">
        <v>847</v>
      </c>
      <c r="D16" s="34">
        <f t="shared" si="7"/>
        <v>0</v>
      </c>
      <c r="E16" s="29" t="s">
        <v>130</v>
      </c>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5"/>
    </row>
    <row r="17" spans="2:53">
      <c r="B17" s="32"/>
      <c r="C17" s="145" t="s">
        <v>848</v>
      </c>
      <c r="D17" s="34">
        <f t="shared" si="7"/>
        <v>0</v>
      </c>
      <c r="E17" s="29" t="s">
        <v>130</v>
      </c>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5"/>
    </row>
    <row r="18" spans="2:53">
      <c r="B18" s="32"/>
      <c r="C18" s="145" t="s">
        <v>849</v>
      </c>
      <c r="D18" s="34">
        <f t="shared" si="7"/>
        <v>0</v>
      </c>
      <c r="E18" s="29" t="s">
        <v>130</v>
      </c>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5"/>
    </row>
    <row r="19" spans="2:53">
      <c r="B19" s="32"/>
      <c r="C19" s="33" t="s">
        <v>850</v>
      </c>
      <c r="D19" s="34">
        <f t="shared" si="7"/>
        <v>50089.5748537951</v>
      </c>
      <c r="E19" s="29" t="s">
        <v>130</v>
      </c>
      <c r="F19" s="34">
        <f>'表4-收入税金表'!F55+'表4-收入税金表'!F59</f>
        <v>0</v>
      </c>
      <c r="G19" s="34">
        <f>'表4-收入税金表'!G55+'表4-收入税金表'!G59</f>
        <v>0</v>
      </c>
      <c r="H19" s="34">
        <f>'表4-收入税金表'!H55+'表4-收入税金表'!H59</f>
        <v>0</v>
      </c>
      <c r="I19" s="34">
        <f>'表4-收入税金表'!I55+'表4-收入税金表'!I59</f>
        <v>0</v>
      </c>
      <c r="J19" s="34">
        <f>'表4-收入税金表'!J55+'表4-收入税金表'!J59</f>
        <v>0</v>
      </c>
      <c r="K19" s="34">
        <f>'表4-收入税金表'!K55+'表4-收入税金表'!K59</f>
        <v>0</v>
      </c>
      <c r="L19" s="34">
        <f>'表4-收入税金表'!L55+'表4-收入税金表'!L59</f>
        <v>0</v>
      </c>
      <c r="M19" s="34">
        <f>'表4-收入税金表'!M55+'表4-收入税金表'!M59</f>
        <v>0</v>
      </c>
      <c r="N19" s="34">
        <f>'表4-收入税金表'!N55+'表4-收入税金表'!N59</f>
        <v>150</v>
      </c>
      <c r="O19" s="34">
        <f>'表4-收入税金表'!O55+'表4-收入税金表'!O59</f>
        <v>150</v>
      </c>
      <c r="P19" s="34">
        <f>'表4-收入税金表'!P55+'表4-收入税金表'!P59</f>
        <v>150</v>
      </c>
      <c r="Q19" s="34">
        <f>'表4-收入税金表'!Q55+'表4-收入税金表'!Q59</f>
        <v>150</v>
      </c>
      <c r="R19" s="34">
        <f>'表4-收入税金表'!R55+'表4-收入税金表'!R59</f>
        <v>150</v>
      </c>
      <c r="S19" s="34">
        <f>'表4-收入税金表'!S55+'表4-收入税金表'!S59</f>
        <v>502.655101183045</v>
      </c>
      <c r="T19" s="34">
        <f>'表4-收入税金表'!T55+'表4-收入税金表'!T59</f>
        <v>1473.55074695348</v>
      </c>
      <c r="U19" s="34">
        <f>'表4-收入税金表'!U55+'表4-收入税金表'!U59</f>
        <v>1473.55074695348</v>
      </c>
      <c r="V19" s="34">
        <f>'表4-收入税金表'!V55+'表4-收入税金表'!V59</f>
        <v>1473.55074695348</v>
      </c>
      <c r="W19" s="34">
        <f>'表4-收入税金表'!W55+'表4-收入税金表'!W59</f>
        <v>1473.55074695348</v>
      </c>
      <c r="X19" s="34">
        <f>'表4-收入税金表'!X55+'表4-收入税金表'!X59</f>
        <v>1447.88865391134</v>
      </c>
      <c r="Y19" s="34">
        <f>'表4-收入税金表'!Y55+'表4-收入税金表'!Y59</f>
        <v>1275.3856093388</v>
      </c>
      <c r="Z19" s="34">
        <f>'表4-收入税金表'!Z55+'表4-收入税金表'!Z59</f>
        <v>1473.55074695348</v>
      </c>
      <c r="AA19" s="34">
        <f>'表4-收入税金表'!AA55+'表4-收入税金表'!AA59</f>
        <v>1473.55074695348</v>
      </c>
      <c r="AB19" s="34">
        <f>'表4-收入税金表'!AB55+'表4-收入税金表'!AB59</f>
        <v>1473.55074695348</v>
      </c>
      <c r="AC19" s="34">
        <f>'表4-收入税金表'!AC55+'表4-收入税金表'!AC59</f>
        <v>1468.59661851311</v>
      </c>
      <c r="AD19" s="34">
        <f>'表4-收入税金表'!AD55+'表4-收入税金表'!AD59</f>
        <v>1473.55074695348</v>
      </c>
      <c r="AE19" s="34">
        <f>'表4-收入税金表'!AE55+'表4-收入税金表'!AE59</f>
        <v>1473.55074695348</v>
      </c>
      <c r="AF19" s="34">
        <f>'表4-收入税金表'!AF55+'表4-收入税金表'!AF59</f>
        <v>1452.84278235171</v>
      </c>
      <c r="AG19" s="34">
        <f>'表4-收入税金表'!AG55+'表4-收入税金表'!AG59</f>
        <v>1473.55074695348</v>
      </c>
      <c r="AH19" s="34">
        <f>'表4-收入税金表'!AH55+'表4-收入税金表'!AH59</f>
        <v>1468.59661851311</v>
      </c>
      <c r="AI19" s="34">
        <f>'表4-收入税金表'!AI55+'表4-收入税金表'!AI59</f>
        <v>1275.3856093388</v>
      </c>
      <c r="AJ19" s="34">
        <f>'表4-收入税金表'!AJ55+'表4-收入税金表'!AJ59</f>
        <v>1473.55074695348</v>
      </c>
      <c r="AK19" s="34">
        <f>'表4-收入税金表'!AK55+'表4-收入税金表'!AK59</f>
        <v>1473.55074695348</v>
      </c>
      <c r="AL19" s="34">
        <f>'表4-收入税金表'!AL55+'表4-收入税金表'!AL59</f>
        <v>1473.55074695348</v>
      </c>
      <c r="AM19" s="34">
        <f>'表4-收入税金表'!AM55+'表4-收入税金表'!AM59</f>
        <v>1468.59661851311</v>
      </c>
      <c r="AN19" s="34">
        <f>'表4-收入税金表'!AN55+'表4-收入税金表'!AN59</f>
        <v>1452.84278235171</v>
      </c>
      <c r="AO19" s="34">
        <f>'表4-收入税金表'!AO55+'表4-收入税金表'!AO59</f>
        <v>1473.55074695348</v>
      </c>
      <c r="AP19" s="34">
        <f>'表4-收入税金表'!AP55+'表4-收入税金表'!AP59</f>
        <v>1473.55074695348</v>
      </c>
      <c r="AQ19" s="34">
        <f>'表4-收入税金表'!AQ55+'表4-收入税金表'!AQ59</f>
        <v>1473.55074695348</v>
      </c>
      <c r="AR19" s="34">
        <f>'表4-收入税金表'!AR55+'表4-收入税金表'!AR59</f>
        <v>1468.59661851311</v>
      </c>
      <c r="AS19" s="34">
        <f>'表4-收入税金表'!AS55+'表4-收入税金表'!AS59</f>
        <v>1275.3856093388</v>
      </c>
      <c r="AT19" s="34">
        <f>'表4-收入税金表'!AT55+'表4-收入税金表'!AT59</f>
        <v>1473.55074695348</v>
      </c>
      <c r="AU19" s="34">
        <f>'表4-收入税金表'!AU55+'表4-收入税金表'!AU59</f>
        <v>1473.55074695348</v>
      </c>
      <c r="AV19" s="34">
        <f>'表4-收入税金表'!AV55+'表4-收入税金表'!AV59</f>
        <v>1452.84278235171</v>
      </c>
      <c r="AW19" s="34">
        <f>'表4-收入税金表'!AW55+'表4-收入税金表'!AW59</f>
        <v>1468.59661851311</v>
      </c>
      <c r="AX19" s="34">
        <f>'表4-收入税金表'!AX55+'表4-收入税金表'!AX59</f>
        <v>1473.55074695348</v>
      </c>
      <c r="AY19" s="34">
        <f>'表4-收入税金表'!AY55+'表4-收入税金表'!AY59</f>
        <v>1468.59661851311</v>
      </c>
      <c r="AZ19" s="34">
        <f>'表4-收入税金表'!AZ55+'表4-收入税金表'!AZ59</f>
        <v>1473.55074695348</v>
      </c>
      <c r="BA19" s="35">
        <f>'表4-收入税金表'!BA55+'表4-收入税金表'!BA59</f>
        <v>921.751273480975</v>
      </c>
    </row>
    <row r="20" spans="2:53">
      <c r="B20" s="32"/>
      <c r="C20" s="33" t="s">
        <v>773</v>
      </c>
      <c r="D20" s="34">
        <f t="shared" si="7"/>
        <v>0</v>
      </c>
      <c r="E20" s="29" t="s">
        <v>130</v>
      </c>
      <c r="F20" s="34">
        <f>'表3-成本费用表'!F62</f>
        <v>0</v>
      </c>
      <c r="G20" s="34">
        <f>'表3-成本费用表'!G62</f>
        <v>0</v>
      </c>
      <c r="H20" s="34">
        <f>'表3-成本费用表'!H62</f>
        <v>0</v>
      </c>
      <c r="I20" s="34">
        <f>'表3-成本费用表'!I62</f>
        <v>0</v>
      </c>
      <c r="J20" s="34">
        <f>'表3-成本费用表'!J62</f>
        <v>0</v>
      </c>
      <c r="K20" s="34">
        <f>'表3-成本费用表'!K62</f>
        <v>0</v>
      </c>
      <c r="L20" s="34">
        <f>'表3-成本费用表'!L62</f>
        <v>0</v>
      </c>
      <c r="M20" s="34">
        <f>'表3-成本费用表'!M62</f>
        <v>0</v>
      </c>
      <c r="N20" s="34">
        <f>'表3-成本费用表'!N62</f>
        <v>0</v>
      </c>
      <c r="O20" s="34">
        <f>'表3-成本费用表'!O62</f>
        <v>0</v>
      </c>
      <c r="P20" s="34">
        <f>'表3-成本费用表'!P62</f>
        <v>0</v>
      </c>
      <c r="Q20" s="34">
        <f>'表3-成本费用表'!Q62</f>
        <v>0</v>
      </c>
      <c r="R20" s="34">
        <f>'表3-成本费用表'!R62</f>
        <v>0</v>
      </c>
      <c r="S20" s="34">
        <f>'表3-成本费用表'!S62</f>
        <v>0</v>
      </c>
      <c r="T20" s="34">
        <f>'表3-成本费用表'!T62</f>
        <v>0</v>
      </c>
      <c r="U20" s="34">
        <f>'表3-成本费用表'!U62</f>
        <v>0</v>
      </c>
      <c r="V20" s="34">
        <f>'表3-成本费用表'!V62</f>
        <v>0</v>
      </c>
      <c r="W20" s="34">
        <f>'表3-成本费用表'!W62</f>
        <v>0</v>
      </c>
      <c r="X20" s="34">
        <f>'表3-成本费用表'!X62</f>
        <v>0</v>
      </c>
      <c r="Y20" s="34">
        <f>'表3-成本费用表'!Y62</f>
        <v>0</v>
      </c>
      <c r="Z20" s="34">
        <f>'表3-成本费用表'!Z62</f>
        <v>0</v>
      </c>
      <c r="AA20" s="34">
        <f>'表3-成本费用表'!AA62</f>
        <v>0</v>
      </c>
      <c r="AB20" s="34">
        <f>'表3-成本费用表'!AB62</f>
        <v>0</v>
      </c>
      <c r="AC20" s="34">
        <f>'表3-成本费用表'!AC62</f>
        <v>0</v>
      </c>
      <c r="AD20" s="34">
        <f>'表3-成本费用表'!AD62</f>
        <v>0</v>
      </c>
      <c r="AE20" s="34">
        <f>'表3-成本费用表'!AE62</f>
        <v>0</v>
      </c>
      <c r="AF20" s="34">
        <f>'表3-成本费用表'!AF62</f>
        <v>0</v>
      </c>
      <c r="AG20" s="34">
        <f>'表3-成本费用表'!AG62</f>
        <v>0</v>
      </c>
      <c r="AH20" s="34">
        <f>'表3-成本费用表'!AH62</f>
        <v>0</v>
      </c>
      <c r="AI20" s="34">
        <f>'表3-成本费用表'!AI62</f>
        <v>0</v>
      </c>
      <c r="AJ20" s="34">
        <f>'表3-成本费用表'!AJ62</f>
        <v>0</v>
      </c>
      <c r="AK20" s="34">
        <f>'表3-成本费用表'!AK62</f>
        <v>0</v>
      </c>
      <c r="AL20" s="34">
        <f>'表3-成本费用表'!AL62</f>
        <v>0</v>
      </c>
      <c r="AM20" s="34">
        <f>'表3-成本费用表'!AM62</f>
        <v>0</v>
      </c>
      <c r="AN20" s="34">
        <f>'表3-成本费用表'!AN62</f>
        <v>0</v>
      </c>
      <c r="AO20" s="34">
        <f>'表3-成本费用表'!AO62</f>
        <v>0</v>
      </c>
      <c r="AP20" s="34">
        <f>'表3-成本费用表'!AP62</f>
        <v>0</v>
      </c>
      <c r="AQ20" s="34">
        <f>'表3-成本费用表'!AQ62</f>
        <v>0</v>
      </c>
      <c r="AR20" s="34">
        <f>'表3-成本费用表'!AR62</f>
        <v>0</v>
      </c>
      <c r="AS20" s="34">
        <f>'表3-成本费用表'!AS62</f>
        <v>0</v>
      </c>
      <c r="AT20" s="34">
        <f>'表3-成本费用表'!AT62</f>
        <v>0</v>
      </c>
      <c r="AU20" s="34">
        <f>'表3-成本费用表'!AU62</f>
        <v>0</v>
      </c>
      <c r="AV20" s="34">
        <f>'表3-成本费用表'!AV62</f>
        <v>0</v>
      </c>
      <c r="AW20" s="34">
        <f>'表3-成本费用表'!AW62</f>
        <v>0</v>
      </c>
      <c r="AX20" s="34">
        <f>'表3-成本费用表'!AX62</f>
        <v>0</v>
      </c>
      <c r="AY20" s="34">
        <f>'表3-成本费用表'!AY62</f>
        <v>0</v>
      </c>
      <c r="AZ20" s="34">
        <f>'表3-成本费用表'!AZ62</f>
        <v>0</v>
      </c>
      <c r="BA20" s="35">
        <f>'表3-成本费用表'!BA62</f>
        <v>0</v>
      </c>
    </row>
    <row r="21" spans="2:53">
      <c r="B21" s="32"/>
      <c r="C21" s="33" t="s">
        <v>265</v>
      </c>
      <c r="D21" s="34">
        <f t="shared" si="7"/>
        <v>72221.944502392</v>
      </c>
      <c r="E21" s="29" t="s">
        <v>130</v>
      </c>
      <c r="F21" s="34">
        <f>'表3-成本费用表'!F63</f>
        <v>0</v>
      </c>
      <c r="G21" s="34">
        <f>'表3-成本费用表'!G63</f>
        <v>0</v>
      </c>
      <c r="H21" s="34">
        <f>'表3-成本费用表'!H63</f>
        <v>0</v>
      </c>
      <c r="I21" s="34">
        <f>'表3-成本费用表'!I63</f>
        <v>0</v>
      </c>
      <c r="J21" s="34">
        <f>'表3-成本费用表'!J63</f>
        <v>0</v>
      </c>
      <c r="K21" s="34">
        <f>'表3-成本费用表'!K63</f>
        <v>0</v>
      </c>
      <c r="L21" s="34">
        <f>'表3-成本费用表'!L63</f>
        <v>0</v>
      </c>
      <c r="M21" s="34">
        <f>'表3-成本费用表'!M63</f>
        <v>752.311921899917</v>
      </c>
      <c r="N21" s="34">
        <f>'表3-成本费用表'!N63</f>
        <v>1805.5486125598</v>
      </c>
      <c r="O21" s="34">
        <f>'表3-成本费用表'!O63</f>
        <v>1805.5486125598</v>
      </c>
      <c r="P21" s="34">
        <f>'表3-成本费用表'!P63</f>
        <v>1805.5486125598</v>
      </c>
      <c r="Q21" s="34">
        <f>'表3-成本费用表'!Q63</f>
        <v>1805.5486125598</v>
      </c>
      <c r="R21" s="34">
        <f>'表3-成本费用表'!R63</f>
        <v>1805.5486125598</v>
      </c>
      <c r="S21" s="34">
        <f>'表3-成本费用表'!S63</f>
        <v>1805.5486125598</v>
      </c>
      <c r="T21" s="34">
        <f>'表3-成本费用表'!T63</f>
        <v>1805.5486125598</v>
      </c>
      <c r="U21" s="34">
        <f>'表3-成本费用表'!U63</f>
        <v>1805.5486125598</v>
      </c>
      <c r="V21" s="34">
        <f>'表3-成本费用表'!V63</f>
        <v>1805.5486125598</v>
      </c>
      <c r="W21" s="34">
        <f>'表3-成本费用表'!W63</f>
        <v>1805.5486125598</v>
      </c>
      <c r="X21" s="34">
        <f>'表3-成本费用表'!X63</f>
        <v>1805.5486125598</v>
      </c>
      <c r="Y21" s="34">
        <f>'表3-成本费用表'!Y63</f>
        <v>1805.5486125598</v>
      </c>
      <c r="Z21" s="34">
        <f>'表3-成本费用表'!Z63</f>
        <v>1805.5486125598</v>
      </c>
      <c r="AA21" s="34">
        <f>'表3-成本费用表'!AA63</f>
        <v>1805.5486125598</v>
      </c>
      <c r="AB21" s="34">
        <f>'表3-成本费用表'!AB63</f>
        <v>1805.5486125598</v>
      </c>
      <c r="AC21" s="34">
        <f>'表3-成本费用表'!AC63</f>
        <v>1805.5486125598</v>
      </c>
      <c r="AD21" s="34">
        <f>'表3-成本费用表'!AD63</f>
        <v>1805.5486125598</v>
      </c>
      <c r="AE21" s="34">
        <f>'表3-成本费用表'!AE63</f>
        <v>1805.5486125598</v>
      </c>
      <c r="AF21" s="34">
        <f>'表3-成本费用表'!AF63</f>
        <v>1805.5486125598</v>
      </c>
      <c r="AG21" s="34">
        <f>'表3-成本费用表'!AG63</f>
        <v>1805.5486125598</v>
      </c>
      <c r="AH21" s="34">
        <f>'表3-成本费用表'!AH63</f>
        <v>1805.5486125598</v>
      </c>
      <c r="AI21" s="34">
        <f>'表3-成本费用表'!AI63</f>
        <v>1805.5486125598</v>
      </c>
      <c r="AJ21" s="34">
        <f>'表3-成本费用表'!AJ63</f>
        <v>1805.5486125598</v>
      </c>
      <c r="AK21" s="34">
        <f>'表3-成本费用表'!AK63</f>
        <v>1805.5486125598</v>
      </c>
      <c r="AL21" s="34">
        <f>'表3-成本费用表'!AL63</f>
        <v>1805.5486125598</v>
      </c>
      <c r="AM21" s="34">
        <f>'表3-成本费用表'!AM63</f>
        <v>1805.5486125598</v>
      </c>
      <c r="AN21" s="34">
        <f>'表3-成本费用表'!AN63</f>
        <v>1805.5486125598</v>
      </c>
      <c r="AO21" s="34">
        <f>'表3-成本费用表'!AO63</f>
        <v>1805.5486125598</v>
      </c>
      <c r="AP21" s="34">
        <f>'表3-成本费用表'!AP63</f>
        <v>1805.5486125598</v>
      </c>
      <c r="AQ21" s="34">
        <f>'表3-成本费用表'!AQ63</f>
        <v>1805.5486125598</v>
      </c>
      <c r="AR21" s="34">
        <f>'表3-成本费用表'!AR63</f>
        <v>1805.5486125598</v>
      </c>
      <c r="AS21" s="34">
        <f>'表3-成本费用表'!AS63</f>
        <v>1805.5486125598</v>
      </c>
      <c r="AT21" s="34">
        <f>'表3-成本费用表'!AT63</f>
        <v>1805.5486125598</v>
      </c>
      <c r="AU21" s="34">
        <f>'表3-成本费用表'!AU63</f>
        <v>1805.5486125598</v>
      </c>
      <c r="AV21" s="34">
        <f>'表3-成本费用表'!AV63</f>
        <v>1805.5486125598</v>
      </c>
      <c r="AW21" s="34">
        <f>'表3-成本费用表'!AW63</f>
        <v>1805.5486125598</v>
      </c>
      <c r="AX21" s="34">
        <f>'表3-成本费用表'!AX63</f>
        <v>1805.5486125598</v>
      </c>
      <c r="AY21" s="34">
        <f>'表3-成本费用表'!AY63</f>
        <v>1805.5486125598</v>
      </c>
      <c r="AZ21" s="34">
        <f>'表3-成本费用表'!AZ63</f>
        <v>1805.5486125598</v>
      </c>
      <c r="BA21" s="35">
        <f>'表3-成本费用表'!BA63</f>
        <v>1053.23669065988</v>
      </c>
    </row>
    <row r="22" spans="2:53">
      <c r="B22" s="32"/>
      <c r="C22" s="33" t="s">
        <v>775</v>
      </c>
      <c r="D22" s="34">
        <f t="shared" si="7"/>
        <v>0</v>
      </c>
      <c r="E22" s="29" t="s">
        <v>130</v>
      </c>
      <c r="F22" s="34">
        <f>'表3-成本费用表'!F65</f>
        <v>0</v>
      </c>
      <c r="G22" s="34">
        <f>'表3-成本费用表'!G65</f>
        <v>0</v>
      </c>
      <c r="H22" s="34">
        <f>'表3-成本费用表'!H65</f>
        <v>0</v>
      </c>
      <c r="I22" s="34">
        <f>'表3-成本费用表'!I65</f>
        <v>0</v>
      </c>
      <c r="J22" s="34">
        <f>'表3-成本费用表'!J65</f>
        <v>0</v>
      </c>
      <c r="K22" s="34">
        <f>'表3-成本费用表'!K65</f>
        <v>0</v>
      </c>
      <c r="L22" s="34">
        <f>'表3-成本费用表'!L65</f>
        <v>0</v>
      </c>
      <c r="M22" s="34">
        <f>'表3-成本费用表'!M65</f>
        <v>0</v>
      </c>
      <c r="N22" s="34">
        <f>'表3-成本费用表'!N65</f>
        <v>0</v>
      </c>
      <c r="O22" s="34">
        <f>'表3-成本费用表'!O65</f>
        <v>0</v>
      </c>
      <c r="P22" s="34">
        <f>'表3-成本费用表'!P65</f>
        <v>0</v>
      </c>
      <c r="Q22" s="34">
        <f>'表3-成本费用表'!Q65</f>
        <v>0</v>
      </c>
      <c r="R22" s="34">
        <f>'表3-成本费用表'!R65</f>
        <v>0</v>
      </c>
      <c r="S22" s="34">
        <f>'表3-成本费用表'!S65</f>
        <v>0</v>
      </c>
      <c r="T22" s="34">
        <f>'表3-成本费用表'!T65</f>
        <v>0</v>
      </c>
      <c r="U22" s="34">
        <f>'表3-成本费用表'!U65</f>
        <v>0</v>
      </c>
      <c r="V22" s="34">
        <f>'表3-成本费用表'!V65</f>
        <v>0</v>
      </c>
      <c r="W22" s="34">
        <f>'表3-成本费用表'!W65</f>
        <v>0</v>
      </c>
      <c r="X22" s="34">
        <f>'表3-成本费用表'!X65</f>
        <v>0</v>
      </c>
      <c r="Y22" s="34">
        <f>'表3-成本费用表'!Y65</f>
        <v>0</v>
      </c>
      <c r="Z22" s="34">
        <f>'表3-成本费用表'!Z65</f>
        <v>0</v>
      </c>
      <c r="AA22" s="34">
        <f>'表3-成本费用表'!AA65</f>
        <v>0</v>
      </c>
      <c r="AB22" s="34">
        <f>'表3-成本费用表'!AB65</f>
        <v>0</v>
      </c>
      <c r="AC22" s="34">
        <f>'表3-成本费用表'!AC65</f>
        <v>0</v>
      </c>
      <c r="AD22" s="34">
        <f>'表3-成本费用表'!AD65</f>
        <v>0</v>
      </c>
      <c r="AE22" s="34">
        <f>'表3-成本费用表'!AE65</f>
        <v>0</v>
      </c>
      <c r="AF22" s="34">
        <f>'表3-成本费用表'!AF65</f>
        <v>0</v>
      </c>
      <c r="AG22" s="34">
        <f>'表3-成本费用表'!AG65</f>
        <v>0</v>
      </c>
      <c r="AH22" s="34">
        <f>'表3-成本费用表'!AH65</f>
        <v>0</v>
      </c>
      <c r="AI22" s="34">
        <f>'表3-成本费用表'!AI65</f>
        <v>0</v>
      </c>
      <c r="AJ22" s="34">
        <f>'表3-成本费用表'!AJ65</f>
        <v>0</v>
      </c>
      <c r="AK22" s="34">
        <f>'表3-成本费用表'!AK65</f>
        <v>0</v>
      </c>
      <c r="AL22" s="34">
        <f>'表3-成本费用表'!AL65</f>
        <v>0</v>
      </c>
      <c r="AM22" s="34">
        <f>'表3-成本费用表'!AM65</f>
        <v>0</v>
      </c>
      <c r="AN22" s="34">
        <f>'表3-成本费用表'!AN65</f>
        <v>0</v>
      </c>
      <c r="AO22" s="34">
        <f>'表3-成本费用表'!AO65</f>
        <v>0</v>
      </c>
      <c r="AP22" s="34">
        <f>'表3-成本费用表'!AP65</f>
        <v>0</v>
      </c>
      <c r="AQ22" s="34">
        <f>'表3-成本费用表'!AQ65</f>
        <v>0</v>
      </c>
      <c r="AR22" s="34">
        <f>'表3-成本费用表'!AR65</f>
        <v>0</v>
      </c>
      <c r="AS22" s="34">
        <f>'表3-成本费用表'!AS65</f>
        <v>0</v>
      </c>
      <c r="AT22" s="34">
        <f>'表3-成本费用表'!AT65</f>
        <v>0</v>
      </c>
      <c r="AU22" s="34">
        <f>'表3-成本费用表'!AU65</f>
        <v>0</v>
      </c>
      <c r="AV22" s="34">
        <f>'表3-成本费用表'!AV65</f>
        <v>0</v>
      </c>
      <c r="AW22" s="34">
        <f>'表3-成本费用表'!AW65</f>
        <v>0</v>
      </c>
      <c r="AX22" s="34">
        <f>'表3-成本费用表'!AX65</f>
        <v>0</v>
      </c>
      <c r="AY22" s="34">
        <f>'表3-成本费用表'!AY65</f>
        <v>0</v>
      </c>
      <c r="AZ22" s="34">
        <f>'表3-成本费用表'!AZ65</f>
        <v>0</v>
      </c>
      <c r="BA22" s="35">
        <f>'表3-成本费用表'!BA65</f>
        <v>0</v>
      </c>
    </row>
    <row r="23" spans="2:53">
      <c r="B23" s="32"/>
      <c r="C23" s="33" t="s">
        <v>776</v>
      </c>
      <c r="D23" s="34">
        <f t="shared" si="7"/>
        <v>0</v>
      </c>
      <c r="E23" s="29" t="s">
        <v>130</v>
      </c>
      <c r="F23" s="34">
        <f>F24-F25+F26</f>
        <v>0</v>
      </c>
      <c r="G23" s="34">
        <f t="shared" ref="G23:P23" si="8">G24-G25+G26</f>
        <v>0</v>
      </c>
      <c r="H23" s="34">
        <f t="shared" si="8"/>
        <v>0</v>
      </c>
      <c r="I23" s="34">
        <f t="shared" si="8"/>
        <v>0</v>
      </c>
      <c r="J23" s="34">
        <f t="shared" si="8"/>
        <v>0</v>
      </c>
      <c r="K23" s="34">
        <f t="shared" si="8"/>
        <v>0</v>
      </c>
      <c r="L23" s="34">
        <f t="shared" si="8"/>
        <v>0</v>
      </c>
      <c r="M23" s="34">
        <f t="shared" si="8"/>
        <v>0</v>
      </c>
      <c r="N23" s="34">
        <f t="shared" si="8"/>
        <v>0</v>
      </c>
      <c r="O23" s="34">
        <f t="shared" si="8"/>
        <v>0</v>
      </c>
      <c r="P23" s="34">
        <f t="shared" si="8"/>
        <v>0</v>
      </c>
      <c r="Q23" s="34">
        <f t="shared" ref="Q23:AL23" si="9">Q24-Q25+Q26</f>
        <v>0</v>
      </c>
      <c r="R23" s="34">
        <f t="shared" si="9"/>
        <v>0</v>
      </c>
      <c r="S23" s="34">
        <f t="shared" si="9"/>
        <v>0</v>
      </c>
      <c r="T23" s="34">
        <f t="shared" si="9"/>
        <v>0</v>
      </c>
      <c r="U23" s="34">
        <f t="shared" si="9"/>
        <v>0</v>
      </c>
      <c r="V23" s="34">
        <f t="shared" si="9"/>
        <v>0</v>
      </c>
      <c r="W23" s="34">
        <f t="shared" si="9"/>
        <v>0</v>
      </c>
      <c r="X23" s="34">
        <f t="shared" si="9"/>
        <v>0</v>
      </c>
      <c r="Y23" s="34">
        <f t="shared" si="9"/>
        <v>0</v>
      </c>
      <c r="Z23" s="34">
        <f t="shared" si="9"/>
        <v>0</v>
      </c>
      <c r="AA23" s="34">
        <f t="shared" si="9"/>
        <v>0</v>
      </c>
      <c r="AB23" s="34">
        <f t="shared" si="9"/>
        <v>0</v>
      </c>
      <c r="AC23" s="34">
        <f t="shared" si="9"/>
        <v>0</v>
      </c>
      <c r="AD23" s="34">
        <f t="shared" si="9"/>
        <v>0</v>
      </c>
      <c r="AE23" s="34">
        <f t="shared" si="9"/>
        <v>0</v>
      </c>
      <c r="AF23" s="34">
        <f t="shared" si="9"/>
        <v>0</v>
      </c>
      <c r="AG23" s="34">
        <f t="shared" si="9"/>
        <v>0</v>
      </c>
      <c r="AH23" s="34">
        <f t="shared" si="9"/>
        <v>0</v>
      </c>
      <c r="AI23" s="34">
        <f t="shared" si="9"/>
        <v>0</v>
      </c>
      <c r="AJ23" s="34">
        <f t="shared" si="9"/>
        <v>0</v>
      </c>
      <c r="AK23" s="34">
        <f t="shared" si="9"/>
        <v>0</v>
      </c>
      <c r="AL23" s="34">
        <f t="shared" si="9"/>
        <v>0</v>
      </c>
      <c r="AM23" s="34">
        <f t="shared" ref="AM23:BA23" si="10">AM24-AM25+AM26</f>
        <v>0</v>
      </c>
      <c r="AN23" s="34">
        <f t="shared" si="10"/>
        <v>0</v>
      </c>
      <c r="AO23" s="34">
        <f t="shared" si="10"/>
        <v>0</v>
      </c>
      <c r="AP23" s="34">
        <f t="shared" si="10"/>
        <v>0</v>
      </c>
      <c r="AQ23" s="34">
        <f t="shared" si="10"/>
        <v>0</v>
      </c>
      <c r="AR23" s="34">
        <f t="shared" si="10"/>
        <v>0</v>
      </c>
      <c r="AS23" s="34">
        <f t="shared" si="10"/>
        <v>0</v>
      </c>
      <c r="AT23" s="34">
        <f t="shared" si="10"/>
        <v>0</v>
      </c>
      <c r="AU23" s="34">
        <f t="shared" si="10"/>
        <v>0</v>
      </c>
      <c r="AV23" s="34">
        <f t="shared" si="10"/>
        <v>0</v>
      </c>
      <c r="AW23" s="34">
        <f t="shared" si="10"/>
        <v>0</v>
      </c>
      <c r="AX23" s="34">
        <f t="shared" si="10"/>
        <v>0</v>
      </c>
      <c r="AY23" s="34">
        <f t="shared" si="10"/>
        <v>0</v>
      </c>
      <c r="AZ23" s="34">
        <f t="shared" si="10"/>
        <v>0</v>
      </c>
      <c r="BA23" s="35">
        <f t="shared" si="10"/>
        <v>0</v>
      </c>
    </row>
    <row r="24" spans="2:53">
      <c r="B24" s="32"/>
      <c r="C24" s="146" t="s">
        <v>851</v>
      </c>
      <c r="D24" s="34">
        <f t="shared" si="7"/>
        <v>0</v>
      </c>
      <c r="E24" s="29" t="s">
        <v>130</v>
      </c>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5"/>
    </row>
    <row r="25" spans="2:53">
      <c r="B25" s="32"/>
      <c r="C25" s="55" t="s">
        <v>852</v>
      </c>
      <c r="D25" s="34">
        <f t="shared" si="7"/>
        <v>0</v>
      </c>
      <c r="E25" s="29" t="s">
        <v>130</v>
      </c>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5"/>
    </row>
    <row r="26" spans="2:53">
      <c r="B26" s="32"/>
      <c r="C26" s="55" t="s">
        <v>853</v>
      </c>
      <c r="D26" s="34">
        <f t="shared" si="7"/>
        <v>0</v>
      </c>
      <c r="E26" s="29" t="s">
        <v>130</v>
      </c>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5"/>
    </row>
    <row r="27" spans="2:53">
      <c r="B27" s="32"/>
      <c r="C27" s="33" t="s">
        <v>421</v>
      </c>
      <c r="D27" s="34">
        <f t="shared" si="7"/>
        <v>0</v>
      </c>
      <c r="E27" s="29" t="s">
        <v>130</v>
      </c>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5"/>
    </row>
    <row r="28" spans="2:53">
      <c r="B28" s="32"/>
      <c r="C28" s="144" t="s">
        <v>854</v>
      </c>
      <c r="D28" s="34">
        <f t="shared" si="7"/>
        <v>49557.5221238938</v>
      </c>
      <c r="E28" s="29" t="s">
        <v>130</v>
      </c>
      <c r="F28" s="34">
        <f>'表4-收入税金表'!F14</f>
        <v>0</v>
      </c>
      <c r="G28" s="34">
        <f>'表4-收入税金表'!G14</f>
        <v>0</v>
      </c>
      <c r="H28" s="34">
        <f>'表4-收入税金表'!H14</f>
        <v>0</v>
      </c>
      <c r="I28" s="34">
        <f>'表4-收入税金表'!I14</f>
        <v>0</v>
      </c>
      <c r="J28" s="34">
        <f>'表4-收入税金表'!J14</f>
        <v>0</v>
      </c>
      <c r="K28" s="34">
        <f>'表4-收入税金表'!K14</f>
        <v>0</v>
      </c>
      <c r="L28" s="34">
        <f>'表4-收入税金表'!L14</f>
        <v>0</v>
      </c>
      <c r="M28" s="34">
        <f>'表4-收入税金表'!M14</f>
        <v>516.224188790561</v>
      </c>
      <c r="N28" s="34">
        <f>'表4-收入税金表'!N14</f>
        <v>1238.93805309735</v>
      </c>
      <c r="O28" s="34">
        <f>'表4-收入税金表'!O14</f>
        <v>1238.93805309735</v>
      </c>
      <c r="P28" s="34">
        <f>'表4-收入税金表'!P14</f>
        <v>1238.93805309735</v>
      </c>
      <c r="Q28" s="34">
        <f>'表4-收入税金表'!Q14</f>
        <v>1238.93805309735</v>
      </c>
      <c r="R28" s="34">
        <f>'表4-收入税金表'!R14</f>
        <v>1238.93805309735</v>
      </c>
      <c r="S28" s="34">
        <f>'表4-收入税金表'!S14</f>
        <v>1238.93805309735</v>
      </c>
      <c r="T28" s="34">
        <f>'表4-收入税金表'!T14</f>
        <v>1238.93805309735</v>
      </c>
      <c r="U28" s="34">
        <f>'表4-收入税金表'!U14</f>
        <v>1238.93805309735</v>
      </c>
      <c r="V28" s="34">
        <f>'表4-收入税金表'!V14</f>
        <v>1238.93805309735</v>
      </c>
      <c r="W28" s="34">
        <f>'表4-收入税金表'!W14</f>
        <v>1238.93805309735</v>
      </c>
      <c r="X28" s="34">
        <f>'表4-收入税金表'!X14</f>
        <v>1238.93805309735</v>
      </c>
      <c r="Y28" s="34">
        <f>'表4-收入税金表'!Y14</f>
        <v>1238.93805309735</v>
      </c>
      <c r="Z28" s="34">
        <f>'表4-收入税金表'!Z14</f>
        <v>1238.93805309735</v>
      </c>
      <c r="AA28" s="34">
        <f>'表4-收入税金表'!AA14</f>
        <v>1238.93805309735</v>
      </c>
      <c r="AB28" s="34">
        <f>'表4-收入税金表'!AB14</f>
        <v>1238.93805309735</v>
      </c>
      <c r="AC28" s="34">
        <f>'表4-收入税金表'!AC14</f>
        <v>1238.93805309735</v>
      </c>
      <c r="AD28" s="34">
        <f>'表4-收入税金表'!AD14</f>
        <v>1238.93805309735</v>
      </c>
      <c r="AE28" s="34">
        <f>'表4-收入税金表'!AE14</f>
        <v>1238.93805309735</v>
      </c>
      <c r="AF28" s="34">
        <f>'表4-收入税金表'!AF14</f>
        <v>1238.93805309735</v>
      </c>
      <c r="AG28" s="34">
        <f>'表4-收入税金表'!AG14</f>
        <v>1238.93805309735</v>
      </c>
      <c r="AH28" s="34">
        <f>'表4-收入税金表'!AH14</f>
        <v>1238.93805309735</v>
      </c>
      <c r="AI28" s="34">
        <f>'表4-收入税金表'!AI14</f>
        <v>1238.93805309735</v>
      </c>
      <c r="AJ28" s="34">
        <f>'表4-收入税金表'!AJ14</f>
        <v>1238.93805309735</v>
      </c>
      <c r="AK28" s="34">
        <f>'表4-收入税金表'!AK14</f>
        <v>1238.93805309735</v>
      </c>
      <c r="AL28" s="34">
        <f>'表4-收入税金表'!AL14</f>
        <v>1238.93805309735</v>
      </c>
      <c r="AM28" s="34">
        <f>'表4-收入税金表'!AM14</f>
        <v>1238.93805309735</v>
      </c>
      <c r="AN28" s="34">
        <f>'表4-收入税金表'!AN14</f>
        <v>1238.93805309735</v>
      </c>
      <c r="AO28" s="34">
        <f>'表4-收入税金表'!AO14</f>
        <v>1238.93805309735</v>
      </c>
      <c r="AP28" s="34">
        <f>'表4-收入税金表'!AP14</f>
        <v>1238.93805309735</v>
      </c>
      <c r="AQ28" s="34">
        <f>'表4-收入税金表'!AQ14</f>
        <v>1238.93805309735</v>
      </c>
      <c r="AR28" s="34">
        <f>'表4-收入税金表'!AR14</f>
        <v>1238.93805309735</v>
      </c>
      <c r="AS28" s="34">
        <f>'表4-收入税金表'!AS14</f>
        <v>1238.93805309735</v>
      </c>
      <c r="AT28" s="34">
        <f>'表4-收入税金表'!AT14</f>
        <v>1238.93805309735</v>
      </c>
      <c r="AU28" s="34">
        <f>'表4-收入税金表'!AU14</f>
        <v>1238.93805309735</v>
      </c>
      <c r="AV28" s="34">
        <f>'表4-收入税金表'!AV14</f>
        <v>1238.93805309735</v>
      </c>
      <c r="AW28" s="34">
        <f>'表4-收入税金表'!AW14</f>
        <v>1238.93805309735</v>
      </c>
      <c r="AX28" s="34">
        <f>'表4-收入税金表'!AX14</f>
        <v>1238.93805309735</v>
      </c>
      <c r="AY28" s="34">
        <f>'表4-收入税金表'!AY14</f>
        <v>1238.93805309735</v>
      </c>
      <c r="AZ28" s="34">
        <f>'表4-收入税金表'!AZ14</f>
        <v>1238.93805309735</v>
      </c>
      <c r="BA28" s="35">
        <f>'表4-收入税金表'!BA14</f>
        <v>722.713864306785</v>
      </c>
    </row>
    <row r="29" spans="2:53">
      <c r="B29" s="32"/>
      <c r="C29" s="33" t="s">
        <v>855</v>
      </c>
      <c r="D29" s="34">
        <f t="shared" ref="D29:D39" si="11">SUM(F29:BA29)</f>
        <v>0</v>
      </c>
      <c r="E29" s="29" t="s">
        <v>130</v>
      </c>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5"/>
    </row>
    <row r="30" spans="2:53">
      <c r="B30" s="32"/>
      <c r="C30" s="146" t="s">
        <v>856</v>
      </c>
      <c r="D30" s="34">
        <f t="shared" si="11"/>
        <v>0</v>
      </c>
      <c r="E30" s="29" t="s">
        <v>130</v>
      </c>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5"/>
    </row>
    <row r="31" spans="2:53">
      <c r="B31" s="32"/>
      <c r="C31" s="55" t="s">
        <v>857</v>
      </c>
      <c r="D31" s="34">
        <f t="shared" si="11"/>
        <v>0</v>
      </c>
      <c r="E31" s="29" t="s">
        <v>130</v>
      </c>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5"/>
    </row>
    <row r="32" spans="2:53">
      <c r="B32" s="32"/>
      <c r="C32" s="145" t="s">
        <v>858</v>
      </c>
      <c r="D32" s="34">
        <f t="shared" si="11"/>
        <v>0</v>
      </c>
      <c r="E32" s="29" t="s">
        <v>130</v>
      </c>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5"/>
    </row>
    <row r="33" spans="2:53">
      <c r="B33" s="32"/>
      <c r="C33" s="33" t="s">
        <v>859</v>
      </c>
      <c r="D33" s="34">
        <f t="shared" si="11"/>
        <v>0</v>
      </c>
      <c r="E33" s="29" t="s">
        <v>130</v>
      </c>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5"/>
    </row>
    <row r="34" spans="2:53">
      <c r="B34" s="32"/>
      <c r="C34" s="33" t="s">
        <v>860</v>
      </c>
      <c r="D34" s="34">
        <f t="shared" si="11"/>
        <v>0</v>
      </c>
      <c r="E34" s="29" t="s">
        <v>130</v>
      </c>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5"/>
    </row>
    <row r="35" spans="2:53">
      <c r="B35" s="32"/>
      <c r="C35" s="33" t="s">
        <v>861</v>
      </c>
      <c r="D35" s="34">
        <f t="shared" si="11"/>
        <v>0</v>
      </c>
      <c r="E35" s="29" t="s">
        <v>130</v>
      </c>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5"/>
    </row>
    <row r="36" spans="2:53">
      <c r="B36" s="32"/>
      <c r="C36" s="33" t="s">
        <v>862</v>
      </c>
      <c r="D36" s="34">
        <f t="shared" si="11"/>
        <v>0</v>
      </c>
      <c r="E36" s="29" t="s">
        <v>130</v>
      </c>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5"/>
    </row>
    <row r="37" spans="2:53">
      <c r="B37" s="32"/>
      <c r="C37" s="33" t="s">
        <v>863</v>
      </c>
      <c r="D37" s="34">
        <f t="shared" si="11"/>
        <v>0</v>
      </c>
      <c r="E37" s="29" t="s">
        <v>130</v>
      </c>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row>
    <row r="38" s="139" customFormat="1" spans="2:53">
      <c r="B38" s="27" t="s">
        <v>864</v>
      </c>
      <c r="C38" s="28" t="s">
        <v>865</v>
      </c>
      <c r="D38" s="30">
        <f ca="1" t="shared" si="11"/>
        <v>2113935.91209905</v>
      </c>
      <c r="E38" s="29" t="s">
        <v>130</v>
      </c>
      <c r="F38" s="134">
        <f ca="1">F5-F10+F28+F29+SUM(F32:F37)</f>
        <v>0</v>
      </c>
      <c r="G38" s="134">
        <f ca="1" t="shared" ref="G38:P38" si="12">G5-G10+G28+G29+SUM(G32:G37)</f>
        <v>0</v>
      </c>
      <c r="H38" s="134">
        <f ca="1" t="shared" si="12"/>
        <v>0</v>
      </c>
      <c r="I38" s="134">
        <f ca="1" t="shared" si="12"/>
        <v>0</v>
      </c>
      <c r="J38" s="134">
        <f ca="1" t="shared" si="12"/>
        <v>0</v>
      </c>
      <c r="K38" s="134">
        <f ca="1" t="shared" si="12"/>
        <v>0</v>
      </c>
      <c r="L38" s="134">
        <f ca="1" t="shared" si="12"/>
        <v>0</v>
      </c>
      <c r="M38" s="134">
        <f ca="1" t="shared" si="12"/>
        <v>19973.0445376314</v>
      </c>
      <c r="N38" s="134">
        <f ca="1" t="shared" si="12"/>
        <v>45780.123682554</v>
      </c>
      <c r="O38" s="134">
        <f ca="1" t="shared" si="12"/>
        <v>46242.623682554</v>
      </c>
      <c r="P38" s="134">
        <f ca="1" t="shared" si="12"/>
        <v>46242.623682554</v>
      </c>
      <c r="Q38" s="134">
        <f ca="1" t="shared" ref="Q38:AL38" si="13">Q5-Q10+Q28+Q29+SUM(Q32:Q37)</f>
        <v>46242.623682554</v>
      </c>
      <c r="R38" s="134">
        <f ca="1" t="shared" si="13"/>
        <v>46242.623682554</v>
      </c>
      <c r="S38" s="134">
        <f ca="1" t="shared" si="13"/>
        <v>45889.9685813709</v>
      </c>
      <c r="T38" s="134">
        <f ca="1" t="shared" si="13"/>
        <v>44919.0729356005</v>
      </c>
      <c r="U38" s="134">
        <f ca="1" t="shared" si="13"/>
        <v>44919.0729356005</v>
      </c>
      <c r="V38" s="134">
        <f ca="1" t="shared" si="13"/>
        <v>44919.0729356005</v>
      </c>
      <c r="W38" s="134">
        <f ca="1" t="shared" si="13"/>
        <v>44919.0729356005</v>
      </c>
      <c r="X38" s="134">
        <f ca="1" t="shared" si="13"/>
        <v>44778.8058251028</v>
      </c>
      <c r="Y38" s="134">
        <f ca="1" t="shared" si="13"/>
        <v>43341.4464843543</v>
      </c>
      <c r="Z38" s="134">
        <f ca="1" t="shared" si="13"/>
        <v>43458.2813467396</v>
      </c>
      <c r="AA38" s="134">
        <f ca="1" t="shared" si="13"/>
        <v>43458.2813467396</v>
      </c>
      <c r="AB38" s="134">
        <f ca="1" t="shared" si="13"/>
        <v>43458.2813467396</v>
      </c>
      <c r="AC38" s="134">
        <f ca="1" t="shared" si="13"/>
        <v>43463.23547518</v>
      </c>
      <c r="AD38" s="134">
        <f ca="1" t="shared" si="13"/>
        <v>43458.2813467396</v>
      </c>
      <c r="AE38" s="134">
        <f ca="1" t="shared" si="13"/>
        <v>45217.5406059988</v>
      </c>
      <c r="AF38" s="134">
        <f ca="1" t="shared" si="13"/>
        <v>47701.2115335636</v>
      </c>
      <c r="AG38" s="134">
        <f ca="1" t="shared" si="13"/>
        <v>47918.0035689618</v>
      </c>
      <c r="AH38" s="134">
        <f ca="1" t="shared" si="13"/>
        <v>48255.4576974022</v>
      </c>
      <c r="AI38" s="134">
        <f ca="1" t="shared" si="13"/>
        <v>48448.6687065765</v>
      </c>
      <c r="AJ38" s="134">
        <f ca="1" t="shared" si="13"/>
        <v>48250.5035689618</v>
      </c>
      <c r="AK38" s="134">
        <f ca="1" t="shared" si="13"/>
        <v>48250.5035689618</v>
      </c>
      <c r="AL38" s="134">
        <f ca="1" t="shared" si="13"/>
        <v>48250.5035689618</v>
      </c>
      <c r="AM38" s="134">
        <f ca="1" t="shared" ref="AM38:BA38" si="14">AM5-AM10+AM28+AM29+SUM(AM32:AM37)</f>
        <v>48255.4576974022</v>
      </c>
      <c r="AN38" s="134">
        <f ca="1" t="shared" si="14"/>
        <v>48271.2115335636</v>
      </c>
      <c r="AO38" s="134">
        <f ca="1" t="shared" si="14"/>
        <v>48250.5035689618</v>
      </c>
      <c r="AP38" s="134">
        <f ca="1" t="shared" si="14"/>
        <v>57709.8207065009</v>
      </c>
      <c r="AQ38" s="134">
        <f ca="1" t="shared" si="14"/>
        <v>70952.8646990557</v>
      </c>
      <c r="AR38" s="134">
        <f ca="1" t="shared" si="14"/>
        <v>70957.8188274961</v>
      </c>
      <c r="AS38" s="134">
        <f ca="1" t="shared" si="14"/>
        <v>70947.1562383014</v>
      </c>
      <c r="AT38" s="134">
        <f ca="1" t="shared" si="14"/>
        <v>70748.9911006867</v>
      </c>
      <c r="AU38" s="134">
        <f ca="1" t="shared" si="14"/>
        <v>70748.9911006867</v>
      </c>
      <c r="AV38" s="134">
        <f ca="1" t="shared" si="14"/>
        <v>70714.3893307752</v>
      </c>
      <c r="AW38" s="134">
        <f ca="1" t="shared" si="14"/>
        <v>70698.6354946138</v>
      </c>
      <c r="AX38" s="134">
        <f ca="1" t="shared" si="14"/>
        <v>70693.6813661734</v>
      </c>
      <c r="AY38" s="134">
        <f ca="1" t="shared" si="14"/>
        <v>70545.730295837</v>
      </c>
      <c r="AZ38" s="134">
        <f ca="1" t="shared" si="14"/>
        <v>70540.7761673966</v>
      </c>
      <c r="BA38" s="143">
        <f ca="1" t="shared" si="14"/>
        <v>39900.9547064391</v>
      </c>
    </row>
    <row r="39" spans="2:53">
      <c r="B39" s="32"/>
      <c r="C39" s="144" t="s">
        <v>866</v>
      </c>
      <c r="D39" s="34">
        <f t="shared" si="11"/>
        <v>400</v>
      </c>
      <c r="E39" s="29" t="s">
        <v>130</v>
      </c>
      <c r="F39" s="34">
        <f>'表4-收入税金表'!F17</f>
        <v>0</v>
      </c>
      <c r="G39" s="34">
        <f>'表4-收入税金表'!G17</f>
        <v>0</v>
      </c>
      <c r="H39" s="34">
        <f>'表4-收入税金表'!H17</f>
        <v>0</v>
      </c>
      <c r="I39" s="34">
        <f>'表4-收入税金表'!I17</f>
        <v>0</v>
      </c>
      <c r="J39" s="34">
        <f>'表4-收入税金表'!J17</f>
        <v>0</v>
      </c>
      <c r="K39" s="34">
        <f>'表4-收入税金表'!K17</f>
        <v>0</v>
      </c>
      <c r="L39" s="34">
        <f>'表4-收入税金表'!L17</f>
        <v>0</v>
      </c>
      <c r="M39" s="34">
        <f>'表4-收入税金表'!M17</f>
        <v>0</v>
      </c>
      <c r="N39" s="34">
        <f>'表4-收入税金表'!N17</f>
        <v>10</v>
      </c>
      <c r="O39" s="34">
        <f>'表4-收入税金表'!O17</f>
        <v>10</v>
      </c>
      <c r="P39" s="34">
        <f>'表4-收入税金表'!P17</f>
        <v>10</v>
      </c>
      <c r="Q39" s="34">
        <f>'表4-收入税金表'!Q17</f>
        <v>10</v>
      </c>
      <c r="R39" s="34">
        <f>'表4-收入税金表'!R17</f>
        <v>10</v>
      </c>
      <c r="S39" s="34">
        <f>'表4-收入税金表'!S17</f>
        <v>10</v>
      </c>
      <c r="T39" s="34">
        <f>'表4-收入税金表'!T17</f>
        <v>10</v>
      </c>
      <c r="U39" s="34">
        <f>'表4-收入税金表'!U17</f>
        <v>10</v>
      </c>
      <c r="V39" s="34">
        <f>'表4-收入税金表'!V17</f>
        <v>10</v>
      </c>
      <c r="W39" s="34">
        <f>'表4-收入税金表'!W17</f>
        <v>10</v>
      </c>
      <c r="X39" s="34">
        <f>'表4-收入税金表'!X17</f>
        <v>10</v>
      </c>
      <c r="Y39" s="34">
        <f>'表4-收入税金表'!Y17</f>
        <v>10</v>
      </c>
      <c r="Z39" s="34">
        <f>'表4-收入税金表'!Z17</f>
        <v>10</v>
      </c>
      <c r="AA39" s="34">
        <f>'表4-收入税金表'!AA17</f>
        <v>10</v>
      </c>
      <c r="AB39" s="34">
        <f>'表4-收入税金表'!AB17</f>
        <v>10</v>
      </c>
      <c r="AC39" s="34">
        <f>'表4-收入税金表'!AC17</f>
        <v>10</v>
      </c>
      <c r="AD39" s="34">
        <f>'表4-收入税金表'!AD17</f>
        <v>10</v>
      </c>
      <c r="AE39" s="34">
        <f>'表4-收入税金表'!AE17</f>
        <v>10</v>
      </c>
      <c r="AF39" s="34">
        <f>'表4-收入税金表'!AF17</f>
        <v>10</v>
      </c>
      <c r="AG39" s="34">
        <f>'表4-收入税金表'!AG17</f>
        <v>10</v>
      </c>
      <c r="AH39" s="34">
        <f>'表4-收入税金表'!AH17</f>
        <v>10</v>
      </c>
      <c r="AI39" s="34">
        <f>'表4-收入税金表'!AI17</f>
        <v>10</v>
      </c>
      <c r="AJ39" s="34">
        <f>'表4-收入税金表'!AJ17</f>
        <v>10</v>
      </c>
      <c r="AK39" s="34">
        <f>'表4-收入税金表'!AK17</f>
        <v>10</v>
      </c>
      <c r="AL39" s="34">
        <f>'表4-收入税金表'!AL17</f>
        <v>10</v>
      </c>
      <c r="AM39" s="34">
        <f>'表4-收入税金表'!AM17</f>
        <v>10</v>
      </c>
      <c r="AN39" s="34">
        <f>'表4-收入税金表'!AN17</f>
        <v>10</v>
      </c>
      <c r="AO39" s="34">
        <f>'表4-收入税金表'!AO17</f>
        <v>10</v>
      </c>
      <c r="AP39" s="34">
        <f>'表4-收入税金表'!AP17</f>
        <v>10</v>
      </c>
      <c r="AQ39" s="34">
        <f>'表4-收入税金表'!AQ17</f>
        <v>10</v>
      </c>
      <c r="AR39" s="34">
        <f>'表4-收入税金表'!AR17</f>
        <v>10</v>
      </c>
      <c r="AS39" s="34">
        <f>'表4-收入税金表'!AS17</f>
        <v>10</v>
      </c>
      <c r="AT39" s="34">
        <f>'表4-收入税金表'!AT17</f>
        <v>10</v>
      </c>
      <c r="AU39" s="34">
        <f>'表4-收入税金表'!AU17</f>
        <v>10</v>
      </c>
      <c r="AV39" s="34">
        <f>'表4-收入税金表'!AV17</f>
        <v>10</v>
      </c>
      <c r="AW39" s="34">
        <f>'表4-收入税金表'!AW17</f>
        <v>10</v>
      </c>
      <c r="AX39" s="34">
        <f>'表4-收入税金表'!AX17</f>
        <v>10</v>
      </c>
      <c r="AY39" s="34">
        <f>'表4-收入税金表'!AY17</f>
        <v>10</v>
      </c>
      <c r="AZ39" s="34">
        <f>'表4-收入税金表'!AZ17</f>
        <v>10</v>
      </c>
      <c r="BA39" s="35">
        <f>'表4-收入税金表'!BA17</f>
        <v>10</v>
      </c>
    </row>
    <row r="40" spans="2:53">
      <c r="B40" s="32"/>
      <c r="C40" s="33" t="s">
        <v>867</v>
      </c>
      <c r="D40" s="34">
        <f t="shared" ref="D40:D44" si="15">SUM(F40:BA40)</f>
        <v>400</v>
      </c>
      <c r="E40" s="29" t="s">
        <v>130</v>
      </c>
      <c r="F40" s="51">
        <f>'表4-收入税金表'!F18</f>
        <v>0</v>
      </c>
      <c r="G40" s="51">
        <f>'表4-收入税金表'!G18</f>
        <v>0</v>
      </c>
      <c r="H40" s="51">
        <f>'表4-收入税金表'!H18</f>
        <v>0</v>
      </c>
      <c r="I40" s="51">
        <f>'表4-收入税金表'!I18</f>
        <v>0</v>
      </c>
      <c r="J40" s="51">
        <f>'表4-收入税金表'!J18</f>
        <v>0</v>
      </c>
      <c r="K40" s="51">
        <f>'表4-收入税金表'!K18</f>
        <v>0</v>
      </c>
      <c r="L40" s="51">
        <f>'表4-收入税金表'!L18</f>
        <v>0</v>
      </c>
      <c r="M40" s="51">
        <f>'表4-收入税金表'!M18</f>
        <v>0</v>
      </c>
      <c r="N40" s="51">
        <f>'表4-收入税金表'!N18</f>
        <v>10</v>
      </c>
      <c r="O40" s="51">
        <f>'表4-收入税金表'!O18</f>
        <v>10</v>
      </c>
      <c r="P40" s="51">
        <f>'表4-收入税金表'!P18</f>
        <v>10</v>
      </c>
      <c r="Q40" s="51">
        <f>'表4-收入税金表'!Q18</f>
        <v>10</v>
      </c>
      <c r="R40" s="51">
        <f>'表4-收入税金表'!R18</f>
        <v>10</v>
      </c>
      <c r="S40" s="51">
        <f>'表4-收入税金表'!S18</f>
        <v>10</v>
      </c>
      <c r="T40" s="51">
        <f>'表4-收入税金表'!T18</f>
        <v>10</v>
      </c>
      <c r="U40" s="51">
        <f>'表4-收入税金表'!U18</f>
        <v>10</v>
      </c>
      <c r="V40" s="51">
        <f>'表4-收入税金表'!V18</f>
        <v>10</v>
      </c>
      <c r="W40" s="51">
        <f>'表4-收入税金表'!W18</f>
        <v>10</v>
      </c>
      <c r="X40" s="51">
        <f>'表4-收入税金表'!X18</f>
        <v>10</v>
      </c>
      <c r="Y40" s="51">
        <f>'表4-收入税金表'!Y18</f>
        <v>10</v>
      </c>
      <c r="Z40" s="51">
        <f>'表4-收入税金表'!Z18</f>
        <v>10</v>
      </c>
      <c r="AA40" s="51">
        <f>'表4-收入税金表'!AA18</f>
        <v>10</v>
      </c>
      <c r="AB40" s="51">
        <f>'表4-收入税金表'!AB18</f>
        <v>10</v>
      </c>
      <c r="AC40" s="51">
        <f>'表4-收入税金表'!AC18</f>
        <v>10</v>
      </c>
      <c r="AD40" s="51">
        <f>'表4-收入税金表'!AD18</f>
        <v>10</v>
      </c>
      <c r="AE40" s="51">
        <f>'表4-收入税金表'!AE18</f>
        <v>10</v>
      </c>
      <c r="AF40" s="51">
        <f>'表4-收入税金表'!AF18</f>
        <v>10</v>
      </c>
      <c r="AG40" s="51">
        <f>'表4-收入税金表'!AG18</f>
        <v>10</v>
      </c>
      <c r="AH40" s="51">
        <f>'表4-收入税金表'!AH18</f>
        <v>10</v>
      </c>
      <c r="AI40" s="51">
        <f>'表4-收入税金表'!AI18</f>
        <v>10</v>
      </c>
      <c r="AJ40" s="51">
        <f>'表4-收入税金表'!AJ18</f>
        <v>10</v>
      </c>
      <c r="AK40" s="51">
        <f>'表4-收入税金表'!AK18</f>
        <v>10</v>
      </c>
      <c r="AL40" s="51">
        <f>'表4-收入税金表'!AL18</f>
        <v>10</v>
      </c>
      <c r="AM40" s="51">
        <f>'表4-收入税金表'!AM18</f>
        <v>10</v>
      </c>
      <c r="AN40" s="51">
        <f>'表4-收入税金表'!AN18</f>
        <v>10</v>
      </c>
      <c r="AO40" s="51">
        <f>'表4-收入税金表'!AO18</f>
        <v>10</v>
      </c>
      <c r="AP40" s="51">
        <f>'表4-收入税金表'!AP18</f>
        <v>10</v>
      </c>
      <c r="AQ40" s="51">
        <f>'表4-收入税金表'!AQ18</f>
        <v>10</v>
      </c>
      <c r="AR40" s="51">
        <f>'表4-收入税金表'!AR18</f>
        <v>10</v>
      </c>
      <c r="AS40" s="51">
        <f>'表4-收入税金表'!AS18</f>
        <v>10</v>
      </c>
      <c r="AT40" s="51">
        <f>'表4-收入税金表'!AT18</f>
        <v>10</v>
      </c>
      <c r="AU40" s="51">
        <f>'表4-收入税金表'!AU18</f>
        <v>10</v>
      </c>
      <c r="AV40" s="51">
        <f>'表4-收入税金表'!AV18</f>
        <v>10</v>
      </c>
      <c r="AW40" s="51">
        <f>'表4-收入税金表'!AW18</f>
        <v>10</v>
      </c>
      <c r="AX40" s="51">
        <f>'表4-收入税金表'!AX18</f>
        <v>10</v>
      </c>
      <c r="AY40" s="51">
        <f>'表4-收入税金表'!AY18</f>
        <v>10</v>
      </c>
      <c r="AZ40" s="51">
        <f>'表4-收入税金表'!AZ18</f>
        <v>10</v>
      </c>
      <c r="BA40" s="53">
        <f>'表4-收入税金表'!BA18</f>
        <v>10</v>
      </c>
    </row>
    <row r="41" spans="2:53">
      <c r="B41" s="32"/>
      <c r="C41" s="144" t="s">
        <v>868</v>
      </c>
      <c r="D41" s="34">
        <f t="shared" si="15"/>
        <v>0</v>
      </c>
      <c r="E41" s="29" t="s">
        <v>130</v>
      </c>
      <c r="F41" s="34">
        <f>'表3-成本费用表'!F66</f>
        <v>0</v>
      </c>
      <c r="G41" s="34">
        <f>'表3-成本费用表'!G66</f>
        <v>0</v>
      </c>
      <c r="H41" s="34">
        <f>'表3-成本费用表'!H66</f>
        <v>0</v>
      </c>
      <c r="I41" s="34">
        <f>'表3-成本费用表'!I66</f>
        <v>0</v>
      </c>
      <c r="J41" s="34">
        <f>'表3-成本费用表'!J66</f>
        <v>0</v>
      </c>
      <c r="K41" s="34">
        <f>'表3-成本费用表'!K66</f>
        <v>0</v>
      </c>
      <c r="L41" s="34">
        <f>'表3-成本费用表'!L66</f>
        <v>0</v>
      </c>
      <c r="M41" s="34">
        <f>'表3-成本费用表'!M66</f>
        <v>0</v>
      </c>
      <c r="N41" s="34">
        <f>'表3-成本费用表'!N66</f>
        <v>0</v>
      </c>
      <c r="O41" s="34">
        <f>'表3-成本费用表'!O66</f>
        <v>0</v>
      </c>
      <c r="P41" s="34">
        <f>'表3-成本费用表'!P66</f>
        <v>0</v>
      </c>
      <c r="Q41" s="34">
        <f>'表3-成本费用表'!Q66</f>
        <v>0</v>
      </c>
      <c r="R41" s="34">
        <f>'表3-成本费用表'!R66</f>
        <v>0</v>
      </c>
      <c r="S41" s="34">
        <f>'表3-成本费用表'!S66</f>
        <v>0</v>
      </c>
      <c r="T41" s="34">
        <f>'表3-成本费用表'!T66</f>
        <v>0</v>
      </c>
      <c r="U41" s="34">
        <f>'表3-成本费用表'!U66</f>
        <v>0</v>
      </c>
      <c r="V41" s="34">
        <f>'表3-成本费用表'!V66</f>
        <v>0</v>
      </c>
      <c r="W41" s="34">
        <f>'表3-成本费用表'!W66</f>
        <v>0</v>
      </c>
      <c r="X41" s="34">
        <f>'表3-成本费用表'!X66</f>
        <v>0</v>
      </c>
      <c r="Y41" s="34">
        <f>'表3-成本费用表'!Y66</f>
        <v>0</v>
      </c>
      <c r="Z41" s="34">
        <f>'表3-成本费用表'!Z66</f>
        <v>0</v>
      </c>
      <c r="AA41" s="34">
        <f>'表3-成本费用表'!AA66</f>
        <v>0</v>
      </c>
      <c r="AB41" s="34">
        <f>'表3-成本费用表'!AB66</f>
        <v>0</v>
      </c>
      <c r="AC41" s="34">
        <f>'表3-成本费用表'!AC66</f>
        <v>0</v>
      </c>
      <c r="AD41" s="34">
        <f>'表3-成本费用表'!AD66</f>
        <v>0</v>
      </c>
      <c r="AE41" s="34">
        <f>'表3-成本费用表'!AE66</f>
        <v>0</v>
      </c>
      <c r="AF41" s="34">
        <f>'表3-成本费用表'!AF66</f>
        <v>0</v>
      </c>
      <c r="AG41" s="34">
        <f>'表3-成本费用表'!AG66</f>
        <v>0</v>
      </c>
      <c r="AH41" s="34">
        <f>'表3-成本费用表'!AH66</f>
        <v>0</v>
      </c>
      <c r="AI41" s="34">
        <f>'表3-成本费用表'!AI66</f>
        <v>0</v>
      </c>
      <c r="AJ41" s="34">
        <f>'表3-成本费用表'!AJ66</f>
        <v>0</v>
      </c>
      <c r="AK41" s="34">
        <f>'表3-成本费用表'!AK66</f>
        <v>0</v>
      </c>
      <c r="AL41" s="34">
        <f>'表3-成本费用表'!AL66</f>
        <v>0</v>
      </c>
      <c r="AM41" s="34">
        <f>'表3-成本费用表'!AM66</f>
        <v>0</v>
      </c>
      <c r="AN41" s="34">
        <f>'表3-成本费用表'!AN66</f>
        <v>0</v>
      </c>
      <c r="AO41" s="34">
        <f>'表3-成本费用表'!AO66</f>
        <v>0</v>
      </c>
      <c r="AP41" s="34">
        <f>'表3-成本费用表'!AP66</f>
        <v>0</v>
      </c>
      <c r="AQ41" s="34">
        <f>'表3-成本费用表'!AQ66</f>
        <v>0</v>
      </c>
      <c r="AR41" s="34">
        <f>'表3-成本费用表'!AR66</f>
        <v>0</v>
      </c>
      <c r="AS41" s="34">
        <f>'表3-成本费用表'!AS66</f>
        <v>0</v>
      </c>
      <c r="AT41" s="34">
        <f>'表3-成本费用表'!AT66</f>
        <v>0</v>
      </c>
      <c r="AU41" s="34">
        <f>'表3-成本费用表'!AU66</f>
        <v>0</v>
      </c>
      <c r="AV41" s="34">
        <f>'表3-成本费用表'!AV66</f>
        <v>0</v>
      </c>
      <c r="AW41" s="34">
        <f>'表3-成本费用表'!AW66</f>
        <v>0</v>
      </c>
      <c r="AX41" s="34">
        <f>'表3-成本费用表'!AX66</f>
        <v>0</v>
      </c>
      <c r="AY41" s="34">
        <f>'表3-成本费用表'!AY66</f>
        <v>0</v>
      </c>
      <c r="AZ41" s="34">
        <f>'表3-成本费用表'!AZ66</f>
        <v>0</v>
      </c>
      <c r="BA41" s="35">
        <f>'表3-成本费用表'!BA66</f>
        <v>0</v>
      </c>
    </row>
    <row r="42" s="139" customFormat="1" spans="2:53">
      <c r="B42" s="27" t="s">
        <v>869</v>
      </c>
      <c r="C42" s="28" t="s">
        <v>870</v>
      </c>
      <c r="D42" s="30">
        <f ca="1" t="shared" si="15"/>
        <v>2114335.91209905</v>
      </c>
      <c r="E42" s="29" t="s">
        <v>130</v>
      </c>
      <c r="F42" s="134">
        <f ca="1">F38+F39-F41</f>
        <v>0</v>
      </c>
      <c r="G42" s="134">
        <f ca="1" t="shared" ref="G42:R42" si="16">G38+G39-G41</f>
        <v>0</v>
      </c>
      <c r="H42" s="134">
        <f ca="1" t="shared" si="16"/>
        <v>0</v>
      </c>
      <c r="I42" s="134">
        <f ca="1" t="shared" si="16"/>
        <v>0</v>
      </c>
      <c r="J42" s="134">
        <f ca="1" t="shared" si="16"/>
        <v>0</v>
      </c>
      <c r="K42" s="134">
        <f ca="1" t="shared" si="16"/>
        <v>0</v>
      </c>
      <c r="L42" s="134">
        <f ca="1" t="shared" si="16"/>
        <v>0</v>
      </c>
      <c r="M42" s="134">
        <f ca="1" t="shared" si="16"/>
        <v>19973.0445376314</v>
      </c>
      <c r="N42" s="134">
        <f ca="1" t="shared" si="16"/>
        <v>45790.123682554</v>
      </c>
      <c r="O42" s="134">
        <f ca="1" t="shared" si="16"/>
        <v>46252.623682554</v>
      </c>
      <c r="P42" s="134">
        <f ca="1" t="shared" si="16"/>
        <v>46252.623682554</v>
      </c>
      <c r="Q42" s="134">
        <f ca="1" t="shared" si="16"/>
        <v>46252.623682554</v>
      </c>
      <c r="R42" s="134">
        <f ca="1" t="shared" si="16"/>
        <v>46252.623682554</v>
      </c>
      <c r="S42" s="134">
        <f ca="1" t="shared" ref="S42:AL42" si="17">S38+S39-S41</f>
        <v>45899.9685813709</v>
      </c>
      <c r="T42" s="134">
        <f ca="1" t="shared" si="17"/>
        <v>44929.0729356005</v>
      </c>
      <c r="U42" s="134">
        <f ca="1" t="shared" si="17"/>
        <v>44929.0729356005</v>
      </c>
      <c r="V42" s="134">
        <f ca="1" t="shared" si="17"/>
        <v>44929.0729356005</v>
      </c>
      <c r="W42" s="134">
        <f ca="1" t="shared" si="17"/>
        <v>44929.0729356005</v>
      </c>
      <c r="X42" s="134">
        <f ca="1" t="shared" si="17"/>
        <v>44788.8058251028</v>
      </c>
      <c r="Y42" s="134">
        <f ca="1" t="shared" si="17"/>
        <v>43351.4464843543</v>
      </c>
      <c r="Z42" s="134">
        <f ca="1" t="shared" si="17"/>
        <v>43468.2813467396</v>
      </c>
      <c r="AA42" s="134">
        <f ca="1" t="shared" si="17"/>
        <v>43468.2813467396</v>
      </c>
      <c r="AB42" s="134">
        <f ca="1" t="shared" si="17"/>
        <v>43468.2813467396</v>
      </c>
      <c r="AC42" s="134">
        <f ca="1" t="shared" si="17"/>
        <v>43473.23547518</v>
      </c>
      <c r="AD42" s="134">
        <f ca="1" t="shared" si="17"/>
        <v>43468.2813467396</v>
      </c>
      <c r="AE42" s="134">
        <f ca="1" t="shared" si="17"/>
        <v>45227.5406059988</v>
      </c>
      <c r="AF42" s="134">
        <f ca="1" t="shared" si="17"/>
        <v>47711.2115335636</v>
      </c>
      <c r="AG42" s="134">
        <f ca="1" t="shared" si="17"/>
        <v>47928.0035689618</v>
      </c>
      <c r="AH42" s="134">
        <f ca="1" t="shared" si="17"/>
        <v>48265.4576974022</v>
      </c>
      <c r="AI42" s="134">
        <f ca="1" t="shared" si="17"/>
        <v>48458.6687065765</v>
      </c>
      <c r="AJ42" s="134">
        <f ca="1" t="shared" si="17"/>
        <v>48260.5035689618</v>
      </c>
      <c r="AK42" s="134">
        <f ca="1" t="shared" si="17"/>
        <v>48260.5035689618</v>
      </c>
      <c r="AL42" s="134">
        <f ca="1" t="shared" si="17"/>
        <v>48260.5035689618</v>
      </c>
      <c r="AM42" s="134">
        <f ca="1" t="shared" ref="AM42:BA42" si="18">AM38+AM39-AM41</f>
        <v>48265.4576974022</v>
      </c>
      <c r="AN42" s="134">
        <f ca="1" t="shared" si="18"/>
        <v>48281.2115335636</v>
      </c>
      <c r="AO42" s="134">
        <f ca="1" t="shared" si="18"/>
        <v>48260.5035689618</v>
      </c>
      <c r="AP42" s="134">
        <f ca="1" t="shared" si="18"/>
        <v>57719.8207065009</v>
      </c>
      <c r="AQ42" s="134">
        <f ca="1" t="shared" si="18"/>
        <v>70962.8646990557</v>
      </c>
      <c r="AR42" s="134">
        <f ca="1" t="shared" si="18"/>
        <v>70967.8188274961</v>
      </c>
      <c r="AS42" s="134">
        <f ca="1" t="shared" si="18"/>
        <v>70957.1562383014</v>
      </c>
      <c r="AT42" s="134">
        <f ca="1" t="shared" si="18"/>
        <v>70758.9911006867</v>
      </c>
      <c r="AU42" s="134">
        <f ca="1" t="shared" si="18"/>
        <v>70758.9911006867</v>
      </c>
      <c r="AV42" s="134">
        <f ca="1" t="shared" si="18"/>
        <v>70724.3893307752</v>
      </c>
      <c r="AW42" s="134">
        <f ca="1" t="shared" si="18"/>
        <v>70708.6354946138</v>
      </c>
      <c r="AX42" s="134">
        <f ca="1" t="shared" si="18"/>
        <v>70703.6813661734</v>
      </c>
      <c r="AY42" s="134">
        <f ca="1" t="shared" si="18"/>
        <v>70555.730295837</v>
      </c>
      <c r="AZ42" s="134">
        <f ca="1" t="shared" si="18"/>
        <v>70550.7761673966</v>
      </c>
      <c r="BA42" s="143">
        <f ca="1" t="shared" si="18"/>
        <v>39910.9547064391</v>
      </c>
    </row>
    <row r="43" s="139" customFormat="1" spans="2:53">
      <c r="B43" s="27"/>
      <c r="C43" s="147" t="s">
        <v>871</v>
      </c>
      <c r="D43" s="30">
        <f ca="1" t="shared" si="15"/>
        <v>0</v>
      </c>
      <c r="E43" s="29" t="s">
        <v>130</v>
      </c>
      <c r="F43" s="134">
        <f>SUM(F44:F48)</f>
        <v>0</v>
      </c>
      <c r="G43" s="134">
        <f t="shared" ref="G43:R43" si="19">SUM(G44:G48)</f>
        <v>0</v>
      </c>
      <c r="H43" s="134">
        <f t="shared" si="19"/>
        <v>0</v>
      </c>
      <c r="I43" s="134">
        <f t="shared" si="19"/>
        <v>0</v>
      </c>
      <c r="J43" s="134">
        <f t="shared" si="19"/>
        <v>0</v>
      </c>
      <c r="K43" s="134">
        <f t="shared" si="19"/>
        <v>0</v>
      </c>
      <c r="L43" s="134">
        <f t="shared" si="19"/>
        <v>0</v>
      </c>
      <c r="M43" s="134">
        <f ca="1" t="shared" si="19"/>
        <v>0</v>
      </c>
      <c r="N43" s="134">
        <f ca="1" t="shared" si="19"/>
        <v>0</v>
      </c>
      <c r="O43" s="134">
        <f ca="1" t="shared" si="19"/>
        <v>0</v>
      </c>
      <c r="P43" s="134">
        <f ca="1" t="shared" si="19"/>
        <v>0</v>
      </c>
      <c r="Q43" s="134">
        <f ca="1" t="shared" si="19"/>
        <v>0</v>
      </c>
      <c r="R43" s="134">
        <f ca="1" t="shared" si="19"/>
        <v>0</v>
      </c>
      <c r="S43" s="134">
        <f ca="1" t="shared" ref="S43:AL43" si="20">SUM(S44:S48)</f>
        <v>0</v>
      </c>
      <c r="T43" s="134">
        <f ca="1" t="shared" si="20"/>
        <v>0</v>
      </c>
      <c r="U43" s="134">
        <f ca="1" t="shared" si="20"/>
        <v>0</v>
      </c>
      <c r="V43" s="134">
        <f ca="1" t="shared" si="20"/>
        <v>0</v>
      </c>
      <c r="W43" s="134">
        <f ca="1" t="shared" si="20"/>
        <v>0</v>
      </c>
      <c r="X43" s="134">
        <f ca="1" t="shared" si="20"/>
        <v>0</v>
      </c>
      <c r="Y43" s="134">
        <f ca="1" t="shared" si="20"/>
        <v>0</v>
      </c>
      <c r="Z43" s="134">
        <f ca="1" t="shared" si="20"/>
        <v>0</v>
      </c>
      <c r="AA43" s="134">
        <f ca="1" t="shared" si="20"/>
        <v>0</v>
      </c>
      <c r="AB43" s="134">
        <f ca="1" t="shared" si="20"/>
        <v>0</v>
      </c>
      <c r="AC43" s="134">
        <f ca="1" t="shared" si="20"/>
        <v>0</v>
      </c>
      <c r="AD43" s="134">
        <f ca="1" t="shared" si="20"/>
        <v>0</v>
      </c>
      <c r="AE43" s="134">
        <f ca="1" t="shared" si="20"/>
        <v>0</v>
      </c>
      <c r="AF43" s="134">
        <f ca="1" t="shared" si="20"/>
        <v>0</v>
      </c>
      <c r="AG43" s="134">
        <f ca="1" t="shared" si="20"/>
        <v>0</v>
      </c>
      <c r="AH43" s="134">
        <f ca="1" t="shared" si="20"/>
        <v>0</v>
      </c>
      <c r="AI43" s="134">
        <f ca="1" t="shared" si="20"/>
        <v>0</v>
      </c>
      <c r="AJ43" s="134">
        <f ca="1" t="shared" si="20"/>
        <v>0</v>
      </c>
      <c r="AK43" s="134">
        <f ca="1" t="shared" si="20"/>
        <v>0</v>
      </c>
      <c r="AL43" s="134">
        <f ca="1" t="shared" si="20"/>
        <v>0</v>
      </c>
      <c r="AM43" s="134">
        <f ca="1" t="shared" ref="AM43:BA43" si="21">SUM(AM44:AM48)</f>
        <v>0</v>
      </c>
      <c r="AN43" s="134">
        <f ca="1" t="shared" si="21"/>
        <v>0</v>
      </c>
      <c r="AO43" s="134">
        <f ca="1" t="shared" si="21"/>
        <v>0</v>
      </c>
      <c r="AP43" s="134">
        <f ca="1" t="shared" si="21"/>
        <v>0</v>
      </c>
      <c r="AQ43" s="134">
        <f ca="1" t="shared" si="21"/>
        <v>0</v>
      </c>
      <c r="AR43" s="134">
        <f ca="1" t="shared" si="21"/>
        <v>0</v>
      </c>
      <c r="AS43" s="134">
        <f ca="1" t="shared" si="21"/>
        <v>0</v>
      </c>
      <c r="AT43" s="134">
        <f ca="1" t="shared" si="21"/>
        <v>0</v>
      </c>
      <c r="AU43" s="134">
        <f ca="1" t="shared" si="21"/>
        <v>0</v>
      </c>
      <c r="AV43" s="134">
        <f ca="1" t="shared" si="21"/>
        <v>0</v>
      </c>
      <c r="AW43" s="134">
        <f ca="1" t="shared" si="21"/>
        <v>0</v>
      </c>
      <c r="AX43" s="134">
        <f ca="1" t="shared" si="21"/>
        <v>0</v>
      </c>
      <c r="AY43" s="134">
        <f ca="1" t="shared" si="21"/>
        <v>0</v>
      </c>
      <c r="AZ43" s="134">
        <f ca="1" t="shared" si="21"/>
        <v>0</v>
      </c>
      <c r="BA43" s="143">
        <f ca="1" t="shared" si="21"/>
        <v>0</v>
      </c>
    </row>
    <row r="44" s="139" customFormat="1" spans="2:53">
      <c r="B44" s="27"/>
      <c r="C44" s="148" t="s">
        <v>976</v>
      </c>
      <c r="D44" s="34">
        <f ca="1" t="shared" si="15"/>
        <v>0</v>
      </c>
      <c r="E44" s="29" t="s">
        <v>130</v>
      </c>
      <c r="F44" s="30"/>
      <c r="G44" s="30"/>
      <c r="H44" s="30"/>
      <c r="I44" s="30"/>
      <c r="J44" s="30"/>
      <c r="K44" s="30"/>
      <c r="L44" s="30"/>
      <c r="M44" s="149">
        <f ca="1">IF(L42&gt;0,0,IF(M42&lt;0,0,MIN(M42-SUM(M45:M48),-L42)))</f>
        <v>0</v>
      </c>
      <c r="N44" s="149">
        <f ca="1">IF(M42&gt;0,0,IF(N42&lt;0,0,MIN(N42-SUM(N45:N48),-M42)))</f>
        <v>0</v>
      </c>
      <c r="O44" s="149">
        <f ca="1">IF(N42&gt;0,0,IF(O42&lt;0,0,MIN(O42-SUM(O45:O48),-N42)))</f>
        <v>0</v>
      </c>
      <c r="P44" s="149">
        <f ca="1" t="shared" ref="P44:AL44" si="22">IF(O42&gt;0,0,IF(P42&lt;0,0,MIN(P42-SUM(P45:P48),-O42)))</f>
        <v>0</v>
      </c>
      <c r="Q44" s="149">
        <f ca="1" t="shared" si="22"/>
        <v>0</v>
      </c>
      <c r="R44" s="149">
        <f ca="1" t="shared" si="22"/>
        <v>0</v>
      </c>
      <c r="S44" s="149">
        <f ca="1" t="shared" si="22"/>
        <v>0</v>
      </c>
      <c r="T44" s="149">
        <f ca="1" t="shared" si="22"/>
        <v>0</v>
      </c>
      <c r="U44" s="149">
        <f ca="1" t="shared" si="22"/>
        <v>0</v>
      </c>
      <c r="V44" s="149">
        <f ca="1" t="shared" si="22"/>
        <v>0</v>
      </c>
      <c r="W44" s="149">
        <f ca="1" t="shared" si="22"/>
        <v>0</v>
      </c>
      <c r="X44" s="149">
        <f ca="1" t="shared" si="22"/>
        <v>0</v>
      </c>
      <c r="Y44" s="149">
        <f ca="1" t="shared" si="22"/>
        <v>0</v>
      </c>
      <c r="Z44" s="149">
        <f ca="1" t="shared" si="22"/>
        <v>0</v>
      </c>
      <c r="AA44" s="149">
        <f ca="1" t="shared" si="22"/>
        <v>0</v>
      </c>
      <c r="AB44" s="149">
        <f ca="1" t="shared" si="22"/>
        <v>0</v>
      </c>
      <c r="AC44" s="149">
        <f ca="1" t="shared" si="22"/>
        <v>0</v>
      </c>
      <c r="AD44" s="149">
        <f ca="1" t="shared" si="22"/>
        <v>0</v>
      </c>
      <c r="AE44" s="149">
        <f ca="1" t="shared" si="22"/>
        <v>0</v>
      </c>
      <c r="AF44" s="149">
        <f ca="1" t="shared" si="22"/>
        <v>0</v>
      </c>
      <c r="AG44" s="149">
        <f ca="1" t="shared" si="22"/>
        <v>0</v>
      </c>
      <c r="AH44" s="149">
        <f ca="1" t="shared" si="22"/>
        <v>0</v>
      </c>
      <c r="AI44" s="149">
        <f ca="1" t="shared" si="22"/>
        <v>0</v>
      </c>
      <c r="AJ44" s="149">
        <f ca="1" t="shared" si="22"/>
        <v>0</v>
      </c>
      <c r="AK44" s="149">
        <f ca="1" t="shared" si="22"/>
        <v>0</v>
      </c>
      <c r="AL44" s="149">
        <f ca="1" t="shared" si="22"/>
        <v>0</v>
      </c>
      <c r="AM44" s="149">
        <f ca="1" t="shared" ref="AM44:BA44" si="23">IF(AL42&gt;0,0,IF(AM42&lt;0,0,MIN(AM42-SUM(AM45:AM48),-AL42)))</f>
        <v>0</v>
      </c>
      <c r="AN44" s="149">
        <f ca="1" t="shared" si="23"/>
        <v>0</v>
      </c>
      <c r="AO44" s="149">
        <f ca="1" t="shared" si="23"/>
        <v>0</v>
      </c>
      <c r="AP44" s="149">
        <f ca="1" t="shared" si="23"/>
        <v>0</v>
      </c>
      <c r="AQ44" s="149">
        <f ca="1" t="shared" si="23"/>
        <v>0</v>
      </c>
      <c r="AR44" s="149">
        <f ca="1" t="shared" si="23"/>
        <v>0</v>
      </c>
      <c r="AS44" s="149">
        <f ca="1" t="shared" si="23"/>
        <v>0</v>
      </c>
      <c r="AT44" s="149">
        <f ca="1" t="shared" si="23"/>
        <v>0</v>
      </c>
      <c r="AU44" s="149">
        <f ca="1" t="shared" si="23"/>
        <v>0</v>
      </c>
      <c r="AV44" s="149">
        <f ca="1" t="shared" si="23"/>
        <v>0</v>
      </c>
      <c r="AW44" s="149">
        <f ca="1" t="shared" si="23"/>
        <v>0</v>
      </c>
      <c r="AX44" s="149">
        <f ca="1" t="shared" si="23"/>
        <v>0</v>
      </c>
      <c r="AY44" s="149">
        <f ca="1" t="shared" si="23"/>
        <v>0</v>
      </c>
      <c r="AZ44" s="149">
        <f ca="1" t="shared" si="23"/>
        <v>0</v>
      </c>
      <c r="BA44" s="150">
        <f ca="1" t="shared" si="23"/>
        <v>0</v>
      </c>
    </row>
    <row r="45" s="139" customFormat="1" spans="2:53">
      <c r="B45" s="27"/>
      <c r="C45" s="148" t="s">
        <v>977</v>
      </c>
      <c r="D45" s="34">
        <f ca="1" t="shared" ref="D45:D51" si="24">SUM(F45:BA45)</f>
        <v>0</v>
      </c>
      <c r="E45" s="29" t="s">
        <v>130</v>
      </c>
      <c r="F45" s="30"/>
      <c r="G45" s="30"/>
      <c r="H45" s="30"/>
      <c r="I45" s="30"/>
      <c r="J45" s="30"/>
      <c r="K45" s="30"/>
      <c r="L45" s="30"/>
      <c r="M45" s="30"/>
      <c r="N45" s="149">
        <f ca="1">IF(L42&gt;0,0,IF(N42&lt;0,0,MIN(N42-SUM(N46:N48),-L42-M44)))</f>
        <v>0</v>
      </c>
      <c r="O45" s="149">
        <f ca="1">IF(M42&gt;0,0,IF(O42&lt;0,0,MIN(O42-SUM(O46:O48),-M42-N44)))</f>
        <v>0</v>
      </c>
      <c r="P45" s="149">
        <f ca="1">IF(N42&gt;0,0,IF(P42&lt;0,0,MIN(P42-SUM(P46:P48),-N42-O44)))</f>
        <v>0</v>
      </c>
      <c r="Q45" s="149">
        <f ca="1" t="shared" ref="Q45:AL45" si="25">IF(O42&gt;0,0,IF(Q42&lt;0,0,MIN(Q42-SUM(Q46:Q48),-O42-P44)))</f>
        <v>0</v>
      </c>
      <c r="R45" s="149">
        <f ca="1" t="shared" si="25"/>
        <v>0</v>
      </c>
      <c r="S45" s="149">
        <f ca="1" t="shared" si="25"/>
        <v>0</v>
      </c>
      <c r="T45" s="149">
        <f ca="1" t="shared" si="25"/>
        <v>0</v>
      </c>
      <c r="U45" s="149">
        <f ca="1" t="shared" si="25"/>
        <v>0</v>
      </c>
      <c r="V45" s="149">
        <f ca="1" t="shared" si="25"/>
        <v>0</v>
      </c>
      <c r="W45" s="149">
        <f ca="1" t="shared" si="25"/>
        <v>0</v>
      </c>
      <c r="X45" s="149">
        <f ca="1" t="shared" si="25"/>
        <v>0</v>
      </c>
      <c r="Y45" s="149">
        <f ca="1" t="shared" si="25"/>
        <v>0</v>
      </c>
      <c r="Z45" s="149">
        <f ca="1" t="shared" si="25"/>
        <v>0</v>
      </c>
      <c r="AA45" s="149">
        <f ca="1" t="shared" si="25"/>
        <v>0</v>
      </c>
      <c r="AB45" s="149">
        <f ca="1" t="shared" si="25"/>
        <v>0</v>
      </c>
      <c r="AC45" s="149">
        <f ca="1" t="shared" si="25"/>
        <v>0</v>
      </c>
      <c r="AD45" s="149">
        <f ca="1" t="shared" si="25"/>
        <v>0</v>
      </c>
      <c r="AE45" s="149">
        <f ca="1" t="shared" si="25"/>
        <v>0</v>
      </c>
      <c r="AF45" s="149">
        <f ca="1" t="shared" si="25"/>
        <v>0</v>
      </c>
      <c r="AG45" s="149">
        <f ca="1" t="shared" si="25"/>
        <v>0</v>
      </c>
      <c r="AH45" s="149">
        <f ca="1" t="shared" si="25"/>
        <v>0</v>
      </c>
      <c r="AI45" s="149">
        <f ca="1" t="shared" si="25"/>
        <v>0</v>
      </c>
      <c r="AJ45" s="149">
        <f ca="1" t="shared" si="25"/>
        <v>0</v>
      </c>
      <c r="AK45" s="149">
        <f ca="1" t="shared" si="25"/>
        <v>0</v>
      </c>
      <c r="AL45" s="149">
        <f ca="1" t="shared" si="25"/>
        <v>0</v>
      </c>
      <c r="AM45" s="149">
        <f ca="1" t="shared" ref="AM45:BA45" si="26">IF(AK42&gt;0,0,IF(AM42&lt;0,0,MIN(AM42-SUM(AM46:AM48),-AK42-AL44)))</f>
        <v>0</v>
      </c>
      <c r="AN45" s="149">
        <f ca="1" t="shared" si="26"/>
        <v>0</v>
      </c>
      <c r="AO45" s="149">
        <f ca="1" t="shared" si="26"/>
        <v>0</v>
      </c>
      <c r="AP45" s="149">
        <f ca="1" t="shared" si="26"/>
        <v>0</v>
      </c>
      <c r="AQ45" s="149">
        <f ca="1" t="shared" si="26"/>
        <v>0</v>
      </c>
      <c r="AR45" s="149">
        <f ca="1" t="shared" si="26"/>
        <v>0</v>
      </c>
      <c r="AS45" s="149">
        <f ca="1" t="shared" si="26"/>
        <v>0</v>
      </c>
      <c r="AT45" s="149">
        <f ca="1" t="shared" si="26"/>
        <v>0</v>
      </c>
      <c r="AU45" s="149">
        <f ca="1" t="shared" si="26"/>
        <v>0</v>
      </c>
      <c r="AV45" s="149">
        <f ca="1" t="shared" si="26"/>
        <v>0</v>
      </c>
      <c r="AW45" s="149">
        <f ca="1" t="shared" si="26"/>
        <v>0</v>
      </c>
      <c r="AX45" s="149">
        <f ca="1" t="shared" si="26"/>
        <v>0</v>
      </c>
      <c r="AY45" s="149">
        <f ca="1" t="shared" si="26"/>
        <v>0</v>
      </c>
      <c r="AZ45" s="149">
        <f ca="1" t="shared" si="26"/>
        <v>0</v>
      </c>
      <c r="BA45" s="150">
        <f ca="1" t="shared" si="26"/>
        <v>0</v>
      </c>
    </row>
    <row r="46" s="139" customFormat="1" spans="2:53">
      <c r="B46" s="27"/>
      <c r="C46" s="148" t="s">
        <v>978</v>
      </c>
      <c r="D46" s="34">
        <f ca="1" t="shared" si="24"/>
        <v>0</v>
      </c>
      <c r="E46" s="29" t="s">
        <v>130</v>
      </c>
      <c r="F46" s="30"/>
      <c r="G46" s="30"/>
      <c r="H46" s="30"/>
      <c r="I46" s="30"/>
      <c r="J46" s="30"/>
      <c r="K46" s="30"/>
      <c r="L46" s="30"/>
      <c r="M46" s="30"/>
      <c r="N46" s="30"/>
      <c r="O46" s="149">
        <f ca="1">IF(L42&gt;0,0,IF(O42&lt;0,0,MIN(O42-SUM(O47:O48),-L42-M44-N45)))</f>
        <v>0</v>
      </c>
      <c r="P46" s="149">
        <f ca="1">IF(M42&gt;0,0,IF(P42&lt;0,0,MIN(P42-SUM(P47:P48),-M42-N44-O45)))</f>
        <v>0</v>
      </c>
      <c r="Q46" s="149">
        <f ca="1">IF(N42&gt;0,0,IF(Q42&lt;0,0,MIN(Q42-SUM(Q47:Q48),-N42-O44-P45)))</f>
        <v>0</v>
      </c>
      <c r="R46" s="149">
        <f ca="1" t="shared" ref="R46:AL46" si="27">IF(O42&gt;0,0,IF(R42&lt;0,0,MIN(R42-SUM(R47:R48),-O42-P44-Q45)))</f>
        <v>0</v>
      </c>
      <c r="S46" s="149">
        <f ca="1" t="shared" si="27"/>
        <v>0</v>
      </c>
      <c r="T46" s="149">
        <f ca="1" t="shared" si="27"/>
        <v>0</v>
      </c>
      <c r="U46" s="149">
        <f ca="1" t="shared" si="27"/>
        <v>0</v>
      </c>
      <c r="V46" s="149">
        <f ca="1" t="shared" si="27"/>
        <v>0</v>
      </c>
      <c r="W46" s="149">
        <f ca="1" t="shared" si="27"/>
        <v>0</v>
      </c>
      <c r="X46" s="149">
        <f ca="1" t="shared" si="27"/>
        <v>0</v>
      </c>
      <c r="Y46" s="149">
        <f ca="1" t="shared" si="27"/>
        <v>0</v>
      </c>
      <c r="Z46" s="149">
        <f ca="1" t="shared" si="27"/>
        <v>0</v>
      </c>
      <c r="AA46" s="149">
        <f ca="1" t="shared" si="27"/>
        <v>0</v>
      </c>
      <c r="AB46" s="149">
        <f ca="1" t="shared" si="27"/>
        <v>0</v>
      </c>
      <c r="AC46" s="149">
        <f ca="1" t="shared" si="27"/>
        <v>0</v>
      </c>
      <c r="AD46" s="149">
        <f ca="1" t="shared" si="27"/>
        <v>0</v>
      </c>
      <c r="AE46" s="149">
        <f ca="1" t="shared" si="27"/>
        <v>0</v>
      </c>
      <c r="AF46" s="149">
        <f ca="1" t="shared" si="27"/>
        <v>0</v>
      </c>
      <c r="AG46" s="149">
        <f ca="1" t="shared" si="27"/>
        <v>0</v>
      </c>
      <c r="AH46" s="149">
        <f ca="1" t="shared" si="27"/>
        <v>0</v>
      </c>
      <c r="AI46" s="149">
        <f ca="1" t="shared" si="27"/>
        <v>0</v>
      </c>
      <c r="AJ46" s="149">
        <f ca="1" t="shared" si="27"/>
        <v>0</v>
      </c>
      <c r="AK46" s="149">
        <f ca="1" t="shared" si="27"/>
        <v>0</v>
      </c>
      <c r="AL46" s="149">
        <f ca="1" t="shared" si="27"/>
        <v>0</v>
      </c>
      <c r="AM46" s="149">
        <f ca="1" t="shared" ref="AM46:BA46" si="28">IF(AJ42&gt;0,0,IF(AM42&lt;0,0,MIN(AM42-SUM(AM47:AM48),-AJ42-AK44-AL45)))</f>
        <v>0</v>
      </c>
      <c r="AN46" s="149">
        <f ca="1" t="shared" si="28"/>
        <v>0</v>
      </c>
      <c r="AO46" s="149">
        <f ca="1" t="shared" si="28"/>
        <v>0</v>
      </c>
      <c r="AP46" s="149">
        <f ca="1" t="shared" si="28"/>
        <v>0</v>
      </c>
      <c r="AQ46" s="149">
        <f ca="1" t="shared" si="28"/>
        <v>0</v>
      </c>
      <c r="AR46" s="149">
        <f ca="1" t="shared" si="28"/>
        <v>0</v>
      </c>
      <c r="AS46" s="149">
        <f ca="1" t="shared" si="28"/>
        <v>0</v>
      </c>
      <c r="AT46" s="149">
        <f ca="1" t="shared" si="28"/>
        <v>0</v>
      </c>
      <c r="AU46" s="149">
        <f ca="1" t="shared" si="28"/>
        <v>0</v>
      </c>
      <c r="AV46" s="149">
        <f ca="1" t="shared" si="28"/>
        <v>0</v>
      </c>
      <c r="AW46" s="149">
        <f ca="1" t="shared" si="28"/>
        <v>0</v>
      </c>
      <c r="AX46" s="149">
        <f ca="1" t="shared" si="28"/>
        <v>0</v>
      </c>
      <c r="AY46" s="149">
        <f ca="1" t="shared" si="28"/>
        <v>0</v>
      </c>
      <c r="AZ46" s="149">
        <f ca="1" t="shared" si="28"/>
        <v>0</v>
      </c>
      <c r="BA46" s="150">
        <f ca="1" t="shared" si="28"/>
        <v>0</v>
      </c>
    </row>
    <row r="47" s="139" customFormat="1" spans="2:53">
      <c r="B47" s="27"/>
      <c r="C47" s="148" t="s">
        <v>979</v>
      </c>
      <c r="D47" s="34">
        <f ca="1" t="shared" si="24"/>
        <v>0</v>
      </c>
      <c r="E47" s="29" t="s">
        <v>130</v>
      </c>
      <c r="F47" s="30"/>
      <c r="G47" s="30"/>
      <c r="H47" s="30"/>
      <c r="I47" s="30"/>
      <c r="J47" s="30"/>
      <c r="K47" s="30"/>
      <c r="L47" s="30"/>
      <c r="M47" s="30"/>
      <c r="N47" s="30"/>
      <c r="O47" s="30"/>
      <c r="P47" s="149">
        <f ca="1">IF(L42&gt;0,0,IF(P42&lt;0,0,MIN(P42-P48,-L42-M44-N45-O46)))</f>
        <v>0</v>
      </c>
      <c r="Q47" s="149">
        <f ca="1">IF(M42&gt;0,0,IF(Q42&lt;0,0,MIN(Q42-Q48,-M42-N44-O45-P46)))</f>
        <v>0</v>
      </c>
      <c r="R47" s="149">
        <f ca="1">IF(N42&gt;0,0,IF(R42&lt;0,0,MIN(R42-R48,-N42-O44-P45-Q46)))</f>
        <v>0</v>
      </c>
      <c r="S47" s="149">
        <f ca="1" t="shared" ref="S47:AL47" si="29">IF(O42&gt;0,0,IF(S42&lt;0,0,MIN(S42-S48,-O42-P44-Q45-R46)))</f>
        <v>0</v>
      </c>
      <c r="T47" s="149">
        <f ca="1" t="shared" si="29"/>
        <v>0</v>
      </c>
      <c r="U47" s="149">
        <f ca="1" t="shared" si="29"/>
        <v>0</v>
      </c>
      <c r="V47" s="149">
        <f ca="1" t="shared" si="29"/>
        <v>0</v>
      </c>
      <c r="W47" s="149">
        <f ca="1" t="shared" si="29"/>
        <v>0</v>
      </c>
      <c r="X47" s="149">
        <f ca="1" t="shared" si="29"/>
        <v>0</v>
      </c>
      <c r="Y47" s="149">
        <f ca="1" t="shared" si="29"/>
        <v>0</v>
      </c>
      <c r="Z47" s="149">
        <f ca="1" t="shared" si="29"/>
        <v>0</v>
      </c>
      <c r="AA47" s="149">
        <f ca="1" t="shared" si="29"/>
        <v>0</v>
      </c>
      <c r="AB47" s="149">
        <f ca="1" t="shared" si="29"/>
        <v>0</v>
      </c>
      <c r="AC47" s="149">
        <f ca="1" t="shared" si="29"/>
        <v>0</v>
      </c>
      <c r="AD47" s="149">
        <f ca="1" t="shared" si="29"/>
        <v>0</v>
      </c>
      <c r="AE47" s="149">
        <f ca="1" t="shared" si="29"/>
        <v>0</v>
      </c>
      <c r="AF47" s="149">
        <f ca="1" t="shared" si="29"/>
        <v>0</v>
      </c>
      <c r="AG47" s="149">
        <f ca="1" t="shared" si="29"/>
        <v>0</v>
      </c>
      <c r="AH47" s="149">
        <f ca="1" t="shared" si="29"/>
        <v>0</v>
      </c>
      <c r="AI47" s="149">
        <f ca="1" t="shared" si="29"/>
        <v>0</v>
      </c>
      <c r="AJ47" s="149">
        <f ca="1" t="shared" si="29"/>
        <v>0</v>
      </c>
      <c r="AK47" s="149">
        <f ca="1" t="shared" si="29"/>
        <v>0</v>
      </c>
      <c r="AL47" s="149">
        <f ca="1" t="shared" si="29"/>
        <v>0</v>
      </c>
      <c r="AM47" s="149">
        <f ca="1" t="shared" ref="AM47:BA47" si="30">IF(AI42&gt;0,0,IF(AM42&lt;0,0,MIN(AM42-AM48,-AI42-AJ44-AK45-AL46)))</f>
        <v>0</v>
      </c>
      <c r="AN47" s="149">
        <f ca="1" t="shared" si="30"/>
        <v>0</v>
      </c>
      <c r="AO47" s="149">
        <f ca="1" t="shared" si="30"/>
        <v>0</v>
      </c>
      <c r="AP47" s="149">
        <f ca="1" t="shared" si="30"/>
        <v>0</v>
      </c>
      <c r="AQ47" s="149">
        <f ca="1" t="shared" si="30"/>
        <v>0</v>
      </c>
      <c r="AR47" s="149">
        <f ca="1" t="shared" si="30"/>
        <v>0</v>
      </c>
      <c r="AS47" s="149">
        <f ca="1" t="shared" si="30"/>
        <v>0</v>
      </c>
      <c r="AT47" s="149">
        <f ca="1" t="shared" si="30"/>
        <v>0</v>
      </c>
      <c r="AU47" s="149">
        <f ca="1" t="shared" si="30"/>
        <v>0</v>
      </c>
      <c r="AV47" s="149">
        <f ca="1" t="shared" si="30"/>
        <v>0</v>
      </c>
      <c r="AW47" s="149">
        <f ca="1" t="shared" si="30"/>
        <v>0</v>
      </c>
      <c r="AX47" s="149">
        <f ca="1" t="shared" si="30"/>
        <v>0</v>
      </c>
      <c r="AY47" s="149">
        <f ca="1" t="shared" si="30"/>
        <v>0</v>
      </c>
      <c r="AZ47" s="149">
        <f ca="1" t="shared" si="30"/>
        <v>0</v>
      </c>
      <c r="BA47" s="150">
        <f ca="1" t="shared" si="30"/>
        <v>0</v>
      </c>
    </row>
    <row r="48" s="139" customFormat="1" spans="2:53">
      <c r="B48" s="27"/>
      <c r="C48" s="148" t="s">
        <v>980</v>
      </c>
      <c r="D48" s="34">
        <f ca="1" t="shared" si="24"/>
        <v>0</v>
      </c>
      <c r="E48" s="29" t="s">
        <v>130</v>
      </c>
      <c r="F48" s="30"/>
      <c r="G48" s="30"/>
      <c r="H48" s="30"/>
      <c r="I48" s="30"/>
      <c r="J48" s="30"/>
      <c r="K48" s="30"/>
      <c r="L48" s="30"/>
      <c r="M48" s="30"/>
      <c r="N48" s="30"/>
      <c r="O48" s="30"/>
      <c r="P48" s="30"/>
      <c r="Q48" s="149">
        <f ca="1">IF(L42&gt;0,0,IF(Q42&lt;0,0,MIN(Q42,-L42-M44-N45-O46-P47)))</f>
        <v>0</v>
      </c>
      <c r="R48" s="149">
        <f ca="1">IF(M42&gt;0,0,IF(R42&lt;0,0,MIN(R42,-M42-N44-O45-P46-Q47)))</f>
        <v>0</v>
      </c>
      <c r="S48" s="149">
        <f ca="1">IF(N42&gt;0,0,IF(S42&lt;0,0,MIN(S42,-N42-O44-P45-Q46-R47)))</f>
        <v>0</v>
      </c>
      <c r="T48" s="149">
        <f ca="1" t="shared" ref="T48:AL48" si="31">IF(O42&gt;0,0,IF(T42&lt;0,0,MIN(T42,-O42-P44-Q45-R46-S47)))</f>
        <v>0</v>
      </c>
      <c r="U48" s="149">
        <f ca="1" t="shared" si="31"/>
        <v>0</v>
      </c>
      <c r="V48" s="149">
        <f ca="1" t="shared" si="31"/>
        <v>0</v>
      </c>
      <c r="W48" s="149">
        <f ca="1" t="shared" si="31"/>
        <v>0</v>
      </c>
      <c r="X48" s="149">
        <f ca="1" t="shared" si="31"/>
        <v>0</v>
      </c>
      <c r="Y48" s="149">
        <f ca="1" t="shared" si="31"/>
        <v>0</v>
      </c>
      <c r="Z48" s="149">
        <f ca="1" t="shared" si="31"/>
        <v>0</v>
      </c>
      <c r="AA48" s="149">
        <f ca="1" t="shared" si="31"/>
        <v>0</v>
      </c>
      <c r="AB48" s="149">
        <f ca="1" t="shared" si="31"/>
        <v>0</v>
      </c>
      <c r="AC48" s="149">
        <f ca="1" t="shared" si="31"/>
        <v>0</v>
      </c>
      <c r="AD48" s="149">
        <f ca="1" t="shared" si="31"/>
        <v>0</v>
      </c>
      <c r="AE48" s="149">
        <f ca="1" t="shared" si="31"/>
        <v>0</v>
      </c>
      <c r="AF48" s="149">
        <f ca="1" t="shared" si="31"/>
        <v>0</v>
      </c>
      <c r="AG48" s="149">
        <f ca="1" t="shared" si="31"/>
        <v>0</v>
      </c>
      <c r="AH48" s="149">
        <f ca="1" t="shared" si="31"/>
        <v>0</v>
      </c>
      <c r="AI48" s="149">
        <f ca="1" t="shared" si="31"/>
        <v>0</v>
      </c>
      <c r="AJ48" s="149">
        <f ca="1" t="shared" si="31"/>
        <v>0</v>
      </c>
      <c r="AK48" s="149">
        <f ca="1" t="shared" si="31"/>
        <v>0</v>
      </c>
      <c r="AL48" s="149">
        <f ca="1" t="shared" si="31"/>
        <v>0</v>
      </c>
      <c r="AM48" s="149">
        <f ca="1" t="shared" ref="AM48:BA48" si="32">IF(AH42&gt;0,0,IF(AM42&lt;0,0,MIN(AM42,-AH42-AI44-AJ45-AK46-AL47)))</f>
        <v>0</v>
      </c>
      <c r="AN48" s="149">
        <f ca="1" t="shared" si="32"/>
        <v>0</v>
      </c>
      <c r="AO48" s="149">
        <f ca="1" t="shared" si="32"/>
        <v>0</v>
      </c>
      <c r="AP48" s="149">
        <f ca="1" t="shared" si="32"/>
        <v>0</v>
      </c>
      <c r="AQ48" s="149">
        <f ca="1" t="shared" si="32"/>
        <v>0</v>
      </c>
      <c r="AR48" s="149">
        <f ca="1" t="shared" si="32"/>
        <v>0</v>
      </c>
      <c r="AS48" s="149">
        <f ca="1" t="shared" si="32"/>
        <v>0</v>
      </c>
      <c r="AT48" s="149">
        <f ca="1" t="shared" si="32"/>
        <v>0</v>
      </c>
      <c r="AU48" s="149">
        <f ca="1" t="shared" si="32"/>
        <v>0</v>
      </c>
      <c r="AV48" s="149">
        <f ca="1" t="shared" si="32"/>
        <v>0</v>
      </c>
      <c r="AW48" s="149">
        <f ca="1" t="shared" si="32"/>
        <v>0</v>
      </c>
      <c r="AX48" s="149">
        <f ca="1" t="shared" si="32"/>
        <v>0</v>
      </c>
      <c r="AY48" s="149">
        <f ca="1" t="shared" si="32"/>
        <v>0</v>
      </c>
      <c r="AZ48" s="149">
        <f ca="1" t="shared" si="32"/>
        <v>0</v>
      </c>
      <c r="BA48" s="150">
        <f ca="1" t="shared" si="32"/>
        <v>0</v>
      </c>
    </row>
    <row r="49" s="140" customFormat="1" spans="2:53">
      <c r="B49" s="71"/>
      <c r="C49" s="151" t="s">
        <v>404</v>
      </c>
      <c r="D49" s="73">
        <f t="shared" si="24"/>
        <v>24000</v>
      </c>
      <c r="E49" s="50" t="s">
        <v>130</v>
      </c>
      <c r="F49" s="73">
        <f>参数输入表!$I$993</f>
        <v>0</v>
      </c>
      <c r="G49" s="73">
        <f>参数输入表!$I$994</f>
        <v>0</v>
      </c>
      <c r="H49" s="73">
        <f>参数输入表!$I$995</f>
        <v>0</v>
      </c>
      <c r="I49" s="73">
        <f>参数输入表!$I$996</f>
        <v>0</v>
      </c>
      <c r="J49" s="73">
        <f>参数输入表!$I$997</f>
        <v>0</v>
      </c>
      <c r="K49" s="73">
        <f>参数输入表!$I$998</f>
        <v>0</v>
      </c>
      <c r="L49" s="73">
        <f>参数输入表!$I$999</f>
        <v>0</v>
      </c>
      <c r="M49" s="73">
        <f>参数输入表!$I$1000</f>
        <v>0</v>
      </c>
      <c r="N49" s="73">
        <f>参数输入表!$I$1001</f>
        <v>600</v>
      </c>
      <c r="O49" s="73">
        <f>参数输入表!$I$1002</f>
        <v>600</v>
      </c>
      <c r="P49" s="73">
        <f>参数输入表!$I$1003</f>
        <v>600</v>
      </c>
      <c r="Q49" s="73">
        <f>参数输入表!$I$1004</f>
        <v>600</v>
      </c>
      <c r="R49" s="73">
        <f>参数输入表!$I$1005</f>
        <v>600</v>
      </c>
      <c r="S49" s="73">
        <f>参数输入表!$I$1006</f>
        <v>600</v>
      </c>
      <c r="T49" s="73">
        <f>参数输入表!$I$1007</f>
        <v>600</v>
      </c>
      <c r="U49" s="73">
        <f>参数输入表!$I$1008</f>
        <v>600</v>
      </c>
      <c r="V49" s="73">
        <f>参数输入表!$I$1009</f>
        <v>600</v>
      </c>
      <c r="W49" s="73">
        <f>参数输入表!$I$1010</f>
        <v>600</v>
      </c>
      <c r="X49" s="73">
        <f>参数输入表!$I$1011</f>
        <v>600</v>
      </c>
      <c r="Y49" s="73">
        <f>参数输入表!$I$1012</f>
        <v>600</v>
      </c>
      <c r="Z49" s="73">
        <f>参数输入表!$I$1013</f>
        <v>600</v>
      </c>
      <c r="AA49" s="73">
        <f>参数输入表!$I$1014</f>
        <v>600</v>
      </c>
      <c r="AB49" s="73">
        <f>参数输入表!$I$1015</f>
        <v>600</v>
      </c>
      <c r="AC49" s="73">
        <f>参数输入表!$I$1016</f>
        <v>600</v>
      </c>
      <c r="AD49" s="73">
        <f>参数输入表!$I$1017</f>
        <v>600</v>
      </c>
      <c r="AE49" s="73">
        <f>参数输入表!$I$1018</f>
        <v>600</v>
      </c>
      <c r="AF49" s="73">
        <f>参数输入表!$I$1019</f>
        <v>600</v>
      </c>
      <c r="AG49" s="73">
        <f>参数输入表!$I$1020</f>
        <v>600</v>
      </c>
      <c r="AH49" s="73">
        <f>参数输入表!$I$1021</f>
        <v>600</v>
      </c>
      <c r="AI49" s="73">
        <f>参数输入表!$I$1022</f>
        <v>600</v>
      </c>
      <c r="AJ49" s="73">
        <f>参数输入表!$I$1023</f>
        <v>600</v>
      </c>
      <c r="AK49" s="73">
        <f>参数输入表!$I$1024</f>
        <v>600</v>
      </c>
      <c r="AL49" s="73">
        <f>参数输入表!$I$1025</f>
        <v>600</v>
      </c>
      <c r="AM49" s="73">
        <f>参数输入表!$I$1026</f>
        <v>600</v>
      </c>
      <c r="AN49" s="73">
        <f>参数输入表!$I$1027</f>
        <v>600</v>
      </c>
      <c r="AO49" s="73">
        <f>参数输入表!$I$1028</f>
        <v>600</v>
      </c>
      <c r="AP49" s="73">
        <f>参数输入表!$I$1029</f>
        <v>600</v>
      </c>
      <c r="AQ49" s="73">
        <f>参数输入表!$I$1030</f>
        <v>600</v>
      </c>
      <c r="AR49" s="73">
        <f>参数输入表!$I$1031</f>
        <v>600</v>
      </c>
      <c r="AS49" s="73">
        <f>参数输入表!$I$1032</f>
        <v>600</v>
      </c>
      <c r="AT49" s="73">
        <f>参数输入表!$I$1033</f>
        <v>600</v>
      </c>
      <c r="AU49" s="73">
        <f>参数输入表!$I$1034</f>
        <v>600</v>
      </c>
      <c r="AV49" s="73">
        <f>参数输入表!$I$1035</f>
        <v>600</v>
      </c>
      <c r="AW49" s="73">
        <f>参数输入表!$I$1036</f>
        <v>600</v>
      </c>
      <c r="AX49" s="73">
        <f>参数输入表!$I$1037</f>
        <v>600</v>
      </c>
      <c r="AY49" s="73">
        <f>参数输入表!$I$1038</f>
        <v>600</v>
      </c>
      <c r="AZ49" s="73">
        <f>参数输入表!$I$1039</f>
        <v>600</v>
      </c>
      <c r="BA49" s="77">
        <f>参数输入表!$I$1040</f>
        <v>600</v>
      </c>
    </row>
    <row r="50" s="140" customFormat="1" spans="2:53">
      <c r="B50" s="71"/>
      <c r="C50" s="151" t="s">
        <v>882</v>
      </c>
      <c r="D50" s="73">
        <f ca="1" t="shared" si="24"/>
        <v>2090335.91209905</v>
      </c>
      <c r="E50" s="50" t="s">
        <v>130</v>
      </c>
      <c r="F50" s="119">
        <f ca="1">IF(F42-F43-F49&gt;0,F42-F43-F49,0)</f>
        <v>0</v>
      </c>
      <c r="G50" s="119">
        <f ca="1" t="shared" ref="G50:BA50" si="33">IF(G42-G43-G49&gt;0,G42-G43-G49,0)</f>
        <v>0</v>
      </c>
      <c r="H50" s="119">
        <f ca="1" t="shared" si="33"/>
        <v>0</v>
      </c>
      <c r="I50" s="119">
        <f ca="1" t="shared" si="33"/>
        <v>0</v>
      </c>
      <c r="J50" s="119">
        <f ca="1" t="shared" si="33"/>
        <v>0</v>
      </c>
      <c r="K50" s="119">
        <f ca="1" t="shared" si="33"/>
        <v>0</v>
      </c>
      <c r="L50" s="119">
        <f ca="1" t="shared" si="33"/>
        <v>0</v>
      </c>
      <c r="M50" s="119">
        <f ca="1" t="shared" si="33"/>
        <v>19973.0445376314</v>
      </c>
      <c r="N50" s="119">
        <f ca="1" t="shared" si="33"/>
        <v>45190.123682554</v>
      </c>
      <c r="O50" s="119">
        <f ca="1" t="shared" si="33"/>
        <v>45652.623682554</v>
      </c>
      <c r="P50" s="119">
        <f ca="1" t="shared" si="33"/>
        <v>45652.623682554</v>
      </c>
      <c r="Q50" s="119">
        <f ca="1" t="shared" si="33"/>
        <v>45652.623682554</v>
      </c>
      <c r="R50" s="119">
        <f ca="1" t="shared" si="33"/>
        <v>45652.623682554</v>
      </c>
      <c r="S50" s="119">
        <f ca="1" t="shared" si="33"/>
        <v>45299.9685813709</v>
      </c>
      <c r="T50" s="119">
        <f ca="1" t="shared" si="33"/>
        <v>44329.0729356005</v>
      </c>
      <c r="U50" s="119">
        <f ca="1" t="shared" si="33"/>
        <v>44329.0729356005</v>
      </c>
      <c r="V50" s="119">
        <f ca="1" t="shared" si="33"/>
        <v>44329.0729356005</v>
      </c>
      <c r="W50" s="119">
        <f ca="1" t="shared" si="33"/>
        <v>44329.0729356005</v>
      </c>
      <c r="X50" s="119">
        <f ca="1" t="shared" si="33"/>
        <v>44188.8058251028</v>
      </c>
      <c r="Y50" s="119">
        <f ca="1" t="shared" si="33"/>
        <v>42751.4464843543</v>
      </c>
      <c r="Z50" s="119">
        <f ca="1" t="shared" si="33"/>
        <v>42868.2813467396</v>
      </c>
      <c r="AA50" s="119">
        <f ca="1" t="shared" si="33"/>
        <v>42868.2813467396</v>
      </c>
      <c r="AB50" s="119">
        <f ca="1" t="shared" si="33"/>
        <v>42868.2813467396</v>
      </c>
      <c r="AC50" s="119">
        <f ca="1" t="shared" si="33"/>
        <v>42873.23547518</v>
      </c>
      <c r="AD50" s="119">
        <f ca="1" t="shared" si="33"/>
        <v>42868.2813467396</v>
      </c>
      <c r="AE50" s="119">
        <f ca="1" t="shared" si="33"/>
        <v>44627.5406059988</v>
      </c>
      <c r="AF50" s="119">
        <f ca="1" t="shared" si="33"/>
        <v>47111.2115335636</v>
      </c>
      <c r="AG50" s="119">
        <f ca="1" t="shared" si="33"/>
        <v>47328.0035689618</v>
      </c>
      <c r="AH50" s="119">
        <f ca="1" t="shared" si="33"/>
        <v>47665.4576974022</v>
      </c>
      <c r="AI50" s="119">
        <f ca="1" t="shared" si="33"/>
        <v>47858.6687065765</v>
      </c>
      <c r="AJ50" s="119">
        <f ca="1" t="shared" si="33"/>
        <v>47660.5035689618</v>
      </c>
      <c r="AK50" s="119">
        <f ca="1" t="shared" si="33"/>
        <v>47660.5035689618</v>
      </c>
      <c r="AL50" s="119">
        <f ca="1" t="shared" si="33"/>
        <v>47660.5035689618</v>
      </c>
      <c r="AM50" s="119">
        <f ca="1" t="shared" si="33"/>
        <v>47665.4576974022</v>
      </c>
      <c r="AN50" s="119">
        <f ca="1" t="shared" si="33"/>
        <v>47681.2115335636</v>
      </c>
      <c r="AO50" s="119">
        <f ca="1" t="shared" si="33"/>
        <v>47660.5035689618</v>
      </c>
      <c r="AP50" s="119">
        <f ca="1" t="shared" si="33"/>
        <v>57119.8207065009</v>
      </c>
      <c r="AQ50" s="119">
        <f ca="1" t="shared" si="33"/>
        <v>70362.8646990557</v>
      </c>
      <c r="AR50" s="119">
        <f ca="1" t="shared" si="33"/>
        <v>70367.8188274961</v>
      </c>
      <c r="AS50" s="119">
        <f ca="1" t="shared" si="33"/>
        <v>70357.1562383014</v>
      </c>
      <c r="AT50" s="119">
        <f ca="1" t="shared" si="33"/>
        <v>70158.9911006867</v>
      </c>
      <c r="AU50" s="119">
        <f ca="1" t="shared" si="33"/>
        <v>70158.9911006867</v>
      </c>
      <c r="AV50" s="119">
        <f ca="1" t="shared" si="33"/>
        <v>70124.3893307752</v>
      </c>
      <c r="AW50" s="119">
        <f ca="1" t="shared" si="33"/>
        <v>70108.6354946138</v>
      </c>
      <c r="AX50" s="119">
        <f ca="1" t="shared" si="33"/>
        <v>70103.6813661734</v>
      </c>
      <c r="AY50" s="119">
        <f ca="1" t="shared" si="33"/>
        <v>69955.730295837</v>
      </c>
      <c r="AZ50" s="119">
        <f ca="1" t="shared" si="33"/>
        <v>69950.7761673966</v>
      </c>
      <c r="BA50" s="120">
        <f ca="1" t="shared" si="33"/>
        <v>39310.9547064391</v>
      </c>
    </row>
    <row r="51" spans="2:53">
      <c r="B51" s="32"/>
      <c r="C51" s="152" t="s">
        <v>981</v>
      </c>
      <c r="D51" s="79">
        <f ca="1" t="shared" si="24"/>
        <v>477760.296168119</v>
      </c>
      <c r="E51" s="80" t="s">
        <v>130</v>
      </c>
      <c r="F51" s="153">
        <f ca="1">IF(F4-参数输入表!$I$25&gt;=0,IF(参数输入表!$I$978="三免三减半",IF(6+参数输入表!$I$25-1-F4&gt;=0,IF(3+参数输入表!$I$25-1-F4&gt;=0,0,F50*参数输入表!$I$979/2),F50*参数输入表!$I$979),F50*参数输入表!$I$979),0)</f>
        <v>0</v>
      </c>
      <c r="G51" s="153">
        <f ca="1">IF(G4-参数输入表!$I$25&gt;=0,IF(参数输入表!$I$978="三免三减半",IF(6+参数输入表!$I$25-1-G4&gt;=0,IF(3+参数输入表!$I$25-1-G4&gt;=0,0,G50*参数输入表!$I$979/2),G50*参数输入表!$I$979),G50*参数输入表!$I$979),0)</f>
        <v>0</v>
      </c>
      <c r="H51" s="153">
        <f ca="1">IF(H4-参数输入表!$I$25&gt;=0,IF(参数输入表!$I$978="三免三减半",IF(6+参数输入表!$I$25-1-H4&gt;=0,IF(3+参数输入表!$I$25-1-H4&gt;=0,0,H50*参数输入表!$I$979/2),H50*参数输入表!$I$979),H50*参数输入表!$I$979),0)</f>
        <v>0</v>
      </c>
      <c r="I51" s="153">
        <f ca="1">IF(I4-参数输入表!$I$25&gt;=0,IF(参数输入表!$I$978="三免三减半",IF(6+参数输入表!$I$25-1-I4&gt;=0,IF(3+参数输入表!$I$25-1-I4&gt;=0,0,I50*参数输入表!$I$979/2),I50*参数输入表!$I$979),I50*参数输入表!$I$979),0)</f>
        <v>0</v>
      </c>
      <c r="J51" s="153">
        <f ca="1">IF(J4-参数输入表!$I$25&gt;=0,IF(参数输入表!$I$978="三免三减半",IF(6+参数输入表!$I$25-1-J4&gt;=0,IF(3+参数输入表!$I$25-1-J4&gt;=0,0,J50*参数输入表!$I$979/2),J50*参数输入表!$I$979),J50*参数输入表!$I$979),0)</f>
        <v>0</v>
      </c>
      <c r="K51" s="153">
        <f ca="1">IF(K4-参数输入表!$I$25&gt;=0,IF(参数输入表!$I$978="三免三减半",IF(6+参数输入表!$I$25-1-K4&gt;=0,IF(3+参数输入表!$I$25-1-K4&gt;=0,0,K50*参数输入表!$I$979/2),K50*参数输入表!$I$979),K50*参数输入表!$I$979),0)</f>
        <v>0</v>
      </c>
      <c r="L51" s="153">
        <f ca="1">IF(L4-参数输入表!$I$25&gt;=0,IF(参数输入表!$I$978="三免三减半",IF(6+参数输入表!$I$25-1-L4&gt;=0,IF(3+参数输入表!$I$25-1-L4&gt;=0,0,L50*参数输入表!$I$979/2),L50*参数输入表!$I$979),L50*参数输入表!$I$979),0)</f>
        <v>0</v>
      </c>
      <c r="M51" s="153">
        <f ca="1">IF(M4-参数输入表!$I$25&gt;=0,IF(参数输入表!$I$978="三免三减半",IF(6+参数输入表!$I$25-1-M4&gt;=0,IF(3+参数输入表!$I$25-1-M4&gt;=0,0,M50*参数输入表!$I$979/2),M50*参数输入表!$I$979),M50*参数输入表!$I$979),0)</f>
        <v>0</v>
      </c>
      <c r="N51" s="153">
        <f ca="1">IF(N4-参数输入表!$I$25&gt;=0,IF(参数输入表!$I$978="三免三减半",IF(6+参数输入表!$I$25-1-N4&gt;=0,IF(3+参数输入表!$I$25-1-N4&gt;=0,0,N50*参数输入表!$I$979/2),N50*参数输入表!$I$979),N50*参数输入表!$I$979),0)</f>
        <v>0</v>
      </c>
      <c r="O51" s="153">
        <f ca="1">IF(O4-参数输入表!$I$25&gt;=0,IF(参数输入表!$I$978="三免三减半",IF(6+参数输入表!$I$25-1-O4&gt;=0,IF(3+参数输入表!$I$25-1-O4&gt;=0,0,O50*参数输入表!$I$979/2),O50*参数输入表!$I$979),O50*参数输入表!$I$979),0)</f>
        <v>0</v>
      </c>
      <c r="P51" s="153">
        <f ca="1">IF(P4-参数输入表!$I$25&gt;=0,IF(参数输入表!$I$978="三免三减半",IF(6+参数输入表!$I$25-1-P4&gt;=0,IF(3+参数输入表!$I$25-1-P4&gt;=0,0,P50*参数输入表!$I$979/2),P50*参数输入表!$I$979),P50*参数输入表!$I$979),0)</f>
        <v>5706.57796031925</v>
      </c>
      <c r="Q51" s="153">
        <f ca="1">IF(Q4-参数输入表!$I$25&gt;=0,IF(参数输入表!$I$978="三免三减半",IF(6+参数输入表!$I$25-1-Q4&gt;=0,IF(3+参数输入表!$I$25-1-Q4&gt;=0,0,Q50*参数输入表!$I$979/2),Q50*参数输入表!$I$979),Q50*参数输入表!$I$979),0)</f>
        <v>5706.57796031925</v>
      </c>
      <c r="R51" s="153">
        <f ca="1">IF(R4-参数输入表!$I$25&gt;=0,IF(参数输入表!$I$978="三免三减半",IF(6+参数输入表!$I$25-1-R4&gt;=0,IF(3+参数输入表!$I$25-1-R4&gt;=0,0,R50*参数输入表!$I$979/2),R50*参数输入表!$I$979),R50*参数输入表!$I$979),0)</f>
        <v>5706.57796031925</v>
      </c>
      <c r="S51" s="153">
        <f ca="1">IF(S4-参数输入表!$I$25&gt;=0,IF(参数输入表!$I$978="三免三减半",IF(6+参数输入表!$I$25-1-S4&gt;=0,IF(3+参数输入表!$I$25-1-S4&gt;=0,0,S50*参数输入表!$I$979/2),S50*参数输入表!$I$979),S50*参数输入表!$I$979),0)</f>
        <v>11324.9921453427</v>
      </c>
      <c r="T51" s="153">
        <f ca="1">IF(T4-参数输入表!$I$25&gt;=0,IF(参数输入表!$I$978="三免三减半",IF(6+参数输入表!$I$25-1-T4&gt;=0,IF(3+参数输入表!$I$25-1-T4&gt;=0,0,T50*参数输入表!$I$979/2),T50*参数输入表!$I$979),T50*参数输入表!$I$979),0)</f>
        <v>11082.2682339001</v>
      </c>
      <c r="U51" s="153">
        <f ca="1">IF(U4-参数输入表!$I$25&gt;=0,IF(参数输入表!$I$978="三免三减半",IF(6+参数输入表!$I$25-1-U4&gt;=0,IF(3+参数输入表!$I$25-1-U4&gt;=0,0,U50*参数输入表!$I$979/2),U50*参数输入表!$I$979),U50*参数输入表!$I$979),0)</f>
        <v>11082.2682339001</v>
      </c>
      <c r="V51" s="153">
        <f ca="1">IF(V4-参数输入表!$I$25&gt;=0,IF(参数输入表!$I$978="三免三减半",IF(6+参数输入表!$I$25-1-V4&gt;=0,IF(3+参数输入表!$I$25-1-V4&gt;=0,0,V50*参数输入表!$I$979/2),V50*参数输入表!$I$979),V50*参数输入表!$I$979),0)</f>
        <v>11082.2682339001</v>
      </c>
      <c r="W51" s="153">
        <f ca="1">IF(W4-参数输入表!$I$25&gt;=0,IF(参数输入表!$I$978="三免三减半",IF(6+参数输入表!$I$25-1-W4&gt;=0,IF(3+参数输入表!$I$25-1-W4&gt;=0,0,W50*参数输入表!$I$979/2),W50*参数输入表!$I$979),W50*参数输入表!$I$979),0)</f>
        <v>11082.2682339001</v>
      </c>
      <c r="X51" s="153">
        <f ca="1">IF(X4-参数输入表!$I$25&gt;=0,IF(参数输入表!$I$978="三免三减半",IF(6+参数输入表!$I$25-1-X4&gt;=0,IF(3+参数输入表!$I$25-1-X4&gt;=0,0,X50*参数输入表!$I$979/2),X50*参数输入表!$I$979),X50*参数输入表!$I$979),0)</f>
        <v>11047.2014562757</v>
      </c>
      <c r="Y51" s="153">
        <f ca="1">IF(Y4-参数输入表!$I$25&gt;=0,IF(参数输入表!$I$978="三免三减半",IF(6+参数输入表!$I$25-1-Y4&gt;=0,IF(3+参数输入表!$I$25-1-Y4&gt;=0,0,Y50*参数输入表!$I$979/2),Y50*参数输入表!$I$979),Y50*参数输入表!$I$979),0)</f>
        <v>10687.8616210886</v>
      </c>
      <c r="Z51" s="153">
        <f ca="1">IF(Z4-参数输入表!$I$25&gt;=0,IF(参数输入表!$I$978="三免三减半",IF(6+参数输入表!$I$25-1-Z4&gt;=0,IF(3+参数输入表!$I$25-1-Z4&gt;=0,0,Z50*参数输入表!$I$979/2),Z50*参数输入表!$I$979),Z50*参数输入表!$I$979),0)</f>
        <v>10717.0703366849</v>
      </c>
      <c r="AA51" s="153">
        <f ca="1">IF(AA4-参数输入表!$I$25&gt;=0,IF(参数输入表!$I$978="三免三减半",IF(6+参数输入表!$I$25-1-AA4&gt;=0,IF(3+参数输入表!$I$25-1-AA4&gt;=0,0,AA50*参数输入表!$I$979/2),AA50*参数输入表!$I$979),AA50*参数输入表!$I$979),0)</f>
        <v>10717.0703366849</v>
      </c>
      <c r="AB51" s="153">
        <f ca="1">IF(AB4-参数输入表!$I$25&gt;=0,IF(参数输入表!$I$978="三免三减半",IF(6+参数输入表!$I$25-1-AB4&gt;=0,IF(3+参数输入表!$I$25-1-AB4&gt;=0,0,AB50*参数输入表!$I$979/2),AB50*参数输入表!$I$979),AB50*参数输入表!$I$979),0)</f>
        <v>10717.0703366849</v>
      </c>
      <c r="AC51" s="153">
        <f ca="1">IF(AC4-参数输入表!$I$25&gt;=0,IF(参数输入表!$I$978="三免三减半",IF(6+参数输入表!$I$25-1-AC4&gt;=0,IF(3+参数输入表!$I$25-1-AC4&gt;=0,0,AC50*参数输入表!$I$979/2),AC50*参数输入表!$I$979),AC50*参数输入表!$I$979),0)</f>
        <v>10718.308868795</v>
      </c>
      <c r="AD51" s="153">
        <f ca="1">IF(AD4-参数输入表!$I$25&gt;=0,IF(参数输入表!$I$978="三免三减半",IF(6+参数输入表!$I$25-1-AD4&gt;=0,IF(3+参数输入表!$I$25-1-AD4&gt;=0,0,AD50*参数输入表!$I$979/2),AD50*参数输入表!$I$979),AD50*参数输入表!$I$979),0)</f>
        <v>10717.0703366849</v>
      </c>
      <c r="AE51" s="153">
        <f ca="1">IF(AE4-参数输入表!$I$25&gt;=0,IF(参数输入表!$I$978="三免三减半",IF(6+参数输入表!$I$25-1-AE4&gt;=0,IF(3+参数输入表!$I$25-1-AE4&gt;=0,0,AE50*参数输入表!$I$979/2),AE50*参数输入表!$I$979),AE50*参数输入表!$I$979),0)</f>
        <v>11156.8851514997</v>
      </c>
      <c r="AF51" s="153">
        <f ca="1">IF(AF4-参数输入表!$I$25&gt;=0,IF(参数输入表!$I$978="三免三减半",IF(6+参数输入表!$I$25-1-AF4&gt;=0,IF(3+参数输入表!$I$25-1-AF4&gt;=0,0,AF50*参数输入表!$I$979/2),AF50*参数输入表!$I$979),AF50*参数输入表!$I$979),0)</f>
        <v>11777.8028833909</v>
      </c>
      <c r="AG51" s="153">
        <f ca="1">IF(AG4-参数输入表!$I$25&gt;=0,IF(参数输入表!$I$978="三免三减半",IF(6+参数输入表!$I$25-1-AG4&gt;=0,IF(3+参数输入表!$I$25-1-AG4&gt;=0,0,AG50*参数输入表!$I$979/2),AG50*参数输入表!$I$979),AG50*参数输入表!$I$979),0)</f>
        <v>11832.0008922405</v>
      </c>
      <c r="AH51" s="153">
        <f ca="1">IF(AH4-参数输入表!$I$25&gt;=0,IF(参数输入表!$I$978="三免三减半",IF(6+参数输入表!$I$25-1-AH4&gt;=0,IF(3+参数输入表!$I$25-1-AH4&gt;=0,0,AH50*参数输入表!$I$979/2),AH50*参数输入表!$I$979),AH50*参数输入表!$I$979),0)</f>
        <v>11916.3644243505</v>
      </c>
      <c r="AI51" s="153">
        <f ca="1">IF(AI4-参数输入表!$I$25&gt;=0,IF(参数输入表!$I$978="三免三减半",IF(6+参数输入表!$I$25-1-AI4&gt;=0,IF(3+参数输入表!$I$25-1-AI4&gt;=0,0,AI50*参数输入表!$I$979/2),AI50*参数输入表!$I$979),AI50*参数输入表!$I$979),0)</f>
        <v>11964.6671766441</v>
      </c>
      <c r="AJ51" s="153">
        <f ca="1">IF(AJ4-参数输入表!$I$25&gt;=0,IF(参数输入表!$I$978="三免三减半",IF(6+参数输入表!$I$25-1-AJ4&gt;=0,IF(3+参数输入表!$I$25-1-AJ4&gt;=0,0,AJ50*参数输入表!$I$979/2),AJ50*参数输入表!$I$979),AJ50*参数输入表!$I$979),0)</f>
        <v>11915.1258922405</v>
      </c>
      <c r="AK51" s="153">
        <f ca="1">IF(AK4-参数输入表!$I$25&gt;=0,IF(参数输入表!$I$978="三免三减半",IF(6+参数输入表!$I$25-1-AK4&gt;=0,IF(3+参数输入表!$I$25-1-AK4&gt;=0,0,AK50*参数输入表!$I$979/2),AK50*参数输入表!$I$979),AK50*参数输入表!$I$979),0)</f>
        <v>11915.1258922405</v>
      </c>
      <c r="AL51" s="153">
        <f ca="1">IF(AL4-参数输入表!$I$25&gt;=0,IF(参数输入表!$I$978="三免三减半",IF(6+参数输入表!$I$25-1-AL4&gt;=0,IF(3+参数输入表!$I$25-1-AL4&gt;=0,0,AL50*参数输入表!$I$979/2),AL50*参数输入表!$I$979),AL50*参数输入表!$I$979),0)</f>
        <v>11915.1258922405</v>
      </c>
      <c r="AM51" s="153">
        <f ca="1">IF(AM4-参数输入表!$I$25&gt;=0,IF(参数输入表!$I$978="三免三减半",IF(6+参数输入表!$I$25-1-AM4&gt;=0,IF(3+参数输入表!$I$25-1-AM4&gt;=0,0,AM50*参数输入表!$I$979/2),AM50*参数输入表!$I$979),AM50*参数输入表!$I$979),0)</f>
        <v>11916.3644243505</v>
      </c>
      <c r="AN51" s="153">
        <f ca="1">IF(AN4-参数输入表!$I$25&gt;=0,IF(参数输入表!$I$978="三免三减半",IF(6+参数输入表!$I$25-1-AN4&gt;=0,IF(3+参数输入表!$I$25-1-AN4&gt;=0,0,AN50*参数输入表!$I$979/2),AN50*参数输入表!$I$979),AN50*参数输入表!$I$979),0)</f>
        <v>11920.3028833909</v>
      </c>
      <c r="AO51" s="153">
        <f ca="1">IF(AO4-参数输入表!$I$25&gt;=0,IF(参数输入表!$I$978="三免三减半",IF(6+参数输入表!$I$25-1-AO4&gt;=0,IF(3+参数输入表!$I$25-1-AO4&gt;=0,0,AO50*参数输入表!$I$979/2),AO50*参数输入表!$I$979),AO50*参数输入表!$I$979),0)</f>
        <v>11915.1258922405</v>
      </c>
      <c r="AP51" s="153">
        <f ca="1">IF(AP4-参数输入表!$I$25&gt;=0,IF(参数输入表!$I$978="三免三减半",IF(6+参数输入表!$I$25-1-AP4&gt;=0,IF(3+参数输入表!$I$25-1-AP4&gt;=0,0,AP50*参数输入表!$I$979/2),AP50*参数输入表!$I$979),AP50*参数输入表!$I$979),0)</f>
        <v>14279.9551766252</v>
      </c>
      <c r="AQ51" s="153">
        <f ca="1">IF(AQ4-参数输入表!$I$25&gt;=0,IF(参数输入表!$I$978="三免三减半",IF(6+参数输入表!$I$25-1-AQ4&gt;=0,IF(3+参数输入表!$I$25-1-AQ4&gt;=0,0,AQ50*参数输入表!$I$979/2),AQ50*参数输入表!$I$979),AQ50*参数输入表!$I$979),0)</f>
        <v>17590.7161747639</v>
      </c>
      <c r="AR51" s="153">
        <f ca="1">IF(AR4-参数输入表!$I$25&gt;=0,IF(参数输入表!$I$978="三免三减半",IF(6+参数输入表!$I$25-1-AR4&gt;=0,IF(3+参数输入表!$I$25-1-AR4&gt;=0,0,AR50*参数输入表!$I$979/2),AR50*参数输入表!$I$979),AR50*参数输入表!$I$979),0)</f>
        <v>17591.954706874</v>
      </c>
      <c r="AS51" s="153">
        <f ca="1">IF(AS4-参数输入表!$I$25&gt;=0,IF(参数输入表!$I$978="三免三减半",IF(6+参数输入表!$I$25-1-AS4&gt;=0,IF(3+参数输入表!$I$25-1-AS4&gt;=0,0,AS50*参数输入表!$I$979/2),AS50*参数输入表!$I$979),AS50*参数输入表!$I$979),0)</f>
        <v>17589.2890595753</v>
      </c>
      <c r="AT51" s="153">
        <f ca="1">IF(AT4-参数输入表!$I$25&gt;=0,IF(参数输入表!$I$978="三免三减半",IF(6+参数输入表!$I$25-1-AT4&gt;=0,IF(3+参数输入表!$I$25-1-AT4&gt;=0,0,AT50*参数输入表!$I$979/2),AT50*参数输入表!$I$979),AT50*参数输入表!$I$979),0)</f>
        <v>17539.7477751717</v>
      </c>
      <c r="AU51" s="153">
        <f ca="1">IF(AU4-参数输入表!$I$25&gt;=0,IF(参数输入表!$I$978="三免三减半",IF(6+参数输入表!$I$25-1-AU4&gt;=0,IF(3+参数输入表!$I$25-1-AU4&gt;=0,0,AU50*参数输入表!$I$979/2),AU50*参数输入表!$I$979),AU50*参数输入表!$I$979),0)</f>
        <v>17539.7477751717</v>
      </c>
      <c r="AV51" s="153">
        <f ca="1">IF(AV4-参数输入表!$I$25&gt;=0,IF(参数输入表!$I$978="三免三减半",IF(6+参数输入表!$I$25-1-AV4&gt;=0,IF(3+参数输入表!$I$25-1-AV4&gt;=0,0,AV50*参数输入表!$I$979/2),AV50*参数输入表!$I$979),AV50*参数输入表!$I$979),0)</f>
        <v>17531.0973326938</v>
      </c>
      <c r="AW51" s="153">
        <f ca="1">IF(AW4-参数输入表!$I$25&gt;=0,IF(参数输入表!$I$978="三免三减半",IF(6+参数输入表!$I$25-1-AW4&gt;=0,IF(3+参数输入表!$I$25-1-AW4&gt;=0,0,AW50*参数输入表!$I$979/2),AW50*参数输入表!$I$979),AW50*参数输入表!$I$979),0)</f>
        <v>17527.1588736534</v>
      </c>
      <c r="AX51" s="153">
        <f ca="1">IF(AX4-参数输入表!$I$25&gt;=0,IF(参数输入表!$I$978="三免三减半",IF(6+参数输入表!$I$25-1-AX4&gt;=0,IF(3+参数输入表!$I$25-1-AX4&gt;=0,0,AX50*参数输入表!$I$979/2),AX50*参数输入表!$I$979),AX50*参数输入表!$I$979),0)</f>
        <v>17525.9203415434</v>
      </c>
      <c r="AY51" s="153">
        <f ca="1">IF(AY4-参数输入表!$I$25&gt;=0,IF(参数输入表!$I$978="三免三减半",IF(6+参数输入表!$I$25-1-AY4&gt;=0,IF(3+参数输入表!$I$25-1-AY4&gt;=0,0,AY50*参数输入表!$I$979/2),AY50*参数输入表!$I$979),AY50*参数输入表!$I$979),0)</f>
        <v>17488.9325739593</v>
      </c>
      <c r="AZ51" s="153">
        <f ca="1">IF(AZ4-参数输入表!$I$25&gt;=0,IF(参数输入表!$I$978="三免三减半",IF(6+参数输入表!$I$25-1-AZ4&gt;=0,IF(3+参数输入表!$I$25-1-AZ4&gt;=0,0,AZ50*参数输入表!$I$979/2),AZ50*参数输入表!$I$979),AZ50*参数输入表!$I$979),0)</f>
        <v>17487.6940418492</v>
      </c>
      <c r="BA51" s="154">
        <f ca="1">IF(BA4-参数输入表!$I$25&gt;=0,IF(参数输入表!$I$978="三免三减半",IF(6+参数输入表!$I$25-1-BA4&gt;=0,IF(3+参数输入表!$I$25-1-BA4&gt;=0,0,BA50*参数输入表!$I$979/2),BA50*参数输入表!$I$979),BA50*参数输入表!$I$979),0)</f>
        <v>9827.73867660977</v>
      </c>
    </row>
    <row r="52" s="141" customFormat="1" spans="2:53">
      <c r="B52" s="155"/>
      <c r="C52" s="156" t="s">
        <v>982</v>
      </c>
      <c r="D52" s="157"/>
      <c r="E52" s="158"/>
      <c r="F52" s="157">
        <f ca="1">IF(F4-参数输入表!$I$25&gt;=0,IF(参数输入表!$I$978="三免三减半",IF(6+参数输入表!$I$25-1-F4&gt;=0,IF(3+参数输入表!$I$25-1-F4&gt;=0,0,F50*参数输入表!$I$979/2),F50*参数输入表!$I$979),F50*参数输入表!$I$979),0)</f>
        <v>0</v>
      </c>
      <c r="G52" s="157">
        <f ca="1">IF(G4-参数输入表!$I$25&gt;=0,IF(参数输入表!$I$978="三免三减半",IF(6+参数输入表!$I$25-1-G4&gt;=0,IF(3+参数输入表!$I$25-1-G4&gt;=0,0,G50*参数输入表!$I$979/2),G50*参数输入表!$I$979),G50*参数输入表!$I$979),0)</f>
        <v>0</v>
      </c>
      <c r="H52" s="157">
        <f ca="1">IF(H4-参数输入表!$I$25&gt;=0,IF(参数输入表!$I$978="三免三减半",IF(6+参数输入表!$I$25-1-H4&gt;=0,IF(3+参数输入表!$I$25-1-H4&gt;=0,0,H50*参数输入表!$I$979/2),H50*参数输入表!$I$979),H50*参数输入表!$I$979),0)</f>
        <v>0</v>
      </c>
      <c r="I52" s="157">
        <f ca="1">IF(I4-参数输入表!$I$25&gt;=0,IF(参数输入表!$I$978="三免三减半",IF(6+参数输入表!$I$25-1-I4&gt;=0,IF(3+参数输入表!$I$25-1-I4&gt;=0,0,I50*参数输入表!$I$979/2),I50*参数输入表!$I$979),I50*参数输入表!$I$979),0)</f>
        <v>0</v>
      </c>
      <c r="J52" s="157">
        <f ca="1">IF(J4-参数输入表!$I$25&gt;=0,IF(参数输入表!$I$978="三免三减半",IF(6+参数输入表!$I$25-1-J4&gt;=0,IF(3+参数输入表!$I$25-1-J4&gt;=0,0,J50*参数输入表!$I$979/2),J50*参数输入表!$I$979),J50*参数输入表!$I$979),0)</f>
        <v>0</v>
      </c>
      <c r="K52" s="157">
        <f ca="1">IF(K4-参数输入表!$I$25&gt;=0,IF(参数输入表!$I$978="三免三减半",IF(6+参数输入表!$I$25-1-K4&gt;=0,IF(3+参数输入表!$I$25-1-K4&gt;=0,0,K50*参数输入表!$I$979/2),K50*参数输入表!$I$979),K50*参数输入表!$I$979),0)</f>
        <v>0</v>
      </c>
      <c r="L52" s="157">
        <f ca="1">IF(L4-参数输入表!$I$25&gt;=0,IF(参数输入表!$I$978="三免三减半",IF(6+参数输入表!$I$25-1-L4&gt;=0,IF(3+参数输入表!$I$25-1-L4&gt;=0,0,L50*参数输入表!$I$979/2),L50*参数输入表!$I$979),L50*参数输入表!$I$979),0)</f>
        <v>0</v>
      </c>
      <c r="M52" s="157">
        <f ca="1">IF(M4-参数输入表!$I$25&gt;=0,IF(参数输入表!$I$978="三免三减半",IF(6+参数输入表!$I$25-1-M4&gt;=0,IF(3+参数输入表!$I$25-1-M4&gt;=0,0,M50*参数输入表!$I$979/2),M50*参数输入表!$I$979),M50*参数输入表!$I$979),0)</f>
        <v>0</v>
      </c>
      <c r="N52" s="157">
        <f ca="1">IF(N4-参数输入表!$I$25&gt;=0,IF(参数输入表!$I$978="三免三减半",IF(6+参数输入表!$I$25-1-N4&gt;=0,IF(3+参数输入表!$I$25-1-N4&gt;=0,0,N50*参数输入表!$I$979/2),N50*参数输入表!$I$979),N50*参数输入表!$I$979),0)</f>
        <v>0</v>
      </c>
      <c r="O52" s="157">
        <f ca="1">IF(O4-参数输入表!$I$25&gt;=0,IF(参数输入表!$I$978="三免三减半",IF(6+参数输入表!$I$25-1-O4&gt;=0,IF(3+参数输入表!$I$25-1-O4&gt;=0,0,O50*参数输入表!$I$979/2),O50*参数输入表!$I$979),O50*参数输入表!$I$979),0)</f>
        <v>0</v>
      </c>
      <c r="P52" s="157">
        <f ca="1">IF(P4-参数输入表!$I$25&gt;=0,IF(参数输入表!$I$978="三免三减半",IF(6+参数输入表!$I$25-1-P4&gt;=0,IF(3+参数输入表!$I$25-1-P4&gt;=0,0,P50*参数输入表!$I$979/2),P50*参数输入表!$I$979),P50*参数输入表!$I$979),0)</f>
        <v>5706.57796031925</v>
      </c>
      <c r="Q52" s="157">
        <f ca="1">IF(Q4-参数输入表!$I$25&gt;=0,IF(参数输入表!$I$978="三免三减半",IF(6+参数输入表!$I$25-1-Q4&gt;=0,IF(3+参数输入表!$I$25-1-Q4&gt;=0,0,Q50*参数输入表!$I$979/2),Q50*参数输入表!$I$979),Q50*参数输入表!$I$979),0)</f>
        <v>5706.57796031925</v>
      </c>
      <c r="R52" s="157">
        <f ca="1">IF(R4-参数输入表!$I$25&gt;=0,IF(参数输入表!$I$978="三免三减半",IF(6+参数输入表!$I$25-1-R4&gt;=0,IF(3+参数输入表!$I$25-1-R4&gt;=0,0,R50*参数输入表!$I$979/2),R50*参数输入表!$I$979),R50*参数输入表!$I$979),0)</f>
        <v>5706.57796031925</v>
      </c>
      <c r="S52" s="157">
        <f ca="1">IF(S4-参数输入表!$I$25&gt;=0,IF(参数输入表!$I$978="三免三减半",IF(6+参数输入表!$I$25-1-S4&gt;=0,IF(3+参数输入表!$I$25-1-S4&gt;=0,0,S50*参数输入表!$I$979/2),S50*参数输入表!$I$979),S50*参数输入表!$I$979),0)</f>
        <v>11324.9921453427</v>
      </c>
      <c r="T52" s="157">
        <f ca="1">IF(T4-参数输入表!$I$25&gt;=0,IF(参数输入表!$I$978="三免三减半",IF(6+参数输入表!$I$25-1-T4&gt;=0,IF(3+参数输入表!$I$25-1-T4&gt;=0,0,T50*参数输入表!$I$979/2),T50*参数输入表!$I$979),T50*参数输入表!$I$979),0)</f>
        <v>11082.2682339001</v>
      </c>
      <c r="U52" s="157">
        <f ca="1">IF(U4-参数输入表!$I$25&gt;=0,IF(参数输入表!$I$978="三免三减半",IF(6+参数输入表!$I$25-1-U4&gt;=0,IF(3+参数输入表!$I$25-1-U4&gt;=0,0,U50*参数输入表!$I$979/2),U50*参数输入表!$I$979),U50*参数输入表!$I$979),0)</f>
        <v>11082.2682339001</v>
      </c>
      <c r="V52" s="157">
        <f ca="1">IF(V4-参数输入表!$I$25&gt;=0,IF(参数输入表!$I$978="三免三减半",IF(6+参数输入表!$I$25-1-V4&gt;=0,IF(3+参数输入表!$I$25-1-V4&gt;=0,0,V50*参数输入表!$I$979/2),V50*参数输入表!$I$979),V50*参数输入表!$I$979),0)</f>
        <v>11082.2682339001</v>
      </c>
      <c r="W52" s="157">
        <f ca="1">IF(W4-参数输入表!$I$25&gt;=0,IF(参数输入表!$I$978="三免三减半",IF(6+参数输入表!$I$25-1-W4&gt;=0,IF(3+参数输入表!$I$25-1-W4&gt;=0,0,W50*参数输入表!$I$979/2),W50*参数输入表!$I$979),W50*参数输入表!$I$979),0)</f>
        <v>11082.2682339001</v>
      </c>
      <c r="X52" s="157">
        <f ca="1">IF(X4-参数输入表!$I$25&gt;=0,IF(参数输入表!$I$978="三免三减半",IF(6+参数输入表!$I$25-1-X4&gt;=0,IF(3+参数输入表!$I$25-1-X4&gt;=0,0,X50*参数输入表!$I$979/2),X50*参数输入表!$I$979),X50*参数输入表!$I$979),0)</f>
        <v>11047.2014562757</v>
      </c>
      <c r="Y52" s="157">
        <f ca="1">IF(Y4-参数输入表!$I$25&gt;=0,IF(参数输入表!$I$978="三免三减半",IF(6+参数输入表!$I$25-1-Y4&gt;=0,IF(3+参数输入表!$I$25-1-Y4&gt;=0,0,Y50*参数输入表!$I$979/2),Y50*参数输入表!$I$979),Y50*参数输入表!$I$979),0)</f>
        <v>10687.8616210886</v>
      </c>
      <c r="Z52" s="157">
        <f ca="1">IF(Z4-参数输入表!$I$25&gt;=0,IF(参数输入表!$I$978="三免三减半",IF(6+参数输入表!$I$25-1-Z4&gt;=0,IF(3+参数输入表!$I$25-1-Z4&gt;=0,0,Z50*参数输入表!$I$979/2),Z50*参数输入表!$I$979),Z50*参数输入表!$I$979),0)</f>
        <v>10717.0703366849</v>
      </c>
      <c r="AA52" s="157">
        <f ca="1">IF(AA4-参数输入表!$I$25&gt;=0,IF(参数输入表!$I$978="三免三减半",IF(6+参数输入表!$I$25-1-AA4&gt;=0,IF(3+参数输入表!$I$25-1-AA4&gt;=0,0,AA50*参数输入表!$I$979/2),AA50*参数输入表!$I$979),AA50*参数输入表!$I$979),0)</f>
        <v>10717.0703366849</v>
      </c>
      <c r="AB52" s="157">
        <f ca="1">IF(AB4-参数输入表!$I$25&gt;=0,IF(参数输入表!$I$978="三免三减半",IF(6+参数输入表!$I$25-1-AB4&gt;=0,IF(3+参数输入表!$I$25-1-AB4&gt;=0,0,AB50*参数输入表!$I$979/2),AB50*参数输入表!$I$979),AB50*参数输入表!$I$979),0)</f>
        <v>10717.0703366849</v>
      </c>
      <c r="AC52" s="157">
        <f ca="1">IF(AC4-参数输入表!$I$25&gt;=0,IF(参数输入表!$I$978="三免三减半",IF(6+参数输入表!$I$25-1-AC4&gt;=0,IF(3+参数输入表!$I$25-1-AC4&gt;=0,0,AC50*参数输入表!$I$979/2),AC50*参数输入表!$I$979),AC50*参数输入表!$I$979),0)</f>
        <v>10718.308868795</v>
      </c>
      <c r="AD52" s="157">
        <f ca="1">IF(AD4-参数输入表!$I$25&gt;=0,IF(参数输入表!$I$978="三免三减半",IF(6+参数输入表!$I$25-1-AD4&gt;=0,IF(3+参数输入表!$I$25-1-AD4&gt;=0,0,AD50*参数输入表!$I$979/2),AD50*参数输入表!$I$979),AD50*参数输入表!$I$979),0)</f>
        <v>10717.0703366849</v>
      </c>
      <c r="AE52" s="157">
        <f ca="1">IF(AE4-参数输入表!$I$25&gt;=0,IF(参数输入表!$I$978="三免三减半",IF(6+参数输入表!$I$25-1-AE4&gt;=0,IF(3+参数输入表!$I$25-1-AE4&gt;=0,0,AE50*参数输入表!$I$979/2),AE50*参数输入表!$I$979),AE50*参数输入表!$I$979),0)</f>
        <v>11156.8851514997</v>
      </c>
      <c r="AF52" s="157">
        <f ca="1">IF(AF4-参数输入表!$I$25&gt;=0,IF(参数输入表!$I$978="三免三减半",IF(6+参数输入表!$I$25-1-AF4&gt;=0,IF(3+参数输入表!$I$25-1-AF4&gt;=0,0,AF50*参数输入表!$I$979/2),AF50*参数输入表!$I$979),AF50*参数输入表!$I$979),0)</f>
        <v>11777.8028833909</v>
      </c>
      <c r="AG52" s="157">
        <f ca="1">IF(AG4-参数输入表!$I$25&gt;=0,IF(参数输入表!$I$978="三免三减半",IF(6+参数输入表!$I$25-1-AG4&gt;=0,IF(3+参数输入表!$I$25-1-AG4&gt;=0,0,AG50*参数输入表!$I$979/2),AG50*参数输入表!$I$979),AG50*参数输入表!$I$979),0)</f>
        <v>11832.0008922405</v>
      </c>
      <c r="AH52" s="157">
        <f ca="1">IF(AH4-参数输入表!$I$25&gt;=0,IF(参数输入表!$I$978="三免三减半",IF(6+参数输入表!$I$25-1-AH4&gt;=0,IF(3+参数输入表!$I$25-1-AH4&gt;=0,0,AH50*参数输入表!$I$979/2),AH50*参数输入表!$I$979),AH50*参数输入表!$I$979),0)</f>
        <v>11916.3644243505</v>
      </c>
      <c r="AI52" s="157">
        <f ca="1">IF(AI4-参数输入表!$I$25&gt;=0,IF(参数输入表!$I$978="三免三减半",IF(6+参数输入表!$I$25-1-AI4&gt;=0,IF(3+参数输入表!$I$25-1-AI4&gt;=0,0,AI50*参数输入表!$I$979/2),AI50*参数输入表!$I$979),AI50*参数输入表!$I$979),0)</f>
        <v>11964.6671766441</v>
      </c>
      <c r="AJ52" s="157">
        <f ca="1">IF(AJ4-参数输入表!$I$25&gt;=0,IF(参数输入表!$I$978="三免三减半",IF(6+参数输入表!$I$25-1-AJ4&gt;=0,IF(3+参数输入表!$I$25-1-AJ4&gt;=0,0,AJ50*参数输入表!$I$979/2),AJ50*参数输入表!$I$979),AJ50*参数输入表!$I$979),0)</f>
        <v>11915.1258922405</v>
      </c>
      <c r="AK52" s="157">
        <f ca="1">IF(AK4-参数输入表!$I$25&gt;=0,IF(参数输入表!$I$978="三免三减半",IF(6+参数输入表!$I$25-1-AK4&gt;=0,IF(3+参数输入表!$I$25-1-AK4&gt;=0,0,AK50*参数输入表!$I$979/2),AK50*参数输入表!$I$979),AK50*参数输入表!$I$979),0)</f>
        <v>11915.1258922405</v>
      </c>
      <c r="AL52" s="157">
        <f ca="1">IF(AL4-参数输入表!$I$25&gt;=0,IF(参数输入表!$I$978="三免三减半",IF(6+参数输入表!$I$25-1-AL4&gt;=0,IF(3+参数输入表!$I$25-1-AL4&gt;=0,0,AL50*参数输入表!$I$979/2),AL50*参数输入表!$I$979),AL50*参数输入表!$I$979),0)</f>
        <v>11915.1258922405</v>
      </c>
      <c r="AM52" s="157">
        <f ca="1">IF(AM4-参数输入表!$I$25&gt;=0,IF(参数输入表!$I$978="三免三减半",IF(6+参数输入表!$I$25-1-AM4&gt;=0,IF(3+参数输入表!$I$25-1-AM4&gt;=0,0,AM50*参数输入表!$I$979/2),AM50*参数输入表!$I$979),AM50*参数输入表!$I$979),0)</f>
        <v>11916.3644243505</v>
      </c>
      <c r="AN52" s="157">
        <f ca="1">IF(AN4-参数输入表!$I$25&gt;=0,IF(参数输入表!$I$978="三免三减半",IF(6+参数输入表!$I$25-1-AN4&gt;=0,IF(3+参数输入表!$I$25-1-AN4&gt;=0,0,AN50*参数输入表!$I$979/2),AN50*参数输入表!$I$979),AN50*参数输入表!$I$979),0)</f>
        <v>11920.3028833909</v>
      </c>
      <c r="AO52" s="157">
        <f ca="1">IF(AO4-参数输入表!$I$25&gt;=0,IF(参数输入表!$I$978="三免三减半",IF(6+参数输入表!$I$25-1-AO4&gt;=0,IF(3+参数输入表!$I$25-1-AO4&gt;=0,0,AO50*参数输入表!$I$979/2),AO50*参数输入表!$I$979),AO50*参数输入表!$I$979),0)</f>
        <v>11915.1258922405</v>
      </c>
      <c r="AP52" s="157">
        <f ca="1">IF(AP4-参数输入表!$I$25&gt;=0,IF(参数输入表!$I$978="三免三减半",IF(6+参数输入表!$I$25-1-AP4&gt;=0,IF(3+参数输入表!$I$25-1-AP4&gt;=0,0,AP50*参数输入表!$I$979/2),AP50*参数输入表!$I$979),AP50*参数输入表!$I$979),0)</f>
        <v>14279.9551766252</v>
      </c>
      <c r="AQ52" s="157">
        <f ca="1">IF(AQ4-参数输入表!$I$25&gt;=0,IF(参数输入表!$I$978="三免三减半",IF(6+参数输入表!$I$25-1-AQ4&gt;=0,IF(3+参数输入表!$I$25-1-AQ4&gt;=0,0,AQ50*参数输入表!$I$979/2),AQ50*参数输入表!$I$979),AQ50*参数输入表!$I$979),0)</f>
        <v>17590.7161747639</v>
      </c>
      <c r="AR52" s="157">
        <f ca="1">IF(AR4-参数输入表!$I$25&gt;=0,IF(参数输入表!$I$978="三免三减半",IF(6+参数输入表!$I$25-1-AR4&gt;=0,IF(3+参数输入表!$I$25-1-AR4&gt;=0,0,AR50*参数输入表!$I$979/2),AR50*参数输入表!$I$979),AR50*参数输入表!$I$979),0)</f>
        <v>17591.954706874</v>
      </c>
      <c r="AS52" s="157">
        <f ca="1">IF(AS4-参数输入表!$I$25&gt;=0,IF(参数输入表!$I$978="三免三减半",IF(6+参数输入表!$I$25-1-AS4&gt;=0,IF(3+参数输入表!$I$25-1-AS4&gt;=0,0,AS50*参数输入表!$I$979/2),AS50*参数输入表!$I$979),AS50*参数输入表!$I$979),0)</f>
        <v>17589.2890595753</v>
      </c>
      <c r="AT52" s="157">
        <f ca="1">IF(AT4-参数输入表!$I$25&gt;=0,IF(参数输入表!$I$978="三免三减半",IF(6+参数输入表!$I$25-1-AT4&gt;=0,IF(3+参数输入表!$I$25-1-AT4&gt;=0,0,AT50*参数输入表!$I$979/2),AT50*参数输入表!$I$979),AT50*参数输入表!$I$979),0)</f>
        <v>17539.7477751717</v>
      </c>
      <c r="AU52" s="157">
        <f ca="1">IF(AU4-参数输入表!$I$25&gt;=0,IF(参数输入表!$I$978="三免三减半",IF(6+参数输入表!$I$25-1-AU4&gt;=0,IF(3+参数输入表!$I$25-1-AU4&gt;=0,0,AU50*参数输入表!$I$979/2),AU50*参数输入表!$I$979),AU50*参数输入表!$I$979),0)</f>
        <v>17539.7477751717</v>
      </c>
      <c r="AV52" s="157">
        <f ca="1">IF(AV4-参数输入表!$I$25&gt;=0,IF(参数输入表!$I$978="三免三减半",IF(6+参数输入表!$I$25-1-AV4&gt;=0,IF(3+参数输入表!$I$25-1-AV4&gt;=0,0,AV50*参数输入表!$I$979/2),AV50*参数输入表!$I$979),AV50*参数输入表!$I$979),0)</f>
        <v>17531.0973326938</v>
      </c>
      <c r="AW52" s="157">
        <f ca="1">IF(AW4-参数输入表!$I$25&gt;=0,IF(参数输入表!$I$978="三免三减半",IF(6+参数输入表!$I$25-1-AW4&gt;=0,IF(3+参数输入表!$I$25-1-AW4&gt;=0,0,AW50*参数输入表!$I$979/2),AW50*参数输入表!$I$979),AW50*参数输入表!$I$979),0)</f>
        <v>17527.1588736534</v>
      </c>
      <c r="AX52" s="157">
        <f ca="1">IF(AX4-参数输入表!$I$25&gt;=0,IF(参数输入表!$I$978="三免三减半",IF(6+参数输入表!$I$25-1-AX4&gt;=0,IF(3+参数输入表!$I$25-1-AX4&gt;=0,0,AX50*参数输入表!$I$979/2),AX50*参数输入表!$I$979),AX50*参数输入表!$I$979),0)</f>
        <v>17525.9203415434</v>
      </c>
      <c r="AY52" s="157">
        <f ca="1">IF(AY4-参数输入表!$I$25&gt;=0,IF(参数输入表!$I$978="三免三减半",IF(6+参数输入表!$I$25-1-AY4&gt;=0,IF(3+参数输入表!$I$25-1-AY4&gt;=0,0,AY50*参数输入表!$I$979/2),AY50*参数输入表!$I$979),AY50*参数输入表!$I$979),0)</f>
        <v>17488.9325739593</v>
      </c>
      <c r="AZ52" s="157">
        <f ca="1">IF(AZ4-参数输入表!$I$25&gt;=0,IF(参数输入表!$I$978="三免三减半",IF(6+参数输入表!$I$25-1-AZ4&gt;=0,IF(3+参数输入表!$I$25-1-AZ4&gt;=0,0,AZ50*参数输入表!$I$979/2),AZ50*参数输入表!$I$979),AZ50*参数输入表!$I$979),0)</f>
        <v>17487.6940418492</v>
      </c>
      <c r="BA52" s="157">
        <f ca="1">IF(BA4-参数输入表!$I$25&gt;=0,IF(参数输入表!$I$978="三免三减半",IF(6+参数输入表!$I$25-1-BA4&gt;=0,IF(3+参数输入表!$I$25-1-BA4&gt;=0,0,BA50*参数输入表!$I$979/2),BA50*参数输入表!$I$979),BA50*参数输入表!$I$979),0)</f>
        <v>9827.73867660977</v>
      </c>
    </row>
    <row r="53" s="141" customFormat="1" spans="2:53">
      <c r="B53" s="155"/>
      <c r="C53" s="156" t="s">
        <v>409</v>
      </c>
      <c r="D53" s="157"/>
      <c r="E53" s="158"/>
      <c r="F53" s="157">
        <f>'表4-收入税金表'!F61</f>
        <v>0</v>
      </c>
      <c r="G53" s="157">
        <f ca="1">'表4-收入税金表'!G61</f>
        <v>29.1972041057535</v>
      </c>
      <c r="H53" s="157">
        <f ca="1">'表4-收入税金表'!H61</f>
        <v>57.3983407895516</v>
      </c>
      <c r="I53" s="157">
        <f ca="1">'表4-收入税金表'!I61</f>
        <v>90.010513244128</v>
      </c>
      <c r="J53" s="157">
        <f ca="1">'表4-收入税金表'!J61</f>
        <v>125.984714851662</v>
      </c>
      <c r="K53" s="157">
        <f ca="1">'表4-收入税金表'!K61</f>
        <v>174.620529171493</v>
      </c>
      <c r="L53" s="157">
        <f ca="1">'表4-收入税金表'!L61</f>
        <v>219.205295693542</v>
      </c>
      <c r="M53" s="157">
        <f ca="1">'表4-收入税金表'!M61</f>
        <v>256.4925956497</v>
      </c>
      <c r="N53" s="157">
        <f ca="1">'表4-收入税金表'!N61</f>
        <v>3558.09810845608</v>
      </c>
      <c r="O53" s="157">
        <f ca="1">'表4-收入税金表'!O61</f>
        <v>3476.36937078802</v>
      </c>
      <c r="P53" s="157">
        <f ca="1">'表4-收入税金表'!P61</f>
        <v>3322.98458217194</v>
      </c>
      <c r="Q53" s="157">
        <f ca="1">'表4-收入税金表'!Q61</f>
        <v>3169.59979355586</v>
      </c>
      <c r="R53" s="157">
        <f ca="1">'表4-收入税金表'!R61</f>
        <v>3016.21500493978</v>
      </c>
      <c r="S53" s="157">
        <f ca="1">'表4-收入税金表'!S61</f>
        <v>2862.8302163237</v>
      </c>
      <c r="T53" s="157">
        <f ca="1">'表4-收入税金表'!T61</f>
        <v>2721.36573536174</v>
      </c>
      <c r="U53" s="157">
        <f ca="1">'表4-收入税金表'!U61</f>
        <v>2612.09930497744</v>
      </c>
      <c r="V53" s="157">
        <f ca="1">'表4-收入税金表'!V61</f>
        <v>2502.83287459315</v>
      </c>
      <c r="W53" s="157">
        <f ca="1">'表4-收入税金表'!W61</f>
        <v>2393.56644420885</v>
      </c>
      <c r="X53" s="157">
        <f ca="1">'表4-收入税金表'!X61</f>
        <v>2284.30001382455</v>
      </c>
      <c r="Y53" s="157">
        <f ca="1">'表4-收入税金表'!Y61</f>
        <v>2179.67960113937</v>
      </c>
      <c r="Z53" s="157">
        <f ca="1">'表4-收入税金表'!Z61</f>
        <v>2136.70449981248</v>
      </c>
      <c r="AA53" s="157">
        <f ca="1">'表4-收入税金表'!AA61</f>
        <v>2021.59490307274</v>
      </c>
      <c r="AB53" s="157">
        <f ca="1">'表4-收入税金表'!AB61</f>
        <v>1906.485306333</v>
      </c>
      <c r="AC53" s="157">
        <f ca="1">'表4-收入税金表'!AC61</f>
        <v>1791.37570959326</v>
      </c>
      <c r="AD53" s="157">
        <f ca="1">'表4-收入税金表'!AD61</f>
        <v>1676.26611285352</v>
      </c>
      <c r="AE53" s="157">
        <f ca="1">'表4-收入税金表'!AE61</f>
        <v>1561.15651611378</v>
      </c>
      <c r="AF53" s="157">
        <f ca="1">'表4-收入税金表'!AF61</f>
        <v>1446.04691937404</v>
      </c>
      <c r="AG53" s="157">
        <f ca="1">'表4-收入税金表'!AG61</f>
        <v>1336.24705714757</v>
      </c>
      <c r="AH53" s="157">
        <f ca="1">'表4-收入税金表'!AH61</f>
        <v>1222.08746040783</v>
      </c>
      <c r="AI53" s="157">
        <f ca="1">'表4-收入税金表'!AI61</f>
        <v>1185.69938699468</v>
      </c>
      <c r="AJ53" s="157">
        <f ca="1">'表4-收入税金表'!AJ61</f>
        <v>1198.29067684771</v>
      </c>
      <c r="AK53" s="157">
        <f ca="1">'表4-收入税金表'!AK61</f>
        <v>1209.34609633354</v>
      </c>
      <c r="AL53" s="157">
        <f ca="1">'表4-收入税金表'!AL61</f>
        <v>1220.02873278626</v>
      </c>
      <c r="AM53" s="157">
        <f ca="1">'表4-收入税金表'!AM61</f>
        <v>1230.5697116864</v>
      </c>
      <c r="AN53" s="157">
        <f ca="1">'表4-收入税金表'!AN61</f>
        <v>1239.22796310188</v>
      </c>
      <c r="AO53" s="157">
        <f ca="1">'表4-收入税金表'!AO61</f>
        <v>1249.71658459101</v>
      </c>
      <c r="AP53" s="157">
        <f ca="1">'表4-收入税金表'!AP61</f>
        <v>1260.16180453064</v>
      </c>
      <c r="AQ53" s="157">
        <f ca="1">'表4-收入税金表'!AQ61</f>
        <v>1283.75954663317</v>
      </c>
      <c r="AR53" s="157">
        <f ca="1">'表4-收入税金表'!AR61</f>
        <v>1319.14275852499</v>
      </c>
      <c r="AS53" s="157">
        <f ca="1">'表4-收入税金表'!AS61</f>
        <v>1340.90998354075</v>
      </c>
      <c r="AT53" s="157">
        <f ca="1">'表4-收入税金表'!AT61</f>
        <v>1360.01713468531</v>
      </c>
      <c r="AU53" s="157">
        <f ca="1">'表4-收入税金表'!AU61</f>
        <v>1377.1889642216</v>
      </c>
      <c r="AV53" s="157">
        <f ca="1">'表4-收入税金表'!AV61</f>
        <v>1393.83621925318</v>
      </c>
      <c r="AW53" s="157">
        <f ca="1">'表4-收入税金表'!AW61</f>
        <v>1410.24247544198</v>
      </c>
      <c r="AX53" s="157">
        <f ca="1">'表4-收入税金表'!AX61</f>
        <v>1424.74013834967</v>
      </c>
      <c r="AY53" s="157">
        <f ca="1">'表4-收入税金表'!AY61</f>
        <v>1441.0554432133</v>
      </c>
      <c r="AZ53" s="157">
        <f ca="1">'表4-收入税金表'!AZ61</f>
        <v>1455.96810082753</v>
      </c>
      <c r="BA53" s="157">
        <f ca="1">'表4-收入税金表'!BA61</f>
        <v>1472.79890184479</v>
      </c>
    </row>
    <row r="54" s="139" customFormat="1" spans="2:53">
      <c r="B54" s="27" t="s">
        <v>885</v>
      </c>
      <c r="C54" s="28" t="s">
        <v>886</v>
      </c>
      <c r="D54" s="30">
        <f ca="1">SUM(F54:BA54)</f>
        <v>1636575.61593093</v>
      </c>
      <c r="E54" s="29" t="s">
        <v>130</v>
      </c>
      <c r="F54" s="30">
        <f ca="1">F42-F51</f>
        <v>0</v>
      </c>
      <c r="G54" s="30">
        <f ca="1" t="shared" ref="G54:Q54" si="34">G42-G51</f>
        <v>0</v>
      </c>
      <c r="H54" s="30">
        <f ca="1" t="shared" si="34"/>
        <v>0</v>
      </c>
      <c r="I54" s="30">
        <f ca="1" t="shared" si="34"/>
        <v>0</v>
      </c>
      <c r="J54" s="30">
        <f ca="1" t="shared" si="34"/>
        <v>0</v>
      </c>
      <c r="K54" s="30">
        <f ca="1" t="shared" si="34"/>
        <v>0</v>
      </c>
      <c r="L54" s="30">
        <f ca="1" t="shared" si="34"/>
        <v>0</v>
      </c>
      <c r="M54" s="30">
        <f ca="1" t="shared" si="34"/>
        <v>19973.0445376314</v>
      </c>
      <c r="N54" s="30">
        <f ca="1" t="shared" si="34"/>
        <v>45790.123682554</v>
      </c>
      <c r="O54" s="30">
        <f ca="1" t="shared" si="34"/>
        <v>46252.623682554</v>
      </c>
      <c r="P54" s="30">
        <f ca="1" t="shared" si="34"/>
        <v>40546.0457222347</v>
      </c>
      <c r="Q54" s="30">
        <f ca="1" t="shared" si="34"/>
        <v>40546.0457222347</v>
      </c>
      <c r="R54" s="30">
        <f ca="1" t="shared" ref="R54:AL54" si="35">R42-R51</f>
        <v>40546.0457222347</v>
      </c>
      <c r="S54" s="30">
        <f ca="1" t="shared" si="35"/>
        <v>34574.9764360282</v>
      </c>
      <c r="T54" s="30">
        <f ca="1" t="shared" si="35"/>
        <v>33846.8047017004</v>
      </c>
      <c r="U54" s="30">
        <f ca="1" t="shared" si="35"/>
        <v>33846.8047017004</v>
      </c>
      <c r="V54" s="30">
        <f ca="1" t="shared" si="35"/>
        <v>33846.8047017004</v>
      </c>
      <c r="W54" s="30">
        <f ca="1" t="shared" si="35"/>
        <v>33846.8047017004</v>
      </c>
      <c r="X54" s="30">
        <f ca="1" t="shared" si="35"/>
        <v>33741.6043688271</v>
      </c>
      <c r="Y54" s="30">
        <f ca="1" t="shared" si="35"/>
        <v>32663.5848632657</v>
      </c>
      <c r="Z54" s="30">
        <f ca="1" t="shared" si="35"/>
        <v>32751.2110100547</v>
      </c>
      <c r="AA54" s="30">
        <f ca="1" t="shared" si="35"/>
        <v>32751.2110100547</v>
      </c>
      <c r="AB54" s="30">
        <f ca="1" t="shared" si="35"/>
        <v>32751.2110100547</v>
      </c>
      <c r="AC54" s="30">
        <f ca="1" t="shared" si="35"/>
        <v>32754.926606385</v>
      </c>
      <c r="AD54" s="30">
        <f ca="1" t="shared" si="35"/>
        <v>32751.2110100547</v>
      </c>
      <c r="AE54" s="30">
        <f ca="1" t="shared" si="35"/>
        <v>34070.6554544991</v>
      </c>
      <c r="AF54" s="30">
        <f ca="1" t="shared" si="35"/>
        <v>35933.4086501727</v>
      </c>
      <c r="AG54" s="30">
        <f ca="1" t="shared" si="35"/>
        <v>36096.0026767213</v>
      </c>
      <c r="AH54" s="30">
        <f ca="1" t="shared" si="35"/>
        <v>36349.0932730516</v>
      </c>
      <c r="AI54" s="30">
        <f ca="1" t="shared" si="35"/>
        <v>36494.0015299324</v>
      </c>
      <c r="AJ54" s="30">
        <f ca="1" t="shared" si="35"/>
        <v>36345.3776767213</v>
      </c>
      <c r="AK54" s="30">
        <f ca="1" t="shared" si="35"/>
        <v>36345.3776767213</v>
      </c>
      <c r="AL54" s="30">
        <f ca="1" t="shared" si="35"/>
        <v>36345.3776767213</v>
      </c>
      <c r="AM54" s="30">
        <f ca="1" t="shared" ref="AM54:BA54" si="36">AM42-AM51</f>
        <v>36349.0932730516</v>
      </c>
      <c r="AN54" s="30">
        <f ca="1" t="shared" si="36"/>
        <v>36360.9086501727</v>
      </c>
      <c r="AO54" s="30">
        <f ca="1" t="shared" si="36"/>
        <v>36345.3776767213</v>
      </c>
      <c r="AP54" s="30">
        <f ca="1" t="shared" si="36"/>
        <v>43439.8655298757</v>
      </c>
      <c r="AQ54" s="30">
        <f ca="1" t="shared" si="36"/>
        <v>53372.1485242918</v>
      </c>
      <c r="AR54" s="30">
        <f ca="1" t="shared" si="36"/>
        <v>53375.864120622</v>
      </c>
      <c r="AS54" s="30">
        <f ca="1" t="shared" si="36"/>
        <v>53367.867178726</v>
      </c>
      <c r="AT54" s="30">
        <f ca="1" t="shared" si="36"/>
        <v>53219.243325515</v>
      </c>
      <c r="AU54" s="30">
        <f ca="1" t="shared" si="36"/>
        <v>53219.243325515</v>
      </c>
      <c r="AV54" s="30">
        <f ca="1" t="shared" si="36"/>
        <v>53193.2919980814</v>
      </c>
      <c r="AW54" s="30">
        <f ca="1" t="shared" si="36"/>
        <v>53181.4766209603</v>
      </c>
      <c r="AX54" s="30">
        <f ca="1" t="shared" si="36"/>
        <v>53177.7610246301</v>
      </c>
      <c r="AY54" s="30">
        <f ca="1" t="shared" si="36"/>
        <v>53066.7977218778</v>
      </c>
      <c r="AZ54" s="30">
        <f ca="1" t="shared" si="36"/>
        <v>53063.0821255475</v>
      </c>
      <c r="BA54" s="31">
        <f ca="1" t="shared" si="36"/>
        <v>30083.2160298293</v>
      </c>
    </row>
    <row r="55" s="139" customFormat="1" spans="2:53">
      <c r="B55" s="27"/>
      <c r="C55" s="159" t="s">
        <v>887</v>
      </c>
      <c r="D55" s="34">
        <f ca="1">SUM(F55:BA55)</f>
        <v>0</v>
      </c>
      <c r="E55" s="29" t="s">
        <v>130</v>
      </c>
      <c r="F55" s="51">
        <v>0</v>
      </c>
      <c r="G55" s="124">
        <f ca="1">F64</f>
        <v>0</v>
      </c>
      <c r="H55" s="124">
        <f ca="1" t="shared" ref="H55:Q55" si="37">G64</f>
        <v>0</v>
      </c>
      <c r="I55" s="124">
        <f ca="1" t="shared" si="37"/>
        <v>0</v>
      </c>
      <c r="J55" s="124">
        <f ca="1" t="shared" si="37"/>
        <v>0</v>
      </c>
      <c r="K55" s="124">
        <f ca="1" t="shared" si="37"/>
        <v>0</v>
      </c>
      <c r="L55" s="124">
        <f ca="1" t="shared" si="37"/>
        <v>0</v>
      </c>
      <c r="M55" s="124">
        <f ca="1" t="shared" si="37"/>
        <v>0</v>
      </c>
      <c r="N55" s="124">
        <f ca="1" t="shared" si="37"/>
        <v>0</v>
      </c>
      <c r="O55" s="124">
        <f ca="1" t="shared" si="37"/>
        <v>0</v>
      </c>
      <c r="P55" s="124">
        <f ca="1" t="shared" si="37"/>
        <v>0</v>
      </c>
      <c r="Q55" s="124">
        <f ca="1" t="shared" si="37"/>
        <v>0</v>
      </c>
      <c r="R55" s="42">
        <f ca="1" t="shared" ref="R55:AL55" si="38">Q64</f>
        <v>0</v>
      </c>
      <c r="S55" s="42">
        <f ca="1" t="shared" si="38"/>
        <v>0</v>
      </c>
      <c r="T55" s="42">
        <f ca="1" t="shared" si="38"/>
        <v>0</v>
      </c>
      <c r="U55" s="42">
        <f ca="1" t="shared" si="38"/>
        <v>0</v>
      </c>
      <c r="V55" s="42">
        <f ca="1" t="shared" si="38"/>
        <v>0</v>
      </c>
      <c r="W55" s="42">
        <f ca="1" t="shared" si="38"/>
        <v>0</v>
      </c>
      <c r="X55" s="42">
        <f ca="1" t="shared" si="38"/>
        <v>0</v>
      </c>
      <c r="Y55" s="42">
        <f ca="1" t="shared" si="38"/>
        <v>0</v>
      </c>
      <c r="Z55" s="42">
        <f ca="1" t="shared" si="38"/>
        <v>0</v>
      </c>
      <c r="AA55" s="42">
        <f ca="1" t="shared" si="38"/>
        <v>0</v>
      </c>
      <c r="AB55" s="42">
        <f ca="1" t="shared" si="38"/>
        <v>0</v>
      </c>
      <c r="AC55" s="42">
        <f ca="1" t="shared" si="38"/>
        <v>0</v>
      </c>
      <c r="AD55" s="42">
        <f ca="1" t="shared" si="38"/>
        <v>0</v>
      </c>
      <c r="AE55" s="42">
        <f ca="1" t="shared" si="38"/>
        <v>0</v>
      </c>
      <c r="AF55" s="42">
        <f ca="1" t="shared" si="38"/>
        <v>0</v>
      </c>
      <c r="AG55" s="42">
        <f ca="1" t="shared" si="38"/>
        <v>0</v>
      </c>
      <c r="AH55" s="42">
        <f ca="1" t="shared" si="38"/>
        <v>0</v>
      </c>
      <c r="AI55" s="42">
        <f ca="1" t="shared" si="38"/>
        <v>0</v>
      </c>
      <c r="AJ55" s="42">
        <f ca="1" t="shared" si="38"/>
        <v>0</v>
      </c>
      <c r="AK55" s="42">
        <f ca="1" t="shared" si="38"/>
        <v>0</v>
      </c>
      <c r="AL55" s="42">
        <f ca="1" t="shared" si="38"/>
        <v>0</v>
      </c>
      <c r="AM55" s="42">
        <f ca="1" t="shared" ref="AM55:BA55" si="39">AL64</f>
        <v>0</v>
      </c>
      <c r="AN55" s="42">
        <f ca="1" t="shared" si="39"/>
        <v>0</v>
      </c>
      <c r="AO55" s="42">
        <f ca="1" t="shared" si="39"/>
        <v>0</v>
      </c>
      <c r="AP55" s="42">
        <f ca="1" t="shared" si="39"/>
        <v>0</v>
      </c>
      <c r="AQ55" s="42">
        <f ca="1" t="shared" si="39"/>
        <v>0</v>
      </c>
      <c r="AR55" s="42">
        <f ca="1" t="shared" si="39"/>
        <v>0</v>
      </c>
      <c r="AS55" s="42">
        <f ca="1" t="shared" si="39"/>
        <v>0</v>
      </c>
      <c r="AT55" s="42">
        <f ca="1" t="shared" si="39"/>
        <v>0</v>
      </c>
      <c r="AU55" s="42">
        <f ca="1" t="shared" si="39"/>
        <v>0</v>
      </c>
      <c r="AV55" s="42">
        <f ca="1" t="shared" si="39"/>
        <v>0</v>
      </c>
      <c r="AW55" s="42">
        <f ca="1" t="shared" si="39"/>
        <v>0</v>
      </c>
      <c r="AX55" s="42">
        <f ca="1" t="shared" si="39"/>
        <v>0</v>
      </c>
      <c r="AY55" s="42">
        <f ca="1" t="shared" si="39"/>
        <v>0</v>
      </c>
      <c r="AZ55" s="42">
        <f ca="1" t="shared" si="39"/>
        <v>0</v>
      </c>
      <c r="BA55" s="43">
        <f ca="1" t="shared" si="39"/>
        <v>0</v>
      </c>
    </row>
    <row r="56" s="139" customFormat="1" spans="2:53">
      <c r="B56" s="27"/>
      <c r="C56" s="159" t="s">
        <v>888</v>
      </c>
      <c r="D56" s="34">
        <f ca="1">SUM(F56:BA56)</f>
        <v>1636575.61593093</v>
      </c>
      <c r="E56" s="29" t="s">
        <v>130</v>
      </c>
      <c r="F56" s="124">
        <f ca="1">F54+F55</f>
        <v>0</v>
      </c>
      <c r="G56" s="124">
        <f ca="1">G54+G55</f>
        <v>0</v>
      </c>
      <c r="H56" s="124">
        <f ca="1" t="shared" ref="H56:O56" si="40">H54+H55</f>
        <v>0</v>
      </c>
      <c r="I56" s="124">
        <f ca="1" t="shared" si="40"/>
        <v>0</v>
      </c>
      <c r="J56" s="124">
        <f ca="1" t="shared" si="40"/>
        <v>0</v>
      </c>
      <c r="K56" s="124">
        <f ca="1" t="shared" si="40"/>
        <v>0</v>
      </c>
      <c r="L56" s="124">
        <f ca="1" t="shared" si="40"/>
        <v>0</v>
      </c>
      <c r="M56" s="124">
        <f ca="1" t="shared" si="40"/>
        <v>19973.0445376314</v>
      </c>
      <c r="N56" s="124">
        <f ca="1" t="shared" si="40"/>
        <v>45790.123682554</v>
      </c>
      <c r="O56" s="124">
        <f ca="1" t="shared" si="40"/>
        <v>46252.623682554</v>
      </c>
      <c r="P56" s="42">
        <f ca="1" t="shared" ref="P56:AL56" si="41">P54+P55</f>
        <v>40546.0457222347</v>
      </c>
      <c r="Q56" s="42">
        <f ca="1" t="shared" si="41"/>
        <v>40546.0457222347</v>
      </c>
      <c r="R56" s="42">
        <f ca="1" t="shared" si="41"/>
        <v>40546.0457222347</v>
      </c>
      <c r="S56" s="42">
        <f ca="1" t="shared" si="41"/>
        <v>34574.9764360282</v>
      </c>
      <c r="T56" s="42">
        <f ca="1" t="shared" si="41"/>
        <v>33846.8047017004</v>
      </c>
      <c r="U56" s="42">
        <f ca="1" t="shared" si="41"/>
        <v>33846.8047017004</v>
      </c>
      <c r="V56" s="42">
        <f ca="1" t="shared" si="41"/>
        <v>33846.8047017004</v>
      </c>
      <c r="W56" s="42">
        <f ca="1" t="shared" si="41"/>
        <v>33846.8047017004</v>
      </c>
      <c r="X56" s="42">
        <f ca="1" t="shared" si="41"/>
        <v>33741.6043688271</v>
      </c>
      <c r="Y56" s="42">
        <f ca="1" t="shared" si="41"/>
        <v>32663.5848632657</v>
      </c>
      <c r="Z56" s="42">
        <f ca="1" t="shared" si="41"/>
        <v>32751.2110100547</v>
      </c>
      <c r="AA56" s="42">
        <f ca="1" t="shared" si="41"/>
        <v>32751.2110100547</v>
      </c>
      <c r="AB56" s="42">
        <f ca="1" t="shared" si="41"/>
        <v>32751.2110100547</v>
      </c>
      <c r="AC56" s="42">
        <f ca="1" t="shared" si="41"/>
        <v>32754.926606385</v>
      </c>
      <c r="AD56" s="42">
        <f ca="1" t="shared" si="41"/>
        <v>32751.2110100547</v>
      </c>
      <c r="AE56" s="42">
        <f ca="1" t="shared" si="41"/>
        <v>34070.6554544991</v>
      </c>
      <c r="AF56" s="42">
        <f ca="1" t="shared" si="41"/>
        <v>35933.4086501727</v>
      </c>
      <c r="AG56" s="42">
        <f ca="1" t="shared" si="41"/>
        <v>36096.0026767213</v>
      </c>
      <c r="AH56" s="42">
        <f ca="1" t="shared" si="41"/>
        <v>36349.0932730516</v>
      </c>
      <c r="AI56" s="42">
        <f ca="1" t="shared" si="41"/>
        <v>36494.0015299324</v>
      </c>
      <c r="AJ56" s="42">
        <f ca="1" t="shared" si="41"/>
        <v>36345.3776767213</v>
      </c>
      <c r="AK56" s="42">
        <f ca="1" t="shared" si="41"/>
        <v>36345.3776767213</v>
      </c>
      <c r="AL56" s="42">
        <f ca="1" t="shared" si="41"/>
        <v>36345.3776767213</v>
      </c>
      <c r="AM56" s="42">
        <f ca="1" t="shared" ref="AM56:BA56" si="42">AM54+AM55</f>
        <v>36349.0932730516</v>
      </c>
      <c r="AN56" s="42">
        <f ca="1" t="shared" si="42"/>
        <v>36360.9086501727</v>
      </c>
      <c r="AO56" s="42">
        <f ca="1" t="shared" si="42"/>
        <v>36345.3776767213</v>
      </c>
      <c r="AP56" s="42">
        <f ca="1" t="shared" si="42"/>
        <v>43439.8655298757</v>
      </c>
      <c r="AQ56" s="42">
        <f ca="1" t="shared" si="42"/>
        <v>53372.1485242918</v>
      </c>
      <c r="AR56" s="42">
        <f ca="1" t="shared" si="42"/>
        <v>53375.864120622</v>
      </c>
      <c r="AS56" s="42">
        <f ca="1" t="shared" si="42"/>
        <v>53367.867178726</v>
      </c>
      <c r="AT56" s="42">
        <f ca="1" t="shared" si="42"/>
        <v>53219.243325515</v>
      </c>
      <c r="AU56" s="42">
        <f ca="1" t="shared" si="42"/>
        <v>53219.243325515</v>
      </c>
      <c r="AV56" s="42">
        <f ca="1" t="shared" si="42"/>
        <v>53193.2919980814</v>
      </c>
      <c r="AW56" s="42">
        <f ca="1" t="shared" si="42"/>
        <v>53181.4766209603</v>
      </c>
      <c r="AX56" s="42">
        <f ca="1" t="shared" si="42"/>
        <v>53177.7610246301</v>
      </c>
      <c r="AY56" s="42">
        <f ca="1" t="shared" si="42"/>
        <v>53066.7977218778</v>
      </c>
      <c r="AZ56" s="42">
        <f ca="1" t="shared" si="42"/>
        <v>53063.0821255475</v>
      </c>
      <c r="BA56" s="43">
        <f ca="1" t="shared" si="42"/>
        <v>30083.2160298293</v>
      </c>
    </row>
    <row r="57" s="139" customFormat="1" spans="2:53">
      <c r="B57" s="27"/>
      <c r="C57" s="159" t="s">
        <v>889</v>
      </c>
      <c r="D57" s="34">
        <f ca="1">SUM(F57:BA57)</f>
        <v>5000</v>
      </c>
      <c r="E57" s="29" t="s">
        <v>130</v>
      </c>
      <c r="F57" s="124">
        <v>0</v>
      </c>
      <c r="G57" s="160">
        <f ca="1">IF(F59&gt;=参数输入表!$I$244,0,IF(G56&lt;0,0,IF(G56*参数输入表!$I$245&gt;=G58,G58,G56*参数输入表!$I$245)))</f>
        <v>0</v>
      </c>
      <c r="H57" s="160">
        <f ca="1">IF(G59&gt;=参数输入表!$I$244,0,IF(H56&lt;0,0,IF(H56*参数输入表!$I$245&gt;=H58,H58,H56*参数输入表!$I$245)))</f>
        <v>0</v>
      </c>
      <c r="I57" s="160">
        <f ca="1">IF(H59&gt;=参数输入表!$I$244,0,IF(I56&lt;0,0,IF(I56*参数输入表!$I$245&gt;=I58,I58,I56*参数输入表!$I$245)))</f>
        <v>0</v>
      </c>
      <c r="J57" s="160">
        <f ca="1">IF(I59&gt;=参数输入表!$I$244,0,IF(J56&lt;0,0,IF(J56*参数输入表!$I$245&gt;=J58,J58,J56*参数输入表!$I$245)))</f>
        <v>0</v>
      </c>
      <c r="K57" s="160">
        <f ca="1">IF(J59&gt;=参数输入表!$I$244,0,IF(K56&lt;0,0,IF(K56*参数输入表!$I$245&gt;=K58,K58,K56*参数输入表!$I$245)))</f>
        <v>0</v>
      </c>
      <c r="L57" s="160">
        <f ca="1">IF(K59&gt;=参数输入表!$I$244,0,IF(L56&lt;0,0,IF(L56*参数输入表!$I$245&gt;=L58,L58,L56*参数输入表!$I$245)))</f>
        <v>0</v>
      </c>
      <c r="M57" s="160">
        <f ca="1">IF(L59&gt;=参数输入表!$I$244,0,IF(M56&lt;0,0,IF(M56*参数输入表!$I$245&gt;=M58,M58,M56*参数输入表!$I$245)))</f>
        <v>1997.30445376314</v>
      </c>
      <c r="N57" s="160">
        <f ca="1">IF(M59&gt;=参数输入表!$I$244,0,IF(N56&lt;0,0,IF(N56*参数输入表!$I$245&gt;=N58,N58,N56*参数输入表!$I$245)))</f>
        <v>3002.69554623686</v>
      </c>
      <c r="O57" s="160">
        <f ca="1">IF(N59&gt;=参数输入表!$I$244,0,IF(O56&lt;0,0,IF(O56*参数输入表!$I$245&gt;=O58,O58,O56*参数输入表!$I$245)))</f>
        <v>0</v>
      </c>
      <c r="P57" s="160">
        <f ca="1">IF(O59&gt;=参数输入表!$I$244,0,IF(P56&lt;0,0,IF(P56*参数输入表!$I$245&gt;=P58,P58,P56*参数输入表!$I$245)))</f>
        <v>0</v>
      </c>
      <c r="Q57" s="160">
        <f ca="1">IF(P59&gt;=参数输入表!$I$244,0,IF(Q56&lt;0,0,IF(Q56*参数输入表!$I$245&gt;=Q58,Q58,Q56*参数输入表!$I$245)))</f>
        <v>0</v>
      </c>
      <c r="R57" s="160">
        <f ca="1">IF(Q59&gt;=参数输入表!$I$244,0,IF(R56&lt;0,0,IF(R56*参数输入表!$I$245&gt;=R58,R58,R56*参数输入表!$I$245)))</f>
        <v>0</v>
      </c>
      <c r="S57" s="160">
        <f ca="1">IF(R59&gt;=参数输入表!$I$244,0,IF(S56&lt;0,0,IF(S56*参数输入表!$I$245&gt;=S58,S58,S56*参数输入表!$I$245)))</f>
        <v>0</v>
      </c>
      <c r="T57" s="160">
        <f ca="1">IF(S59&gt;=参数输入表!$I$244,0,IF(T56&lt;0,0,IF(T56*参数输入表!$I$245&gt;=T58,T58,T56*参数输入表!$I$245)))</f>
        <v>0</v>
      </c>
      <c r="U57" s="160">
        <f ca="1">IF(T59&gt;=参数输入表!$I$244,0,IF(U56&lt;0,0,IF(U56*参数输入表!$I$245&gt;=U58,U58,U56*参数输入表!$I$245)))</f>
        <v>0</v>
      </c>
      <c r="V57" s="160">
        <f ca="1">IF(U59&gt;=参数输入表!$I$244,0,IF(V56&lt;0,0,IF(V56*参数输入表!$I$245&gt;=V58,V58,V56*参数输入表!$I$245)))</f>
        <v>0</v>
      </c>
      <c r="W57" s="160">
        <f ca="1">IF(V59&gt;=参数输入表!$I$244,0,IF(W56&lt;0,0,IF(W56*参数输入表!$I$245&gt;=W58,W58,W56*参数输入表!$I$245)))</f>
        <v>0</v>
      </c>
      <c r="X57" s="160">
        <f ca="1">IF(W59&gt;=参数输入表!$I$244,0,IF(X56&lt;0,0,IF(X56*参数输入表!$I$245&gt;=X58,X58,X56*参数输入表!$I$245)))</f>
        <v>0</v>
      </c>
      <c r="Y57" s="160">
        <f ca="1">IF(X59&gt;=参数输入表!$I$244,0,IF(Y56&lt;0,0,IF(Y56*参数输入表!$I$245&gt;=Y58,Y58,Y56*参数输入表!$I$245)))</f>
        <v>0</v>
      </c>
      <c r="Z57" s="160">
        <f ca="1">IF(Y59&gt;=参数输入表!$I$244,0,IF(Z56&lt;0,0,IF(Z56*参数输入表!$I$245&gt;=Z58,Z58,Z56*参数输入表!$I$245)))</f>
        <v>0</v>
      </c>
      <c r="AA57" s="160">
        <f ca="1">IF(Z59&gt;=参数输入表!$I$244,0,IF(AA56&lt;0,0,IF(AA56*参数输入表!$I$245&gt;=AA58,AA58,AA56*参数输入表!$I$245)))</f>
        <v>0</v>
      </c>
      <c r="AB57" s="160">
        <f ca="1">IF(AA59&gt;=参数输入表!$I$244,0,IF(AB56&lt;0,0,IF(AB56*参数输入表!$I$245&gt;=AB58,AB58,AB56*参数输入表!$I$245)))</f>
        <v>0</v>
      </c>
      <c r="AC57" s="160">
        <f ca="1">IF(AB59&gt;=参数输入表!$I$244,0,IF(AC56&lt;0,0,IF(AC56*参数输入表!$I$245&gt;=AC58,AC58,AC56*参数输入表!$I$245)))</f>
        <v>0</v>
      </c>
      <c r="AD57" s="160">
        <f ca="1">IF(AC59&gt;=参数输入表!$I$244,0,IF(AD56&lt;0,0,IF(AD56*参数输入表!$I$245&gt;=AD58,AD58,AD56*参数输入表!$I$245)))</f>
        <v>0</v>
      </c>
      <c r="AE57" s="160">
        <f ca="1">IF(AD59&gt;=参数输入表!$I$244,0,IF(AE56&lt;0,0,IF(AE56*参数输入表!$I$245&gt;=AE58,AE58,AE56*参数输入表!$I$245)))</f>
        <v>0</v>
      </c>
      <c r="AF57" s="160">
        <f ca="1">IF(AE59&gt;=参数输入表!$I$244,0,IF(AF56&lt;0,0,IF(AF56*参数输入表!$I$245&gt;=AF58,AF58,AF56*参数输入表!$I$245)))</f>
        <v>0</v>
      </c>
      <c r="AG57" s="160">
        <f ca="1">IF(AF59&gt;=参数输入表!$I$244,0,IF(AG56&lt;0,0,IF(AG56*参数输入表!$I$245&gt;=AG58,AG58,AG56*参数输入表!$I$245)))</f>
        <v>0</v>
      </c>
      <c r="AH57" s="160">
        <f ca="1">IF(AG59&gt;=参数输入表!$I$244,0,IF(AH56&lt;0,0,IF(AH56*参数输入表!$I$245&gt;=AH58,AH58,AH56*参数输入表!$I$245)))</f>
        <v>0</v>
      </c>
      <c r="AI57" s="160">
        <f ca="1">IF(AH59&gt;=参数输入表!$I$244,0,IF(AI56&lt;0,0,IF(AI56*参数输入表!$I$245&gt;=AI58,AI58,AI56*参数输入表!$I$245)))</f>
        <v>0</v>
      </c>
      <c r="AJ57" s="160">
        <f ca="1">IF(AI59&gt;=参数输入表!$I$244,0,IF(AJ56&lt;0,0,IF(AJ56*参数输入表!$I$245&gt;=AJ58,AJ58,AJ56*参数输入表!$I$245)))</f>
        <v>0</v>
      </c>
      <c r="AK57" s="160">
        <f ca="1">IF(AJ59&gt;=参数输入表!$I$244,0,IF(AK56&lt;0,0,IF(AK56*参数输入表!$I$245&gt;=AK58,AK58,AK56*参数输入表!$I$245)))</f>
        <v>0</v>
      </c>
      <c r="AL57" s="160">
        <f ca="1">IF(AK59&gt;=参数输入表!$I$244,0,IF(AL56&lt;0,0,IF(AL56*参数输入表!$I$245&gt;=AL58,AL58,AL56*参数输入表!$I$245)))</f>
        <v>0</v>
      </c>
      <c r="AM57" s="160">
        <f ca="1">IF(AL59&gt;=参数输入表!$I$244,0,IF(AM56&lt;0,0,IF(AM56*参数输入表!$I$245&gt;=AM58,AM58,AM56*参数输入表!$I$245)))</f>
        <v>0</v>
      </c>
      <c r="AN57" s="160">
        <f ca="1">IF(AM59&gt;=参数输入表!$I$244,0,IF(AN56&lt;0,0,IF(AN56*参数输入表!$I$245&gt;=AN58,AN58,AN56*参数输入表!$I$245)))</f>
        <v>0</v>
      </c>
      <c r="AO57" s="160">
        <f ca="1">IF(AN59&gt;=参数输入表!$I$244,0,IF(AO56&lt;0,0,IF(AO56*参数输入表!$I$245&gt;=AO58,AO58,AO56*参数输入表!$I$245)))</f>
        <v>0</v>
      </c>
      <c r="AP57" s="160">
        <f ca="1">IF(AO59&gt;=参数输入表!$I$244,0,IF(AP56&lt;0,0,IF(AP56*参数输入表!$I$245&gt;=AP58,AP58,AP56*参数输入表!$I$245)))</f>
        <v>0</v>
      </c>
      <c r="AQ57" s="160">
        <f ca="1">IF(AP59&gt;=参数输入表!$I$244,0,IF(AQ56&lt;0,0,IF(AQ56*参数输入表!$I$245&gt;=AQ58,AQ58,AQ56*参数输入表!$I$245)))</f>
        <v>0</v>
      </c>
      <c r="AR57" s="160">
        <f ca="1">IF(AQ59&gt;=参数输入表!$I$244,0,IF(AR56&lt;0,0,IF(AR56*参数输入表!$I$245&gt;=AR58,AR58,AR56*参数输入表!$I$245)))</f>
        <v>0</v>
      </c>
      <c r="AS57" s="160">
        <f ca="1">IF(AR59&gt;=参数输入表!$I$244,0,IF(AS56&lt;0,0,IF(AS56*参数输入表!$I$245&gt;=AS58,AS58,AS56*参数输入表!$I$245)))</f>
        <v>0</v>
      </c>
      <c r="AT57" s="160">
        <f ca="1">IF(AS59&gt;=参数输入表!$I$244,0,IF(AT56&lt;0,0,IF(AT56*参数输入表!$I$245&gt;=AT58,AT58,AT56*参数输入表!$I$245)))</f>
        <v>0</v>
      </c>
      <c r="AU57" s="160">
        <f ca="1">IF(AT59&gt;=参数输入表!$I$244,0,IF(AU56&lt;0,0,IF(AU56*参数输入表!$I$245&gt;=AU58,AU58,AU56*参数输入表!$I$245)))</f>
        <v>0</v>
      </c>
      <c r="AV57" s="160">
        <f ca="1">IF(AU59&gt;=参数输入表!$I$244,0,IF(AV56&lt;0,0,IF(AV56*参数输入表!$I$245&gt;=AV58,AV58,AV56*参数输入表!$I$245)))</f>
        <v>0</v>
      </c>
      <c r="AW57" s="160">
        <f ca="1">IF(AV59&gt;=参数输入表!$I$244,0,IF(AW56&lt;0,0,IF(AW56*参数输入表!$I$245&gt;=AW58,AW58,AW56*参数输入表!$I$245)))</f>
        <v>0</v>
      </c>
      <c r="AX57" s="160">
        <f ca="1">IF(AW59&gt;=参数输入表!$I$244,0,IF(AX56&lt;0,0,IF(AX56*参数输入表!$I$245&gt;=AX58,AX58,AX56*参数输入表!$I$245)))</f>
        <v>0</v>
      </c>
      <c r="AY57" s="160">
        <f ca="1">IF(AX59&gt;=参数输入表!$I$244,0,IF(AY56&lt;0,0,IF(AY56*参数输入表!$I$245&gt;=AY58,AY58,AY56*参数输入表!$I$245)))</f>
        <v>0</v>
      </c>
      <c r="AZ57" s="160">
        <f ca="1">IF(AY59&gt;=参数输入表!$I$244,0,IF(AZ56&lt;0,0,IF(AZ56*参数输入表!$I$245&gt;=AZ58,AZ58,AZ56*参数输入表!$I$245)))</f>
        <v>0</v>
      </c>
      <c r="BA57" s="161">
        <f ca="1">IF(AZ59&gt;=参数输入表!$I$244,0,IF(BA56&lt;0,0,IF(BA56*参数输入表!$I$245&gt;=BA58,BA58,BA56*参数输入表!$I$245)))</f>
        <v>0</v>
      </c>
    </row>
    <row r="58" s="139" customFormat="1" spans="2:53">
      <c r="B58" s="27"/>
      <c r="C58" s="148" t="s">
        <v>890</v>
      </c>
      <c r="D58" s="34">
        <f ca="1">SUM(F58:BA58)</f>
        <v>43002.6955462369</v>
      </c>
      <c r="E58" s="29" t="s">
        <v>130</v>
      </c>
      <c r="F58" s="51">
        <f>参数输入表!$I$244</f>
        <v>5000</v>
      </c>
      <c r="G58" s="124">
        <f>参数输入表!$I$244-F59</f>
        <v>5000</v>
      </c>
      <c r="H58" s="124">
        <f ca="1">参数输入表!$I$244-G59</f>
        <v>5000</v>
      </c>
      <c r="I58" s="124">
        <f ca="1">参数输入表!$I$244-H59</f>
        <v>5000</v>
      </c>
      <c r="J58" s="124">
        <f ca="1">参数输入表!$I$244-I59</f>
        <v>5000</v>
      </c>
      <c r="K58" s="124">
        <f ca="1">参数输入表!$I$244-J59</f>
        <v>5000</v>
      </c>
      <c r="L58" s="124">
        <f ca="1">参数输入表!$I$244-K59</f>
        <v>5000</v>
      </c>
      <c r="M58" s="124">
        <f ca="1">参数输入表!$I$244-L59</f>
        <v>5000</v>
      </c>
      <c r="N58" s="124">
        <f ca="1">参数输入表!$I$244-M59</f>
        <v>3002.69554623686</v>
      </c>
      <c r="O58" s="124">
        <f ca="1">参数输入表!$I$244-N59</f>
        <v>0</v>
      </c>
      <c r="P58" s="42">
        <f ca="1">参数输入表!$I$244-O59</f>
        <v>0</v>
      </c>
      <c r="Q58" s="42">
        <f ca="1">参数输入表!$I$244-P59</f>
        <v>0</v>
      </c>
      <c r="R58" s="42">
        <f ca="1">参数输入表!$I$244-Q59</f>
        <v>0</v>
      </c>
      <c r="S58" s="42">
        <f ca="1">参数输入表!$I$244-R59</f>
        <v>0</v>
      </c>
      <c r="T58" s="42">
        <f ca="1">参数输入表!$I$244-S59</f>
        <v>0</v>
      </c>
      <c r="U58" s="42">
        <f ca="1">参数输入表!$I$244-T59</f>
        <v>0</v>
      </c>
      <c r="V58" s="42">
        <f ca="1">参数输入表!$I$244-U59</f>
        <v>0</v>
      </c>
      <c r="W58" s="42">
        <f ca="1">参数输入表!$I$244-V59</f>
        <v>0</v>
      </c>
      <c r="X58" s="42">
        <f ca="1">参数输入表!$I$244-W59</f>
        <v>0</v>
      </c>
      <c r="Y58" s="42">
        <f ca="1">参数输入表!$I$244-X59</f>
        <v>0</v>
      </c>
      <c r="Z58" s="42">
        <f ca="1">参数输入表!$I$244-Y59</f>
        <v>0</v>
      </c>
      <c r="AA58" s="42">
        <f ca="1">参数输入表!$I$244-Z59</f>
        <v>0</v>
      </c>
      <c r="AB58" s="42">
        <f ca="1">参数输入表!$I$244-AA59</f>
        <v>0</v>
      </c>
      <c r="AC58" s="42">
        <f ca="1">参数输入表!$I$244-AB59</f>
        <v>0</v>
      </c>
      <c r="AD58" s="42">
        <f ca="1">参数输入表!$I$244-AC59</f>
        <v>0</v>
      </c>
      <c r="AE58" s="42">
        <f ca="1">参数输入表!$I$244-AD59</f>
        <v>0</v>
      </c>
      <c r="AF58" s="42">
        <f ca="1">参数输入表!$I$244-AE59</f>
        <v>0</v>
      </c>
      <c r="AG58" s="42">
        <f ca="1">参数输入表!$I$244-AF59</f>
        <v>0</v>
      </c>
      <c r="AH58" s="42">
        <f ca="1">参数输入表!$I$244-AG59</f>
        <v>0</v>
      </c>
      <c r="AI58" s="42">
        <f ca="1">参数输入表!$I$244-AH59</f>
        <v>0</v>
      </c>
      <c r="AJ58" s="42">
        <f ca="1">参数输入表!$I$244-AI59</f>
        <v>0</v>
      </c>
      <c r="AK58" s="42">
        <f ca="1">参数输入表!$I$244-AJ59</f>
        <v>0</v>
      </c>
      <c r="AL58" s="42">
        <f ca="1">参数输入表!$I$244-AK59</f>
        <v>0</v>
      </c>
      <c r="AM58" s="42">
        <f ca="1">参数输入表!$I$244-AL59</f>
        <v>0</v>
      </c>
      <c r="AN58" s="42">
        <f ca="1">参数输入表!$I$244-AM59</f>
        <v>0</v>
      </c>
      <c r="AO58" s="42">
        <f ca="1">参数输入表!$I$244-AN59</f>
        <v>0</v>
      </c>
      <c r="AP58" s="42">
        <f ca="1">参数输入表!$I$244-AO59</f>
        <v>0</v>
      </c>
      <c r="AQ58" s="42">
        <f ca="1">参数输入表!$I$244-AP59</f>
        <v>0</v>
      </c>
      <c r="AR58" s="42">
        <f ca="1">参数输入表!$I$244-AQ59</f>
        <v>0</v>
      </c>
      <c r="AS58" s="42">
        <f ca="1">参数输入表!$I$244-AR59</f>
        <v>0</v>
      </c>
      <c r="AT58" s="42">
        <f ca="1">参数输入表!$I$244-AS59</f>
        <v>0</v>
      </c>
      <c r="AU58" s="42">
        <f ca="1">参数输入表!$I$244-AT59</f>
        <v>0</v>
      </c>
      <c r="AV58" s="42">
        <f ca="1">参数输入表!$I$244-AU59</f>
        <v>0</v>
      </c>
      <c r="AW58" s="42">
        <f ca="1">参数输入表!$I$244-AV59</f>
        <v>0</v>
      </c>
      <c r="AX58" s="42">
        <f ca="1">参数输入表!$I$244-AW59</f>
        <v>0</v>
      </c>
      <c r="AY58" s="42">
        <f ca="1">参数输入表!$I$244-AX59</f>
        <v>0</v>
      </c>
      <c r="AZ58" s="42">
        <f ca="1">参数输入表!$I$244-AY59</f>
        <v>0</v>
      </c>
      <c r="BA58" s="43">
        <f ca="1">参数输入表!$I$244-AZ59</f>
        <v>0</v>
      </c>
    </row>
    <row r="59" s="139" customFormat="1" spans="2:53">
      <c r="B59" s="27"/>
      <c r="C59" s="148" t="s">
        <v>891</v>
      </c>
      <c r="D59" s="34">
        <f ca="1" t="shared" ref="D59:D64" si="43">SUM(F59:BA59)</f>
        <v>201997.304453763</v>
      </c>
      <c r="E59" s="29" t="s">
        <v>130</v>
      </c>
      <c r="F59" s="51">
        <f>F57</f>
        <v>0</v>
      </c>
      <c r="G59" s="124">
        <f ca="1">G57+F59</f>
        <v>0</v>
      </c>
      <c r="H59" s="124">
        <f ca="1" t="shared" ref="H59:O59" si="44">H57+G59</f>
        <v>0</v>
      </c>
      <c r="I59" s="124">
        <f ca="1" t="shared" si="44"/>
        <v>0</v>
      </c>
      <c r="J59" s="124">
        <f ca="1" t="shared" si="44"/>
        <v>0</v>
      </c>
      <c r="K59" s="124">
        <f ca="1" t="shared" si="44"/>
        <v>0</v>
      </c>
      <c r="L59" s="124">
        <f ca="1" t="shared" si="44"/>
        <v>0</v>
      </c>
      <c r="M59" s="124">
        <f ca="1" t="shared" si="44"/>
        <v>1997.30445376314</v>
      </c>
      <c r="N59" s="124">
        <f ca="1" t="shared" si="44"/>
        <v>5000</v>
      </c>
      <c r="O59" s="124">
        <f ca="1" t="shared" si="44"/>
        <v>5000</v>
      </c>
      <c r="P59" s="42">
        <f ca="1" t="shared" ref="P59:AL59" si="45">P57+O59</f>
        <v>5000</v>
      </c>
      <c r="Q59" s="42">
        <f ca="1" t="shared" si="45"/>
        <v>5000</v>
      </c>
      <c r="R59" s="42">
        <f ca="1" t="shared" si="45"/>
        <v>5000</v>
      </c>
      <c r="S59" s="42">
        <f ca="1" t="shared" si="45"/>
        <v>5000</v>
      </c>
      <c r="T59" s="42">
        <f ca="1" t="shared" si="45"/>
        <v>5000</v>
      </c>
      <c r="U59" s="42">
        <f ca="1" t="shared" si="45"/>
        <v>5000</v>
      </c>
      <c r="V59" s="42">
        <f ca="1" t="shared" si="45"/>
        <v>5000</v>
      </c>
      <c r="W59" s="42">
        <f ca="1" t="shared" si="45"/>
        <v>5000</v>
      </c>
      <c r="X59" s="42">
        <f ca="1" t="shared" si="45"/>
        <v>5000</v>
      </c>
      <c r="Y59" s="42">
        <f ca="1" t="shared" si="45"/>
        <v>5000</v>
      </c>
      <c r="Z59" s="42">
        <f ca="1" t="shared" si="45"/>
        <v>5000</v>
      </c>
      <c r="AA59" s="42">
        <f ca="1" t="shared" si="45"/>
        <v>5000</v>
      </c>
      <c r="AB59" s="42">
        <f ca="1" t="shared" si="45"/>
        <v>5000</v>
      </c>
      <c r="AC59" s="42">
        <f ca="1" t="shared" si="45"/>
        <v>5000</v>
      </c>
      <c r="AD59" s="42">
        <f ca="1" t="shared" si="45"/>
        <v>5000</v>
      </c>
      <c r="AE59" s="42">
        <f ca="1" t="shared" si="45"/>
        <v>5000</v>
      </c>
      <c r="AF59" s="42">
        <f ca="1" t="shared" si="45"/>
        <v>5000</v>
      </c>
      <c r="AG59" s="42">
        <f ca="1" t="shared" si="45"/>
        <v>5000</v>
      </c>
      <c r="AH59" s="42">
        <f ca="1" t="shared" si="45"/>
        <v>5000</v>
      </c>
      <c r="AI59" s="42">
        <f ca="1" t="shared" si="45"/>
        <v>5000</v>
      </c>
      <c r="AJ59" s="42">
        <f ca="1" t="shared" si="45"/>
        <v>5000</v>
      </c>
      <c r="AK59" s="42">
        <f ca="1" t="shared" si="45"/>
        <v>5000</v>
      </c>
      <c r="AL59" s="42">
        <f ca="1" t="shared" si="45"/>
        <v>5000</v>
      </c>
      <c r="AM59" s="42">
        <f ca="1" t="shared" ref="AM59:BA59" si="46">AM57+AL59</f>
        <v>5000</v>
      </c>
      <c r="AN59" s="42">
        <f ca="1" t="shared" si="46"/>
        <v>5000</v>
      </c>
      <c r="AO59" s="42">
        <f ca="1" t="shared" si="46"/>
        <v>5000</v>
      </c>
      <c r="AP59" s="42">
        <f ca="1" t="shared" si="46"/>
        <v>5000</v>
      </c>
      <c r="AQ59" s="42">
        <f ca="1" t="shared" si="46"/>
        <v>5000</v>
      </c>
      <c r="AR59" s="42">
        <f ca="1" t="shared" si="46"/>
        <v>5000</v>
      </c>
      <c r="AS59" s="42">
        <f ca="1" t="shared" si="46"/>
        <v>5000</v>
      </c>
      <c r="AT59" s="42">
        <f ca="1" t="shared" si="46"/>
        <v>5000</v>
      </c>
      <c r="AU59" s="42">
        <f ca="1" t="shared" si="46"/>
        <v>5000</v>
      </c>
      <c r="AV59" s="42">
        <f ca="1" t="shared" si="46"/>
        <v>5000</v>
      </c>
      <c r="AW59" s="42">
        <f ca="1" t="shared" si="46"/>
        <v>5000</v>
      </c>
      <c r="AX59" s="42">
        <f ca="1" t="shared" si="46"/>
        <v>5000</v>
      </c>
      <c r="AY59" s="42">
        <f ca="1" t="shared" si="46"/>
        <v>5000</v>
      </c>
      <c r="AZ59" s="42">
        <f ca="1" t="shared" si="46"/>
        <v>5000</v>
      </c>
      <c r="BA59" s="43">
        <f ca="1" t="shared" si="46"/>
        <v>5000</v>
      </c>
    </row>
    <row r="60" s="139" customFormat="1" spans="2:53">
      <c r="B60" s="27"/>
      <c r="C60" s="159" t="s">
        <v>892</v>
      </c>
      <c r="D60" s="34">
        <f ca="1" t="shared" si="43"/>
        <v>1631575.61593093</v>
      </c>
      <c r="E60" s="29" t="s">
        <v>130</v>
      </c>
      <c r="F60" s="124">
        <f ca="1">F56-F57</f>
        <v>0</v>
      </c>
      <c r="G60" s="124">
        <f ca="1">G56-G57</f>
        <v>0</v>
      </c>
      <c r="H60" s="124">
        <f ca="1" t="shared" ref="H60:O60" si="47">H56-H57</f>
        <v>0</v>
      </c>
      <c r="I60" s="124">
        <f ca="1" t="shared" si="47"/>
        <v>0</v>
      </c>
      <c r="J60" s="124">
        <f ca="1" t="shared" si="47"/>
        <v>0</v>
      </c>
      <c r="K60" s="124">
        <f ca="1" t="shared" si="47"/>
        <v>0</v>
      </c>
      <c r="L60" s="124">
        <f ca="1" t="shared" si="47"/>
        <v>0</v>
      </c>
      <c r="M60" s="124">
        <f ca="1" t="shared" si="47"/>
        <v>17975.7400838682</v>
      </c>
      <c r="N60" s="124">
        <f ca="1" t="shared" si="47"/>
        <v>42787.4281363171</v>
      </c>
      <c r="O60" s="124">
        <f ca="1" t="shared" si="47"/>
        <v>46252.623682554</v>
      </c>
      <c r="P60" s="42">
        <f ca="1" t="shared" ref="P60:AL60" si="48">P56-P57</f>
        <v>40546.0457222347</v>
      </c>
      <c r="Q60" s="42">
        <f ca="1" t="shared" si="48"/>
        <v>40546.0457222347</v>
      </c>
      <c r="R60" s="42">
        <f ca="1" t="shared" si="48"/>
        <v>40546.0457222347</v>
      </c>
      <c r="S60" s="42">
        <f ca="1" t="shared" si="48"/>
        <v>34574.9764360282</v>
      </c>
      <c r="T60" s="42">
        <f ca="1" t="shared" si="48"/>
        <v>33846.8047017004</v>
      </c>
      <c r="U60" s="42">
        <f ca="1" t="shared" si="48"/>
        <v>33846.8047017004</v>
      </c>
      <c r="V60" s="42">
        <f ca="1" t="shared" si="48"/>
        <v>33846.8047017004</v>
      </c>
      <c r="W60" s="42">
        <f ca="1" t="shared" si="48"/>
        <v>33846.8047017004</v>
      </c>
      <c r="X60" s="42">
        <f ca="1" t="shared" si="48"/>
        <v>33741.6043688271</v>
      </c>
      <c r="Y60" s="42">
        <f ca="1" t="shared" si="48"/>
        <v>32663.5848632657</v>
      </c>
      <c r="Z60" s="42">
        <f ca="1" t="shared" si="48"/>
        <v>32751.2110100547</v>
      </c>
      <c r="AA60" s="42">
        <f ca="1" t="shared" si="48"/>
        <v>32751.2110100547</v>
      </c>
      <c r="AB60" s="42">
        <f ca="1" t="shared" si="48"/>
        <v>32751.2110100547</v>
      </c>
      <c r="AC60" s="42">
        <f ca="1" t="shared" si="48"/>
        <v>32754.926606385</v>
      </c>
      <c r="AD60" s="42">
        <f ca="1" t="shared" si="48"/>
        <v>32751.2110100547</v>
      </c>
      <c r="AE60" s="42">
        <f ca="1" t="shared" si="48"/>
        <v>34070.6554544991</v>
      </c>
      <c r="AF60" s="42">
        <f ca="1" t="shared" si="48"/>
        <v>35933.4086501727</v>
      </c>
      <c r="AG60" s="42">
        <f ca="1" t="shared" si="48"/>
        <v>36096.0026767213</v>
      </c>
      <c r="AH60" s="42">
        <f ca="1" t="shared" si="48"/>
        <v>36349.0932730516</v>
      </c>
      <c r="AI60" s="42">
        <f ca="1" t="shared" si="48"/>
        <v>36494.0015299324</v>
      </c>
      <c r="AJ60" s="42">
        <f ca="1" t="shared" si="48"/>
        <v>36345.3776767213</v>
      </c>
      <c r="AK60" s="42">
        <f ca="1" t="shared" si="48"/>
        <v>36345.3776767213</v>
      </c>
      <c r="AL60" s="42">
        <f ca="1" t="shared" si="48"/>
        <v>36345.3776767213</v>
      </c>
      <c r="AM60" s="42">
        <f ca="1" t="shared" ref="AM60:BA60" si="49">AM56-AM57</f>
        <v>36349.0932730516</v>
      </c>
      <c r="AN60" s="42">
        <f ca="1" t="shared" si="49"/>
        <v>36360.9086501727</v>
      </c>
      <c r="AO60" s="42">
        <f ca="1" t="shared" si="49"/>
        <v>36345.3776767213</v>
      </c>
      <c r="AP60" s="42">
        <f ca="1" t="shared" si="49"/>
        <v>43439.8655298757</v>
      </c>
      <c r="AQ60" s="42">
        <f ca="1" t="shared" si="49"/>
        <v>53372.1485242918</v>
      </c>
      <c r="AR60" s="42">
        <f ca="1" t="shared" si="49"/>
        <v>53375.864120622</v>
      </c>
      <c r="AS60" s="42">
        <f ca="1" t="shared" si="49"/>
        <v>53367.867178726</v>
      </c>
      <c r="AT60" s="42">
        <f ca="1" t="shared" si="49"/>
        <v>53219.243325515</v>
      </c>
      <c r="AU60" s="42">
        <f ca="1" t="shared" si="49"/>
        <v>53219.243325515</v>
      </c>
      <c r="AV60" s="42">
        <f ca="1" t="shared" si="49"/>
        <v>53193.2919980814</v>
      </c>
      <c r="AW60" s="42">
        <f ca="1" t="shared" si="49"/>
        <v>53181.4766209603</v>
      </c>
      <c r="AX60" s="42">
        <f ca="1" t="shared" si="49"/>
        <v>53177.7610246301</v>
      </c>
      <c r="AY60" s="42">
        <f ca="1" t="shared" si="49"/>
        <v>53066.7977218778</v>
      </c>
      <c r="AZ60" s="42">
        <f ca="1" t="shared" si="49"/>
        <v>53063.0821255475</v>
      </c>
      <c r="BA60" s="43">
        <f ca="1" t="shared" si="49"/>
        <v>30083.2160298293</v>
      </c>
    </row>
    <row r="61" s="139" customFormat="1" spans="2:53">
      <c r="B61" s="27"/>
      <c r="C61" s="159" t="s">
        <v>893</v>
      </c>
      <c r="D61" s="34">
        <f ca="1" t="shared" si="43"/>
        <v>81578.7807965464</v>
      </c>
      <c r="E61" s="29" t="s">
        <v>130</v>
      </c>
      <c r="F61" s="124">
        <f ca="1">F60*参数输入表!$I$246</f>
        <v>0</v>
      </c>
      <c r="G61" s="124">
        <f ca="1">G60*参数输入表!$I$246</f>
        <v>0</v>
      </c>
      <c r="H61" s="124">
        <f ca="1">H60*参数输入表!$I$246</f>
        <v>0</v>
      </c>
      <c r="I61" s="124">
        <f ca="1">I60*参数输入表!$I$246</f>
        <v>0</v>
      </c>
      <c r="J61" s="124">
        <f ca="1">J60*参数输入表!$I$246</f>
        <v>0</v>
      </c>
      <c r="K61" s="124">
        <f ca="1">K60*参数输入表!$I$246</f>
        <v>0</v>
      </c>
      <c r="L61" s="124">
        <f ca="1">L60*参数输入表!$I$246</f>
        <v>0</v>
      </c>
      <c r="M61" s="124">
        <f ca="1">M60*参数输入表!$I$246</f>
        <v>898.787004193412</v>
      </c>
      <c r="N61" s="124">
        <f ca="1">N60*参数输入表!$I$246</f>
        <v>2139.37140681586</v>
      </c>
      <c r="O61" s="124">
        <f ca="1">O60*参数输入表!$I$246</f>
        <v>2312.6311841277</v>
      </c>
      <c r="P61" s="42">
        <f ca="1">P60*参数输入表!$I$246</f>
        <v>2027.30228611174</v>
      </c>
      <c r="Q61" s="42">
        <f ca="1">Q60*参数输入表!$I$246</f>
        <v>2027.30228611174</v>
      </c>
      <c r="R61" s="42">
        <f ca="1">R60*参数输入表!$I$246</f>
        <v>2027.30228611174</v>
      </c>
      <c r="S61" s="42">
        <f ca="1">S60*参数输入表!$I$246</f>
        <v>1728.74882180141</v>
      </c>
      <c r="T61" s="42">
        <f ca="1">T60*参数输入表!$I$246</f>
        <v>1692.34023508502</v>
      </c>
      <c r="U61" s="42">
        <f ca="1">U60*参数输入表!$I$246</f>
        <v>1692.34023508502</v>
      </c>
      <c r="V61" s="42">
        <f ca="1">V60*参数输入表!$I$246</f>
        <v>1692.34023508502</v>
      </c>
      <c r="W61" s="42">
        <f ca="1">W60*参数输入表!$I$246</f>
        <v>1692.34023508502</v>
      </c>
      <c r="X61" s="42">
        <f ca="1">X60*参数输入表!$I$246</f>
        <v>1687.08021844136</v>
      </c>
      <c r="Y61" s="42">
        <f ca="1">Y60*参数输入表!$I$246</f>
        <v>1633.17924316328</v>
      </c>
      <c r="Z61" s="42">
        <f ca="1">Z60*参数输入表!$I$246</f>
        <v>1637.56055050273</v>
      </c>
      <c r="AA61" s="42">
        <f ca="1">AA60*参数输入表!$I$246</f>
        <v>1637.56055050273</v>
      </c>
      <c r="AB61" s="42">
        <f ca="1">AB60*参数输入表!$I$246</f>
        <v>1637.56055050273</v>
      </c>
      <c r="AC61" s="42">
        <f ca="1">AC60*参数输入表!$I$246</f>
        <v>1637.74633031925</v>
      </c>
      <c r="AD61" s="42">
        <f ca="1">AD60*参数输入表!$I$246</f>
        <v>1637.56055050273</v>
      </c>
      <c r="AE61" s="42">
        <f ca="1">AE60*参数输入表!$I$246</f>
        <v>1703.53277272496</v>
      </c>
      <c r="AF61" s="42">
        <f ca="1">AF60*参数输入表!$I$246</f>
        <v>1796.67043250863</v>
      </c>
      <c r="AG61" s="42">
        <f ca="1">AG60*参数输入表!$I$246</f>
        <v>1804.80013383607</v>
      </c>
      <c r="AH61" s="42">
        <f ca="1">AH60*参数输入表!$I$246</f>
        <v>1817.45466365258</v>
      </c>
      <c r="AI61" s="42">
        <f ca="1">AI60*参数输入表!$I$246</f>
        <v>1824.70007649662</v>
      </c>
      <c r="AJ61" s="42">
        <f ca="1">AJ60*参数输入表!$I$246</f>
        <v>1817.26888383607</v>
      </c>
      <c r="AK61" s="42">
        <f ca="1">AK60*参数输入表!$I$246</f>
        <v>1817.26888383607</v>
      </c>
      <c r="AL61" s="42">
        <f ca="1">AL60*参数输入表!$I$246</f>
        <v>1817.26888383607</v>
      </c>
      <c r="AM61" s="42">
        <f ca="1">AM60*参数输入表!$I$246</f>
        <v>1817.45466365258</v>
      </c>
      <c r="AN61" s="42">
        <f ca="1">AN60*参数输入表!$I$246</f>
        <v>1818.04543250863</v>
      </c>
      <c r="AO61" s="42">
        <f ca="1">AO60*参数输入表!$I$246</f>
        <v>1817.26888383607</v>
      </c>
      <c r="AP61" s="42">
        <f ca="1">AP60*参数输入表!$I$246</f>
        <v>2171.99327649378</v>
      </c>
      <c r="AQ61" s="42">
        <f ca="1">AQ60*参数输入表!$I$246</f>
        <v>2668.60742621459</v>
      </c>
      <c r="AR61" s="42">
        <f ca="1">AR60*参数输入表!$I$246</f>
        <v>2668.7932060311</v>
      </c>
      <c r="AS61" s="42">
        <f ca="1">AS60*参数输入表!$I$246</f>
        <v>2668.3933589363</v>
      </c>
      <c r="AT61" s="42">
        <f ca="1">AT60*参数输入表!$I$246</f>
        <v>2660.96216627575</v>
      </c>
      <c r="AU61" s="42">
        <f ca="1">AU60*参数输入表!$I$246</f>
        <v>2660.96216627575</v>
      </c>
      <c r="AV61" s="42">
        <f ca="1">AV60*参数输入表!$I$246</f>
        <v>2659.66459990407</v>
      </c>
      <c r="AW61" s="42">
        <f ca="1">AW60*参数输入表!$I$246</f>
        <v>2659.07383104802</v>
      </c>
      <c r="AX61" s="42">
        <f ca="1">AX60*参数输入表!$I$246</f>
        <v>2658.8880512315</v>
      </c>
      <c r="AY61" s="42">
        <f ca="1">AY60*参数输入表!$I$246</f>
        <v>2653.33988609389</v>
      </c>
      <c r="AZ61" s="42">
        <f ca="1">AZ60*参数输入表!$I$246</f>
        <v>2653.15410627737</v>
      </c>
      <c r="BA61" s="43">
        <f ca="1">BA60*参数输入表!$I$246</f>
        <v>1504.16080149147</v>
      </c>
    </row>
    <row r="62" s="139" customFormat="1" spans="2:53">
      <c r="B62" s="27"/>
      <c r="C62" s="148" t="s">
        <v>894</v>
      </c>
      <c r="D62" s="34"/>
      <c r="E62" s="29" t="s">
        <v>130</v>
      </c>
      <c r="F62" s="51">
        <f ca="1">F61</f>
        <v>0</v>
      </c>
      <c r="G62" s="124">
        <f ca="1">F62+G61</f>
        <v>0</v>
      </c>
      <c r="H62" s="124">
        <f ca="1" t="shared" ref="H62:O62" si="50">G62+H61</f>
        <v>0</v>
      </c>
      <c r="I62" s="124">
        <f ca="1" t="shared" si="50"/>
        <v>0</v>
      </c>
      <c r="J62" s="124">
        <f ca="1" t="shared" si="50"/>
        <v>0</v>
      </c>
      <c r="K62" s="124">
        <f ca="1" t="shared" si="50"/>
        <v>0</v>
      </c>
      <c r="L62" s="124">
        <f ca="1" t="shared" si="50"/>
        <v>0</v>
      </c>
      <c r="M62" s="124">
        <f ca="1" t="shared" si="50"/>
        <v>898.787004193412</v>
      </c>
      <c r="N62" s="124">
        <f ca="1" t="shared" si="50"/>
        <v>3038.15841100927</v>
      </c>
      <c r="O62" s="124">
        <f ca="1" t="shared" si="50"/>
        <v>5350.78959513697</v>
      </c>
      <c r="P62" s="42">
        <f ca="1" t="shared" ref="P62:AL62" si="51">O62+P61</f>
        <v>7378.09188124871</v>
      </c>
      <c r="Q62" s="42">
        <f ca="1" t="shared" si="51"/>
        <v>9405.39416736044</v>
      </c>
      <c r="R62" s="42">
        <f ca="1" t="shared" si="51"/>
        <v>11432.6964534722</v>
      </c>
      <c r="S62" s="42">
        <f ca="1" t="shared" si="51"/>
        <v>13161.4452752736</v>
      </c>
      <c r="T62" s="42">
        <f ca="1" t="shared" si="51"/>
        <v>14853.7855103586</v>
      </c>
      <c r="U62" s="42">
        <f ca="1" t="shared" si="51"/>
        <v>16546.1257454436</v>
      </c>
      <c r="V62" s="42">
        <f ca="1" t="shared" si="51"/>
        <v>18238.4659805286</v>
      </c>
      <c r="W62" s="42">
        <f ca="1" t="shared" si="51"/>
        <v>19930.8062156137</v>
      </c>
      <c r="X62" s="42">
        <f ca="1" t="shared" si="51"/>
        <v>21617.886434055</v>
      </c>
      <c r="Y62" s="42">
        <f ca="1" t="shared" si="51"/>
        <v>23251.0656772183</v>
      </c>
      <c r="Z62" s="42">
        <f ca="1" t="shared" si="51"/>
        <v>24888.626227721</v>
      </c>
      <c r="AA62" s="42">
        <f ca="1" t="shared" si="51"/>
        <v>26526.1867782238</v>
      </c>
      <c r="AB62" s="42">
        <f ca="1" t="shared" si="51"/>
        <v>28163.7473287265</v>
      </c>
      <c r="AC62" s="42">
        <f ca="1" t="shared" si="51"/>
        <v>29801.4936590458</v>
      </c>
      <c r="AD62" s="42">
        <f ca="1" t="shared" si="51"/>
        <v>31439.0542095485</v>
      </c>
      <c r="AE62" s="42">
        <f ca="1" t="shared" si="51"/>
        <v>33142.5869822734</v>
      </c>
      <c r="AF62" s="42">
        <f ca="1" t="shared" si="51"/>
        <v>34939.2574147821</v>
      </c>
      <c r="AG62" s="42">
        <f ca="1" t="shared" si="51"/>
        <v>36744.0575486181</v>
      </c>
      <c r="AH62" s="42">
        <f ca="1" t="shared" si="51"/>
        <v>38561.5122122707</v>
      </c>
      <c r="AI62" s="42">
        <f ca="1" t="shared" si="51"/>
        <v>40386.2122887673</v>
      </c>
      <c r="AJ62" s="42">
        <f ca="1" t="shared" si="51"/>
        <v>42203.4811726034</v>
      </c>
      <c r="AK62" s="42">
        <f ca="1" t="shared" si="51"/>
        <v>44020.7500564395</v>
      </c>
      <c r="AL62" s="42">
        <f ca="1" t="shared" si="51"/>
        <v>45838.0189402756</v>
      </c>
      <c r="AM62" s="42">
        <f ca="1" t="shared" ref="AM62:BA62" si="52">AL62+AM61</f>
        <v>47655.4736039281</v>
      </c>
      <c r="AN62" s="42">
        <f ca="1" t="shared" si="52"/>
        <v>49473.5190364368</v>
      </c>
      <c r="AO62" s="42">
        <f ca="1" t="shared" si="52"/>
        <v>51290.7879202728</v>
      </c>
      <c r="AP62" s="42">
        <f ca="1" t="shared" si="52"/>
        <v>53462.7811967666</v>
      </c>
      <c r="AQ62" s="42">
        <f ca="1" t="shared" si="52"/>
        <v>56131.3886229812</v>
      </c>
      <c r="AR62" s="42">
        <f ca="1" t="shared" si="52"/>
        <v>58800.1818290123</v>
      </c>
      <c r="AS62" s="42">
        <f ca="1" t="shared" si="52"/>
        <v>61468.5751879486</v>
      </c>
      <c r="AT62" s="42">
        <f ca="1" t="shared" si="52"/>
        <v>64129.5373542244</v>
      </c>
      <c r="AU62" s="42">
        <f ca="1" t="shared" si="52"/>
        <v>66790.4995205001</v>
      </c>
      <c r="AV62" s="42">
        <f ca="1" t="shared" si="52"/>
        <v>69450.1641204042</v>
      </c>
      <c r="AW62" s="42">
        <f ca="1" t="shared" si="52"/>
        <v>72109.2379514522</v>
      </c>
      <c r="AX62" s="42">
        <f ca="1" t="shared" si="52"/>
        <v>74768.1260026837</v>
      </c>
      <c r="AY62" s="42">
        <f ca="1" t="shared" si="52"/>
        <v>77421.4658887776</v>
      </c>
      <c r="AZ62" s="42">
        <f ca="1" t="shared" si="52"/>
        <v>80074.619995055</v>
      </c>
      <c r="BA62" s="43">
        <f ca="1" t="shared" si="52"/>
        <v>81578.7807965464</v>
      </c>
    </row>
    <row r="63" s="139" customFormat="1" spans="2:53">
      <c r="B63" s="27"/>
      <c r="C63" s="159" t="s">
        <v>895</v>
      </c>
      <c r="D63" s="34">
        <f ca="1" t="shared" si="43"/>
        <v>1549996.83513438</v>
      </c>
      <c r="E63" s="29" t="s">
        <v>130</v>
      </c>
      <c r="F63" s="124">
        <f ca="1">F60-F61</f>
        <v>0</v>
      </c>
      <c r="G63" s="124">
        <f ca="1">G60-G61</f>
        <v>0</v>
      </c>
      <c r="H63" s="124">
        <f ca="1" t="shared" ref="H63:N63" si="53">H60-H61</f>
        <v>0</v>
      </c>
      <c r="I63" s="124">
        <f ca="1" t="shared" si="53"/>
        <v>0</v>
      </c>
      <c r="J63" s="124">
        <f ca="1" t="shared" si="53"/>
        <v>0</v>
      </c>
      <c r="K63" s="124">
        <f ca="1" t="shared" si="53"/>
        <v>0</v>
      </c>
      <c r="L63" s="124">
        <f ca="1" t="shared" si="53"/>
        <v>0</v>
      </c>
      <c r="M63" s="124">
        <f ca="1" t="shared" si="53"/>
        <v>17076.9530796748</v>
      </c>
      <c r="N63" s="124">
        <f ca="1" t="shared" si="53"/>
        <v>40648.0567295013</v>
      </c>
      <c r="O63" s="124">
        <f ca="1" t="shared" ref="O63:AL63" si="54">O60-O61</f>
        <v>43939.9924984263</v>
      </c>
      <c r="P63" s="42">
        <f ca="1" t="shared" si="54"/>
        <v>38518.743436123</v>
      </c>
      <c r="Q63" s="42">
        <f ca="1" t="shared" si="54"/>
        <v>38518.743436123</v>
      </c>
      <c r="R63" s="42">
        <f ca="1" t="shared" si="54"/>
        <v>38518.743436123</v>
      </c>
      <c r="S63" s="42">
        <f ca="1" t="shared" si="54"/>
        <v>32846.2276142268</v>
      </c>
      <c r="T63" s="42">
        <f ca="1" t="shared" si="54"/>
        <v>32154.4644666154</v>
      </c>
      <c r="U63" s="42">
        <f ca="1" t="shared" si="54"/>
        <v>32154.4644666154</v>
      </c>
      <c r="V63" s="42">
        <f ca="1" t="shared" si="54"/>
        <v>32154.4644666154</v>
      </c>
      <c r="W63" s="42">
        <f ca="1" t="shared" si="54"/>
        <v>32154.4644666154</v>
      </c>
      <c r="X63" s="42">
        <f ca="1" t="shared" si="54"/>
        <v>32054.5241503858</v>
      </c>
      <c r="Y63" s="42">
        <f ca="1" t="shared" si="54"/>
        <v>31030.4056201024</v>
      </c>
      <c r="Z63" s="42">
        <f ca="1" t="shared" si="54"/>
        <v>31113.650459552</v>
      </c>
      <c r="AA63" s="42">
        <f ca="1" t="shared" si="54"/>
        <v>31113.650459552</v>
      </c>
      <c r="AB63" s="42">
        <f ca="1" t="shared" si="54"/>
        <v>31113.650459552</v>
      </c>
      <c r="AC63" s="42">
        <f ca="1" t="shared" si="54"/>
        <v>31117.1802760657</v>
      </c>
      <c r="AD63" s="42">
        <f ca="1" t="shared" si="54"/>
        <v>31113.650459552</v>
      </c>
      <c r="AE63" s="42">
        <f ca="1" t="shared" si="54"/>
        <v>32367.1226817742</v>
      </c>
      <c r="AF63" s="42">
        <f ca="1" t="shared" si="54"/>
        <v>34136.738217664</v>
      </c>
      <c r="AG63" s="42">
        <f ca="1" t="shared" si="54"/>
        <v>34291.2025428853</v>
      </c>
      <c r="AH63" s="42">
        <f ca="1" t="shared" si="54"/>
        <v>34531.638609399</v>
      </c>
      <c r="AI63" s="42">
        <f ca="1" t="shared" si="54"/>
        <v>34669.3014534357</v>
      </c>
      <c r="AJ63" s="42">
        <f ca="1" t="shared" si="54"/>
        <v>34528.1087928853</v>
      </c>
      <c r="AK63" s="42">
        <f ca="1" t="shared" si="54"/>
        <v>34528.1087928853</v>
      </c>
      <c r="AL63" s="42">
        <f ca="1" t="shared" si="54"/>
        <v>34528.1087928853</v>
      </c>
      <c r="AM63" s="42">
        <f ca="1" t="shared" ref="AM63:BA63" si="55">AM60-AM61</f>
        <v>34531.638609399</v>
      </c>
      <c r="AN63" s="42">
        <f ca="1" t="shared" si="55"/>
        <v>34542.863217664</v>
      </c>
      <c r="AO63" s="42">
        <f ca="1" t="shared" si="55"/>
        <v>34528.1087928853</v>
      </c>
      <c r="AP63" s="42">
        <f ca="1" t="shared" si="55"/>
        <v>41267.8722533819</v>
      </c>
      <c r="AQ63" s="42">
        <f ca="1" t="shared" si="55"/>
        <v>50703.5410980772</v>
      </c>
      <c r="AR63" s="42">
        <f ca="1" t="shared" si="55"/>
        <v>50707.0709145909</v>
      </c>
      <c r="AS63" s="42">
        <f ca="1" t="shared" si="55"/>
        <v>50699.4738197897</v>
      </c>
      <c r="AT63" s="42">
        <f ca="1" t="shared" si="55"/>
        <v>50558.2811592393</v>
      </c>
      <c r="AU63" s="42">
        <f ca="1" t="shared" si="55"/>
        <v>50558.2811592393</v>
      </c>
      <c r="AV63" s="42">
        <f ca="1" t="shared" si="55"/>
        <v>50533.6273981773</v>
      </c>
      <c r="AW63" s="42">
        <f ca="1" t="shared" si="55"/>
        <v>50522.4027899123</v>
      </c>
      <c r="AX63" s="42">
        <f ca="1" t="shared" si="55"/>
        <v>50518.8729733986</v>
      </c>
      <c r="AY63" s="42">
        <f ca="1" t="shared" si="55"/>
        <v>50413.4578357839</v>
      </c>
      <c r="AZ63" s="42">
        <f ca="1" t="shared" si="55"/>
        <v>50409.9280192701</v>
      </c>
      <c r="BA63" s="43">
        <f ca="1" t="shared" si="55"/>
        <v>28579.0552283378</v>
      </c>
    </row>
    <row r="64" s="139" customFormat="1" spans="2:53">
      <c r="B64" s="27"/>
      <c r="C64" s="159" t="s">
        <v>896</v>
      </c>
      <c r="D64" s="34">
        <f ca="1" t="shared" si="43"/>
        <v>0</v>
      </c>
      <c r="E64" s="29" t="s">
        <v>130</v>
      </c>
      <c r="F64" s="124">
        <f ca="1">F60-F61-F63</f>
        <v>0</v>
      </c>
      <c r="G64" s="124">
        <f ca="1">G60-G61-G63</f>
        <v>0</v>
      </c>
      <c r="H64" s="124">
        <f ca="1" t="shared" ref="H64:N64" si="56">H60-H61-H63</f>
        <v>0</v>
      </c>
      <c r="I64" s="124">
        <f ca="1" t="shared" si="56"/>
        <v>0</v>
      </c>
      <c r="J64" s="124">
        <f ca="1" t="shared" si="56"/>
        <v>0</v>
      </c>
      <c r="K64" s="124">
        <f ca="1" t="shared" si="56"/>
        <v>0</v>
      </c>
      <c r="L64" s="124">
        <f ca="1" t="shared" si="56"/>
        <v>0</v>
      </c>
      <c r="M64" s="124">
        <f ca="1" t="shared" si="56"/>
        <v>0</v>
      </c>
      <c r="N64" s="124">
        <f ca="1" t="shared" si="56"/>
        <v>0</v>
      </c>
      <c r="O64" s="124">
        <f ca="1" t="shared" ref="O64:AL64" si="57">O60-O61-O63</f>
        <v>0</v>
      </c>
      <c r="P64" s="42">
        <f ca="1" t="shared" si="57"/>
        <v>0</v>
      </c>
      <c r="Q64" s="42">
        <f ca="1" t="shared" si="57"/>
        <v>0</v>
      </c>
      <c r="R64" s="42">
        <f ca="1" t="shared" si="57"/>
        <v>0</v>
      </c>
      <c r="S64" s="42">
        <f ca="1" t="shared" si="57"/>
        <v>0</v>
      </c>
      <c r="T64" s="42">
        <f ca="1" t="shared" si="57"/>
        <v>0</v>
      </c>
      <c r="U64" s="42">
        <f ca="1" t="shared" si="57"/>
        <v>0</v>
      </c>
      <c r="V64" s="42">
        <f ca="1" t="shared" si="57"/>
        <v>0</v>
      </c>
      <c r="W64" s="42">
        <f ca="1" t="shared" si="57"/>
        <v>0</v>
      </c>
      <c r="X64" s="42">
        <f ca="1" t="shared" si="57"/>
        <v>0</v>
      </c>
      <c r="Y64" s="42">
        <f ca="1" t="shared" si="57"/>
        <v>0</v>
      </c>
      <c r="Z64" s="42">
        <f ca="1" t="shared" si="57"/>
        <v>0</v>
      </c>
      <c r="AA64" s="42">
        <f ca="1" t="shared" si="57"/>
        <v>0</v>
      </c>
      <c r="AB64" s="42">
        <f ca="1" t="shared" si="57"/>
        <v>0</v>
      </c>
      <c r="AC64" s="42">
        <f ca="1" t="shared" si="57"/>
        <v>0</v>
      </c>
      <c r="AD64" s="42">
        <f ca="1" t="shared" si="57"/>
        <v>0</v>
      </c>
      <c r="AE64" s="42">
        <f ca="1" t="shared" si="57"/>
        <v>0</v>
      </c>
      <c r="AF64" s="42">
        <f ca="1" t="shared" si="57"/>
        <v>0</v>
      </c>
      <c r="AG64" s="42">
        <f ca="1" t="shared" si="57"/>
        <v>0</v>
      </c>
      <c r="AH64" s="42">
        <f ca="1" t="shared" si="57"/>
        <v>0</v>
      </c>
      <c r="AI64" s="42">
        <f ca="1" t="shared" si="57"/>
        <v>0</v>
      </c>
      <c r="AJ64" s="42">
        <f ca="1" t="shared" si="57"/>
        <v>0</v>
      </c>
      <c r="AK64" s="42">
        <f ca="1" t="shared" si="57"/>
        <v>0</v>
      </c>
      <c r="AL64" s="42">
        <f ca="1" t="shared" si="57"/>
        <v>0</v>
      </c>
      <c r="AM64" s="42">
        <f ca="1" t="shared" ref="AM64:BA64" si="58">AM60-AM61-AM63</f>
        <v>0</v>
      </c>
      <c r="AN64" s="42">
        <f ca="1" t="shared" si="58"/>
        <v>0</v>
      </c>
      <c r="AO64" s="42">
        <f ca="1" t="shared" si="58"/>
        <v>0</v>
      </c>
      <c r="AP64" s="42">
        <f ca="1" t="shared" si="58"/>
        <v>0</v>
      </c>
      <c r="AQ64" s="42">
        <f ca="1" t="shared" si="58"/>
        <v>0</v>
      </c>
      <c r="AR64" s="42">
        <f ca="1" t="shared" si="58"/>
        <v>0</v>
      </c>
      <c r="AS64" s="42">
        <f ca="1" t="shared" si="58"/>
        <v>0</v>
      </c>
      <c r="AT64" s="42">
        <f ca="1" t="shared" si="58"/>
        <v>0</v>
      </c>
      <c r="AU64" s="42">
        <f ca="1" t="shared" si="58"/>
        <v>0</v>
      </c>
      <c r="AV64" s="42">
        <f ca="1" t="shared" si="58"/>
        <v>0</v>
      </c>
      <c r="AW64" s="42">
        <f ca="1" t="shared" si="58"/>
        <v>0</v>
      </c>
      <c r="AX64" s="42">
        <f ca="1" t="shared" si="58"/>
        <v>0</v>
      </c>
      <c r="AY64" s="42">
        <f ca="1" t="shared" si="58"/>
        <v>0</v>
      </c>
      <c r="AZ64" s="42">
        <f ca="1" t="shared" si="58"/>
        <v>0</v>
      </c>
      <c r="BA64" s="43">
        <f ca="1" t="shared" si="58"/>
        <v>0</v>
      </c>
    </row>
    <row r="65" s="139" customFormat="1" spans="2:53">
      <c r="B65" s="27"/>
      <c r="C65" s="159" t="s">
        <v>897</v>
      </c>
      <c r="D65" s="34">
        <f ca="1" t="shared" ref="D65:D66" si="59">SUM(F65:BA65)</f>
        <v>2114335.91209905</v>
      </c>
      <c r="E65" s="29" t="s">
        <v>130</v>
      </c>
      <c r="F65" s="124">
        <f ca="1" t="shared" ref="F65:BA65" si="60">F42</f>
        <v>0</v>
      </c>
      <c r="G65" s="124">
        <f ca="1" t="shared" si="60"/>
        <v>0</v>
      </c>
      <c r="H65" s="124">
        <f ca="1" t="shared" si="60"/>
        <v>0</v>
      </c>
      <c r="I65" s="124">
        <f ca="1" t="shared" si="60"/>
        <v>0</v>
      </c>
      <c r="J65" s="124">
        <f ca="1" t="shared" si="60"/>
        <v>0</v>
      </c>
      <c r="K65" s="124">
        <f ca="1" t="shared" si="60"/>
        <v>0</v>
      </c>
      <c r="L65" s="124">
        <f ca="1" t="shared" si="60"/>
        <v>0</v>
      </c>
      <c r="M65" s="124">
        <f ca="1" t="shared" si="60"/>
        <v>19973.0445376314</v>
      </c>
      <c r="N65" s="124">
        <f ca="1" t="shared" si="60"/>
        <v>45790.123682554</v>
      </c>
      <c r="O65" s="124">
        <f ca="1" t="shared" si="60"/>
        <v>46252.623682554</v>
      </c>
      <c r="P65" s="124">
        <f ca="1" t="shared" si="60"/>
        <v>46252.623682554</v>
      </c>
      <c r="Q65" s="124">
        <f ca="1" t="shared" si="60"/>
        <v>46252.623682554</v>
      </c>
      <c r="R65" s="124">
        <f ca="1" t="shared" si="60"/>
        <v>46252.623682554</v>
      </c>
      <c r="S65" s="124">
        <f ca="1" t="shared" si="60"/>
        <v>45899.9685813709</v>
      </c>
      <c r="T65" s="124">
        <f ca="1" t="shared" si="60"/>
        <v>44929.0729356005</v>
      </c>
      <c r="U65" s="124">
        <f ca="1" t="shared" si="60"/>
        <v>44929.0729356005</v>
      </c>
      <c r="V65" s="124">
        <f ca="1" t="shared" si="60"/>
        <v>44929.0729356005</v>
      </c>
      <c r="W65" s="124">
        <f ca="1" t="shared" si="60"/>
        <v>44929.0729356005</v>
      </c>
      <c r="X65" s="124">
        <f ca="1" t="shared" si="60"/>
        <v>44788.8058251028</v>
      </c>
      <c r="Y65" s="124">
        <f ca="1" t="shared" si="60"/>
        <v>43351.4464843543</v>
      </c>
      <c r="Z65" s="124">
        <f ca="1" t="shared" si="60"/>
        <v>43468.2813467396</v>
      </c>
      <c r="AA65" s="124">
        <f ca="1" t="shared" si="60"/>
        <v>43468.2813467396</v>
      </c>
      <c r="AB65" s="124">
        <f ca="1" t="shared" si="60"/>
        <v>43468.2813467396</v>
      </c>
      <c r="AC65" s="124">
        <f ca="1" t="shared" si="60"/>
        <v>43473.23547518</v>
      </c>
      <c r="AD65" s="124">
        <f ca="1" t="shared" si="60"/>
        <v>43468.2813467396</v>
      </c>
      <c r="AE65" s="124">
        <f ca="1" t="shared" si="60"/>
        <v>45227.5406059988</v>
      </c>
      <c r="AF65" s="124">
        <f ca="1" t="shared" si="60"/>
        <v>47711.2115335636</v>
      </c>
      <c r="AG65" s="124">
        <f ca="1" t="shared" si="60"/>
        <v>47928.0035689618</v>
      </c>
      <c r="AH65" s="124">
        <f ca="1" t="shared" si="60"/>
        <v>48265.4576974022</v>
      </c>
      <c r="AI65" s="124">
        <f ca="1" t="shared" si="60"/>
        <v>48458.6687065765</v>
      </c>
      <c r="AJ65" s="124">
        <f ca="1" t="shared" si="60"/>
        <v>48260.5035689618</v>
      </c>
      <c r="AK65" s="124">
        <f ca="1" t="shared" si="60"/>
        <v>48260.5035689618</v>
      </c>
      <c r="AL65" s="124">
        <f ca="1" t="shared" si="60"/>
        <v>48260.5035689618</v>
      </c>
      <c r="AM65" s="124">
        <f ca="1" t="shared" si="60"/>
        <v>48265.4576974022</v>
      </c>
      <c r="AN65" s="124">
        <f ca="1" t="shared" si="60"/>
        <v>48281.2115335636</v>
      </c>
      <c r="AO65" s="124">
        <f ca="1" t="shared" si="60"/>
        <v>48260.5035689618</v>
      </c>
      <c r="AP65" s="124">
        <f ca="1" t="shared" si="60"/>
        <v>57719.8207065009</v>
      </c>
      <c r="AQ65" s="124">
        <f ca="1" t="shared" si="60"/>
        <v>70962.8646990557</v>
      </c>
      <c r="AR65" s="124">
        <f ca="1" t="shared" si="60"/>
        <v>70967.8188274961</v>
      </c>
      <c r="AS65" s="124">
        <f ca="1" t="shared" si="60"/>
        <v>70957.1562383014</v>
      </c>
      <c r="AT65" s="124">
        <f ca="1" t="shared" si="60"/>
        <v>70758.9911006867</v>
      </c>
      <c r="AU65" s="124">
        <f ca="1" t="shared" si="60"/>
        <v>70758.9911006867</v>
      </c>
      <c r="AV65" s="124">
        <f ca="1" t="shared" si="60"/>
        <v>70724.3893307752</v>
      </c>
      <c r="AW65" s="124">
        <f ca="1" t="shared" si="60"/>
        <v>70708.6354946138</v>
      </c>
      <c r="AX65" s="124">
        <f ca="1" t="shared" si="60"/>
        <v>70703.6813661734</v>
      </c>
      <c r="AY65" s="124">
        <f ca="1" t="shared" si="60"/>
        <v>70555.730295837</v>
      </c>
      <c r="AZ65" s="124">
        <f ca="1" t="shared" si="60"/>
        <v>70550.7761673966</v>
      </c>
      <c r="BA65" s="125">
        <f ca="1" t="shared" si="60"/>
        <v>39910.9547064391</v>
      </c>
    </row>
    <row r="66" s="139" customFormat="1" spans="2:53">
      <c r="B66" s="27"/>
      <c r="C66" s="159" t="s">
        <v>898</v>
      </c>
      <c r="D66" s="34">
        <f ca="1" t="shared" si="59"/>
        <v>2931068.43131165</v>
      </c>
      <c r="E66" s="29" t="s">
        <v>130</v>
      </c>
      <c r="F66" s="124">
        <f ca="1">F65+'表2-折旧摊销表'!F303</f>
        <v>0</v>
      </c>
      <c r="G66" s="124">
        <f ca="1">G65+'表2-折旧摊销表'!G303</f>
        <v>0</v>
      </c>
      <c r="H66" s="124">
        <f ca="1">H65+'表2-折旧摊销表'!H303</f>
        <v>0</v>
      </c>
      <c r="I66" s="124">
        <f ca="1">I65+'表2-折旧摊销表'!I303</f>
        <v>0</v>
      </c>
      <c r="J66" s="124">
        <f ca="1">J65+'表2-折旧摊销表'!J303</f>
        <v>0</v>
      </c>
      <c r="K66" s="124">
        <f ca="1">K65+'表2-折旧摊销表'!K303</f>
        <v>0</v>
      </c>
      <c r="L66" s="124">
        <f ca="1">L65+'表2-折旧摊销表'!L303</f>
        <v>0</v>
      </c>
      <c r="M66" s="124">
        <f ca="1">M65+'表2-折旧摊销表'!M303</f>
        <v>31191.6209344298</v>
      </c>
      <c r="N66" s="124">
        <f ca="1">N65+'表2-折旧摊销表'!N303</f>
        <v>74378.9501541362</v>
      </c>
      <c r="O66" s="124">
        <f ca="1">O65+'表2-折旧摊销表'!O303</f>
        <v>74378.9501541362</v>
      </c>
      <c r="P66" s="124">
        <f ca="1">P65+'表2-折旧摊销表'!P303</f>
        <v>74378.9501541362</v>
      </c>
      <c r="Q66" s="124">
        <f ca="1">Q65+'表2-折旧摊销表'!Q303</f>
        <v>74378.9501541362</v>
      </c>
      <c r="R66" s="124">
        <f ca="1">R65+'表2-折旧摊销表'!R303</f>
        <v>74378.9501541362</v>
      </c>
      <c r="S66" s="124">
        <f ca="1">S65+'表2-折旧摊销表'!S303</f>
        <v>74026.2950529531</v>
      </c>
      <c r="T66" s="124">
        <f ca="1">T65+'表2-折旧摊销表'!T303</f>
        <v>73055.3994071827</v>
      </c>
      <c r="U66" s="124">
        <f ca="1">U65+'表2-折旧摊销表'!U303</f>
        <v>73055.3994071827</v>
      </c>
      <c r="V66" s="124">
        <f ca="1">V65+'表2-折旧摊销表'!V303</f>
        <v>73055.3994071827</v>
      </c>
      <c r="W66" s="124">
        <f ca="1">W65+'表2-折旧摊销表'!W303</f>
        <v>73055.3994071827</v>
      </c>
      <c r="X66" s="124">
        <f ca="1">X65+'表2-折旧摊销表'!X303</f>
        <v>73081.0615002248</v>
      </c>
      <c r="Y66" s="124">
        <f ca="1">Y65+'表2-折旧摊销表'!Y303</f>
        <v>73253.5645447974</v>
      </c>
      <c r="Z66" s="124">
        <f ca="1">Z65+'表2-折旧摊销表'!Z303</f>
        <v>73055.3994071827</v>
      </c>
      <c r="AA66" s="124">
        <f ca="1">AA65+'表2-折旧摊销表'!AA303</f>
        <v>73055.3994071827</v>
      </c>
      <c r="AB66" s="124">
        <f ca="1">AB65+'表2-折旧摊销表'!AB303</f>
        <v>73055.3994071827</v>
      </c>
      <c r="AC66" s="124">
        <f ca="1">AC65+'表2-折旧摊销表'!AC303</f>
        <v>73060.3535356231</v>
      </c>
      <c r="AD66" s="124">
        <f ca="1">AD65+'表2-折旧摊销表'!AD303</f>
        <v>73055.3994071827</v>
      </c>
      <c r="AE66" s="124">
        <f ca="1">AE65+'表2-折旧摊销表'!AE303</f>
        <v>73055.3994071827</v>
      </c>
      <c r="AF66" s="124">
        <f ca="1">AF65+'表2-折旧摊销表'!AF303</f>
        <v>73076.1073717845</v>
      </c>
      <c r="AG66" s="124">
        <f ca="1">AG65+'表2-折旧摊销表'!AG303</f>
        <v>73055.3994071827</v>
      </c>
      <c r="AH66" s="124">
        <f ca="1">AH65+'表2-折旧摊销表'!AH303</f>
        <v>73060.3535356231</v>
      </c>
      <c r="AI66" s="124">
        <f ca="1">AI65+'表2-折旧摊销表'!AI303</f>
        <v>73253.5645447974</v>
      </c>
      <c r="AJ66" s="124">
        <f ca="1">AJ65+'表2-折旧摊销表'!AJ303</f>
        <v>73055.3994071827</v>
      </c>
      <c r="AK66" s="124">
        <f ca="1">AK65+'表2-折旧摊销表'!AK303</f>
        <v>73055.3994071827</v>
      </c>
      <c r="AL66" s="124">
        <f ca="1">AL65+'表2-折旧摊销表'!AL303</f>
        <v>73055.3994071827</v>
      </c>
      <c r="AM66" s="124">
        <f ca="1">AM65+'表2-折旧摊销表'!AM303</f>
        <v>73060.3535356231</v>
      </c>
      <c r="AN66" s="124">
        <f ca="1">AN65+'表2-折旧摊销表'!AN303</f>
        <v>73076.1073717845</v>
      </c>
      <c r="AO66" s="124">
        <f ca="1">AO65+'表2-折旧摊销表'!AO303</f>
        <v>73055.3994071827</v>
      </c>
      <c r="AP66" s="124">
        <f ca="1">AP65+'表2-折旧摊销表'!AP303</f>
        <v>73055.3994071827</v>
      </c>
      <c r="AQ66" s="124">
        <f ca="1">AQ65+'表2-折旧摊销表'!AQ303</f>
        <v>73055.3994071827</v>
      </c>
      <c r="AR66" s="124">
        <f ca="1">AR65+'表2-折旧摊销表'!AR303</f>
        <v>73060.353535623</v>
      </c>
      <c r="AS66" s="124">
        <f ca="1">AS65+'表2-折旧摊销表'!AS303</f>
        <v>73253.5645447974</v>
      </c>
      <c r="AT66" s="124">
        <f ca="1">AT65+'表2-折旧摊销表'!AT303</f>
        <v>73055.3994071827</v>
      </c>
      <c r="AU66" s="124">
        <f ca="1">AU65+'表2-折旧摊销表'!AU303</f>
        <v>73055.3994071827</v>
      </c>
      <c r="AV66" s="124">
        <f ca="1">AV65+'表2-折旧摊销表'!AV303</f>
        <v>73076.1073717844</v>
      </c>
      <c r="AW66" s="124">
        <f ca="1">AW65+'表2-折旧摊销表'!AW303</f>
        <v>73060.353535623</v>
      </c>
      <c r="AX66" s="124">
        <f ca="1">AX65+'表2-折旧摊销表'!AX303</f>
        <v>73055.3994071827</v>
      </c>
      <c r="AY66" s="124">
        <f ca="1">AY65+'表2-折旧摊销表'!AY303</f>
        <v>73060.353535623</v>
      </c>
      <c r="AZ66" s="124">
        <f ca="1">AZ65+'表2-折旧摊销表'!AZ303</f>
        <v>73055.3994071827</v>
      </c>
      <c r="BA66" s="125">
        <f ca="1">BA65+'表2-折旧摊销表'!BA303</f>
        <v>42415.5779462251</v>
      </c>
    </row>
    <row r="67" spans="2:53">
      <c r="B67" s="32"/>
      <c r="C67" s="144" t="s">
        <v>899</v>
      </c>
      <c r="D67" s="34"/>
      <c r="E67" s="29" t="s">
        <v>130</v>
      </c>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5"/>
    </row>
    <row r="68" spans="2:53">
      <c r="B68" s="32"/>
      <c r="C68" s="145" t="s">
        <v>900</v>
      </c>
      <c r="D68" s="34">
        <f ca="1" t="shared" ref="D68:D97" si="61">SUM(F68:BA68)</f>
        <v>1636575.61593093</v>
      </c>
      <c r="E68" s="29" t="s">
        <v>130</v>
      </c>
      <c r="F68" s="34">
        <f ca="1" t="shared" ref="F68:BA68" si="62">F54-F69</f>
        <v>0</v>
      </c>
      <c r="G68" s="34">
        <f ca="1" t="shared" si="62"/>
        <v>0</v>
      </c>
      <c r="H68" s="34">
        <f ca="1" t="shared" si="62"/>
        <v>0</v>
      </c>
      <c r="I68" s="34">
        <f ca="1" t="shared" si="62"/>
        <v>0</v>
      </c>
      <c r="J68" s="34">
        <f ca="1" t="shared" si="62"/>
        <v>0</v>
      </c>
      <c r="K68" s="34">
        <f ca="1" t="shared" si="62"/>
        <v>0</v>
      </c>
      <c r="L68" s="34">
        <f ca="1" t="shared" si="62"/>
        <v>0</v>
      </c>
      <c r="M68" s="34">
        <f ca="1" t="shared" si="62"/>
        <v>19973.0445376314</v>
      </c>
      <c r="N68" s="34">
        <f ca="1" t="shared" si="62"/>
        <v>45790.123682554</v>
      </c>
      <c r="O68" s="34">
        <f ca="1" t="shared" si="62"/>
        <v>46252.623682554</v>
      </c>
      <c r="P68" s="34">
        <f ca="1" t="shared" si="62"/>
        <v>40546.0457222347</v>
      </c>
      <c r="Q68" s="34">
        <f ca="1" t="shared" si="62"/>
        <v>40546.0457222347</v>
      </c>
      <c r="R68" s="34">
        <f ca="1" t="shared" si="62"/>
        <v>40546.0457222347</v>
      </c>
      <c r="S68" s="34">
        <f ca="1" t="shared" si="62"/>
        <v>34574.9764360282</v>
      </c>
      <c r="T68" s="34">
        <f ca="1" t="shared" si="62"/>
        <v>33846.8047017004</v>
      </c>
      <c r="U68" s="34">
        <f ca="1" t="shared" si="62"/>
        <v>33846.8047017004</v>
      </c>
      <c r="V68" s="34">
        <f ca="1" t="shared" si="62"/>
        <v>33846.8047017004</v>
      </c>
      <c r="W68" s="34">
        <f ca="1" t="shared" si="62"/>
        <v>33846.8047017004</v>
      </c>
      <c r="X68" s="34">
        <f ca="1" t="shared" si="62"/>
        <v>33741.6043688271</v>
      </c>
      <c r="Y68" s="34">
        <f ca="1" t="shared" si="62"/>
        <v>32663.5848632657</v>
      </c>
      <c r="Z68" s="34">
        <f ca="1" t="shared" si="62"/>
        <v>32751.2110100547</v>
      </c>
      <c r="AA68" s="34">
        <f ca="1" t="shared" si="62"/>
        <v>32751.2110100547</v>
      </c>
      <c r="AB68" s="34">
        <f ca="1" t="shared" si="62"/>
        <v>32751.2110100547</v>
      </c>
      <c r="AC68" s="34">
        <f ca="1" t="shared" si="62"/>
        <v>32754.926606385</v>
      </c>
      <c r="AD68" s="34">
        <f ca="1" t="shared" si="62"/>
        <v>32751.2110100547</v>
      </c>
      <c r="AE68" s="34">
        <f ca="1" t="shared" si="62"/>
        <v>34070.6554544991</v>
      </c>
      <c r="AF68" s="34">
        <f ca="1" t="shared" si="62"/>
        <v>35933.4086501727</v>
      </c>
      <c r="AG68" s="34">
        <f ca="1" t="shared" si="62"/>
        <v>36096.0026767213</v>
      </c>
      <c r="AH68" s="34">
        <f ca="1" t="shared" si="62"/>
        <v>36349.0932730516</v>
      </c>
      <c r="AI68" s="34">
        <f ca="1" t="shared" si="62"/>
        <v>36494.0015299324</v>
      </c>
      <c r="AJ68" s="34">
        <f ca="1" t="shared" si="62"/>
        <v>36345.3776767213</v>
      </c>
      <c r="AK68" s="34">
        <f ca="1" t="shared" si="62"/>
        <v>36345.3776767213</v>
      </c>
      <c r="AL68" s="34">
        <f ca="1" t="shared" si="62"/>
        <v>36345.3776767213</v>
      </c>
      <c r="AM68" s="34">
        <f ca="1" t="shared" si="62"/>
        <v>36349.0932730516</v>
      </c>
      <c r="AN68" s="34">
        <f ca="1" t="shared" si="62"/>
        <v>36360.9086501727</v>
      </c>
      <c r="AO68" s="34">
        <f ca="1" t="shared" si="62"/>
        <v>36345.3776767213</v>
      </c>
      <c r="AP68" s="34">
        <f ca="1" t="shared" si="62"/>
        <v>43439.8655298757</v>
      </c>
      <c r="AQ68" s="34">
        <f ca="1" t="shared" si="62"/>
        <v>53372.1485242918</v>
      </c>
      <c r="AR68" s="34">
        <f ca="1" t="shared" si="62"/>
        <v>53375.864120622</v>
      </c>
      <c r="AS68" s="34">
        <f ca="1" t="shared" si="62"/>
        <v>53367.867178726</v>
      </c>
      <c r="AT68" s="34">
        <f ca="1" t="shared" si="62"/>
        <v>53219.243325515</v>
      </c>
      <c r="AU68" s="34">
        <f ca="1" t="shared" si="62"/>
        <v>53219.243325515</v>
      </c>
      <c r="AV68" s="34">
        <f ca="1" t="shared" si="62"/>
        <v>53193.2919980814</v>
      </c>
      <c r="AW68" s="34">
        <f ca="1" t="shared" si="62"/>
        <v>53181.4766209603</v>
      </c>
      <c r="AX68" s="34">
        <f ca="1" t="shared" si="62"/>
        <v>53177.7610246301</v>
      </c>
      <c r="AY68" s="34">
        <f ca="1" t="shared" si="62"/>
        <v>53066.7977218778</v>
      </c>
      <c r="AZ68" s="34">
        <f ca="1" t="shared" si="62"/>
        <v>53063.0821255475</v>
      </c>
      <c r="BA68" s="35">
        <f ca="1" t="shared" si="62"/>
        <v>30083.2160298293</v>
      </c>
    </row>
    <row r="69" spans="2:53">
      <c r="B69" s="32"/>
      <c r="C69" s="145" t="s">
        <v>901</v>
      </c>
      <c r="D69" s="34">
        <f t="shared" si="61"/>
        <v>0</v>
      </c>
      <c r="E69" s="29" t="s">
        <v>130</v>
      </c>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5"/>
    </row>
    <row r="70" spans="2:53">
      <c r="B70" s="32"/>
      <c r="C70" s="144" t="s">
        <v>902</v>
      </c>
      <c r="D70" s="34"/>
      <c r="E70" s="29" t="s">
        <v>130</v>
      </c>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5"/>
    </row>
    <row r="71" s="4" customFormat="1" spans="2:53">
      <c r="B71" s="48"/>
      <c r="C71" s="74" t="s">
        <v>903</v>
      </c>
      <c r="D71" s="51">
        <f ca="1" t="shared" si="61"/>
        <v>1636575.61593093</v>
      </c>
      <c r="E71" s="50" t="s">
        <v>130</v>
      </c>
      <c r="F71" s="51">
        <f ca="1" t="shared" ref="F71:BA71" si="63">F54-F72</f>
        <v>0</v>
      </c>
      <c r="G71" s="51">
        <f ca="1" t="shared" si="63"/>
        <v>0</v>
      </c>
      <c r="H71" s="51">
        <f ca="1" t="shared" si="63"/>
        <v>0</v>
      </c>
      <c r="I71" s="51">
        <f ca="1" t="shared" si="63"/>
        <v>0</v>
      </c>
      <c r="J71" s="51">
        <f ca="1" t="shared" si="63"/>
        <v>0</v>
      </c>
      <c r="K71" s="51">
        <f ca="1" t="shared" si="63"/>
        <v>0</v>
      </c>
      <c r="L71" s="51">
        <f ca="1" t="shared" si="63"/>
        <v>0</v>
      </c>
      <c r="M71" s="51">
        <f ca="1" t="shared" si="63"/>
        <v>19973.0445376314</v>
      </c>
      <c r="N71" s="51">
        <f ca="1" t="shared" si="63"/>
        <v>45790.123682554</v>
      </c>
      <c r="O71" s="51">
        <f ca="1" t="shared" si="63"/>
        <v>46252.623682554</v>
      </c>
      <c r="P71" s="51">
        <f ca="1" t="shared" si="63"/>
        <v>40546.0457222347</v>
      </c>
      <c r="Q71" s="51">
        <f ca="1" t="shared" si="63"/>
        <v>40546.0457222347</v>
      </c>
      <c r="R71" s="51">
        <f ca="1" t="shared" si="63"/>
        <v>40546.0457222347</v>
      </c>
      <c r="S71" s="51">
        <f ca="1" t="shared" si="63"/>
        <v>34574.9764360282</v>
      </c>
      <c r="T71" s="51">
        <f ca="1" t="shared" si="63"/>
        <v>33846.8047017004</v>
      </c>
      <c r="U71" s="51">
        <f ca="1" t="shared" si="63"/>
        <v>33846.8047017004</v>
      </c>
      <c r="V71" s="51">
        <f ca="1" t="shared" si="63"/>
        <v>33846.8047017004</v>
      </c>
      <c r="W71" s="51">
        <f ca="1" t="shared" si="63"/>
        <v>33846.8047017004</v>
      </c>
      <c r="X71" s="51">
        <f ca="1" t="shared" si="63"/>
        <v>33741.6043688271</v>
      </c>
      <c r="Y71" s="51">
        <f ca="1" t="shared" si="63"/>
        <v>32663.5848632657</v>
      </c>
      <c r="Z71" s="51">
        <f ca="1" t="shared" si="63"/>
        <v>32751.2110100547</v>
      </c>
      <c r="AA71" s="51">
        <f ca="1" t="shared" si="63"/>
        <v>32751.2110100547</v>
      </c>
      <c r="AB71" s="51">
        <f ca="1" t="shared" si="63"/>
        <v>32751.2110100547</v>
      </c>
      <c r="AC71" s="51">
        <f ca="1" t="shared" si="63"/>
        <v>32754.926606385</v>
      </c>
      <c r="AD71" s="51">
        <f ca="1" t="shared" si="63"/>
        <v>32751.2110100547</v>
      </c>
      <c r="AE71" s="51">
        <f ca="1" t="shared" si="63"/>
        <v>34070.6554544991</v>
      </c>
      <c r="AF71" s="51">
        <f ca="1" t="shared" si="63"/>
        <v>35933.4086501727</v>
      </c>
      <c r="AG71" s="51">
        <f ca="1" t="shared" si="63"/>
        <v>36096.0026767213</v>
      </c>
      <c r="AH71" s="51">
        <f ca="1" t="shared" si="63"/>
        <v>36349.0932730516</v>
      </c>
      <c r="AI71" s="51">
        <f ca="1" t="shared" si="63"/>
        <v>36494.0015299324</v>
      </c>
      <c r="AJ71" s="51">
        <f ca="1" t="shared" si="63"/>
        <v>36345.3776767213</v>
      </c>
      <c r="AK71" s="51">
        <f ca="1" t="shared" si="63"/>
        <v>36345.3776767213</v>
      </c>
      <c r="AL71" s="51">
        <f ca="1" t="shared" si="63"/>
        <v>36345.3776767213</v>
      </c>
      <c r="AM71" s="51">
        <f ca="1" t="shared" si="63"/>
        <v>36349.0932730516</v>
      </c>
      <c r="AN71" s="51">
        <f ca="1" t="shared" si="63"/>
        <v>36360.9086501727</v>
      </c>
      <c r="AO71" s="51">
        <f ca="1" t="shared" si="63"/>
        <v>36345.3776767213</v>
      </c>
      <c r="AP71" s="51">
        <f ca="1" t="shared" si="63"/>
        <v>43439.8655298757</v>
      </c>
      <c r="AQ71" s="51">
        <f ca="1" t="shared" si="63"/>
        <v>53372.1485242918</v>
      </c>
      <c r="AR71" s="51">
        <f ca="1" t="shared" si="63"/>
        <v>53375.864120622</v>
      </c>
      <c r="AS71" s="51">
        <f ca="1" t="shared" si="63"/>
        <v>53367.867178726</v>
      </c>
      <c r="AT71" s="51">
        <f ca="1" t="shared" si="63"/>
        <v>53219.243325515</v>
      </c>
      <c r="AU71" s="51">
        <f ca="1" t="shared" si="63"/>
        <v>53219.243325515</v>
      </c>
      <c r="AV71" s="51">
        <f ca="1" t="shared" si="63"/>
        <v>53193.2919980814</v>
      </c>
      <c r="AW71" s="51">
        <f ca="1" t="shared" si="63"/>
        <v>53181.4766209603</v>
      </c>
      <c r="AX71" s="51">
        <f ca="1" t="shared" si="63"/>
        <v>53177.7610246301</v>
      </c>
      <c r="AY71" s="51">
        <f ca="1" t="shared" si="63"/>
        <v>53066.7977218778</v>
      </c>
      <c r="AZ71" s="51">
        <f ca="1" t="shared" si="63"/>
        <v>53063.0821255475</v>
      </c>
      <c r="BA71" s="53">
        <f ca="1" t="shared" si="63"/>
        <v>30083.2160298293</v>
      </c>
    </row>
    <row r="72" spans="2:53">
      <c r="B72" s="32"/>
      <c r="C72" s="145" t="s">
        <v>904</v>
      </c>
      <c r="D72" s="34">
        <f t="shared" si="61"/>
        <v>0</v>
      </c>
      <c r="E72" s="29" t="s">
        <v>130</v>
      </c>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5"/>
    </row>
    <row r="73" s="139" customFormat="1" spans="2:53">
      <c r="B73" s="27" t="s">
        <v>905</v>
      </c>
      <c r="C73" s="28" t="s">
        <v>906</v>
      </c>
      <c r="D73" s="34">
        <f t="shared" si="61"/>
        <v>0</v>
      </c>
      <c r="E73" s="29" t="s">
        <v>130</v>
      </c>
      <c r="F73" s="34">
        <f>F74+F91</f>
        <v>0</v>
      </c>
      <c r="G73" s="34">
        <f t="shared" ref="G73:BA73" si="64">G74+G91</f>
        <v>0</v>
      </c>
      <c r="H73" s="34">
        <f t="shared" si="64"/>
        <v>0</v>
      </c>
      <c r="I73" s="34">
        <f t="shared" si="64"/>
        <v>0</v>
      </c>
      <c r="J73" s="34">
        <f t="shared" si="64"/>
        <v>0</v>
      </c>
      <c r="K73" s="34">
        <f t="shared" si="64"/>
        <v>0</v>
      </c>
      <c r="L73" s="34">
        <f t="shared" si="64"/>
        <v>0</v>
      </c>
      <c r="M73" s="34">
        <f t="shared" si="64"/>
        <v>0</v>
      </c>
      <c r="N73" s="34">
        <f t="shared" si="64"/>
        <v>0</v>
      </c>
      <c r="O73" s="34">
        <f t="shared" si="64"/>
        <v>0</v>
      </c>
      <c r="P73" s="34">
        <f t="shared" si="64"/>
        <v>0</v>
      </c>
      <c r="Q73" s="34">
        <f t="shared" si="64"/>
        <v>0</v>
      </c>
      <c r="R73" s="34">
        <f t="shared" si="64"/>
        <v>0</v>
      </c>
      <c r="S73" s="34">
        <f t="shared" si="64"/>
        <v>0</v>
      </c>
      <c r="T73" s="34">
        <f t="shared" si="64"/>
        <v>0</v>
      </c>
      <c r="U73" s="34">
        <f t="shared" si="64"/>
        <v>0</v>
      </c>
      <c r="V73" s="34">
        <f t="shared" si="64"/>
        <v>0</v>
      </c>
      <c r="W73" s="34">
        <f t="shared" si="64"/>
        <v>0</v>
      </c>
      <c r="X73" s="34">
        <f t="shared" si="64"/>
        <v>0</v>
      </c>
      <c r="Y73" s="34">
        <f t="shared" si="64"/>
        <v>0</v>
      </c>
      <c r="Z73" s="34">
        <f t="shared" si="64"/>
        <v>0</v>
      </c>
      <c r="AA73" s="34">
        <f t="shared" si="64"/>
        <v>0</v>
      </c>
      <c r="AB73" s="34">
        <f t="shared" si="64"/>
        <v>0</v>
      </c>
      <c r="AC73" s="34">
        <f t="shared" si="64"/>
        <v>0</v>
      </c>
      <c r="AD73" s="34">
        <f t="shared" si="64"/>
        <v>0</v>
      </c>
      <c r="AE73" s="34">
        <f t="shared" si="64"/>
        <v>0</v>
      </c>
      <c r="AF73" s="34">
        <f t="shared" si="64"/>
        <v>0</v>
      </c>
      <c r="AG73" s="34">
        <f t="shared" si="64"/>
        <v>0</v>
      </c>
      <c r="AH73" s="34">
        <f t="shared" si="64"/>
        <v>0</v>
      </c>
      <c r="AI73" s="34">
        <f t="shared" si="64"/>
        <v>0</v>
      </c>
      <c r="AJ73" s="34">
        <f t="shared" si="64"/>
        <v>0</v>
      </c>
      <c r="AK73" s="34">
        <f t="shared" si="64"/>
        <v>0</v>
      </c>
      <c r="AL73" s="34">
        <f t="shared" si="64"/>
        <v>0</v>
      </c>
      <c r="AM73" s="34">
        <f t="shared" si="64"/>
        <v>0</v>
      </c>
      <c r="AN73" s="34">
        <f t="shared" si="64"/>
        <v>0</v>
      </c>
      <c r="AO73" s="34">
        <f t="shared" si="64"/>
        <v>0</v>
      </c>
      <c r="AP73" s="34">
        <f t="shared" si="64"/>
        <v>0</v>
      </c>
      <c r="AQ73" s="34">
        <f t="shared" si="64"/>
        <v>0</v>
      </c>
      <c r="AR73" s="34">
        <f t="shared" si="64"/>
        <v>0</v>
      </c>
      <c r="AS73" s="34">
        <f t="shared" si="64"/>
        <v>0</v>
      </c>
      <c r="AT73" s="34">
        <f t="shared" si="64"/>
        <v>0</v>
      </c>
      <c r="AU73" s="34">
        <f t="shared" si="64"/>
        <v>0</v>
      </c>
      <c r="AV73" s="34">
        <f t="shared" si="64"/>
        <v>0</v>
      </c>
      <c r="AW73" s="34">
        <f t="shared" si="64"/>
        <v>0</v>
      </c>
      <c r="AX73" s="34">
        <f t="shared" si="64"/>
        <v>0</v>
      </c>
      <c r="AY73" s="34">
        <f t="shared" si="64"/>
        <v>0</v>
      </c>
      <c r="AZ73" s="34">
        <f t="shared" si="64"/>
        <v>0</v>
      </c>
      <c r="BA73" s="35">
        <f t="shared" si="64"/>
        <v>0</v>
      </c>
    </row>
    <row r="74" spans="2:53">
      <c r="B74" s="32"/>
      <c r="C74" s="144" t="s">
        <v>907</v>
      </c>
      <c r="D74" s="34">
        <f t="shared" si="61"/>
        <v>0</v>
      </c>
      <c r="E74" s="29" t="s">
        <v>130</v>
      </c>
      <c r="F74" s="34">
        <f>F75+F81</f>
        <v>0</v>
      </c>
      <c r="G74" s="34">
        <f t="shared" ref="G74:BA74" si="65">G75+G81</f>
        <v>0</v>
      </c>
      <c r="H74" s="34">
        <f t="shared" si="65"/>
        <v>0</v>
      </c>
      <c r="I74" s="34">
        <f t="shared" si="65"/>
        <v>0</v>
      </c>
      <c r="J74" s="34">
        <f t="shared" si="65"/>
        <v>0</v>
      </c>
      <c r="K74" s="34">
        <f t="shared" si="65"/>
        <v>0</v>
      </c>
      <c r="L74" s="34">
        <f t="shared" si="65"/>
        <v>0</v>
      </c>
      <c r="M74" s="34">
        <f t="shared" si="65"/>
        <v>0</v>
      </c>
      <c r="N74" s="34">
        <f t="shared" si="65"/>
        <v>0</v>
      </c>
      <c r="O74" s="34">
        <f t="shared" si="65"/>
        <v>0</v>
      </c>
      <c r="P74" s="34">
        <f t="shared" si="65"/>
        <v>0</v>
      </c>
      <c r="Q74" s="34">
        <f t="shared" si="65"/>
        <v>0</v>
      </c>
      <c r="R74" s="34">
        <f t="shared" si="65"/>
        <v>0</v>
      </c>
      <c r="S74" s="34">
        <f t="shared" si="65"/>
        <v>0</v>
      </c>
      <c r="T74" s="34">
        <f t="shared" si="65"/>
        <v>0</v>
      </c>
      <c r="U74" s="34">
        <f t="shared" si="65"/>
        <v>0</v>
      </c>
      <c r="V74" s="34">
        <f t="shared" si="65"/>
        <v>0</v>
      </c>
      <c r="W74" s="34">
        <f t="shared" si="65"/>
        <v>0</v>
      </c>
      <c r="X74" s="34">
        <f t="shared" si="65"/>
        <v>0</v>
      </c>
      <c r="Y74" s="34">
        <f t="shared" si="65"/>
        <v>0</v>
      </c>
      <c r="Z74" s="34">
        <f t="shared" si="65"/>
        <v>0</v>
      </c>
      <c r="AA74" s="34">
        <f t="shared" si="65"/>
        <v>0</v>
      </c>
      <c r="AB74" s="34">
        <f t="shared" si="65"/>
        <v>0</v>
      </c>
      <c r="AC74" s="34">
        <f t="shared" si="65"/>
        <v>0</v>
      </c>
      <c r="AD74" s="34">
        <f t="shared" si="65"/>
        <v>0</v>
      </c>
      <c r="AE74" s="34">
        <f t="shared" si="65"/>
        <v>0</v>
      </c>
      <c r="AF74" s="34">
        <f t="shared" si="65"/>
        <v>0</v>
      </c>
      <c r="AG74" s="34">
        <f t="shared" si="65"/>
        <v>0</v>
      </c>
      <c r="AH74" s="34">
        <f t="shared" si="65"/>
        <v>0</v>
      </c>
      <c r="AI74" s="34">
        <f t="shared" si="65"/>
        <v>0</v>
      </c>
      <c r="AJ74" s="34">
        <f t="shared" si="65"/>
        <v>0</v>
      </c>
      <c r="AK74" s="34">
        <f t="shared" si="65"/>
        <v>0</v>
      </c>
      <c r="AL74" s="34">
        <f t="shared" si="65"/>
        <v>0</v>
      </c>
      <c r="AM74" s="34">
        <f t="shared" si="65"/>
        <v>0</v>
      </c>
      <c r="AN74" s="34">
        <f t="shared" si="65"/>
        <v>0</v>
      </c>
      <c r="AO74" s="34">
        <f t="shared" si="65"/>
        <v>0</v>
      </c>
      <c r="AP74" s="34">
        <f t="shared" si="65"/>
        <v>0</v>
      </c>
      <c r="AQ74" s="34">
        <f t="shared" si="65"/>
        <v>0</v>
      </c>
      <c r="AR74" s="34">
        <f t="shared" si="65"/>
        <v>0</v>
      </c>
      <c r="AS74" s="34">
        <f t="shared" si="65"/>
        <v>0</v>
      </c>
      <c r="AT74" s="34">
        <f t="shared" si="65"/>
        <v>0</v>
      </c>
      <c r="AU74" s="34">
        <f t="shared" si="65"/>
        <v>0</v>
      </c>
      <c r="AV74" s="34">
        <f t="shared" si="65"/>
        <v>0</v>
      </c>
      <c r="AW74" s="34">
        <f t="shared" si="65"/>
        <v>0</v>
      </c>
      <c r="AX74" s="34">
        <f t="shared" si="65"/>
        <v>0</v>
      </c>
      <c r="AY74" s="34">
        <f t="shared" si="65"/>
        <v>0</v>
      </c>
      <c r="AZ74" s="34">
        <f t="shared" si="65"/>
        <v>0</v>
      </c>
      <c r="BA74" s="35">
        <f t="shared" si="65"/>
        <v>0</v>
      </c>
    </row>
    <row r="75" spans="2:53">
      <c r="B75" s="32"/>
      <c r="C75" s="144" t="s">
        <v>908</v>
      </c>
      <c r="D75" s="34">
        <f t="shared" si="61"/>
        <v>0</v>
      </c>
      <c r="E75" s="29" t="s">
        <v>130</v>
      </c>
      <c r="F75" s="34">
        <f>SUM(F76:F80)</f>
        <v>0</v>
      </c>
      <c r="G75" s="34">
        <f t="shared" ref="G75:BA75" si="66">SUM(G76:G80)</f>
        <v>0</v>
      </c>
      <c r="H75" s="34">
        <f t="shared" si="66"/>
        <v>0</v>
      </c>
      <c r="I75" s="34">
        <f t="shared" si="66"/>
        <v>0</v>
      </c>
      <c r="J75" s="34">
        <f t="shared" si="66"/>
        <v>0</v>
      </c>
      <c r="K75" s="34">
        <f t="shared" si="66"/>
        <v>0</v>
      </c>
      <c r="L75" s="34">
        <f t="shared" si="66"/>
        <v>0</v>
      </c>
      <c r="M75" s="34">
        <f t="shared" si="66"/>
        <v>0</v>
      </c>
      <c r="N75" s="34">
        <f t="shared" si="66"/>
        <v>0</v>
      </c>
      <c r="O75" s="34">
        <f t="shared" si="66"/>
        <v>0</v>
      </c>
      <c r="P75" s="34">
        <f t="shared" si="66"/>
        <v>0</v>
      </c>
      <c r="Q75" s="34">
        <f t="shared" si="66"/>
        <v>0</v>
      </c>
      <c r="R75" s="34">
        <f t="shared" si="66"/>
        <v>0</v>
      </c>
      <c r="S75" s="34">
        <f t="shared" si="66"/>
        <v>0</v>
      </c>
      <c r="T75" s="34">
        <f t="shared" si="66"/>
        <v>0</v>
      </c>
      <c r="U75" s="34">
        <f t="shared" si="66"/>
        <v>0</v>
      </c>
      <c r="V75" s="34">
        <f t="shared" si="66"/>
        <v>0</v>
      </c>
      <c r="W75" s="34">
        <f t="shared" si="66"/>
        <v>0</v>
      </c>
      <c r="X75" s="34">
        <f t="shared" si="66"/>
        <v>0</v>
      </c>
      <c r="Y75" s="34">
        <f t="shared" si="66"/>
        <v>0</v>
      </c>
      <c r="Z75" s="34">
        <f t="shared" si="66"/>
        <v>0</v>
      </c>
      <c r="AA75" s="34">
        <f t="shared" si="66"/>
        <v>0</v>
      </c>
      <c r="AB75" s="34">
        <f t="shared" si="66"/>
        <v>0</v>
      </c>
      <c r="AC75" s="34">
        <f t="shared" si="66"/>
        <v>0</v>
      </c>
      <c r="AD75" s="34">
        <f t="shared" si="66"/>
        <v>0</v>
      </c>
      <c r="AE75" s="34">
        <f t="shared" si="66"/>
        <v>0</v>
      </c>
      <c r="AF75" s="34">
        <f t="shared" si="66"/>
        <v>0</v>
      </c>
      <c r="AG75" s="34">
        <f t="shared" si="66"/>
        <v>0</v>
      </c>
      <c r="AH75" s="34">
        <f t="shared" si="66"/>
        <v>0</v>
      </c>
      <c r="AI75" s="34">
        <f t="shared" si="66"/>
        <v>0</v>
      </c>
      <c r="AJ75" s="34">
        <f t="shared" si="66"/>
        <v>0</v>
      </c>
      <c r="AK75" s="34">
        <f t="shared" si="66"/>
        <v>0</v>
      </c>
      <c r="AL75" s="34">
        <f t="shared" si="66"/>
        <v>0</v>
      </c>
      <c r="AM75" s="34">
        <f t="shared" si="66"/>
        <v>0</v>
      </c>
      <c r="AN75" s="34">
        <f t="shared" si="66"/>
        <v>0</v>
      </c>
      <c r="AO75" s="34">
        <f t="shared" si="66"/>
        <v>0</v>
      </c>
      <c r="AP75" s="34">
        <f t="shared" si="66"/>
        <v>0</v>
      </c>
      <c r="AQ75" s="34">
        <f t="shared" si="66"/>
        <v>0</v>
      </c>
      <c r="AR75" s="34">
        <f t="shared" si="66"/>
        <v>0</v>
      </c>
      <c r="AS75" s="34">
        <f t="shared" si="66"/>
        <v>0</v>
      </c>
      <c r="AT75" s="34">
        <f t="shared" si="66"/>
        <v>0</v>
      </c>
      <c r="AU75" s="34">
        <f t="shared" si="66"/>
        <v>0</v>
      </c>
      <c r="AV75" s="34">
        <f t="shared" si="66"/>
        <v>0</v>
      </c>
      <c r="AW75" s="34">
        <f t="shared" si="66"/>
        <v>0</v>
      </c>
      <c r="AX75" s="34">
        <f t="shared" si="66"/>
        <v>0</v>
      </c>
      <c r="AY75" s="34">
        <f t="shared" si="66"/>
        <v>0</v>
      </c>
      <c r="AZ75" s="34">
        <f t="shared" si="66"/>
        <v>0</v>
      </c>
      <c r="BA75" s="35">
        <f t="shared" si="66"/>
        <v>0</v>
      </c>
    </row>
    <row r="76" spans="2:53">
      <c r="B76" s="32"/>
      <c r="C76" s="146" t="s">
        <v>909</v>
      </c>
      <c r="D76" s="34">
        <f t="shared" si="61"/>
        <v>0</v>
      </c>
      <c r="E76" s="29" t="s">
        <v>130</v>
      </c>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5"/>
    </row>
    <row r="77" spans="2:53">
      <c r="B77" s="32"/>
      <c r="C77" s="146" t="s">
        <v>910</v>
      </c>
      <c r="D77" s="34">
        <f t="shared" si="61"/>
        <v>0</v>
      </c>
      <c r="E77" s="29" t="s">
        <v>130</v>
      </c>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5"/>
    </row>
    <row r="78" spans="2:53">
      <c r="B78" s="32"/>
      <c r="C78" s="146" t="s">
        <v>911</v>
      </c>
      <c r="D78" s="34">
        <f t="shared" si="61"/>
        <v>0</v>
      </c>
      <c r="E78" s="29" t="s">
        <v>130</v>
      </c>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5"/>
    </row>
    <row r="79" spans="2:53">
      <c r="B79" s="32"/>
      <c r="C79" s="146" t="s">
        <v>912</v>
      </c>
      <c r="D79" s="34">
        <f t="shared" si="61"/>
        <v>0</v>
      </c>
      <c r="E79" s="29" t="s">
        <v>130</v>
      </c>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5"/>
    </row>
    <row r="80" spans="2:53">
      <c r="B80" s="32"/>
      <c r="C80" s="146" t="s">
        <v>913</v>
      </c>
      <c r="D80" s="34">
        <f t="shared" si="61"/>
        <v>0</v>
      </c>
      <c r="E80" s="29" t="s">
        <v>130</v>
      </c>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5"/>
    </row>
    <row r="81" spans="2:53">
      <c r="B81" s="32"/>
      <c r="C81" s="144" t="s">
        <v>914</v>
      </c>
      <c r="D81" s="34">
        <f t="shared" si="61"/>
        <v>0</v>
      </c>
      <c r="E81" s="29" t="s">
        <v>130</v>
      </c>
      <c r="F81" s="34">
        <f>SUM(F82:F90)</f>
        <v>0</v>
      </c>
      <c r="G81" s="34">
        <f t="shared" ref="G81:BA81" si="67">SUM(G82:G90)</f>
        <v>0</v>
      </c>
      <c r="H81" s="34">
        <f t="shared" si="67"/>
        <v>0</v>
      </c>
      <c r="I81" s="34">
        <f t="shared" si="67"/>
        <v>0</v>
      </c>
      <c r="J81" s="34">
        <f t="shared" si="67"/>
        <v>0</v>
      </c>
      <c r="K81" s="34">
        <f t="shared" si="67"/>
        <v>0</v>
      </c>
      <c r="L81" s="34">
        <f t="shared" si="67"/>
        <v>0</v>
      </c>
      <c r="M81" s="34">
        <f t="shared" si="67"/>
        <v>0</v>
      </c>
      <c r="N81" s="34">
        <f t="shared" si="67"/>
        <v>0</v>
      </c>
      <c r="O81" s="34">
        <f t="shared" si="67"/>
        <v>0</v>
      </c>
      <c r="P81" s="34">
        <f t="shared" si="67"/>
        <v>0</v>
      </c>
      <c r="Q81" s="34">
        <f t="shared" si="67"/>
        <v>0</v>
      </c>
      <c r="R81" s="34">
        <f t="shared" si="67"/>
        <v>0</v>
      </c>
      <c r="S81" s="34">
        <f t="shared" si="67"/>
        <v>0</v>
      </c>
      <c r="T81" s="34">
        <f t="shared" si="67"/>
        <v>0</v>
      </c>
      <c r="U81" s="34">
        <f t="shared" si="67"/>
        <v>0</v>
      </c>
      <c r="V81" s="34">
        <f t="shared" si="67"/>
        <v>0</v>
      </c>
      <c r="W81" s="34">
        <f t="shared" si="67"/>
        <v>0</v>
      </c>
      <c r="X81" s="34">
        <f t="shared" si="67"/>
        <v>0</v>
      </c>
      <c r="Y81" s="34">
        <f t="shared" si="67"/>
        <v>0</v>
      </c>
      <c r="Z81" s="34">
        <f t="shared" si="67"/>
        <v>0</v>
      </c>
      <c r="AA81" s="34">
        <f t="shared" si="67"/>
        <v>0</v>
      </c>
      <c r="AB81" s="34">
        <f t="shared" si="67"/>
        <v>0</v>
      </c>
      <c r="AC81" s="34">
        <f t="shared" si="67"/>
        <v>0</v>
      </c>
      <c r="AD81" s="34">
        <f t="shared" si="67"/>
        <v>0</v>
      </c>
      <c r="AE81" s="34">
        <f t="shared" si="67"/>
        <v>0</v>
      </c>
      <c r="AF81" s="34">
        <f t="shared" si="67"/>
        <v>0</v>
      </c>
      <c r="AG81" s="34">
        <f t="shared" si="67"/>
        <v>0</v>
      </c>
      <c r="AH81" s="34">
        <f t="shared" si="67"/>
        <v>0</v>
      </c>
      <c r="AI81" s="34">
        <f t="shared" si="67"/>
        <v>0</v>
      </c>
      <c r="AJ81" s="34">
        <f t="shared" si="67"/>
        <v>0</v>
      </c>
      <c r="AK81" s="34">
        <f t="shared" si="67"/>
        <v>0</v>
      </c>
      <c r="AL81" s="34">
        <f t="shared" si="67"/>
        <v>0</v>
      </c>
      <c r="AM81" s="34">
        <f t="shared" si="67"/>
        <v>0</v>
      </c>
      <c r="AN81" s="34">
        <f t="shared" si="67"/>
        <v>0</v>
      </c>
      <c r="AO81" s="34">
        <f t="shared" si="67"/>
        <v>0</v>
      </c>
      <c r="AP81" s="34">
        <f t="shared" si="67"/>
        <v>0</v>
      </c>
      <c r="AQ81" s="34">
        <f t="shared" si="67"/>
        <v>0</v>
      </c>
      <c r="AR81" s="34">
        <f t="shared" si="67"/>
        <v>0</v>
      </c>
      <c r="AS81" s="34">
        <f t="shared" si="67"/>
        <v>0</v>
      </c>
      <c r="AT81" s="34">
        <f t="shared" si="67"/>
        <v>0</v>
      </c>
      <c r="AU81" s="34">
        <f t="shared" si="67"/>
        <v>0</v>
      </c>
      <c r="AV81" s="34">
        <f t="shared" si="67"/>
        <v>0</v>
      </c>
      <c r="AW81" s="34">
        <f t="shared" si="67"/>
        <v>0</v>
      </c>
      <c r="AX81" s="34">
        <f t="shared" si="67"/>
        <v>0</v>
      </c>
      <c r="AY81" s="34">
        <f t="shared" si="67"/>
        <v>0</v>
      </c>
      <c r="AZ81" s="34">
        <f t="shared" si="67"/>
        <v>0</v>
      </c>
      <c r="BA81" s="35">
        <f t="shared" si="67"/>
        <v>0</v>
      </c>
    </row>
    <row r="82" spans="2:53">
      <c r="B82" s="32"/>
      <c r="C82" s="33" t="s">
        <v>915</v>
      </c>
      <c r="D82" s="34">
        <f t="shared" si="61"/>
        <v>0</v>
      </c>
      <c r="E82" s="29" t="s">
        <v>130</v>
      </c>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5"/>
    </row>
    <row r="83" spans="2:53">
      <c r="B83" s="32"/>
      <c r="C83" s="33" t="s">
        <v>916</v>
      </c>
      <c r="D83" s="34">
        <f t="shared" si="61"/>
        <v>0</v>
      </c>
      <c r="E83" s="29" t="s">
        <v>130</v>
      </c>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5"/>
    </row>
    <row r="84" spans="2:53">
      <c r="B84" s="32"/>
      <c r="C84" s="33" t="s">
        <v>917</v>
      </c>
      <c r="D84" s="34">
        <f t="shared" si="61"/>
        <v>0</v>
      </c>
      <c r="E84" s="29" t="s">
        <v>130</v>
      </c>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5"/>
    </row>
    <row r="85" spans="2:53">
      <c r="B85" s="32"/>
      <c r="C85" s="33" t="s">
        <v>918</v>
      </c>
      <c r="D85" s="34">
        <f t="shared" si="61"/>
        <v>0</v>
      </c>
      <c r="E85" s="29" t="s">
        <v>130</v>
      </c>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5"/>
    </row>
    <row r="86" spans="2:53">
      <c r="B86" s="32"/>
      <c r="C86" s="33" t="s">
        <v>919</v>
      </c>
      <c r="D86" s="34">
        <f t="shared" si="61"/>
        <v>0</v>
      </c>
      <c r="E86" s="29" t="s">
        <v>130</v>
      </c>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5"/>
    </row>
    <row r="87" spans="2:53">
      <c r="B87" s="32"/>
      <c r="C87" s="33" t="s">
        <v>920</v>
      </c>
      <c r="D87" s="34">
        <f t="shared" si="61"/>
        <v>0</v>
      </c>
      <c r="E87" s="29" t="s">
        <v>130</v>
      </c>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5"/>
    </row>
    <row r="88" spans="2:53">
      <c r="B88" s="32"/>
      <c r="C88" s="33" t="s">
        <v>921</v>
      </c>
      <c r="D88" s="34">
        <f t="shared" si="61"/>
        <v>0</v>
      </c>
      <c r="E88" s="29" t="s">
        <v>130</v>
      </c>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5"/>
    </row>
    <row r="89" spans="2:53">
      <c r="B89" s="32"/>
      <c r="C89" s="33" t="s">
        <v>922</v>
      </c>
      <c r="D89" s="34">
        <f t="shared" si="61"/>
        <v>0</v>
      </c>
      <c r="E89" s="29" t="s">
        <v>130</v>
      </c>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5"/>
    </row>
    <row r="90" spans="2:53">
      <c r="B90" s="32"/>
      <c r="C90" s="33" t="s">
        <v>923</v>
      </c>
      <c r="D90" s="34">
        <f t="shared" si="61"/>
        <v>0</v>
      </c>
      <c r="E90" s="29" t="s">
        <v>130</v>
      </c>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5"/>
    </row>
    <row r="91" spans="2:53">
      <c r="B91" s="32"/>
      <c r="C91" s="144" t="s">
        <v>924</v>
      </c>
      <c r="D91" s="34">
        <f t="shared" si="61"/>
        <v>0</v>
      </c>
      <c r="E91" s="29" t="s">
        <v>130</v>
      </c>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5"/>
    </row>
    <row r="92" s="139" customFormat="1" spans="2:53">
      <c r="B92" s="27" t="s">
        <v>925</v>
      </c>
      <c r="C92" s="28" t="s">
        <v>926</v>
      </c>
      <c r="D92" s="34">
        <f ca="1" t="shared" si="61"/>
        <v>1636575.61593093</v>
      </c>
      <c r="E92" s="29" t="s">
        <v>130</v>
      </c>
      <c r="F92" s="34">
        <f ca="1" t="shared" ref="F92:BA92" si="68">F54+F73</f>
        <v>0</v>
      </c>
      <c r="G92" s="34">
        <f ca="1" t="shared" si="68"/>
        <v>0</v>
      </c>
      <c r="H92" s="34">
        <f ca="1" t="shared" si="68"/>
        <v>0</v>
      </c>
      <c r="I92" s="34">
        <f ca="1" t="shared" si="68"/>
        <v>0</v>
      </c>
      <c r="J92" s="34">
        <f ca="1" t="shared" si="68"/>
        <v>0</v>
      </c>
      <c r="K92" s="34">
        <f ca="1" t="shared" si="68"/>
        <v>0</v>
      </c>
      <c r="L92" s="34">
        <f ca="1" t="shared" si="68"/>
        <v>0</v>
      </c>
      <c r="M92" s="34">
        <f ca="1" t="shared" si="68"/>
        <v>19973.0445376314</v>
      </c>
      <c r="N92" s="34">
        <f ca="1" t="shared" si="68"/>
        <v>45790.123682554</v>
      </c>
      <c r="O92" s="34">
        <f ca="1" t="shared" si="68"/>
        <v>46252.623682554</v>
      </c>
      <c r="P92" s="34">
        <f ca="1" t="shared" si="68"/>
        <v>40546.0457222347</v>
      </c>
      <c r="Q92" s="34">
        <f ca="1" t="shared" si="68"/>
        <v>40546.0457222347</v>
      </c>
      <c r="R92" s="34">
        <f ca="1" t="shared" si="68"/>
        <v>40546.0457222347</v>
      </c>
      <c r="S92" s="34">
        <f ca="1" t="shared" si="68"/>
        <v>34574.9764360282</v>
      </c>
      <c r="T92" s="34">
        <f ca="1" t="shared" si="68"/>
        <v>33846.8047017004</v>
      </c>
      <c r="U92" s="34">
        <f ca="1" t="shared" si="68"/>
        <v>33846.8047017004</v>
      </c>
      <c r="V92" s="34">
        <f ca="1" t="shared" si="68"/>
        <v>33846.8047017004</v>
      </c>
      <c r="W92" s="34">
        <f ca="1" t="shared" si="68"/>
        <v>33846.8047017004</v>
      </c>
      <c r="X92" s="34">
        <f ca="1" t="shared" si="68"/>
        <v>33741.6043688271</v>
      </c>
      <c r="Y92" s="34">
        <f ca="1" t="shared" si="68"/>
        <v>32663.5848632657</v>
      </c>
      <c r="Z92" s="34">
        <f ca="1" t="shared" si="68"/>
        <v>32751.2110100547</v>
      </c>
      <c r="AA92" s="34">
        <f ca="1" t="shared" si="68"/>
        <v>32751.2110100547</v>
      </c>
      <c r="AB92" s="34">
        <f ca="1" t="shared" si="68"/>
        <v>32751.2110100547</v>
      </c>
      <c r="AC92" s="34">
        <f ca="1" t="shared" si="68"/>
        <v>32754.926606385</v>
      </c>
      <c r="AD92" s="34">
        <f ca="1" t="shared" si="68"/>
        <v>32751.2110100547</v>
      </c>
      <c r="AE92" s="34">
        <f ca="1" t="shared" si="68"/>
        <v>34070.6554544991</v>
      </c>
      <c r="AF92" s="34">
        <f ca="1" t="shared" si="68"/>
        <v>35933.4086501727</v>
      </c>
      <c r="AG92" s="34">
        <f ca="1" t="shared" si="68"/>
        <v>36096.0026767213</v>
      </c>
      <c r="AH92" s="34">
        <f ca="1" t="shared" si="68"/>
        <v>36349.0932730516</v>
      </c>
      <c r="AI92" s="34">
        <f ca="1" t="shared" si="68"/>
        <v>36494.0015299324</v>
      </c>
      <c r="AJ92" s="34">
        <f ca="1" t="shared" si="68"/>
        <v>36345.3776767213</v>
      </c>
      <c r="AK92" s="34">
        <f ca="1" t="shared" si="68"/>
        <v>36345.3776767213</v>
      </c>
      <c r="AL92" s="34">
        <f ca="1" t="shared" si="68"/>
        <v>36345.3776767213</v>
      </c>
      <c r="AM92" s="34">
        <f ca="1" t="shared" si="68"/>
        <v>36349.0932730516</v>
      </c>
      <c r="AN92" s="34">
        <f ca="1" t="shared" si="68"/>
        <v>36360.9086501727</v>
      </c>
      <c r="AO92" s="34">
        <f ca="1" t="shared" si="68"/>
        <v>36345.3776767213</v>
      </c>
      <c r="AP92" s="34">
        <f ca="1" t="shared" si="68"/>
        <v>43439.8655298757</v>
      </c>
      <c r="AQ92" s="34">
        <f ca="1" t="shared" si="68"/>
        <v>53372.1485242918</v>
      </c>
      <c r="AR92" s="34">
        <f ca="1" t="shared" si="68"/>
        <v>53375.864120622</v>
      </c>
      <c r="AS92" s="34">
        <f ca="1" t="shared" si="68"/>
        <v>53367.867178726</v>
      </c>
      <c r="AT92" s="34">
        <f ca="1" t="shared" si="68"/>
        <v>53219.243325515</v>
      </c>
      <c r="AU92" s="34">
        <f ca="1" t="shared" si="68"/>
        <v>53219.243325515</v>
      </c>
      <c r="AV92" s="34">
        <f ca="1" t="shared" si="68"/>
        <v>53193.2919980814</v>
      </c>
      <c r="AW92" s="34">
        <f ca="1" t="shared" si="68"/>
        <v>53181.4766209603</v>
      </c>
      <c r="AX92" s="34">
        <f ca="1" t="shared" si="68"/>
        <v>53177.7610246301</v>
      </c>
      <c r="AY92" s="34">
        <f ca="1" t="shared" si="68"/>
        <v>53066.7977218778</v>
      </c>
      <c r="AZ92" s="34">
        <f ca="1" t="shared" si="68"/>
        <v>53063.0821255475</v>
      </c>
      <c r="BA92" s="35">
        <f ca="1" t="shared" si="68"/>
        <v>30083.2160298293</v>
      </c>
    </row>
    <row r="93" spans="2:53">
      <c r="B93" s="32"/>
      <c r="C93" s="144" t="s">
        <v>927</v>
      </c>
      <c r="D93" s="34">
        <f ca="1" t="shared" si="61"/>
        <v>1636575.61593093</v>
      </c>
      <c r="E93" s="29" t="s">
        <v>130</v>
      </c>
      <c r="F93" s="34">
        <f ca="1">F92-F94</f>
        <v>0</v>
      </c>
      <c r="G93" s="34">
        <f ca="1" t="shared" ref="G93:BA93" si="69">G92-G94</f>
        <v>0</v>
      </c>
      <c r="H93" s="34">
        <f ca="1" t="shared" si="69"/>
        <v>0</v>
      </c>
      <c r="I93" s="34">
        <f ca="1" t="shared" si="69"/>
        <v>0</v>
      </c>
      <c r="J93" s="34">
        <f ca="1" t="shared" si="69"/>
        <v>0</v>
      </c>
      <c r="K93" s="34">
        <f ca="1" t="shared" si="69"/>
        <v>0</v>
      </c>
      <c r="L93" s="34">
        <f ca="1" t="shared" si="69"/>
        <v>0</v>
      </c>
      <c r="M93" s="34">
        <f ca="1" t="shared" si="69"/>
        <v>19973.0445376314</v>
      </c>
      <c r="N93" s="34">
        <f ca="1" t="shared" si="69"/>
        <v>45790.123682554</v>
      </c>
      <c r="O93" s="34">
        <f ca="1" t="shared" si="69"/>
        <v>46252.623682554</v>
      </c>
      <c r="P93" s="34">
        <f ca="1" t="shared" si="69"/>
        <v>40546.0457222347</v>
      </c>
      <c r="Q93" s="34">
        <f ca="1" t="shared" si="69"/>
        <v>40546.0457222347</v>
      </c>
      <c r="R93" s="34">
        <f ca="1" t="shared" si="69"/>
        <v>40546.0457222347</v>
      </c>
      <c r="S93" s="34">
        <f ca="1" t="shared" si="69"/>
        <v>34574.9764360282</v>
      </c>
      <c r="T93" s="34">
        <f ca="1" t="shared" si="69"/>
        <v>33846.8047017004</v>
      </c>
      <c r="U93" s="34">
        <f ca="1" t="shared" si="69"/>
        <v>33846.8047017004</v>
      </c>
      <c r="V93" s="34">
        <f ca="1" t="shared" si="69"/>
        <v>33846.8047017004</v>
      </c>
      <c r="W93" s="34">
        <f ca="1" t="shared" si="69"/>
        <v>33846.8047017004</v>
      </c>
      <c r="X93" s="34">
        <f ca="1" t="shared" si="69"/>
        <v>33741.6043688271</v>
      </c>
      <c r="Y93" s="34">
        <f ca="1" t="shared" si="69"/>
        <v>32663.5848632657</v>
      </c>
      <c r="Z93" s="34">
        <f ca="1" t="shared" si="69"/>
        <v>32751.2110100547</v>
      </c>
      <c r="AA93" s="34">
        <f ca="1" t="shared" si="69"/>
        <v>32751.2110100547</v>
      </c>
      <c r="AB93" s="34">
        <f ca="1" t="shared" si="69"/>
        <v>32751.2110100547</v>
      </c>
      <c r="AC93" s="34">
        <f ca="1" t="shared" si="69"/>
        <v>32754.926606385</v>
      </c>
      <c r="AD93" s="34">
        <f ca="1" t="shared" si="69"/>
        <v>32751.2110100547</v>
      </c>
      <c r="AE93" s="34">
        <f ca="1" t="shared" si="69"/>
        <v>34070.6554544991</v>
      </c>
      <c r="AF93" s="34">
        <f ca="1" t="shared" si="69"/>
        <v>35933.4086501727</v>
      </c>
      <c r="AG93" s="34">
        <f ca="1" t="shared" si="69"/>
        <v>36096.0026767213</v>
      </c>
      <c r="AH93" s="34">
        <f ca="1" t="shared" si="69"/>
        <v>36349.0932730516</v>
      </c>
      <c r="AI93" s="34">
        <f ca="1" t="shared" si="69"/>
        <v>36494.0015299324</v>
      </c>
      <c r="AJ93" s="34">
        <f ca="1" t="shared" si="69"/>
        <v>36345.3776767213</v>
      </c>
      <c r="AK93" s="34">
        <f ca="1" t="shared" si="69"/>
        <v>36345.3776767213</v>
      </c>
      <c r="AL93" s="34">
        <f ca="1" t="shared" si="69"/>
        <v>36345.3776767213</v>
      </c>
      <c r="AM93" s="34">
        <f ca="1" t="shared" si="69"/>
        <v>36349.0932730516</v>
      </c>
      <c r="AN93" s="34">
        <f ca="1" t="shared" si="69"/>
        <v>36360.9086501727</v>
      </c>
      <c r="AO93" s="34">
        <f ca="1" t="shared" si="69"/>
        <v>36345.3776767213</v>
      </c>
      <c r="AP93" s="34">
        <f ca="1" t="shared" si="69"/>
        <v>43439.8655298757</v>
      </c>
      <c r="AQ93" s="34">
        <f ca="1" t="shared" si="69"/>
        <v>53372.1485242918</v>
      </c>
      <c r="AR93" s="34">
        <f ca="1" t="shared" si="69"/>
        <v>53375.864120622</v>
      </c>
      <c r="AS93" s="34">
        <f ca="1" t="shared" si="69"/>
        <v>53367.867178726</v>
      </c>
      <c r="AT93" s="34">
        <f ca="1" t="shared" si="69"/>
        <v>53219.243325515</v>
      </c>
      <c r="AU93" s="34">
        <f ca="1" t="shared" si="69"/>
        <v>53219.243325515</v>
      </c>
      <c r="AV93" s="34">
        <f ca="1" t="shared" si="69"/>
        <v>53193.2919980814</v>
      </c>
      <c r="AW93" s="34">
        <f ca="1" t="shared" si="69"/>
        <v>53181.4766209603</v>
      </c>
      <c r="AX93" s="34">
        <f ca="1" t="shared" si="69"/>
        <v>53177.7610246301</v>
      </c>
      <c r="AY93" s="34">
        <f ca="1" t="shared" si="69"/>
        <v>53066.7977218778</v>
      </c>
      <c r="AZ93" s="34">
        <f ca="1" t="shared" si="69"/>
        <v>53063.0821255475</v>
      </c>
      <c r="BA93" s="35">
        <f ca="1" t="shared" si="69"/>
        <v>30083.2160298293</v>
      </c>
    </row>
    <row r="94" spans="2:53">
      <c r="B94" s="32"/>
      <c r="C94" s="144" t="s">
        <v>928</v>
      </c>
      <c r="D94" s="34">
        <f t="shared" si="61"/>
        <v>0</v>
      </c>
      <c r="E94" s="29" t="s">
        <v>130</v>
      </c>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5"/>
    </row>
    <row r="95" s="139" customFormat="1" spans="2:53">
      <c r="B95" s="27" t="s">
        <v>929</v>
      </c>
      <c r="C95" s="28" t="s">
        <v>930</v>
      </c>
      <c r="D95" s="34">
        <f t="shared" si="61"/>
        <v>0</v>
      </c>
      <c r="E95" s="29" t="s">
        <v>130</v>
      </c>
      <c r="F95" s="34">
        <f>F96+F97</f>
        <v>0</v>
      </c>
      <c r="G95" s="34">
        <f t="shared" ref="G95:BA95" si="70">G96+G97</f>
        <v>0</v>
      </c>
      <c r="H95" s="34">
        <f t="shared" si="70"/>
        <v>0</v>
      </c>
      <c r="I95" s="34">
        <f t="shared" si="70"/>
        <v>0</v>
      </c>
      <c r="J95" s="34">
        <f t="shared" si="70"/>
        <v>0</v>
      </c>
      <c r="K95" s="34">
        <f t="shared" si="70"/>
        <v>0</v>
      </c>
      <c r="L95" s="34">
        <f t="shared" si="70"/>
        <v>0</v>
      </c>
      <c r="M95" s="34">
        <f t="shared" si="70"/>
        <v>0</v>
      </c>
      <c r="N95" s="34">
        <f t="shared" si="70"/>
        <v>0</v>
      </c>
      <c r="O95" s="34">
        <f t="shared" si="70"/>
        <v>0</v>
      </c>
      <c r="P95" s="34">
        <f t="shared" si="70"/>
        <v>0</v>
      </c>
      <c r="Q95" s="34">
        <f t="shared" si="70"/>
        <v>0</v>
      </c>
      <c r="R95" s="34">
        <f t="shared" si="70"/>
        <v>0</v>
      </c>
      <c r="S95" s="34">
        <f t="shared" si="70"/>
        <v>0</v>
      </c>
      <c r="T95" s="34">
        <f t="shared" si="70"/>
        <v>0</v>
      </c>
      <c r="U95" s="34">
        <f t="shared" si="70"/>
        <v>0</v>
      </c>
      <c r="V95" s="34">
        <f t="shared" si="70"/>
        <v>0</v>
      </c>
      <c r="W95" s="34">
        <f t="shared" si="70"/>
        <v>0</v>
      </c>
      <c r="X95" s="34">
        <f t="shared" si="70"/>
        <v>0</v>
      </c>
      <c r="Y95" s="34">
        <f t="shared" si="70"/>
        <v>0</v>
      </c>
      <c r="Z95" s="34">
        <f t="shared" si="70"/>
        <v>0</v>
      </c>
      <c r="AA95" s="34">
        <f t="shared" si="70"/>
        <v>0</v>
      </c>
      <c r="AB95" s="34">
        <f t="shared" si="70"/>
        <v>0</v>
      </c>
      <c r="AC95" s="34">
        <f t="shared" si="70"/>
        <v>0</v>
      </c>
      <c r="AD95" s="34">
        <f t="shared" si="70"/>
        <v>0</v>
      </c>
      <c r="AE95" s="34">
        <f t="shared" si="70"/>
        <v>0</v>
      </c>
      <c r="AF95" s="34">
        <f t="shared" si="70"/>
        <v>0</v>
      </c>
      <c r="AG95" s="34">
        <f t="shared" si="70"/>
        <v>0</v>
      </c>
      <c r="AH95" s="34">
        <f t="shared" si="70"/>
        <v>0</v>
      </c>
      <c r="AI95" s="34">
        <f t="shared" si="70"/>
        <v>0</v>
      </c>
      <c r="AJ95" s="34">
        <f t="shared" si="70"/>
        <v>0</v>
      </c>
      <c r="AK95" s="34">
        <f t="shared" si="70"/>
        <v>0</v>
      </c>
      <c r="AL95" s="34">
        <f t="shared" si="70"/>
        <v>0</v>
      </c>
      <c r="AM95" s="34">
        <f t="shared" si="70"/>
        <v>0</v>
      </c>
      <c r="AN95" s="34">
        <f t="shared" si="70"/>
        <v>0</v>
      </c>
      <c r="AO95" s="34">
        <f t="shared" si="70"/>
        <v>0</v>
      </c>
      <c r="AP95" s="34">
        <f t="shared" si="70"/>
        <v>0</v>
      </c>
      <c r="AQ95" s="34">
        <f t="shared" si="70"/>
        <v>0</v>
      </c>
      <c r="AR95" s="34">
        <f t="shared" si="70"/>
        <v>0</v>
      </c>
      <c r="AS95" s="34">
        <f t="shared" si="70"/>
        <v>0</v>
      </c>
      <c r="AT95" s="34">
        <f t="shared" si="70"/>
        <v>0</v>
      </c>
      <c r="AU95" s="34">
        <f t="shared" si="70"/>
        <v>0</v>
      </c>
      <c r="AV95" s="34">
        <f t="shared" si="70"/>
        <v>0</v>
      </c>
      <c r="AW95" s="34">
        <f t="shared" si="70"/>
        <v>0</v>
      </c>
      <c r="AX95" s="34">
        <f t="shared" si="70"/>
        <v>0</v>
      </c>
      <c r="AY95" s="34">
        <f t="shared" si="70"/>
        <v>0</v>
      </c>
      <c r="AZ95" s="34">
        <f t="shared" si="70"/>
        <v>0</v>
      </c>
      <c r="BA95" s="35">
        <f t="shared" si="70"/>
        <v>0</v>
      </c>
    </row>
    <row r="96" spans="2:53">
      <c r="B96" s="32"/>
      <c r="C96" s="144" t="s">
        <v>931</v>
      </c>
      <c r="D96" s="34">
        <f t="shared" si="61"/>
        <v>0</v>
      </c>
      <c r="E96" s="29" t="s">
        <v>130</v>
      </c>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5"/>
    </row>
    <row r="97" ht="17.25" spans="2:53">
      <c r="B97" s="162"/>
      <c r="C97" s="163" t="s">
        <v>932</v>
      </c>
      <c r="D97" s="164">
        <f t="shared" si="61"/>
        <v>0</v>
      </c>
      <c r="E97" s="165" t="s">
        <v>130</v>
      </c>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64"/>
      <c r="AD97" s="164"/>
      <c r="AE97" s="164"/>
      <c r="AF97" s="164"/>
      <c r="AG97" s="164"/>
      <c r="AH97" s="164"/>
      <c r="AI97" s="164"/>
      <c r="AJ97" s="164"/>
      <c r="AK97" s="164"/>
      <c r="AL97" s="164"/>
      <c r="AM97" s="164"/>
      <c r="AN97" s="164"/>
      <c r="AO97" s="164"/>
      <c r="AP97" s="164"/>
      <c r="AQ97" s="164"/>
      <c r="AR97" s="164"/>
      <c r="AS97" s="164"/>
      <c r="AT97" s="164"/>
      <c r="AU97" s="164"/>
      <c r="AV97" s="164"/>
      <c r="AW97" s="164"/>
      <c r="AX97" s="164"/>
      <c r="AY97" s="164"/>
      <c r="AZ97" s="164"/>
      <c r="BA97" s="166"/>
    </row>
  </sheetData>
  <mergeCells count="4">
    <mergeCell ref="B3:B4"/>
    <mergeCell ref="C3:C4"/>
    <mergeCell ref="D3:D4"/>
    <mergeCell ref="E3:E4"/>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B1:BE37"/>
  <sheetViews>
    <sheetView showGridLines="0" zoomScale="70" zoomScaleNormal="70" workbookViewId="0">
      <pane xSplit="5" ySplit="4" topLeftCell="G5" activePane="bottomRight" state="frozen"/>
      <selection/>
      <selection pane="topRight"/>
      <selection pane="bottomLeft"/>
      <selection pane="bottomRight" activeCell="Q19" sqref="Q19"/>
    </sheetView>
  </sheetViews>
  <sheetFormatPr defaultColWidth="8.78181818181818" defaultRowHeight="16.5"/>
  <cols>
    <col min="1" max="1" width="2.33636363636364" style="106" customWidth="1"/>
    <col min="2" max="2" width="8.78181818181818" style="106"/>
    <col min="3" max="3" width="41.3363636363636" style="106" customWidth="1"/>
    <col min="4" max="4" width="15.3363636363636" style="106" customWidth="1"/>
    <col min="5" max="5" width="6.66363636363636" style="106" customWidth="1"/>
    <col min="6" max="6" width="13.5545454545455" style="106" customWidth="1"/>
    <col min="7" max="7" width="14.6636363636364" style="106" customWidth="1"/>
    <col min="8" max="12" width="16.3363636363636" style="106" customWidth="1"/>
    <col min="13" max="13" width="16.5545454545455" style="106" customWidth="1"/>
    <col min="14" max="29" width="16.3363636363636" style="106" customWidth="1"/>
    <col min="30" max="45" width="15.3363636363636" style="106" customWidth="1"/>
    <col min="46" max="57" width="16.8909090909091" style="106" customWidth="1"/>
    <col min="58" max="16384" width="8.78181818181818" style="106"/>
  </cols>
  <sheetData>
    <row r="1" ht="4.5" customHeight="1"/>
    <row r="2" ht="21.6" customHeight="1" spans="2:57">
      <c r="B2" s="107" t="s">
        <v>983</v>
      </c>
    </row>
    <row r="3" spans="2:57">
      <c r="B3" s="108" t="s">
        <v>2</v>
      </c>
      <c r="C3" s="10" t="s">
        <v>430</v>
      </c>
      <c r="D3" s="10" t="s">
        <v>491</v>
      </c>
      <c r="E3" s="10" t="s">
        <v>9</v>
      </c>
      <c r="F3" s="109">
        <f>'表1-资金筹措及还本付息表'!F3</f>
        <v>45016</v>
      </c>
      <c r="G3" s="110">
        <f>'表1-资金筹措及还本付息表'!G3</f>
        <v>45291</v>
      </c>
      <c r="H3" s="110">
        <f>'表1-资金筹措及还本付息表'!H3</f>
        <v>45657</v>
      </c>
      <c r="I3" s="110">
        <f>'表1-资金筹措及还本付息表'!I3</f>
        <v>46022</v>
      </c>
      <c r="J3" s="110">
        <f>'表1-资金筹措及还本付息表'!J3</f>
        <v>46387</v>
      </c>
      <c r="K3" s="110">
        <f>'表1-资金筹措及还本付息表'!K3</f>
        <v>46752</v>
      </c>
      <c r="L3" s="110">
        <f>'表1-资金筹措及还本付息表'!L3</f>
        <v>47118</v>
      </c>
      <c r="M3" s="111">
        <f>'表1-资金筹措及还本付息表'!M3</f>
        <v>47361</v>
      </c>
      <c r="N3" s="112">
        <f>'表1-资金筹措及还本付息表'!N3</f>
        <v>47483</v>
      </c>
      <c r="O3" s="111">
        <f>'表1-资金筹措及还本付息表'!O3</f>
        <v>47695</v>
      </c>
      <c r="P3" s="111">
        <f>'表1-资金筹措及还本付息表'!P3</f>
        <v>47726</v>
      </c>
      <c r="Q3" s="112">
        <f>'表1-资金筹措及还本付息表'!Q3</f>
        <v>47848</v>
      </c>
      <c r="R3" s="113">
        <f>'表1-资金筹措及还本付息表'!R3</f>
        <v>48213</v>
      </c>
      <c r="S3" s="113">
        <f>'表1-资金筹措及还本付息表'!S3</f>
        <v>48579</v>
      </c>
      <c r="T3" s="113">
        <f>'表1-资金筹措及还本付息表'!T3</f>
        <v>48944</v>
      </c>
      <c r="U3" s="113">
        <f>'表1-资金筹措及还本付息表'!U3</f>
        <v>49309</v>
      </c>
      <c r="V3" s="113">
        <f>'表1-资金筹措及还本付息表'!V3</f>
        <v>49674</v>
      </c>
      <c r="W3" s="113">
        <f>'表1-资金筹措及还本付息表'!W3</f>
        <v>50040</v>
      </c>
      <c r="X3" s="113">
        <f>'表1-资金筹措及还本付息表'!X3</f>
        <v>50405</v>
      </c>
      <c r="Y3" s="113">
        <f>'表1-资金筹措及还本付息表'!Y3</f>
        <v>50770</v>
      </c>
      <c r="Z3" s="113">
        <f>'表1-资金筹措及还本付息表'!Z3</f>
        <v>51135</v>
      </c>
      <c r="AA3" s="113">
        <f>'表1-资金筹措及还本付息表'!AA3</f>
        <v>51501</v>
      </c>
      <c r="AB3" s="113">
        <f>'表1-资金筹措及还本付息表'!AB3</f>
        <v>51866</v>
      </c>
      <c r="AC3" s="113">
        <f>'表1-资金筹措及还本付息表'!AC3</f>
        <v>52231</v>
      </c>
      <c r="AD3" s="113">
        <f>'表1-资金筹措及还本付息表'!AD3</f>
        <v>52596</v>
      </c>
      <c r="AE3" s="113">
        <f>'表1-资金筹措及还本付息表'!AE3</f>
        <v>52962</v>
      </c>
      <c r="AF3" s="113">
        <f>'表1-资金筹措及还本付息表'!AF3</f>
        <v>53327</v>
      </c>
      <c r="AG3" s="113">
        <f>'表1-资金筹措及还本付息表'!AG3</f>
        <v>53692</v>
      </c>
      <c r="AH3" s="113">
        <f>'表1-资金筹措及还本付息表'!AH3</f>
        <v>54057</v>
      </c>
      <c r="AI3" s="113">
        <f>'表1-资金筹措及还本付息表'!AI3</f>
        <v>54423</v>
      </c>
      <c r="AJ3" s="113">
        <f>'表1-资金筹措及还本付息表'!AJ3</f>
        <v>54788</v>
      </c>
      <c r="AK3" s="113">
        <f>'表1-资金筹措及还本付息表'!AK3</f>
        <v>55153</v>
      </c>
      <c r="AL3" s="113">
        <f>'表1-资金筹措及还本付息表'!AL3</f>
        <v>55518</v>
      </c>
      <c r="AM3" s="113">
        <f>'表1-资金筹措及还本付息表'!AM3</f>
        <v>55884</v>
      </c>
      <c r="AN3" s="113">
        <f>'表1-资金筹措及还本付息表'!AN3</f>
        <v>56249</v>
      </c>
      <c r="AO3" s="113">
        <f>'表1-资金筹措及还本付息表'!AO3</f>
        <v>56614</v>
      </c>
      <c r="AP3" s="113">
        <f>'表1-资金筹措及还本付息表'!AP3</f>
        <v>56979</v>
      </c>
      <c r="AQ3" s="113">
        <f>'表1-资金筹措及还本付息表'!AQ3</f>
        <v>57345</v>
      </c>
      <c r="AR3" s="113">
        <f>'表1-资金筹措及还本付息表'!AR3</f>
        <v>57710</v>
      </c>
      <c r="AS3" s="113">
        <f>'表1-资金筹措及还本付息表'!AS3</f>
        <v>58075</v>
      </c>
      <c r="AT3" s="113">
        <f>'表1-资金筹措及还本付息表'!AT3</f>
        <v>58440</v>
      </c>
      <c r="AU3" s="113">
        <f>'表1-资金筹措及还本付息表'!AU3</f>
        <v>58806</v>
      </c>
      <c r="AV3" s="113">
        <f>'表1-资金筹措及还本付息表'!AV3</f>
        <v>59171</v>
      </c>
      <c r="AW3" s="113">
        <f>'表1-资金筹措及还本付息表'!AW3</f>
        <v>59536</v>
      </c>
      <c r="AX3" s="113">
        <f>'表1-资金筹措及还本付息表'!AX3</f>
        <v>59901</v>
      </c>
      <c r="AY3" s="113">
        <f>'表1-资金筹措及还本付息表'!AY3</f>
        <v>60267</v>
      </c>
      <c r="AZ3" s="113">
        <f>'表1-资金筹措及还本付息表'!AZ3</f>
        <v>60632</v>
      </c>
      <c r="BA3" s="113">
        <f>'表1-资金筹措及还本付息表'!BA3</f>
        <v>60997</v>
      </c>
      <c r="BB3" s="113">
        <f>'表1-资金筹措及还本付息表'!BB3</f>
        <v>61362</v>
      </c>
      <c r="BC3" s="113">
        <f>'表1-资金筹措及还本付息表'!BC3</f>
        <v>61728</v>
      </c>
      <c r="BD3" s="113">
        <f>'表1-资金筹措及还本付息表'!BD3</f>
        <v>62093</v>
      </c>
      <c r="BE3" s="114">
        <f>'表1-资金筹措及还本付息表'!BE3</f>
        <v>62458</v>
      </c>
    </row>
    <row r="4" spans="2:57">
      <c r="B4" s="115"/>
      <c r="C4" s="17"/>
      <c r="D4" s="17"/>
      <c r="E4" s="17"/>
      <c r="F4" s="18"/>
      <c r="G4" s="18">
        <v>1</v>
      </c>
      <c r="H4" s="18">
        <v>2</v>
      </c>
      <c r="I4" s="18">
        <v>3</v>
      </c>
      <c r="J4" s="18">
        <v>4</v>
      </c>
      <c r="K4" s="18">
        <v>5</v>
      </c>
      <c r="L4" s="18">
        <v>6</v>
      </c>
      <c r="M4" s="19"/>
      <c r="N4" s="19">
        <v>7</v>
      </c>
      <c r="O4" s="19"/>
      <c r="P4" s="19"/>
      <c r="Q4" s="19">
        <v>8</v>
      </c>
      <c r="R4" s="20">
        <v>9</v>
      </c>
      <c r="S4" s="20">
        <v>10</v>
      </c>
      <c r="T4" s="20">
        <v>11</v>
      </c>
      <c r="U4" s="20">
        <v>12</v>
      </c>
      <c r="V4" s="20">
        <v>13</v>
      </c>
      <c r="W4" s="20">
        <v>14</v>
      </c>
      <c r="X4" s="20">
        <v>15</v>
      </c>
      <c r="Y4" s="20">
        <v>16</v>
      </c>
      <c r="Z4" s="20">
        <v>17</v>
      </c>
      <c r="AA4" s="20">
        <v>18</v>
      </c>
      <c r="AB4" s="20">
        <v>19</v>
      </c>
      <c r="AC4" s="20">
        <v>20</v>
      </c>
      <c r="AD4" s="20">
        <v>21</v>
      </c>
      <c r="AE4" s="20">
        <v>22</v>
      </c>
      <c r="AF4" s="20">
        <v>23</v>
      </c>
      <c r="AG4" s="20">
        <v>24</v>
      </c>
      <c r="AH4" s="20">
        <v>25</v>
      </c>
      <c r="AI4" s="20">
        <v>26</v>
      </c>
      <c r="AJ4" s="20">
        <v>27</v>
      </c>
      <c r="AK4" s="20">
        <v>28</v>
      </c>
      <c r="AL4" s="20">
        <v>29</v>
      </c>
      <c r="AM4" s="20">
        <v>30</v>
      </c>
      <c r="AN4" s="20">
        <v>31</v>
      </c>
      <c r="AO4" s="20">
        <v>32</v>
      </c>
      <c r="AP4" s="20">
        <v>33</v>
      </c>
      <c r="AQ4" s="20">
        <v>34</v>
      </c>
      <c r="AR4" s="20">
        <v>35</v>
      </c>
      <c r="AS4" s="20">
        <v>36</v>
      </c>
      <c r="AT4" s="20">
        <v>37</v>
      </c>
      <c r="AU4" s="20">
        <v>38</v>
      </c>
      <c r="AV4" s="20">
        <v>39</v>
      </c>
      <c r="AW4" s="20">
        <v>40</v>
      </c>
      <c r="AX4" s="20">
        <v>41</v>
      </c>
      <c r="AY4" s="20">
        <v>42</v>
      </c>
      <c r="AZ4" s="20">
        <v>43</v>
      </c>
      <c r="BA4" s="20">
        <v>44</v>
      </c>
      <c r="BB4" s="20">
        <v>45</v>
      </c>
      <c r="BC4" s="20">
        <v>46</v>
      </c>
      <c r="BD4" s="20">
        <v>47</v>
      </c>
      <c r="BE4" s="21">
        <v>48</v>
      </c>
    </row>
    <row r="5" s="105" customFormat="1" spans="2:57">
      <c r="B5" s="116">
        <v>1</v>
      </c>
      <c r="C5" s="117" t="s">
        <v>934</v>
      </c>
      <c r="D5" s="118">
        <f ca="1" t="shared" ref="D5:D26" si="0">SUM(F5:BE5)</f>
        <v>6249171.05894185</v>
      </c>
      <c r="E5" s="50" t="s">
        <v>130</v>
      </c>
      <c r="F5" s="119">
        <f t="shared" ref="F5:P5" si="1">F6+F9+F12+F14+F15</f>
        <v>0</v>
      </c>
      <c r="G5" s="119">
        <f ca="1" t="shared" si="1"/>
        <v>0</v>
      </c>
      <c r="H5" s="119">
        <f ca="1" t="shared" si="1"/>
        <v>0</v>
      </c>
      <c r="I5" s="119">
        <f ca="1" t="shared" si="1"/>
        <v>0</v>
      </c>
      <c r="J5" s="119">
        <f ca="1" t="shared" si="1"/>
        <v>0</v>
      </c>
      <c r="K5" s="119">
        <f ca="1" t="shared" si="1"/>
        <v>0</v>
      </c>
      <c r="L5" s="119">
        <f ca="1" t="shared" si="1"/>
        <v>0</v>
      </c>
      <c r="M5" s="119">
        <f t="shared" si="1"/>
        <v>0</v>
      </c>
      <c r="N5" s="119">
        <f ca="1" t="shared" si="1"/>
        <v>0</v>
      </c>
      <c r="O5" s="119">
        <f t="shared" si="1"/>
        <v>0</v>
      </c>
      <c r="P5" s="119">
        <f t="shared" si="1"/>
        <v>0</v>
      </c>
      <c r="Q5" s="119">
        <f ca="1" t="shared" ref="Q5:BE5" si="2">Q6+Q9+Q12+Q14+Q15</f>
        <v>51511.3666666666</v>
      </c>
      <c r="R5" s="119">
        <f ca="1" t="shared" si="2"/>
        <v>137123.871666667</v>
      </c>
      <c r="S5" s="119">
        <f ca="1" t="shared" si="2"/>
        <v>155059.1</v>
      </c>
      <c r="T5" s="119">
        <f ca="1" t="shared" si="2"/>
        <v>155059.1</v>
      </c>
      <c r="U5" s="119">
        <f ca="1" t="shared" si="2"/>
        <v>155059.1</v>
      </c>
      <c r="V5" s="119">
        <f ca="1" t="shared" si="2"/>
        <v>155059.1</v>
      </c>
      <c r="W5" s="119">
        <f ca="1" t="shared" si="2"/>
        <v>155059.1</v>
      </c>
      <c r="X5" s="119">
        <f ca="1" t="shared" si="2"/>
        <v>155059.1</v>
      </c>
      <c r="Y5" s="119">
        <f ca="1" t="shared" si="2"/>
        <v>155059.1</v>
      </c>
      <c r="Z5" s="119">
        <f ca="1" t="shared" si="2"/>
        <v>155059.1</v>
      </c>
      <c r="AA5" s="119">
        <f ca="1" t="shared" si="2"/>
        <v>155059.1</v>
      </c>
      <c r="AB5" s="119">
        <f ca="1" t="shared" si="2"/>
        <v>155059.1</v>
      </c>
      <c r="AC5" s="119">
        <f ca="1" t="shared" si="2"/>
        <v>155059.1</v>
      </c>
      <c r="AD5" s="119">
        <f ca="1" t="shared" si="2"/>
        <v>155059.1</v>
      </c>
      <c r="AE5" s="119">
        <f ca="1" t="shared" si="2"/>
        <v>155059.1</v>
      </c>
      <c r="AF5" s="119">
        <f ca="1" t="shared" si="2"/>
        <v>155059.1</v>
      </c>
      <c r="AG5" s="119">
        <f ca="1" t="shared" si="2"/>
        <v>155059.1</v>
      </c>
      <c r="AH5" s="119">
        <f ca="1" t="shared" si="2"/>
        <v>155059.1</v>
      </c>
      <c r="AI5" s="119">
        <f ca="1" t="shared" si="2"/>
        <v>155059.1</v>
      </c>
      <c r="AJ5" s="119">
        <f ca="1" t="shared" si="2"/>
        <v>155059.1</v>
      </c>
      <c r="AK5" s="119">
        <f ca="1" t="shared" si="2"/>
        <v>155059.1</v>
      </c>
      <c r="AL5" s="119">
        <f ca="1" t="shared" si="2"/>
        <v>155059.1</v>
      </c>
      <c r="AM5" s="119">
        <f ca="1" t="shared" si="2"/>
        <v>155059.1</v>
      </c>
      <c r="AN5" s="119">
        <f ca="1" t="shared" si="2"/>
        <v>155059.1</v>
      </c>
      <c r="AO5" s="119">
        <f ca="1" t="shared" si="2"/>
        <v>155059.1</v>
      </c>
      <c r="AP5" s="119">
        <f ca="1" t="shared" si="2"/>
        <v>155059.1</v>
      </c>
      <c r="AQ5" s="119">
        <f ca="1" t="shared" si="2"/>
        <v>155059.1</v>
      </c>
      <c r="AR5" s="119">
        <f ca="1" t="shared" si="2"/>
        <v>155059.1</v>
      </c>
      <c r="AS5" s="119">
        <f ca="1" t="shared" si="2"/>
        <v>155059.1</v>
      </c>
      <c r="AT5" s="119">
        <f ca="1" t="shared" si="2"/>
        <v>155059.1</v>
      </c>
      <c r="AU5" s="119">
        <f ca="1" t="shared" si="2"/>
        <v>155059.1</v>
      </c>
      <c r="AV5" s="119">
        <f ca="1" t="shared" si="2"/>
        <v>155059.1</v>
      </c>
      <c r="AW5" s="119">
        <f ca="1" t="shared" si="2"/>
        <v>155059.1</v>
      </c>
      <c r="AX5" s="119">
        <f ca="1" t="shared" si="2"/>
        <v>155059.1</v>
      </c>
      <c r="AY5" s="119">
        <f ca="1" t="shared" si="2"/>
        <v>155059.1</v>
      </c>
      <c r="AZ5" s="119">
        <f ca="1" t="shared" si="2"/>
        <v>155059.1</v>
      </c>
      <c r="BA5" s="119">
        <f ca="1" t="shared" si="2"/>
        <v>155059.1</v>
      </c>
      <c r="BB5" s="119">
        <f ca="1" t="shared" si="2"/>
        <v>155059.1</v>
      </c>
      <c r="BC5" s="119">
        <f ca="1" t="shared" si="2"/>
        <v>155059.1</v>
      </c>
      <c r="BD5" s="119">
        <f ca="1" t="shared" si="2"/>
        <v>155059.1</v>
      </c>
      <c r="BE5" s="120">
        <f ca="1" t="shared" si="2"/>
        <v>168290.020608523</v>
      </c>
    </row>
    <row r="6" s="105" customFormat="1" spans="2:57">
      <c r="B6" s="121">
        <v>1.1</v>
      </c>
      <c r="C6" s="122" t="s">
        <v>345</v>
      </c>
      <c r="D6" s="123">
        <f t="shared" si="0"/>
        <v>6146363.99999999</v>
      </c>
      <c r="E6" s="50" t="s">
        <v>130</v>
      </c>
      <c r="F6" s="124">
        <f t="shared" ref="F6:P6" si="3">SUM(F7:F8)</f>
        <v>0</v>
      </c>
      <c r="G6" s="124">
        <f t="shared" si="3"/>
        <v>0</v>
      </c>
      <c r="H6" s="124">
        <f t="shared" si="3"/>
        <v>0</v>
      </c>
      <c r="I6" s="124">
        <f t="shared" si="3"/>
        <v>0</v>
      </c>
      <c r="J6" s="124">
        <f t="shared" si="3"/>
        <v>0</v>
      </c>
      <c r="K6" s="124">
        <f t="shared" si="3"/>
        <v>0</v>
      </c>
      <c r="L6" s="124">
        <f t="shared" si="3"/>
        <v>0</v>
      </c>
      <c r="M6" s="124">
        <f t="shared" si="3"/>
        <v>0</v>
      </c>
      <c r="N6" s="124">
        <f t="shared" si="3"/>
        <v>0</v>
      </c>
      <c r="O6" s="124">
        <f t="shared" si="3"/>
        <v>0</v>
      </c>
      <c r="P6" s="124">
        <f t="shared" si="3"/>
        <v>0</v>
      </c>
      <c r="Q6" s="124">
        <f t="shared" ref="Q6:BE6" si="4">SUM(Q7:Q8)</f>
        <v>51219.6999999999</v>
      </c>
      <c r="R6" s="124">
        <f t="shared" si="4"/>
        <v>135732.205</v>
      </c>
      <c r="S6" s="124">
        <f t="shared" si="4"/>
        <v>153659.1</v>
      </c>
      <c r="T6" s="124">
        <f t="shared" si="4"/>
        <v>153659.1</v>
      </c>
      <c r="U6" s="124">
        <f t="shared" si="4"/>
        <v>153659.1</v>
      </c>
      <c r="V6" s="124">
        <f t="shared" si="4"/>
        <v>153659.1</v>
      </c>
      <c r="W6" s="124">
        <f t="shared" si="4"/>
        <v>153659.1</v>
      </c>
      <c r="X6" s="124">
        <f t="shared" si="4"/>
        <v>153659.1</v>
      </c>
      <c r="Y6" s="124">
        <f t="shared" si="4"/>
        <v>153659.1</v>
      </c>
      <c r="Z6" s="124">
        <f t="shared" si="4"/>
        <v>153659.1</v>
      </c>
      <c r="AA6" s="124">
        <f t="shared" si="4"/>
        <v>153659.1</v>
      </c>
      <c r="AB6" s="124">
        <f t="shared" si="4"/>
        <v>153659.1</v>
      </c>
      <c r="AC6" s="124">
        <f t="shared" si="4"/>
        <v>153659.1</v>
      </c>
      <c r="AD6" s="124">
        <f t="shared" si="4"/>
        <v>153659.1</v>
      </c>
      <c r="AE6" s="124">
        <f t="shared" si="4"/>
        <v>153659.1</v>
      </c>
      <c r="AF6" s="124">
        <f t="shared" si="4"/>
        <v>153659.1</v>
      </c>
      <c r="AG6" s="124">
        <f t="shared" si="4"/>
        <v>153659.1</v>
      </c>
      <c r="AH6" s="124">
        <f t="shared" si="4"/>
        <v>153659.1</v>
      </c>
      <c r="AI6" s="124">
        <f t="shared" si="4"/>
        <v>153659.1</v>
      </c>
      <c r="AJ6" s="124">
        <f t="shared" si="4"/>
        <v>153659.1</v>
      </c>
      <c r="AK6" s="124">
        <f t="shared" si="4"/>
        <v>153659.1</v>
      </c>
      <c r="AL6" s="124">
        <f t="shared" si="4"/>
        <v>153659.1</v>
      </c>
      <c r="AM6" s="124">
        <f t="shared" si="4"/>
        <v>153659.1</v>
      </c>
      <c r="AN6" s="124">
        <f t="shared" si="4"/>
        <v>153659.1</v>
      </c>
      <c r="AO6" s="124">
        <f t="shared" si="4"/>
        <v>153659.1</v>
      </c>
      <c r="AP6" s="124">
        <f t="shared" si="4"/>
        <v>153659.1</v>
      </c>
      <c r="AQ6" s="124">
        <f t="shared" si="4"/>
        <v>153659.1</v>
      </c>
      <c r="AR6" s="124">
        <f t="shared" si="4"/>
        <v>153659.1</v>
      </c>
      <c r="AS6" s="124">
        <f t="shared" si="4"/>
        <v>153659.1</v>
      </c>
      <c r="AT6" s="124">
        <f t="shared" si="4"/>
        <v>153659.1</v>
      </c>
      <c r="AU6" s="124">
        <f t="shared" si="4"/>
        <v>153659.1</v>
      </c>
      <c r="AV6" s="124">
        <f t="shared" si="4"/>
        <v>153659.1</v>
      </c>
      <c r="AW6" s="124">
        <f t="shared" si="4"/>
        <v>153659.1</v>
      </c>
      <c r="AX6" s="124">
        <f t="shared" si="4"/>
        <v>153659.1</v>
      </c>
      <c r="AY6" s="124">
        <f t="shared" si="4"/>
        <v>153659.1</v>
      </c>
      <c r="AZ6" s="124">
        <f t="shared" si="4"/>
        <v>153659.1</v>
      </c>
      <c r="BA6" s="124">
        <f t="shared" si="4"/>
        <v>153659.1</v>
      </c>
      <c r="BB6" s="124">
        <f t="shared" si="4"/>
        <v>153659.1</v>
      </c>
      <c r="BC6" s="124">
        <f t="shared" si="4"/>
        <v>153659.1</v>
      </c>
      <c r="BD6" s="124">
        <f t="shared" si="4"/>
        <v>153659.1</v>
      </c>
      <c r="BE6" s="125">
        <f t="shared" si="4"/>
        <v>120366.295</v>
      </c>
    </row>
    <row r="7" s="105" customFormat="1" spans="2:57">
      <c r="B7" s="121"/>
      <c r="C7" s="126" t="s">
        <v>346</v>
      </c>
      <c r="D7" s="123">
        <f t="shared" si="0"/>
        <v>3900400</v>
      </c>
      <c r="E7" s="50" t="s">
        <v>130</v>
      </c>
      <c r="F7" s="124">
        <v>0</v>
      </c>
      <c r="G7" s="124">
        <f>IF(G4-参数输入表!$I$25&lt;0,0)</f>
        <v>0</v>
      </c>
      <c r="H7" s="124">
        <f>IF(H4-参数输入表!$I$25&lt;0,0)</f>
        <v>0</v>
      </c>
      <c r="I7" s="124">
        <f>IF(I4-参数输入表!$I$25&lt;0,0)</f>
        <v>0</v>
      </c>
      <c r="J7" s="124">
        <f>IF(J4-参数输入表!$I$25&lt;0,0)</f>
        <v>0</v>
      </c>
      <c r="K7" s="124">
        <f>IF(K4-参数输入表!$I$25&lt;0,0)</f>
        <v>0</v>
      </c>
      <c r="L7" s="124">
        <f>IF(L4-参数输入表!$I$25&lt;0,0)</f>
        <v>0</v>
      </c>
      <c r="M7" s="124">
        <v>0</v>
      </c>
      <c r="N7" s="124">
        <f>('表4-收入税金表'!L7+'表4-收入税金表'!L26)*参数输入表!$I$857</f>
        <v>0</v>
      </c>
      <c r="O7" s="124">
        <v>0</v>
      </c>
      <c r="P7" s="124">
        <v>0</v>
      </c>
      <c r="Q7" s="124">
        <f>('表4-收入税金表'!M7+'表4-收入税金表'!M26)*参数输入表!$I$857+('表4-收入税金表'!L7+'表4-收入税金表'!L26)*(1-参数输入表!$I$857)</f>
        <v>32503.3333333333</v>
      </c>
      <c r="R7" s="124">
        <f>('表4-收入税金表'!N7+'表4-收入税金表'!N26)*参数输入表!$I$857+('表4-收入税金表'!M7+'表4-收入税金表'!M26)*(1-参数输入表!$I$857)</f>
        <v>86133.8333333333</v>
      </c>
      <c r="S7" s="124">
        <f>('表4-收入税金表'!O7+'表4-收入税金表'!O26)*参数输入表!$I$857+('表4-收入税金表'!N7+'表4-收入税金表'!N26)*(1-参数输入表!$I$857)</f>
        <v>97510</v>
      </c>
      <c r="T7" s="124">
        <f>('表4-收入税金表'!P7+'表4-收入税金表'!P26)*参数输入表!$I$857+('表4-收入税金表'!O7+'表4-收入税金表'!O26)*(1-参数输入表!$I$857)</f>
        <v>97510</v>
      </c>
      <c r="U7" s="124">
        <f>('表4-收入税金表'!Q7+'表4-收入税金表'!Q26)*参数输入表!$I$857+('表4-收入税金表'!P7+'表4-收入税金表'!P26)*(1-参数输入表!$I$857)</f>
        <v>97510</v>
      </c>
      <c r="V7" s="124">
        <f>('表4-收入税金表'!R7+'表4-收入税金表'!R26)*参数输入表!$I$857+('表4-收入税金表'!Q7+'表4-收入税金表'!Q26)*(1-参数输入表!$I$857)</f>
        <v>97510</v>
      </c>
      <c r="W7" s="124">
        <f>('表4-收入税金表'!S7+'表4-收入税金表'!S26)*参数输入表!$I$857+('表4-收入税金表'!R7+'表4-收入税金表'!R26)*(1-参数输入表!$I$857)</f>
        <v>97510</v>
      </c>
      <c r="X7" s="124">
        <f>('表4-收入税金表'!T7+'表4-收入税金表'!T26)*参数输入表!$I$857+('表4-收入税金表'!S7+'表4-收入税金表'!S26)*(1-参数输入表!$I$857)</f>
        <v>97510</v>
      </c>
      <c r="Y7" s="124">
        <f>('表4-收入税金表'!U7+'表4-收入税金表'!U26)*参数输入表!$I$857+('表4-收入税金表'!T7+'表4-收入税金表'!T26)*(1-参数输入表!$I$857)</f>
        <v>97510</v>
      </c>
      <c r="Z7" s="124">
        <f>('表4-收入税金表'!V7+'表4-收入税金表'!V26)*参数输入表!$I$857+('表4-收入税金表'!U7+'表4-收入税金表'!U26)*(1-参数输入表!$I$857)</f>
        <v>97510</v>
      </c>
      <c r="AA7" s="124">
        <f>('表4-收入税金表'!W7+'表4-收入税金表'!W26)*参数输入表!$I$857+('表4-收入税金表'!V7+'表4-收入税金表'!V26)*(1-参数输入表!$I$857)</f>
        <v>97510</v>
      </c>
      <c r="AB7" s="124">
        <f>('表4-收入税金表'!X7+'表4-收入税金表'!X26)*参数输入表!$I$857+('表4-收入税金表'!W7+'表4-收入税金表'!W26)*(1-参数输入表!$I$857)</f>
        <v>97510</v>
      </c>
      <c r="AC7" s="124">
        <f>('表4-收入税金表'!Y7+'表4-收入税金表'!Y26)*参数输入表!$I$857+('表4-收入税金表'!X7+'表4-收入税金表'!X26)*(1-参数输入表!$I$857)</f>
        <v>97510</v>
      </c>
      <c r="AD7" s="124">
        <f>('表4-收入税金表'!Z7+'表4-收入税金表'!Z26)*参数输入表!$I$857+('表4-收入税金表'!Y7+'表4-收入税金表'!Y26)*(1-参数输入表!$I$857)</f>
        <v>97510</v>
      </c>
      <c r="AE7" s="124">
        <f>('表4-收入税金表'!AA7+'表4-收入税金表'!AA26)*参数输入表!$I$857+('表4-收入税金表'!Z7+'表4-收入税金表'!Z26)*(1-参数输入表!$I$857)</f>
        <v>97510</v>
      </c>
      <c r="AF7" s="124">
        <f>('表4-收入税金表'!AB7+'表4-收入税金表'!AB26)*参数输入表!$I$857+('表4-收入税金表'!AA7+'表4-收入税金表'!AA26)*(1-参数输入表!$I$857)</f>
        <v>97510</v>
      </c>
      <c r="AG7" s="124">
        <f>('表4-收入税金表'!AC7+'表4-收入税金表'!AC26)*参数输入表!$I$857+('表4-收入税金表'!AB7+'表4-收入税金表'!AB26)*(1-参数输入表!$I$857)</f>
        <v>97510</v>
      </c>
      <c r="AH7" s="124">
        <f>('表4-收入税金表'!AD7+'表4-收入税金表'!AD26)*参数输入表!$I$857+('表4-收入税金表'!AC7+'表4-收入税金表'!AC26)*(1-参数输入表!$I$857)</f>
        <v>97510</v>
      </c>
      <c r="AI7" s="124">
        <f>('表4-收入税金表'!AE7+'表4-收入税金表'!AE26)*参数输入表!$I$857+('表4-收入税金表'!AD7+'表4-收入税金表'!AD26)*(1-参数输入表!$I$857)</f>
        <v>97510</v>
      </c>
      <c r="AJ7" s="124">
        <f>('表4-收入税金表'!AF7+'表4-收入税金表'!AF26)*参数输入表!$I$857+('表4-收入税金表'!AE7+'表4-收入税金表'!AE26)*(1-参数输入表!$I$857)</f>
        <v>97510</v>
      </c>
      <c r="AK7" s="124">
        <f>('表4-收入税金表'!AG7+'表4-收入税金表'!AG26)*参数输入表!$I$857+('表4-收入税金表'!AF7+'表4-收入税金表'!AF26)*(1-参数输入表!$I$857)</f>
        <v>97510</v>
      </c>
      <c r="AL7" s="124">
        <f>('表4-收入税金表'!AH7+'表4-收入税金表'!AH26)*参数输入表!$I$857+('表4-收入税金表'!AG7+'表4-收入税金表'!AG26)*(1-参数输入表!$I$857)</f>
        <v>97510</v>
      </c>
      <c r="AM7" s="124">
        <f>('表4-收入税金表'!AI7+'表4-收入税金表'!AI26)*参数输入表!$I$857+('表4-收入税金表'!AH7+'表4-收入税金表'!AH26)*(1-参数输入表!$I$857)</f>
        <v>97510</v>
      </c>
      <c r="AN7" s="124">
        <f>('表4-收入税金表'!AJ7+'表4-收入税金表'!AJ26)*参数输入表!$I$857+('表4-收入税金表'!AI7+'表4-收入税金表'!AI26)*(1-参数输入表!$I$857)</f>
        <v>97510</v>
      </c>
      <c r="AO7" s="124">
        <f>('表4-收入税金表'!AK7+'表4-收入税金表'!AK26)*参数输入表!$I$857+('表4-收入税金表'!AJ7+'表4-收入税金表'!AJ26)*(1-参数输入表!$I$857)</f>
        <v>97510</v>
      </c>
      <c r="AP7" s="124">
        <f>('表4-收入税金表'!AL7+'表4-收入税金表'!AL26)*参数输入表!$I$857+('表4-收入税金表'!AK7+'表4-收入税金表'!AK26)*(1-参数输入表!$I$857)</f>
        <v>97510</v>
      </c>
      <c r="AQ7" s="124">
        <f>('表4-收入税金表'!AM7+'表4-收入税金表'!AM26)*参数输入表!$I$857+('表4-收入税金表'!AL7+'表4-收入税金表'!AL26)*(1-参数输入表!$I$857)</f>
        <v>97510</v>
      </c>
      <c r="AR7" s="124">
        <f>('表4-收入税金表'!AN7+'表4-收入税金表'!AN26)*参数输入表!$I$857+('表4-收入税金表'!AM7+'表4-收入税金表'!AM26)*(1-参数输入表!$I$857)</f>
        <v>97510</v>
      </c>
      <c r="AS7" s="124">
        <f>('表4-收入税金表'!AO7+'表4-收入税金表'!AO26)*参数输入表!$I$857+('表4-收入税金表'!AN7+'表4-收入税金表'!AN26)*(1-参数输入表!$I$857)</f>
        <v>97510</v>
      </c>
      <c r="AT7" s="124">
        <f>('表4-收入税金表'!AP7+'表4-收入税金表'!AP26)*参数输入表!$I$857+('表4-收入税金表'!AO7+'表4-收入税金表'!AO26)*(1-参数输入表!$I$857)</f>
        <v>97510</v>
      </c>
      <c r="AU7" s="124">
        <f>('表4-收入税金表'!AQ7+'表4-收入税金表'!AQ26)*参数输入表!$I$857+('表4-收入税金表'!AP7+'表4-收入税金表'!AP26)*(1-参数输入表!$I$857)</f>
        <v>97510</v>
      </c>
      <c r="AV7" s="124">
        <f>('表4-收入税金表'!AR7+'表4-收入税金表'!AR26)*参数输入表!$I$857+('表4-收入税金表'!AQ7+'表4-收入税金表'!AQ26)*(1-参数输入表!$I$857)</f>
        <v>97510</v>
      </c>
      <c r="AW7" s="124">
        <f>('表4-收入税金表'!AS7+'表4-收入税金表'!AS26)*参数输入表!$I$857+('表4-收入税金表'!AR7+'表4-收入税金表'!AR26)*(1-参数输入表!$I$857)</f>
        <v>97510</v>
      </c>
      <c r="AX7" s="124">
        <f>('表4-收入税金表'!AT7+'表4-收入税金表'!AT26)*参数输入表!$I$857+('表4-收入税金表'!AS7+'表4-收入税金表'!AS26)*(1-参数输入表!$I$857)</f>
        <v>97510</v>
      </c>
      <c r="AY7" s="124">
        <f>('表4-收入税金表'!AU7+'表4-收入税金表'!AU26)*参数输入表!$I$857+('表4-收入税金表'!AT7+'表4-收入税金表'!AT26)*(1-参数输入表!$I$857)</f>
        <v>97510</v>
      </c>
      <c r="AZ7" s="124">
        <f>('表4-收入税金表'!AV7+'表4-收入税金表'!AV26)*参数输入表!$I$857+('表4-收入税金表'!AU7+'表4-收入税金表'!AU26)*(1-参数输入表!$I$857)</f>
        <v>97510</v>
      </c>
      <c r="BA7" s="124">
        <f>('表4-收入税金表'!AW7+'表4-收入税金表'!AW26)*参数输入表!$I$857+('表4-收入税金表'!AV7+'表4-收入税金表'!AV26)*(1-参数输入表!$I$857)</f>
        <v>97510</v>
      </c>
      <c r="BB7" s="124">
        <f>('表4-收入税金表'!AX7+'表4-收入税金表'!AX26)*参数输入表!$I$857+('表4-收入税金表'!AW7+'表4-收入税金表'!AW26)*(1-参数输入表!$I$857)</f>
        <v>97510</v>
      </c>
      <c r="BC7" s="124">
        <f>('表4-收入税金表'!AY7+'表4-收入税金表'!AY26)*参数输入表!$I$857+('表4-收入税金表'!AX7+'表4-收入税金表'!AX26)*(1-参数输入表!$I$857)</f>
        <v>97510</v>
      </c>
      <c r="BD7" s="124">
        <f>('表4-收入税金表'!AZ7+'表4-收入税金表'!AZ26)*参数输入表!$I$857+('表4-收入税金表'!AY7+'表4-收入税金表'!AY26)*(1-参数输入表!$I$857)</f>
        <v>97510</v>
      </c>
      <c r="BE7" s="125">
        <f>('表4-收入税金表'!BA7+'表4-收入税金表'!BA26)+('表4-收入税金表'!AZ7+'表4-收入税金表'!AZ26)*(1-参数输入表!$I$857)</f>
        <v>76382.8333333333</v>
      </c>
    </row>
    <row r="8" s="105" customFormat="1" spans="2:57">
      <c r="B8" s="121"/>
      <c r="C8" s="126" t="s">
        <v>357</v>
      </c>
      <c r="D8" s="123">
        <f t="shared" si="0"/>
        <v>2245963.99999999</v>
      </c>
      <c r="E8" s="50" t="s">
        <v>130</v>
      </c>
      <c r="F8" s="124">
        <v>0</v>
      </c>
      <c r="G8" s="124">
        <f>IF(G4-参数输入表!$I$25&lt;0,0)</f>
        <v>0</v>
      </c>
      <c r="H8" s="124">
        <f>IF(H4-参数输入表!$I$25&lt;0,0)</f>
        <v>0</v>
      </c>
      <c r="I8" s="124">
        <f>IF(I4-参数输入表!$I$25&lt;0,0)</f>
        <v>0</v>
      </c>
      <c r="J8" s="124">
        <f>IF(J4-参数输入表!$I$25&lt;0,0)</f>
        <v>0</v>
      </c>
      <c r="K8" s="124">
        <f>IF(K4-参数输入表!$I$25&lt;0,0)</f>
        <v>0</v>
      </c>
      <c r="L8" s="124">
        <f>IF(L4-参数输入表!$I$25&lt;0,0)</f>
        <v>0</v>
      </c>
      <c r="M8" s="124">
        <v>0</v>
      </c>
      <c r="N8" s="124">
        <f>('表4-收入税金表'!L10+'表4-收入税金表'!L27)*参数输入表!$I$865</f>
        <v>0</v>
      </c>
      <c r="O8" s="124">
        <v>0</v>
      </c>
      <c r="P8" s="124">
        <v>0</v>
      </c>
      <c r="Q8" s="124">
        <f>('表4-收入税金表'!M10+'表4-收入税金表'!M27)*参数输入表!$I$865+('表4-收入税金表'!L10+'表4-收入税金表'!L27)*(1-参数输入表!$I$865)</f>
        <v>18716.3666666666</v>
      </c>
      <c r="R8" s="124">
        <f>('表4-收入税金表'!N10+'表4-收入税金表'!N27)*参数输入表!$I$865+('表4-收入税金表'!M10+'表4-收入税金表'!M27)*(1-参数输入表!$I$865)</f>
        <v>49598.3716666665</v>
      </c>
      <c r="S8" s="124">
        <f>('表4-收入税金表'!O10+'表4-收入税金表'!O27)*参数输入表!$I$865+('表4-收入税金表'!N10+'表4-收入税金表'!N27)*(1-参数输入表!$I$865)</f>
        <v>56149.0999999998</v>
      </c>
      <c r="T8" s="124">
        <f>('表4-收入税金表'!P10+'表4-收入税金表'!P27)*参数输入表!$I$865+('表4-收入税金表'!O10+'表4-收入税金表'!O27)*(1-参数输入表!$I$865)</f>
        <v>56149.0999999998</v>
      </c>
      <c r="U8" s="124">
        <f>('表4-收入税金表'!Q10+'表4-收入税金表'!Q27)*参数输入表!$I$865+('表4-收入税金表'!P10+'表4-收入税金表'!P27)*(1-参数输入表!$I$865)</f>
        <v>56149.0999999998</v>
      </c>
      <c r="V8" s="124">
        <f>('表4-收入税金表'!R10+'表4-收入税金表'!R27)*参数输入表!$I$865+('表4-收入税金表'!Q10+'表4-收入税金表'!Q27)*(1-参数输入表!$I$865)</f>
        <v>56149.0999999998</v>
      </c>
      <c r="W8" s="124">
        <f>('表4-收入税金表'!S10+'表4-收入税金表'!S27)*参数输入表!$I$865+('表4-收入税金表'!R10+'表4-收入税金表'!R27)*(1-参数输入表!$I$865)</f>
        <v>56149.0999999998</v>
      </c>
      <c r="X8" s="124">
        <f>('表4-收入税金表'!T10+'表4-收入税金表'!T27)*参数输入表!$I$865+('表4-收入税金表'!S10+'表4-收入税金表'!S27)*(1-参数输入表!$I$865)</f>
        <v>56149.0999999998</v>
      </c>
      <c r="Y8" s="124">
        <f>('表4-收入税金表'!U10+'表4-收入税金表'!U27)*参数输入表!$I$865+('表4-收入税金表'!T10+'表4-收入税金表'!T27)*(1-参数输入表!$I$865)</f>
        <v>56149.0999999998</v>
      </c>
      <c r="Z8" s="124">
        <f>('表4-收入税金表'!V10+'表4-收入税金表'!V27)*参数输入表!$I$865+('表4-收入税金表'!U10+'表4-收入税金表'!U27)*(1-参数输入表!$I$865)</f>
        <v>56149.0999999998</v>
      </c>
      <c r="AA8" s="124">
        <f>('表4-收入税金表'!W10+'表4-收入税金表'!W27)*参数输入表!$I$865+('表4-收入税金表'!V10+'表4-收入税金表'!V27)*(1-参数输入表!$I$865)</f>
        <v>56149.0999999998</v>
      </c>
      <c r="AB8" s="124">
        <f>('表4-收入税金表'!X10+'表4-收入税金表'!X27)*参数输入表!$I$865+('表4-收入税金表'!W10+'表4-收入税金表'!W27)*(1-参数输入表!$I$865)</f>
        <v>56149.0999999998</v>
      </c>
      <c r="AC8" s="124">
        <f>('表4-收入税金表'!Y10+'表4-收入税金表'!Y27)*参数输入表!$I$865+('表4-收入税金表'!X10+'表4-收入税金表'!X27)*(1-参数输入表!$I$865)</f>
        <v>56149.0999999998</v>
      </c>
      <c r="AD8" s="124">
        <f>('表4-收入税金表'!Z10+'表4-收入税金表'!Z27)*参数输入表!$I$865+('表4-收入税金表'!Y10+'表4-收入税金表'!Y27)*(1-参数输入表!$I$865)</f>
        <v>56149.0999999998</v>
      </c>
      <c r="AE8" s="124">
        <f>('表4-收入税金表'!AA10+'表4-收入税金表'!AA27)*参数输入表!$I$865+('表4-收入税金表'!Z10+'表4-收入税金表'!Z27)*(1-参数输入表!$I$865)</f>
        <v>56149.0999999998</v>
      </c>
      <c r="AF8" s="124">
        <f>('表4-收入税金表'!AB10+'表4-收入税金表'!AB27)*参数输入表!$I$865+('表4-收入税金表'!AA10+'表4-收入税金表'!AA27)*(1-参数输入表!$I$865)</f>
        <v>56149.0999999998</v>
      </c>
      <c r="AG8" s="124">
        <f>('表4-收入税金表'!AC10+'表4-收入税金表'!AC27)*参数输入表!$I$865+('表4-收入税金表'!AB10+'表4-收入税金表'!AB27)*(1-参数输入表!$I$865)</f>
        <v>56149.0999999998</v>
      </c>
      <c r="AH8" s="124">
        <f>('表4-收入税金表'!AD10+'表4-收入税金表'!AD27)*参数输入表!$I$865+('表4-收入税金表'!AC10+'表4-收入税金表'!AC27)*(1-参数输入表!$I$865)</f>
        <v>56149.0999999998</v>
      </c>
      <c r="AI8" s="124">
        <f>('表4-收入税金表'!AE10+'表4-收入税金表'!AE27)*参数输入表!$I$865+('表4-收入税金表'!AD10+'表4-收入税金表'!AD27)*(1-参数输入表!$I$865)</f>
        <v>56149.0999999998</v>
      </c>
      <c r="AJ8" s="124">
        <f>('表4-收入税金表'!AF10+'表4-收入税金表'!AF27)*参数输入表!$I$865+('表4-收入税金表'!AE10+'表4-收入税金表'!AE27)*(1-参数输入表!$I$865)</f>
        <v>56149.0999999998</v>
      </c>
      <c r="AK8" s="124">
        <f>('表4-收入税金表'!AG10+'表4-收入税金表'!AG27)*参数输入表!$I$865+('表4-收入税金表'!AF10+'表4-收入税金表'!AF27)*(1-参数输入表!$I$865)</f>
        <v>56149.0999999998</v>
      </c>
      <c r="AL8" s="124">
        <f>('表4-收入税金表'!AH10+'表4-收入税金表'!AH27)*参数输入表!$I$865+('表4-收入税金表'!AG10+'表4-收入税金表'!AG27)*(1-参数输入表!$I$865)</f>
        <v>56149.0999999998</v>
      </c>
      <c r="AM8" s="124">
        <f>('表4-收入税金表'!AI10+'表4-收入税金表'!AI27)*参数输入表!$I$865+('表4-收入税金表'!AH10+'表4-收入税金表'!AH27)*(1-参数输入表!$I$865)</f>
        <v>56149.0999999998</v>
      </c>
      <c r="AN8" s="124">
        <f>('表4-收入税金表'!AJ10+'表4-收入税金表'!AJ27)*参数输入表!$I$865+('表4-收入税金表'!AI10+'表4-收入税金表'!AI27)*(1-参数输入表!$I$865)</f>
        <v>56149.0999999998</v>
      </c>
      <c r="AO8" s="124">
        <f>('表4-收入税金表'!AK10+'表4-收入税金表'!AK27)*参数输入表!$I$865+('表4-收入税金表'!AJ10+'表4-收入税金表'!AJ27)*(1-参数输入表!$I$865)</f>
        <v>56149.0999999998</v>
      </c>
      <c r="AP8" s="124">
        <f>('表4-收入税金表'!AL10+'表4-收入税金表'!AL27)*参数输入表!$I$865+('表4-收入税金表'!AK10+'表4-收入税金表'!AK27)*(1-参数输入表!$I$865)</f>
        <v>56149.0999999998</v>
      </c>
      <c r="AQ8" s="124">
        <f>('表4-收入税金表'!AM10+'表4-收入税金表'!AM27)*参数输入表!$I$865+('表4-收入税金表'!AL10+'表4-收入税金表'!AL27)*(1-参数输入表!$I$865)</f>
        <v>56149.0999999998</v>
      </c>
      <c r="AR8" s="124">
        <f>('表4-收入税金表'!AN10+'表4-收入税金表'!AN27)*参数输入表!$I$865+('表4-收入税金表'!AM10+'表4-收入税金表'!AM27)*(1-参数输入表!$I$865)</f>
        <v>56149.0999999998</v>
      </c>
      <c r="AS8" s="124">
        <f>('表4-收入税金表'!AO10+'表4-收入税金表'!AO27)*参数输入表!$I$865+('表4-收入税金表'!AN10+'表4-收入税金表'!AN27)*(1-参数输入表!$I$865)</f>
        <v>56149.0999999998</v>
      </c>
      <c r="AT8" s="124">
        <f>('表4-收入税金表'!AP10+'表4-收入税金表'!AP27)*参数输入表!$I$865+('表4-收入税金表'!AO10+'表4-收入税金表'!AO27)*(1-参数输入表!$I$865)</f>
        <v>56149.0999999998</v>
      </c>
      <c r="AU8" s="124">
        <f>('表4-收入税金表'!AQ10+'表4-收入税金表'!AQ27)*参数输入表!$I$865+('表4-收入税金表'!AP10+'表4-收入税金表'!AP27)*(1-参数输入表!$I$865)</f>
        <v>56149.0999999998</v>
      </c>
      <c r="AV8" s="124">
        <f>('表4-收入税金表'!AR10+'表4-收入税金表'!AR27)*参数输入表!$I$865+('表4-收入税金表'!AQ10+'表4-收入税金表'!AQ27)*(1-参数输入表!$I$865)</f>
        <v>56149.0999999998</v>
      </c>
      <c r="AW8" s="124">
        <f>('表4-收入税金表'!AS10+'表4-收入税金表'!AS27)*参数输入表!$I$865+('表4-收入税金表'!AR10+'表4-收入税金表'!AR27)*(1-参数输入表!$I$865)</f>
        <v>56149.0999999998</v>
      </c>
      <c r="AX8" s="124">
        <f>('表4-收入税金表'!AT10+'表4-收入税金表'!AT27)*参数输入表!$I$865+('表4-收入税金表'!AS10+'表4-收入税金表'!AS27)*(1-参数输入表!$I$865)</f>
        <v>56149.0999999998</v>
      </c>
      <c r="AY8" s="124">
        <f>('表4-收入税金表'!AU10+'表4-收入税金表'!AU27)*参数输入表!$I$865+('表4-收入税金表'!AT10+'表4-收入税金表'!AT27)*(1-参数输入表!$I$865)</f>
        <v>56149.0999999998</v>
      </c>
      <c r="AZ8" s="124">
        <f>('表4-收入税金表'!AV10+'表4-收入税金表'!AV27)*参数输入表!$I$865+('表4-收入税金表'!AU10+'表4-收入税金表'!AU27)*(1-参数输入表!$I$865)</f>
        <v>56149.0999999998</v>
      </c>
      <c r="BA8" s="124">
        <f>('表4-收入税金表'!AW10+'表4-收入税金表'!AW27)*参数输入表!$I$865+('表4-收入税金表'!AV10+'表4-收入税金表'!AV27)*(1-参数输入表!$I$865)</f>
        <v>56149.0999999998</v>
      </c>
      <c r="BB8" s="124">
        <f>('表4-收入税金表'!AX10+'表4-收入税金表'!AX27)*参数输入表!$I$865+('表4-收入税金表'!AW10+'表4-收入税金表'!AW27)*(1-参数输入表!$I$865)</f>
        <v>56149.0999999998</v>
      </c>
      <c r="BC8" s="124">
        <f>('表4-收入税金表'!AY10+'表4-收入税金表'!AY27)*参数输入表!$I$865+('表4-收入税金表'!AX10+'表4-收入税金表'!AX27)*(1-参数输入表!$I$865)</f>
        <v>56149.0999999998</v>
      </c>
      <c r="BD8" s="124">
        <f>('表4-收入税金表'!AZ10+'表4-收入税金表'!AZ27)*参数输入表!$I$865+('表4-收入税金表'!AY10+'表4-收入税金表'!AY27)*(1-参数输入表!$I$865)</f>
        <v>56149.0999999998</v>
      </c>
      <c r="BE8" s="125">
        <f>('表4-收入税金表'!BA10+'表4-收入税金表'!BA27)+('表4-收入税金表'!AZ10+'表4-收入税金表'!AZ27)*(1-参数输入表!$I$865)</f>
        <v>43983.4616666665</v>
      </c>
    </row>
    <row r="9" s="105" customFormat="1" spans="2:57">
      <c r="B9" s="121">
        <v>1.2</v>
      </c>
      <c r="C9" s="122" t="s">
        <v>360</v>
      </c>
      <c r="D9" s="123">
        <f t="shared" si="0"/>
        <v>56000</v>
      </c>
      <c r="E9" s="50" t="s">
        <v>130</v>
      </c>
      <c r="F9" s="124">
        <f t="shared" ref="F9:T9" si="5">SUM(F10:F11)</f>
        <v>0</v>
      </c>
      <c r="G9" s="124">
        <f t="shared" si="5"/>
        <v>0</v>
      </c>
      <c r="H9" s="124">
        <f t="shared" si="5"/>
        <v>0</v>
      </c>
      <c r="I9" s="124">
        <f t="shared" si="5"/>
        <v>0</v>
      </c>
      <c r="J9" s="124">
        <f t="shared" si="5"/>
        <v>0</v>
      </c>
      <c r="K9" s="124">
        <f t="shared" si="5"/>
        <v>0</v>
      </c>
      <c r="L9" s="124">
        <f t="shared" si="5"/>
        <v>0</v>
      </c>
      <c r="M9" s="124">
        <f t="shared" si="5"/>
        <v>0</v>
      </c>
      <c r="N9" s="124">
        <f t="shared" si="5"/>
        <v>0</v>
      </c>
      <c r="O9" s="124">
        <f t="shared" si="5"/>
        <v>0</v>
      </c>
      <c r="P9" s="124">
        <f t="shared" si="5"/>
        <v>0</v>
      </c>
      <c r="Q9" s="124">
        <f t="shared" si="5"/>
        <v>291.666666666667</v>
      </c>
      <c r="R9" s="124">
        <f t="shared" si="5"/>
        <v>991.666666666667</v>
      </c>
      <c r="S9" s="124">
        <f t="shared" si="5"/>
        <v>1400</v>
      </c>
      <c r="T9" s="124">
        <f t="shared" si="5"/>
        <v>1400</v>
      </c>
      <c r="U9" s="124">
        <f t="shared" ref="U9:AP9" si="6">SUM(U10:U11)</f>
        <v>1400</v>
      </c>
      <c r="V9" s="124">
        <f t="shared" si="6"/>
        <v>1400</v>
      </c>
      <c r="W9" s="124">
        <f t="shared" si="6"/>
        <v>1400</v>
      </c>
      <c r="X9" s="124">
        <f t="shared" si="6"/>
        <v>1400</v>
      </c>
      <c r="Y9" s="124">
        <f t="shared" si="6"/>
        <v>1400</v>
      </c>
      <c r="Z9" s="124">
        <f t="shared" si="6"/>
        <v>1400</v>
      </c>
      <c r="AA9" s="124">
        <f t="shared" si="6"/>
        <v>1400</v>
      </c>
      <c r="AB9" s="124">
        <f t="shared" si="6"/>
        <v>1400</v>
      </c>
      <c r="AC9" s="124">
        <f t="shared" si="6"/>
        <v>1400</v>
      </c>
      <c r="AD9" s="124">
        <f t="shared" si="6"/>
        <v>1400</v>
      </c>
      <c r="AE9" s="124">
        <f t="shared" si="6"/>
        <v>1400</v>
      </c>
      <c r="AF9" s="124">
        <f t="shared" si="6"/>
        <v>1400</v>
      </c>
      <c r="AG9" s="124">
        <f t="shared" si="6"/>
        <v>1400</v>
      </c>
      <c r="AH9" s="124">
        <f t="shared" si="6"/>
        <v>1400</v>
      </c>
      <c r="AI9" s="124">
        <f t="shared" si="6"/>
        <v>1400</v>
      </c>
      <c r="AJ9" s="124">
        <f t="shared" si="6"/>
        <v>1400</v>
      </c>
      <c r="AK9" s="124">
        <f t="shared" si="6"/>
        <v>1400</v>
      </c>
      <c r="AL9" s="124">
        <f t="shared" si="6"/>
        <v>1400</v>
      </c>
      <c r="AM9" s="124">
        <f t="shared" si="6"/>
        <v>1400</v>
      </c>
      <c r="AN9" s="124">
        <f t="shared" si="6"/>
        <v>1400</v>
      </c>
      <c r="AO9" s="124">
        <f t="shared" si="6"/>
        <v>1400</v>
      </c>
      <c r="AP9" s="124">
        <f t="shared" si="6"/>
        <v>1400</v>
      </c>
      <c r="AQ9" s="124">
        <f t="shared" ref="AQ9:BE9" si="7">SUM(AQ10:AQ11)</f>
        <v>1400</v>
      </c>
      <c r="AR9" s="124">
        <f t="shared" si="7"/>
        <v>1400</v>
      </c>
      <c r="AS9" s="124">
        <f t="shared" si="7"/>
        <v>1400</v>
      </c>
      <c r="AT9" s="124">
        <f t="shared" si="7"/>
        <v>1400</v>
      </c>
      <c r="AU9" s="124">
        <f t="shared" si="7"/>
        <v>1400</v>
      </c>
      <c r="AV9" s="124">
        <f t="shared" si="7"/>
        <v>1400</v>
      </c>
      <c r="AW9" s="124">
        <f t="shared" si="7"/>
        <v>1400</v>
      </c>
      <c r="AX9" s="124">
        <f t="shared" si="7"/>
        <v>1400</v>
      </c>
      <c r="AY9" s="124">
        <f t="shared" si="7"/>
        <v>1400</v>
      </c>
      <c r="AZ9" s="124">
        <f t="shared" si="7"/>
        <v>1400</v>
      </c>
      <c r="BA9" s="124">
        <f t="shared" si="7"/>
        <v>1400</v>
      </c>
      <c r="BB9" s="124">
        <f t="shared" si="7"/>
        <v>1400</v>
      </c>
      <c r="BC9" s="124">
        <f t="shared" si="7"/>
        <v>1400</v>
      </c>
      <c r="BD9" s="124">
        <f t="shared" si="7"/>
        <v>1400</v>
      </c>
      <c r="BE9" s="125">
        <f t="shared" si="7"/>
        <v>1516.66666666667</v>
      </c>
    </row>
    <row r="10" s="105" customFormat="1" spans="2:57">
      <c r="B10" s="121"/>
      <c r="C10" s="126" t="s">
        <v>795</v>
      </c>
      <c r="D10" s="123">
        <f t="shared" si="0"/>
        <v>0</v>
      </c>
      <c r="E10" s="50" t="s">
        <v>130</v>
      </c>
      <c r="F10" s="124">
        <v>0</v>
      </c>
      <c r="G10" s="124">
        <f>'表4-收入税金表'!F15</f>
        <v>0</v>
      </c>
      <c r="H10" s="124">
        <f>'表4-收入税金表'!G15</f>
        <v>0</v>
      </c>
      <c r="I10" s="124">
        <f>'表4-收入税金表'!H15</f>
        <v>0</v>
      </c>
      <c r="J10" s="124">
        <f>'表4-收入税金表'!I15</f>
        <v>0</v>
      </c>
      <c r="K10" s="124">
        <f>'表4-收入税金表'!J15</f>
        <v>0</v>
      </c>
      <c r="L10" s="124">
        <f>'表4-收入税金表'!K15</f>
        <v>0</v>
      </c>
      <c r="M10" s="124">
        <v>0</v>
      </c>
      <c r="N10" s="124">
        <f>'表4-收入税金表'!L15</f>
        <v>0</v>
      </c>
      <c r="O10" s="124">
        <v>0</v>
      </c>
      <c r="P10" s="124">
        <v>0</v>
      </c>
      <c r="Q10" s="124">
        <f>'表4-收入税金表'!M15</f>
        <v>0</v>
      </c>
      <c r="R10" s="124">
        <f>'表4-收入税金表'!N15</f>
        <v>0</v>
      </c>
      <c r="S10" s="124">
        <f>'表4-收入税金表'!O15</f>
        <v>0</v>
      </c>
      <c r="T10" s="124">
        <f>'表4-收入税金表'!P15</f>
        <v>0</v>
      </c>
      <c r="U10" s="124">
        <f>'表4-收入税金表'!Q15</f>
        <v>0</v>
      </c>
      <c r="V10" s="124">
        <f>'表4-收入税金表'!R15</f>
        <v>0</v>
      </c>
      <c r="W10" s="124">
        <f>'表4-收入税金表'!S15</f>
        <v>0</v>
      </c>
      <c r="X10" s="124">
        <f>'表4-收入税金表'!T15</f>
        <v>0</v>
      </c>
      <c r="Y10" s="124">
        <f>'表4-收入税金表'!U15</f>
        <v>0</v>
      </c>
      <c r="Z10" s="124">
        <f>'表4-收入税金表'!V15</f>
        <v>0</v>
      </c>
      <c r="AA10" s="124">
        <f>'表4-收入税金表'!W15</f>
        <v>0</v>
      </c>
      <c r="AB10" s="124">
        <f>'表4-收入税金表'!X15</f>
        <v>0</v>
      </c>
      <c r="AC10" s="124">
        <f>'表4-收入税金表'!Y15</f>
        <v>0</v>
      </c>
      <c r="AD10" s="124">
        <f>'表4-收入税金表'!Z15</f>
        <v>0</v>
      </c>
      <c r="AE10" s="124">
        <f>'表4-收入税金表'!AA15</f>
        <v>0</v>
      </c>
      <c r="AF10" s="124">
        <f>'表4-收入税金表'!AB15</f>
        <v>0</v>
      </c>
      <c r="AG10" s="124">
        <f>'表4-收入税金表'!AC15</f>
        <v>0</v>
      </c>
      <c r="AH10" s="124">
        <f>'表4-收入税金表'!AD15</f>
        <v>0</v>
      </c>
      <c r="AI10" s="124">
        <f>'表4-收入税金表'!AE15</f>
        <v>0</v>
      </c>
      <c r="AJ10" s="124">
        <f>'表4-收入税金表'!AF15</f>
        <v>0</v>
      </c>
      <c r="AK10" s="124">
        <f>'表4-收入税金表'!AG15</f>
        <v>0</v>
      </c>
      <c r="AL10" s="124">
        <f>'表4-收入税金表'!AH15</f>
        <v>0</v>
      </c>
      <c r="AM10" s="124">
        <f>'表4-收入税金表'!AI15</f>
        <v>0</v>
      </c>
      <c r="AN10" s="124">
        <f>'表4-收入税金表'!AJ15</f>
        <v>0</v>
      </c>
      <c r="AO10" s="124">
        <f>'表4-收入税金表'!AK15</f>
        <v>0</v>
      </c>
      <c r="AP10" s="124">
        <f>'表4-收入税金表'!AL15</f>
        <v>0</v>
      </c>
      <c r="AQ10" s="124">
        <f>'表4-收入税金表'!AM15</f>
        <v>0</v>
      </c>
      <c r="AR10" s="124">
        <f>'表4-收入税金表'!AN15</f>
        <v>0</v>
      </c>
      <c r="AS10" s="124">
        <f>'表4-收入税金表'!AO15</f>
        <v>0</v>
      </c>
      <c r="AT10" s="124">
        <f>'表4-收入税金表'!AP15</f>
        <v>0</v>
      </c>
      <c r="AU10" s="124">
        <f>'表4-收入税金表'!AQ15</f>
        <v>0</v>
      </c>
      <c r="AV10" s="124">
        <f>'表4-收入税金表'!AR15</f>
        <v>0</v>
      </c>
      <c r="AW10" s="124">
        <f>'表4-收入税金表'!AS15</f>
        <v>0</v>
      </c>
      <c r="AX10" s="124">
        <f>'表4-收入税金表'!AT15</f>
        <v>0</v>
      </c>
      <c r="AY10" s="124">
        <f>'表4-收入税金表'!AU15</f>
        <v>0</v>
      </c>
      <c r="AZ10" s="124">
        <f>'表4-收入税金表'!AV15</f>
        <v>0</v>
      </c>
      <c r="BA10" s="124">
        <f>'表4-收入税金表'!AW15</f>
        <v>0</v>
      </c>
      <c r="BB10" s="124">
        <f>'表4-收入税金表'!AX15</f>
        <v>0</v>
      </c>
      <c r="BC10" s="124">
        <f>'表4-收入税金表'!AY15</f>
        <v>0</v>
      </c>
      <c r="BD10" s="124">
        <f>'表4-收入税金表'!AZ15</f>
        <v>0</v>
      </c>
      <c r="BE10" s="125">
        <f>'表4-收入税金表'!BA15</f>
        <v>0</v>
      </c>
    </row>
    <row r="11" s="105" customFormat="1" spans="2:57">
      <c r="B11" s="121"/>
      <c r="C11" s="126" t="s">
        <v>362</v>
      </c>
      <c r="D11" s="123">
        <f t="shared" si="0"/>
        <v>56000</v>
      </c>
      <c r="E11" s="50" t="s">
        <v>130</v>
      </c>
      <c r="F11" s="124">
        <v>0</v>
      </c>
      <c r="G11" s="124">
        <f>IF(G4-参数输入表!$I$25&lt;0,0)</f>
        <v>0</v>
      </c>
      <c r="H11" s="124">
        <f>IF(H4-参数输入表!$I$25&lt;0,0)</f>
        <v>0</v>
      </c>
      <c r="I11" s="124">
        <f>IF(I4-参数输入表!$I$25&lt;0,0)</f>
        <v>0</v>
      </c>
      <c r="J11" s="124">
        <f>IF(J4-参数输入表!$I$25&lt;0,0)</f>
        <v>0</v>
      </c>
      <c r="K11" s="124">
        <f>IF(K4-参数输入表!$I$25&lt;0,0)</f>
        <v>0</v>
      </c>
      <c r="L11" s="124">
        <f>IF(L4-参数输入表!$I$25&lt;0,0)</f>
        <v>0</v>
      </c>
      <c r="M11" s="124">
        <v>0</v>
      </c>
      <c r="N11" s="124">
        <f>('表4-收入税金表'!L16+'表4-收入税金表'!L29)*参数输入表!$I$873</f>
        <v>0</v>
      </c>
      <c r="O11" s="124">
        <v>0</v>
      </c>
      <c r="P11" s="124">
        <v>0</v>
      </c>
      <c r="Q11" s="124">
        <f>('表4-收入税金表'!M16+'表4-收入税金表'!M29)*参数输入表!$I$873+('表4-收入税金表'!L16+'表4-收入税金表'!L29)*(1-参数输入表!$I$873)</f>
        <v>291.666666666667</v>
      </c>
      <c r="R11" s="124">
        <f>('表4-收入税金表'!N16+'表4-收入税金表'!N29)*参数输入表!$I$873+('表4-收入税金表'!M16+'表4-收入税金表'!M29)*(1-参数输入表!$I$873)</f>
        <v>991.666666666667</v>
      </c>
      <c r="S11" s="124">
        <f>('表4-收入税金表'!O16+'表4-收入税金表'!O29)*参数输入表!$I$873+('表4-收入税金表'!N16+'表4-收入税金表'!N29)*(1-参数输入表!$I$873)</f>
        <v>1400</v>
      </c>
      <c r="T11" s="124">
        <f>('表4-收入税金表'!P16+'表4-收入税金表'!P29)*参数输入表!$I$873+('表4-收入税金表'!O16+'表4-收入税金表'!O29)*(1-参数输入表!$I$873)</f>
        <v>1400</v>
      </c>
      <c r="U11" s="124">
        <f>('表4-收入税金表'!Q16+'表4-收入税金表'!Q29)*参数输入表!$I$873+('表4-收入税金表'!P16+'表4-收入税金表'!P29)*(1-参数输入表!$I$873)</f>
        <v>1400</v>
      </c>
      <c r="V11" s="124">
        <f>('表4-收入税金表'!R16+'表4-收入税金表'!R29)*参数输入表!$I$873+('表4-收入税金表'!Q16+'表4-收入税金表'!Q29)*(1-参数输入表!$I$873)</f>
        <v>1400</v>
      </c>
      <c r="W11" s="124">
        <f>('表4-收入税金表'!S16+'表4-收入税金表'!S29)*参数输入表!$I$873+('表4-收入税金表'!R16+'表4-收入税金表'!R29)*(1-参数输入表!$I$873)</f>
        <v>1400</v>
      </c>
      <c r="X11" s="124">
        <f>('表4-收入税金表'!T16+'表4-收入税金表'!T29)*参数输入表!$I$873+('表4-收入税金表'!S16+'表4-收入税金表'!S29)*(1-参数输入表!$I$873)</f>
        <v>1400</v>
      </c>
      <c r="Y11" s="124">
        <f>('表4-收入税金表'!U16+'表4-收入税金表'!U29)*参数输入表!$I$873+('表4-收入税金表'!T16+'表4-收入税金表'!T29)*(1-参数输入表!$I$873)</f>
        <v>1400</v>
      </c>
      <c r="Z11" s="124">
        <f>('表4-收入税金表'!V16+'表4-收入税金表'!V29)*参数输入表!$I$873+('表4-收入税金表'!U16+'表4-收入税金表'!U29)*(1-参数输入表!$I$873)</f>
        <v>1400</v>
      </c>
      <c r="AA11" s="124">
        <f>('表4-收入税金表'!W16+'表4-收入税金表'!W29)*参数输入表!$I$873+('表4-收入税金表'!V16+'表4-收入税金表'!V29)*(1-参数输入表!$I$873)</f>
        <v>1400</v>
      </c>
      <c r="AB11" s="124">
        <f>('表4-收入税金表'!X16+'表4-收入税金表'!X29)*参数输入表!$I$873+('表4-收入税金表'!W16+'表4-收入税金表'!W29)*(1-参数输入表!$I$873)</f>
        <v>1400</v>
      </c>
      <c r="AC11" s="124">
        <f>('表4-收入税金表'!Y16+'表4-收入税金表'!Y29)*参数输入表!$I$873+('表4-收入税金表'!X16+'表4-收入税金表'!X29)*(1-参数输入表!$I$873)</f>
        <v>1400</v>
      </c>
      <c r="AD11" s="124">
        <f>('表4-收入税金表'!Z16+'表4-收入税金表'!Z29)*参数输入表!$I$873+('表4-收入税金表'!Y16+'表4-收入税金表'!Y29)*(1-参数输入表!$I$873)</f>
        <v>1400</v>
      </c>
      <c r="AE11" s="124">
        <f>('表4-收入税金表'!AA16+'表4-收入税金表'!AA29)*参数输入表!$I$873+('表4-收入税金表'!Z16+'表4-收入税金表'!Z29)*(1-参数输入表!$I$873)</f>
        <v>1400</v>
      </c>
      <c r="AF11" s="124">
        <f>('表4-收入税金表'!AB16+'表4-收入税金表'!AB29)*参数输入表!$I$873+('表4-收入税金表'!AA16+'表4-收入税金表'!AA29)*(1-参数输入表!$I$873)</f>
        <v>1400</v>
      </c>
      <c r="AG11" s="124">
        <f>('表4-收入税金表'!AC16+'表4-收入税金表'!AC29)*参数输入表!$I$873+('表4-收入税金表'!AB16+'表4-收入税金表'!AB29)*(1-参数输入表!$I$873)</f>
        <v>1400</v>
      </c>
      <c r="AH11" s="124">
        <f>('表4-收入税金表'!AD16+'表4-收入税金表'!AD29)*参数输入表!$I$873+('表4-收入税金表'!AC16+'表4-收入税金表'!AC29)*(1-参数输入表!$I$873)</f>
        <v>1400</v>
      </c>
      <c r="AI11" s="124">
        <f>('表4-收入税金表'!AE16+'表4-收入税金表'!AE29)*参数输入表!$I$873+('表4-收入税金表'!AD16+'表4-收入税金表'!AD29)*(1-参数输入表!$I$873)</f>
        <v>1400</v>
      </c>
      <c r="AJ11" s="124">
        <f>('表4-收入税金表'!AF16+'表4-收入税金表'!AF29)*参数输入表!$I$873+('表4-收入税金表'!AE16+'表4-收入税金表'!AE29)*(1-参数输入表!$I$873)</f>
        <v>1400</v>
      </c>
      <c r="AK11" s="124">
        <f>('表4-收入税金表'!AG16+'表4-收入税金表'!AG29)*参数输入表!$I$873+('表4-收入税金表'!AF16+'表4-收入税金表'!AF29)*(1-参数输入表!$I$873)</f>
        <v>1400</v>
      </c>
      <c r="AL11" s="124">
        <f>('表4-收入税金表'!AH16+'表4-收入税金表'!AH29)*参数输入表!$I$873+('表4-收入税金表'!AG16+'表4-收入税金表'!AG29)*(1-参数输入表!$I$873)</f>
        <v>1400</v>
      </c>
      <c r="AM11" s="124">
        <f>('表4-收入税金表'!AI16+'表4-收入税金表'!AI29)*参数输入表!$I$873+('表4-收入税金表'!AH16+'表4-收入税金表'!AH29)*(1-参数输入表!$I$873)</f>
        <v>1400</v>
      </c>
      <c r="AN11" s="124">
        <f>('表4-收入税金表'!AJ16+'表4-收入税金表'!AJ29)*参数输入表!$I$873+('表4-收入税金表'!AI16+'表4-收入税金表'!AI29)*(1-参数输入表!$I$873)</f>
        <v>1400</v>
      </c>
      <c r="AO11" s="124">
        <f>('表4-收入税金表'!AK16+'表4-收入税金表'!AK29)*参数输入表!$I$873+('表4-收入税金表'!AJ16+'表4-收入税金表'!AJ29)*(1-参数输入表!$I$873)</f>
        <v>1400</v>
      </c>
      <c r="AP11" s="124">
        <f>('表4-收入税金表'!AL16+'表4-收入税金表'!AL29)*参数输入表!$I$873+('表4-收入税金表'!AK16+'表4-收入税金表'!AK29)*(1-参数输入表!$I$873)</f>
        <v>1400</v>
      </c>
      <c r="AQ11" s="124">
        <f>('表4-收入税金表'!AM16+'表4-收入税金表'!AM29)*参数输入表!$I$873+('表4-收入税金表'!AL16+'表4-收入税金表'!AL29)*(1-参数输入表!$I$873)</f>
        <v>1400</v>
      </c>
      <c r="AR11" s="124">
        <f>('表4-收入税金表'!AN16+'表4-收入税金表'!AN29)*参数输入表!$I$873+('表4-收入税金表'!AM16+'表4-收入税金表'!AM29)*(1-参数输入表!$I$873)</f>
        <v>1400</v>
      </c>
      <c r="AS11" s="124">
        <f>('表4-收入税金表'!AO16+'表4-收入税金表'!AO29)*参数输入表!$I$873+('表4-收入税金表'!AN16+'表4-收入税金表'!AN29)*(1-参数输入表!$I$873)</f>
        <v>1400</v>
      </c>
      <c r="AT11" s="124">
        <f>('表4-收入税金表'!AP16+'表4-收入税金表'!AP29)*参数输入表!$I$873+('表4-收入税金表'!AO16+'表4-收入税金表'!AO29)*(1-参数输入表!$I$873)</f>
        <v>1400</v>
      </c>
      <c r="AU11" s="124">
        <f>('表4-收入税金表'!AQ16+'表4-收入税金表'!AQ29)*参数输入表!$I$873+('表4-收入税金表'!AP16+'表4-收入税金表'!AP29)*(1-参数输入表!$I$873)</f>
        <v>1400</v>
      </c>
      <c r="AV11" s="124">
        <f>('表4-收入税金表'!AR16+'表4-收入税金表'!AR29)*参数输入表!$I$873+('表4-收入税金表'!AQ16+'表4-收入税金表'!AQ29)*(1-参数输入表!$I$873)</f>
        <v>1400</v>
      </c>
      <c r="AW11" s="124">
        <f>('表4-收入税金表'!AS16+'表4-收入税金表'!AS29)*参数输入表!$I$873+('表4-收入税金表'!AR16+'表4-收入税金表'!AR29)*(1-参数输入表!$I$873)</f>
        <v>1400</v>
      </c>
      <c r="AX11" s="124">
        <f>('表4-收入税金表'!AT16+'表4-收入税金表'!AT29)*参数输入表!$I$873+('表4-收入税金表'!AS16+'表4-收入税金表'!AS29)*(1-参数输入表!$I$873)</f>
        <v>1400</v>
      </c>
      <c r="AY11" s="124">
        <f>('表4-收入税金表'!AU16+'表4-收入税金表'!AU29)*参数输入表!$I$873+('表4-收入税金表'!AT16+'表4-收入税金表'!AT29)*(1-参数输入表!$I$873)</f>
        <v>1400</v>
      </c>
      <c r="AZ11" s="124">
        <f>('表4-收入税金表'!AV16+'表4-收入税金表'!AV29)*参数输入表!$I$873+('表4-收入税金表'!AU16+'表4-收入税金表'!AU29)*(1-参数输入表!$I$873)</f>
        <v>1400</v>
      </c>
      <c r="BA11" s="124">
        <f>('表4-收入税金表'!AW16+'表4-收入税金表'!AW29)*参数输入表!$I$873+('表4-收入税金表'!AV16+'表4-收入税金表'!AV29)*(1-参数输入表!$I$873)</f>
        <v>1400</v>
      </c>
      <c r="BB11" s="124">
        <f>('表4-收入税金表'!AX16+'表4-收入税金表'!AX29)*参数输入表!$I$873+('表4-收入税金表'!AW16+'表4-收入税金表'!AW29)*(1-参数输入表!$I$873)</f>
        <v>1400</v>
      </c>
      <c r="BC11" s="124">
        <f>('表4-收入税金表'!AY16+'表4-收入税金表'!AY29)*参数输入表!$I$873+('表4-收入税金表'!AX16+'表4-收入税金表'!AX29)*(1-参数输入表!$I$873)</f>
        <v>1400</v>
      </c>
      <c r="BD11" s="124">
        <f>('表4-收入税金表'!AZ16+'表4-收入税金表'!AZ29)*参数输入表!$I$873+('表4-收入税金表'!AY16+'表4-收入税金表'!AY29)*(1-参数输入表!$I$873)</f>
        <v>1400</v>
      </c>
      <c r="BE11" s="125">
        <f>('表4-收入税金表'!BA16+'表4-收入税金表'!BA29)+('表4-收入税金表'!AZ16+'表4-收入税金表'!AZ29)*(1-参数输入表!$I$873)</f>
        <v>1516.66666666667</v>
      </c>
    </row>
    <row r="12" s="105" customFormat="1" spans="2:57">
      <c r="B12" s="121">
        <v>1.3</v>
      </c>
      <c r="C12" s="122" t="s">
        <v>366</v>
      </c>
      <c r="D12" s="123">
        <f t="shared" si="0"/>
        <v>400</v>
      </c>
      <c r="E12" s="50" t="s">
        <v>130</v>
      </c>
      <c r="F12" s="124">
        <f t="shared" ref="F12:T12" si="8">SUM(F13)</f>
        <v>0</v>
      </c>
      <c r="G12" s="124">
        <f t="shared" si="8"/>
        <v>0</v>
      </c>
      <c r="H12" s="124">
        <f t="shared" si="8"/>
        <v>0</v>
      </c>
      <c r="I12" s="124">
        <f t="shared" si="8"/>
        <v>0</v>
      </c>
      <c r="J12" s="124">
        <f t="shared" si="8"/>
        <v>0</v>
      </c>
      <c r="K12" s="124">
        <f t="shared" si="8"/>
        <v>0</v>
      </c>
      <c r="L12" s="124">
        <f t="shared" si="8"/>
        <v>0</v>
      </c>
      <c r="M12" s="124">
        <f t="shared" si="8"/>
        <v>0</v>
      </c>
      <c r="N12" s="124">
        <f t="shared" si="8"/>
        <v>0</v>
      </c>
      <c r="O12" s="124">
        <f t="shared" si="8"/>
        <v>0</v>
      </c>
      <c r="P12" s="124">
        <f t="shared" si="8"/>
        <v>0</v>
      </c>
      <c r="Q12" s="124">
        <f t="shared" si="8"/>
        <v>0</v>
      </c>
      <c r="R12" s="124">
        <f t="shared" si="8"/>
        <v>400</v>
      </c>
      <c r="S12" s="124">
        <f t="shared" si="8"/>
        <v>0</v>
      </c>
      <c r="T12" s="124">
        <f t="shared" si="8"/>
        <v>0</v>
      </c>
      <c r="U12" s="124">
        <f t="shared" ref="U12:AP12" si="9">SUM(U13)</f>
        <v>0</v>
      </c>
      <c r="V12" s="124">
        <f t="shared" si="9"/>
        <v>0</v>
      </c>
      <c r="W12" s="124">
        <f t="shared" si="9"/>
        <v>0</v>
      </c>
      <c r="X12" s="124">
        <f t="shared" si="9"/>
        <v>0</v>
      </c>
      <c r="Y12" s="124">
        <f t="shared" si="9"/>
        <v>0</v>
      </c>
      <c r="Z12" s="124">
        <f t="shared" si="9"/>
        <v>0</v>
      </c>
      <c r="AA12" s="124">
        <f t="shared" si="9"/>
        <v>0</v>
      </c>
      <c r="AB12" s="124">
        <f t="shared" si="9"/>
        <v>0</v>
      </c>
      <c r="AC12" s="124">
        <f t="shared" si="9"/>
        <v>0</v>
      </c>
      <c r="AD12" s="124">
        <f t="shared" si="9"/>
        <v>0</v>
      </c>
      <c r="AE12" s="124">
        <f t="shared" si="9"/>
        <v>0</v>
      </c>
      <c r="AF12" s="124">
        <f t="shared" si="9"/>
        <v>0</v>
      </c>
      <c r="AG12" s="124">
        <f t="shared" si="9"/>
        <v>0</v>
      </c>
      <c r="AH12" s="124">
        <f t="shared" si="9"/>
        <v>0</v>
      </c>
      <c r="AI12" s="124">
        <f t="shared" si="9"/>
        <v>0</v>
      </c>
      <c r="AJ12" s="124">
        <f t="shared" si="9"/>
        <v>0</v>
      </c>
      <c r="AK12" s="124">
        <f t="shared" si="9"/>
        <v>0</v>
      </c>
      <c r="AL12" s="124">
        <f t="shared" si="9"/>
        <v>0</v>
      </c>
      <c r="AM12" s="124">
        <f t="shared" si="9"/>
        <v>0</v>
      </c>
      <c r="AN12" s="124">
        <f t="shared" si="9"/>
        <v>0</v>
      </c>
      <c r="AO12" s="124">
        <f t="shared" si="9"/>
        <v>0</v>
      </c>
      <c r="AP12" s="124">
        <f t="shared" si="9"/>
        <v>0</v>
      </c>
      <c r="AQ12" s="124">
        <f t="shared" ref="AQ12:BE12" si="10">SUM(AQ13)</f>
        <v>0</v>
      </c>
      <c r="AR12" s="124">
        <f t="shared" si="10"/>
        <v>0</v>
      </c>
      <c r="AS12" s="124">
        <f t="shared" si="10"/>
        <v>0</v>
      </c>
      <c r="AT12" s="124">
        <f t="shared" si="10"/>
        <v>0</v>
      </c>
      <c r="AU12" s="124">
        <f t="shared" si="10"/>
        <v>0</v>
      </c>
      <c r="AV12" s="124">
        <f t="shared" si="10"/>
        <v>0</v>
      </c>
      <c r="AW12" s="124">
        <f t="shared" si="10"/>
        <v>0</v>
      </c>
      <c r="AX12" s="124">
        <f t="shared" si="10"/>
        <v>0</v>
      </c>
      <c r="AY12" s="124">
        <f t="shared" si="10"/>
        <v>0</v>
      </c>
      <c r="AZ12" s="124">
        <f t="shared" si="10"/>
        <v>0</v>
      </c>
      <c r="BA12" s="124">
        <f t="shared" si="10"/>
        <v>0</v>
      </c>
      <c r="BB12" s="124">
        <f t="shared" si="10"/>
        <v>0</v>
      </c>
      <c r="BC12" s="124">
        <f t="shared" si="10"/>
        <v>0</v>
      </c>
      <c r="BD12" s="124">
        <f t="shared" si="10"/>
        <v>0</v>
      </c>
      <c r="BE12" s="125">
        <f t="shared" si="10"/>
        <v>0</v>
      </c>
    </row>
    <row r="13" s="105" customFormat="1" spans="2:57">
      <c r="B13" s="121"/>
      <c r="C13" s="126" t="s">
        <v>796</v>
      </c>
      <c r="D13" s="123">
        <f t="shared" si="0"/>
        <v>400</v>
      </c>
      <c r="E13" s="50" t="s">
        <v>130</v>
      </c>
      <c r="F13" s="124">
        <v>0</v>
      </c>
      <c r="G13" s="124">
        <f>参数输入表!$I$878</f>
        <v>0</v>
      </c>
      <c r="H13" s="124">
        <f>参数输入表!$I$879</f>
        <v>0</v>
      </c>
      <c r="I13" s="124">
        <f>参数输入表!$I$880</f>
        <v>0</v>
      </c>
      <c r="J13" s="124">
        <f>参数输入表!$I$881</f>
        <v>0</v>
      </c>
      <c r="K13" s="124">
        <f>参数输入表!$I$882</f>
        <v>0</v>
      </c>
      <c r="L13" s="124">
        <f>参数输入表!$I$883</f>
        <v>0</v>
      </c>
      <c r="M13" s="124">
        <v>0</v>
      </c>
      <c r="N13" s="124">
        <f>参数输入表!$I$884</f>
        <v>0</v>
      </c>
      <c r="O13" s="124">
        <v>0</v>
      </c>
      <c r="P13" s="124">
        <v>0</v>
      </c>
      <c r="Q13" s="124">
        <f>参数输入表!$I$885</f>
        <v>0</v>
      </c>
      <c r="R13" s="124">
        <f>参数输入表!$I$886</f>
        <v>400</v>
      </c>
      <c r="S13" s="124">
        <f>参数输入表!$I$887</f>
        <v>0</v>
      </c>
      <c r="T13" s="124">
        <f>参数输入表!$I$888</f>
        <v>0</v>
      </c>
      <c r="U13" s="124">
        <f>参数输入表!$I$889</f>
        <v>0</v>
      </c>
      <c r="V13" s="124">
        <f>参数输入表!$I$890</f>
        <v>0</v>
      </c>
      <c r="W13" s="124">
        <f>参数输入表!$I$891</f>
        <v>0</v>
      </c>
      <c r="X13" s="124">
        <f>参数输入表!$I$892</f>
        <v>0</v>
      </c>
      <c r="Y13" s="124">
        <f>参数输入表!$I$893</f>
        <v>0</v>
      </c>
      <c r="Z13" s="124">
        <f>参数输入表!$I$894</f>
        <v>0</v>
      </c>
      <c r="AA13" s="124">
        <f>参数输入表!$I$895</f>
        <v>0</v>
      </c>
      <c r="AB13" s="124">
        <f>参数输入表!$I$896</f>
        <v>0</v>
      </c>
      <c r="AC13" s="124">
        <f>参数输入表!$I$897</f>
        <v>0</v>
      </c>
      <c r="AD13" s="124">
        <f>参数输入表!$I$898</f>
        <v>0</v>
      </c>
      <c r="AE13" s="124">
        <f>参数输入表!$I$899</f>
        <v>0</v>
      </c>
      <c r="AF13" s="124">
        <f>参数输入表!$I$900</f>
        <v>0</v>
      </c>
      <c r="AG13" s="124">
        <f>参数输入表!$I$901</f>
        <v>0</v>
      </c>
      <c r="AH13" s="124">
        <f>参数输入表!$I$902</f>
        <v>0</v>
      </c>
      <c r="AI13" s="124">
        <f>参数输入表!$I$903</f>
        <v>0</v>
      </c>
      <c r="AJ13" s="124">
        <f>参数输入表!$I$904</f>
        <v>0</v>
      </c>
      <c r="AK13" s="124">
        <f>参数输入表!$I$905</f>
        <v>0</v>
      </c>
      <c r="AL13" s="124">
        <f>参数输入表!$I$906</f>
        <v>0</v>
      </c>
      <c r="AM13" s="124">
        <f>参数输入表!$I$907</f>
        <v>0</v>
      </c>
      <c r="AN13" s="124">
        <f>参数输入表!$I$908</f>
        <v>0</v>
      </c>
      <c r="AO13" s="124">
        <f>参数输入表!$I$909</f>
        <v>0</v>
      </c>
      <c r="AP13" s="124">
        <f>参数输入表!$I$910</f>
        <v>0</v>
      </c>
      <c r="AQ13" s="124">
        <f>参数输入表!$I$911</f>
        <v>0</v>
      </c>
      <c r="AR13" s="124">
        <f>参数输入表!$I$912</f>
        <v>0</v>
      </c>
      <c r="AS13" s="124">
        <f>参数输入表!$I$913</f>
        <v>0</v>
      </c>
      <c r="AT13" s="124">
        <f>参数输入表!$I$914</f>
        <v>0</v>
      </c>
      <c r="AU13" s="124">
        <f>参数输入表!$I$915</f>
        <v>0</v>
      </c>
      <c r="AV13" s="124">
        <f>参数输入表!$I$916</f>
        <v>0</v>
      </c>
      <c r="AW13" s="124">
        <f>参数输入表!$I$917</f>
        <v>0</v>
      </c>
      <c r="AX13" s="124">
        <f>参数输入表!$I$918</f>
        <v>0</v>
      </c>
      <c r="AY13" s="124">
        <f>参数输入表!$I$919</f>
        <v>0</v>
      </c>
      <c r="AZ13" s="124">
        <f>参数输入表!$I$920</f>
        <v>0</v>
      </c>
      <c r="BA13" s="124">
        <f>参数输入表!$I$921</f>
        <v>0</v>
      </c>
      <c r="BB13" s="124">
        <f>参数输入表!$I$922</f>
        <v>0</v>
      </c>
      <c r="BC13" s="124">
        <f>参数输入表!$I$923</f>
        <v>0</v>
      </c>
      <c r="BD13" s="124">
        <f>参数输入表!$I$924</f>
        <v>0</v>
      </c>
      <c r="BE13" s="125">
        <f>参数输入表!$I$925</f>
        <v>0</v>
      </c>
    </row>
    <row r="14" s="105" customFormat="1" spans="2:57">
      <c r="B14" s="121">
        <v>1.4</v>
      </c>
      <c r="C14" s="122" t="s">
        <v>984</v>
      </c>
      <c r="D14" s="123">
        <f t="shared" si="0"/>
        <v>6436.08669065986</v>
      </c>
      <c r="E14" s="50" t="s">
        <v>130</v>
      </c>
      <c r="F14" s="124">
        <v>0</v>
      </c>
      <c r="G14" s="124">
        <f>IF(G4-$BE$4&gt;=0,'表1-资金筹措及还本付息表'!$D$35,0)</f>
        <v>0</v>
      </c>
      <c r="H14" s="124">
        <f>IF(H4-$BE$4&gt;=0,'表1-资金筹措及还本付息表'!$D$35,0)</f>
        <v>0</v>
      </c>
      <c r="I14" s="124">
        <f>IF(I4-$BE$4&gt;=0,'表1-资金筹措及还本付息表'!$D$35,0)</f>
        <v>0</v>
      </c>
      <c r="J14" s="124">
        <f>IF(J4-$BE$4&gt;=0,'表1-资金筹措及还本付息表'!$D$35,0)</f>
        <v>0</v>
      </c>
      <c r="K14" s="124">
        <f>IF(K4-$BE$4&gt;=0,'表1-资金筹措及还本付息表'!$D$35,0)</f>
        <v>0</v>
      </c>
      <c r="L14" s="124">
        <f>IF(L4-$BE$4&gt;=0,'表1-资金筹措及还本付息表'!$D$35,0)</f>
        <v>0</v>
      </c>
      <c r="M14" s="124">
        <v>0</v>
      </c>
      <c r="N14" s="124">
        <f>IF(N4-$BE$4&gt;=0,'表1-资金筹措及还本付息表'!$D$35,0)</f>
        <v>0</v>
      </c>
      <c r="O14" s="124">
        <v>0</v>
      </c>
      <c r="P14" s="124">
        <v>0</v>
      </c>
      <c r="Q14" s="124">
        <f>IF(Q4-$BE$4&gt;=0,'表1-资金筹措及还本付息表'!$D$35,0)</f>
        <v>0</v>
      </c>
      <c r="R14" s="124">
        <f>IF(R4-$BE$4&gt;=0,'表1-资金筹措及还本付息表'!$D$35,0)</f>
        <v>0</v>
      </c>
      <c r="S14" s="124">
        <f>IF(S4-$BE$4&gt;=0,'表1-资金筹措及还本付息表'!$D$35,0)</f>
        <v>0</v>
      </c>
      <c r="T14" s="124">
        <f>IF(T4-$BE$4&gt;=0,'表1-资金筹措及还本付息表'!$D$35,0)</f>
        <v>0</v>
      </c>
      <c r="U14" s="124">
        <f>IF(U4-$BE$4&gt;=0,'表1-资金筹措及还本付息表'!$D$35,0)</f>
        <v>0</v>
      </c>
      <c r="V14" s="124">
        <f>IF(V4-$BE$4&gt;=0,'表1-资金筹措及还本付息表'!$D$35,0)</f>
        <v>0</v>
      </c>
      <c r="W14" s="124">
        <f>IF(W4-$BE$4&gt;=0,'表1-资金筹措及还本付息表'!$D$35,0)</f>
        <v>0</v>
      </c>
      <c r="X14" s="124">
        <f>IF(X4-$BE$4&gt;=0,'表1-资金筹措及还本付息表'!$D$35,0)</f>
        <v>0</v>
      </c>
      <c r="Y14" s="124">
        <f>IF(Y4-$BE$4&gt;=0,'表1-资金筹措及还本付息表'!$D$35,0)</f>
        <v>0</v>
      </c>
      <c r="Z14" s="124">
        <f>IF(Z4-$BE$4&gt;=0,'表1-资金筹措及还本付息表'!$D$35,0)</f>
        <v>0</v>
      </c>
      <c r="AA14" s="124">
        <f>IF(AA4-$BE$4&gt;=0,'表1-资金筹措及还本付息表'!$D$35,0)</f>
        <v>0</v>
      </c>
      <c r="AB14" s="124">
        <f>IF(AB4-$BE$4&gt;=0,'表1-资金筹措及还本付息表'!$D$35,0)</f>
        <v>0</v>
      </c>
      <c r="AC14" s="124">
        <f>IF(AC4-$BE$4&gt;=0,'表1-资金筹措及还本付息表'!$D$35,0)</f>
        <v>0</v>
      </c>
      <c r="AD14" s="124">
        <f>IF(AD4-$BE$4&gt;=0,'表1-资金筹措及还本付息表'!$D$35,0)</f>
        <v>0</v>
      </c>
      <c r="AE14" s="124">
        <f>IF(AE4-$BE$4&gt;=0,'表1-资金筹措及还本付息表'!$D$35,0)</f>
        <v>0</v>
      </c>
      <c r="AF14" s="124">
        <f>IF(AF4-$BE$4&gt;=0,'表1-资金筹措及还本付息表'!$D$35,0)</f>
        <v>0</v>
      </c>
      <c r="AG14" s="124">
        <f>IF(AG4-$BE$4&gt;=0,'表1-资金筹措及还本付息表'!$D$35,0)</f>
        <v>0</v>
      </c>
      <c r="AH14" s="124">
        <f>IF(AH4-$BE$4&gt;=0,'表1-资金筹措及还本付息表'!$D$35,0)</f>
        <v>0</v>
      </c>
      <c r="AI14" s="124">
        <f>IF(AI4-$BE$4&gt;=0,'表1-资金筹措及还本付息表'!$D$35,0)</f>
        <v>0</v>
      </c>
      <c r="AJ14" s="124">
        <f>IF(AJ4-$BE$4&gt;=0,'表1-资金筹措及还本付息表'!$D$35,0)</f>
        <v>0</v>
      </c>
      <c r="AK14" s="124">
        <f>IF(AK4-$BE$4&gt;=0,'表1-资金筹措及还本付息表'!$D$35,0)</f>
        <v>0</v>
      </c>
      <c r="AL14" s="124">
        <f>IF(AL4-$BE$4&gt;=0,'表1-资金筹措及还本付息表'!$D$35,0)</f>
        <v>0</v>
      </c>
      <c r="AM14" s="124">
        <f>IF(AM4-$BE$4&gt;=0,'表1-资金筹措及还本付息表'!$D$35,0)</f>
        <v>0</v>
      </c>
      <c r="AN14" s="124">
        <f>IF(AN4-$BE$4&gt;=0,'表1-资金筹措及还本付息表'!$D$35,0)</f>
        <v>0</v>
      </c>
      <c r="AO14" s="124">
        <f>IF(AO4-$BE$4&gt;=0,'表1-资金筹措及还本付息表'!$D$35,0)</f>
        <v>0</v>
      </c>
      <c r="AP14" s="124">
        <f>IF(AP4-$BE$4&gt;=0,'表1-资金筹措及还本付息表'!$D$35,0)</f>
        <v>0</v>
      </c>
      <c r="AQ14" s="124">
        <f>IF(AQ4-$BE$4&gt;=0,'表1-资金筹措及还本付息表'!$D$35,0)</f>
        <v>0</v>
      </c>
      <c r="AR14" s="124">
        <f>IF(AR4-$BE$4&gt;=0,'表1-资金筹措及还本付息表'!$D$35,0)</f>
        <v>0</v>
      </c>
      <c r="AS14" s="124">
        <f>IF(AS4-$BE$4&gt;=0,'表1-资金筹措及还本付息表'!$D$35,0)</f>
        <v>0</v>
      </c>
      <c r="AT14" s="124">
        <f>IF(AT4-$BE$4&gt;=0,'表1-资金筹措及还本付息表'!$D$35,0)</f>
        <v>0</v>
      </c>
      <c r="AU14" s="124">
        <f>IF(AU4-$BE$4&gt;=0,'表1-资金筹措及还本付息表'!$D$35,0)</f>
        <v>0</v>
      </c>
      <c r="AV14" s="124">
        <f>IF(AV4-$BE$4&gt;=0,'表1-资金筹措及还本付息表'!$D$35,0)</f>
        <v>0</v>
      </c>
      <c r="AW14" s="124">
        <f>IF(AW4-$BE$4&gt;=0,'表1-资金筹措及还本付息表'!$D$35,0)</f>
        <v>0</v>
      </c>
      <c r="AX14" s="124">
        <f>IF(AX4-$BE$4&gt;=0,'表1-资金筹措及还本付息表'!$D$35,0)</f>
        <v>0</v>
      </c>
      <c r="AY14" s="124">
        <f>IF(AY4-$BE$4&gt;=0,'表1-资金筹措及还本付息表'!$D$35,0)</f>
        <v>0</v>
      </c>
      <c r="AZ14" s="124">
        <f>IF(AZ4-$BE$4&gt;=0,'表1-资金筹措及还本付息表'!$D$35,0)</f>
        <v>0</v>
      </c>
      <c r="BA14" s="124">
        <f>IF(BA4-$BE$4&gt;=0,'表1-资金筹措及还本付息表'!$D$35,0)</f>
        <v>0</v>
      </c>
      <c r="BB14" s="124">
        <f>IF(BB4-$BE$4&gt;=0,'表1-资金筹措及还本付息表'!$D$35,0)</f>
        <v>0</v>
      </c>
      <c r="BC14" s="124">
        <f>IF(BC4-$BE$4&gt;=0,'表1-资金筹措及还本付息表'!$D$35,0)</f>
        <v>0</v>
      </c>
      <c r="BD14" s="124">
        <f>IF(BD4-$BE$4&gt;=0,'表1-资金筹措及还本付息表'!$D$35,0)</f>
        <v>0</v>
      </c>
      <c r="BE14" s="125">
        <f>IF(BE4-$BE$4&gt;=0,'表1-资金筹措及还本付息表'!$D$35,0)</f>
        <v>6436.08669065986</v>
      </c>
    </row>
    <row r="15" s="105" customFormat="1" spans="2:57">
      <c r="B15" s="121">
        <v>1.5</v>
      </c>
      <c r="C15" s="122" t="s">
        <v>949</v>
      </c>
      <c r="D15" s="123">
        <f ca="1" t="shared" si="0"/>
        <v>39970.9722511963</v>
      </c>
      <c r="E15" s="50" t="s">
        <v>130</v>
      </c>
      <c r="F15" s="124">
        <v>0</v>
      </c>
      <c r="G15" s="124">
        <f ca="1">IF(G4-$BE$4&gt;=0,IF(参数输入表!$I$358="含建设期利息",'表2-折旧摊销表'!F231,'表2-折旧摊销表'!F304),0)</f>
        <v>0</v>
      </c>
      <c r="H15" s="124">
        <f ca="1">IF(H4-$BE$4&gt;=0,IF(参数输入表!$I$358="含建设期利息",'表2-折旧摊销表'!G231,'表2-折旧摊销表'!G304),0)</f>
        <v>0</v>
      </c>
      <c r="I15" s="124">
        <f ca="1">IF(I4-$BE$4&gt;=0,IF(参数输入表!$I$358="含建设期利息",'表2-折旧摊销表'!H231,'表2-折旧摊销表'!H304),0)</f>
        <v>0</v>
      </c>
      <c r="J15" s="124">
        <f ca="1">IF(J4-$BE$4&gt;=0,IF(参数输入表!$I$358="含建设期利息",'表2-折旧摊销表'!I231,'表2-折旧摊销表'!I304),0)</f>
        <v>0</v>
      </c>
      <c r="K15" s="124">
        <f ca="1">IF(K4-$BE$4&gt;=0,IF(参数输入表!$I$358="含建设期利息",'表2-折旧摊销表'!J231,'表2-折旧摊销表'!J304),0)</f>
        <v>0</v>
      </c>
      <c r="L15" s="124">
        <f ca="1">IF(L4-$BE$4&gt;=0,IF(参数输入表!$I$358="含建设期利息",'表2-折旧摊销表'!K231,'表2-折旧摊销表'!K304),0)</f>
        <v>0</v>
      </c>
      <c r="M15" s="124">
        <v>0</v>
      </c>
      <c r="N15" s="124">
        <f ca="1">IF(N4-$BE$4&gt;=0,IF(参数输入表!$I$358="含建设期利息",'表2-折旧摊销表'!L231,'表2-折旧摊销表'!L304),0)</f>
        <v>0</v>
      </c>
      <c r="O15" s="124">
        <v>0</v>
      </c>
      <c r="P15" s="124">
        <v>0</v>
      </c>
      <c r="Q15" s="124">
        <f ca="1">IF(Q4-$BE$4&gt;=0,IF(参数输入表!$I$358="含建设期利息",'表2-折旧摊销表'!N231,'表2-折旧摊销表'!N304),0)</f>
        <v>0</v>
      </c>
      <c r="R15" s="124">
        <f ca="1">IF(R4-$BE$4&gt;=0,IF(参数输入表!$I$358="含建设期利息",'表2-折旧摊销表'!O231,'表2-折旧摊销表'!O304),0)</f>
        <v>0</v>
      </c>
      <c r="S15" s="124">
        <f ca="1">IF(S4-$BE$4&gt;=0,IF(参数输入表!$I$358="含建设期利息",'表2-折旧摊销表'!O231,'表2-折旧摊销表'!O304),0)</f>
        <v>0</v>
      </c>
      <c r="T15" s="124">
        <f ca="1">IF(T4-$BE$4&gt;=0,IF(参数输入表!$I$358="含建设期利息",'表2-折旧摊销表'!P231,'表2-折旧摊销表'!P304),0)</f>
        <v>0</v>
      </c>
      <c r="U15" s="124">
        <f ca="1">IF(U4-$BE$4&gt;=0,IF(参数输入表!$I$358="含建设期利息",'表2-折旧摊销表'!Q231,'表2-折旧摊销表'!Q304),0)</f>
        <v>0</v>
      </c>
      <c r="V15" s="124">
        <f ca="1">IF(V4-$BE$4&gt;=0,IF(参数输入表!$I$358="含建设期利息",'表2-折旧摊销表'!R231,'表2-折旧摊销表'!R304),0)</f>
        <v>0</v>
      </c>
      <c r="W15" s="124">
        <f ca="1">IF(W4-$BE$4&gt;=0,IF(参数输入表!$I$358="含建设期利息",'表2-折旧摊销表'!S231,'表2-折旧摊销表'!S304),0)</f>
        <v>0</v>
      </c>
      <c r="X15" s="124">
        <f ca="1">IF(X4-$BE$4&gt;=0,IF(参数输入表!$I$358="含建设期利息",'表2-折旧摊销表'!T231,'表2-折旧摊销表'!T304),0)</f>
        <v>0</v>
      </c>
      <c r="Y15" s="124">
        <f ca="1">IF(Y4-$BE$4&gt;=0,IF(参数输入表!$I$358="含建设期利息",'表2-折旧摊销表'!U231,'表2-折旧摊销表'!U304),0)</f>
        <v>0</v>
      </c>
      <c r="Z15" s="124">
        <f ca="1">IF(Z4-$BE$4&gt;=0,IF(参数输入表!$I$358="含建设期利息",'表2-折旧摊销表'!V231,'表2-折旧摊销表'!V304),0)</f>
        <v>0</v>
      </c>
      <c r="AA15" s="124">
        <f ca="1">IF(AA4-$BE$4&gt;=0,IF(参数输入表!$I$358="含建设期利息",'表2-折旧摊销表'!W231,'表2-折旧摊销表'!W304),0)</f>
        <v>0</v>
      </c>
      <c r="AB15" s="124">
        <f ca="1">IF(AB4-$BE$4&gt;=0,IF(参数输入表!$I$358="含建设期利息",'表2-折旧摊销表'!X231,'表2-折旧摊销表'!X304),0)</f>
        <v>0</v>
      </c>
      <c r="AC15" s="124">
        <f ca="1">IF(AC4-$BE$4&gt;=0,IF(参数输入表!$I$358="含建设期利息",'表2-折旧摊销表'!Y231,'表2-折旧摊销表'!Y304),0)</f>
        <v>0</v>
      </c>
      <c r="AD15" s="124">
        <f ca="1">IF(AD4-$BE$4&gt;=0,IF(参数输入表!$I$358="含建设期利息",'表2-折旧摊销表'!Z231,'表2-折旧摊销表'!Z304),0)</f>
        <v>0</v>
      </c>
      <c r="AE15" s="124">
        <f ca="1">IF(AE4-$BE$4&gt;=0,IF(参数输入表!$I$358="含建设期利息",'表2-折旧摊销表'!AA231,'表2-折旧摊销表'!AA304),0)</f>
        <v>0</v>
      </c>
      <c r="AF15" s="124">
        <f ca="1">IF(AF4-$BE$4&gt;=0,IF(参数输入表!$I$358="含建设期利息",'表2-折旧摊销表'!AB231,'表2-折旧摊销表'!AB304),0)</f>
        <v>0</v>
      </c>
      <c r="AG15" s="124">
        <f ca="1">IF(AG4-$BE$4&gt;=0,IF(参数输入表!$I$358="含建设期利息",'表2-折旧摊销表'!AC231,'表2-折旧摊销表'!AC304),0)</f>
        <v>0</v>
      </c>
      <c r="AH15" s="124">
        <f ca="1">IF(AH4-$BE$4&gt;=0,IF(参数输入表!$I$358="含建设期利息",'表2-折旧摊销表'!AD231,'表2-折旧摊销表'!AD304),0)</f>
        <v>0</v>
      </c>
      <c r="AI15" s="124">
        <f ca="1">IF(AI4-$BE$4&gt;=0,IF(参数输入表!$I$358="含建设期利息",'表2-折旧摊销表'!AE231,'表2-折旧摊销表'!AE304),0)</f>
        <v>0</v>
      </c>
      <c r="AJ15" s="124">
        <f ca="1">IF(AJ4-$BE$4&gt;=0,IF(参数输入表!$I$358="含建设期利息",'表2-折旧摊销表'!AF231,'表2-折旧摊销表'!AF304),0)</f>
        <v>0</v>
      </c>
      <c r="AK15" s="124">
        <f ca="1">IF(AK4-$BE$4&gt;=0,IF(参数输入表!$I$358="含建设期利息",'表2-折旧摊销表'!AG231,'表2-折旧摊销表'!AG304),0)</f>
        <v>0</v>
      </c>
      <c r="AL15" s="124">
        <f ca="1">IF(AL4-$BE$4&gt;=0,IF(参数输入表!$I$358="含建设期利息",'表2-折旧摊销表'!AH231,'表2-折旧摊销表'!AH304),0)</f>
        <v>0</v>
      </c>
      <c r="AM15" s="124">
        <f ca="1">IF(AM4-$BE$4&gt;=0,IF(参数输入表!$I$358="含建设期利息",'表2-折旧摊销表'!AI231,'表2-折旧摊销表'!AI304),0)</f>
        <v>0</v>
      </c>
      <c r="AN15" s="124">
        <f ca="1">IF(AN4-$BE$4&gt;=0,IF(参数输入表!$I$358="含建设期利息",'表2-折旧摊销表'!AJ231,'表2-折旧摊销表'!AJ304),0)</f>
        <v>0</v>
      </c>
      <c r="AO15" s="124">
        <f ca="1">IF(AO4-$BE$4&gt;=0,IF(参数输入表!$I$358="含建设期利息",'表2-折旧摊销表'!AK231,'表2-折旧摊销表'!AK304),0)</f>
        <v>0</v>
      </c>
      <c r="AP15" s="124">
        <f ca="1">IF(AP4-$BE$4&gt;=0,IF(参数输入表!$I$358="含建设期利息",'表2-折旧摊销表'!AL231,'表2-折旧摊销表'!AL304),0)</f>
        <v>0</v>
      </c>
      <c r="AQ15" s="124">
        <f ca="1">IF(AQ4-$BE$4&gt;=0,IF(参数输入表!$I$358="含建设期利息",'表2-折旧摊销表'!AM231,'表2-折旧摊销表'!AM304),0)</f>
        <v>0</v>
      </c>
      <c r="AR15" s="124">
        <f ca="1">IF(AR4-$BE$4&gt;=0,IF(参数输入表!$I$358="含建设期利息",'表2-折旧摊销表'!AN231,'表2-折旧摊销表'!AN304),0)</f>
        <v>0</v>
      </c>
      <c r="AS15" s="124">
        <f ca="1">IF(AS4-$BE$4&gt;=0,IF(参数输入表!$I$358="含建设期利息",'表2-折旧摊销表'!AO231,'表2-折旧摊销表'!AO304),0)</f>
        <v>0</v>
      </c>
      <c r="AT15" s="124">
        <f ca="1">IF(AT4-$BE$4&gt;=0,IF(参数输入表!$I$358="含建设期利息",'表2-折旧摊销表'!AP231,'表2-折旧摊销表'!AP304),0)</f>
        <v>0</v>
      </c>
      <c r="AU15" s="124">
        <f ca="1">IF(AU4-$BE$4&gt;=0,IF(参数输入表!$I$358="含建设期利息",'表2-折旧摊销表'!AQ231,'表2-折旧摊销表'!AQ304),0)</f>
        <v>0</v>
      </c>
      <c r="AV15" s="124">
        <f ca="1">IF(AV4-$BE$4&gt;=0,IF(参数输入表!$I$358="含建设期利息",'表2-折旧摊销表'!AR231,'表2-折旧摊销表'!AR304),0)</f>
        <v>0</v>
      </c>
      <c r="AW15" s="124">
        <f ca="1">IF(AW4-$BE$4&gt;=0,IF(参数输入表!$I$358="含建设期利息",'表2-折旧摊销表'!AS231,'表2-折旧摊销表'!AS304),0)</f>
        <v>0</v>
      </c>
      <c r="AX15" s="124">
        <f ca="1">IF(AX4-$BE$4&gt;=0,IF(参数输入表!$I$358="含建设期利息",'表2-折旧摊销表'!AT231,'表2-折旧摊销表'!AT304),0)</f>
        <v>0</v>
      </c>
      <c r="AY15" s="124">
        <f ca="1">IF(AY4-$BE$4&gt;=0,IF(参数输入表!$I$358="含建设期利息",'表2-折旧摊销表'!AU231,'表2-折旧摊销表'!AU304),0)</f>
        <v>0</v>
      </c>
      <c r="AZ15" s="124">
        <f ca="1">IF(AZ4-$BE$4&gt;=0,IF(参数输入表!$I$358="含建设期利息",'表2-折旧摊销表'!AV231,'表2-折旧摊销表'!AV304),0)</f>
        <v>0</v>
      </c>
      <c r="BA15" s="124">
        <f ca="1">IF(BA4-$BE$4&gt;=0,IF(参数输入表!$I$358="含建设期利息",'表2-折旧摊销表'!AW231,'表2-折旧摊销表'!AW304),0)</f>
        <v>0</v>
      </c>
      <c r="BB15" s="124">
        <f ca="1">IF(BB4-$BE$4&gt;=0,IF(参数输入表!$I$358="含建设期利息",'表2-折旧摊销表'!AX231,'表2-折旧摊销表'!AX304),0)</f>
        <v>0</v>
      </c>
      <c r="BC15" s="124">
        <f ca="1">IF(BC4-$BE$4&gt;=0,IF(参数输入表!$I$358="含建设期利息",'表2-折旧摊销表'!AY231,'表2-折旧摊销表'!AY304),0)</f>
        <v>0</v>
      </c>
      <c r="BD15" s="124">
        <f ca="1">IF(BD4-$BE$4&gt;=0,IF(参数输入表!$I$358="含建设期利息",'表2-折旧摊销表'!AZ231,'表2-折旧摊销表'!AZ304),0)</f>
        <v>0</v>
      </c>
      <c r="BE15" s="125">
        <f ca="1">IF(BE4-$BE$4&gt;=0,IF(参数输入表!$I$358="含建设期利息",'表2-折旧摊销表'!BA231,'表2-折旧摊销表'!BA304),0)</f>
        <v>39970.9722511963</v>
      </c>
    </row>
    <row r="16" s="105" customFormat="1" spans="2:57">
      <c r="B16" s="116">
        <v>2</v>
      </c>
      <c r="C16" s="117" t="s">
        <v>937</v>
      </c>
      <c r="D16" s="118">
        <f ca="1" t="shared" si="0"/>
        <v>4134835.14684282</v>
      </c>
      <c r="E16" s="50" t="s">
        <v>130</v>
      </c>
      <c r="F16" s="119">
        <f ca="1" t="shared" ref="F16:Q16" si="11">SUM(F17:F23)</f>
        <v>28186.967634152</v>
      </c>
      <c r="G16" s="119">
        <f ca="1" t="shared" si="11"/>
        <v>65769.5911463546</v>
      </c>
      <c r="H16" s="119">
        <f ca="1" t="shared" si="11"/>
        <v>91349.6822169032</v>
      </c>
      <c r="I16" s="119">
        <f ca="1" t="shared" si="11"/>
        <v>103682.384359691</v>
      </c>
      <c r="J16" s="119">
        <f ca="1" t="shared" si="11"/>
        <v>113384.386958664</v>
      </c>
      <c r="K16" s="119">
        <f ca="1" t="shared" si="11"/>
        <v>151566.969986111</v>
      </c>
      <c r="L16" s="119">
        <f ca="1" t="shared" si="11"/>
        <v>138968.97276328</v>
      </c>
      <c r="M16" s="119">
        <f ca="1" t="shared" si="11"/>
        <v>70206.0755556847</v>
      </c>
      <c r="N16" s="119">
        <f ca="1" t="shared" si="11"/>
        <v>46804.0503704565</v>
      </c>
      <c r="O16" s="119">
        <f ca="1" t="shared" si="11"/>
        <v>50054.8690087031</v>
      </c>
      <c r="P16" s="119">
        <f ca="1" t="shared" si="11"/>
        <v>0</v>
      </c>
      <c r="Q16" s="119">
        <f ca="1" t="shared" si="11"/>
        <v>35254.0951439592</v>
      </c>
      <c r="R16" s="119">
        <f ca="1" t="shared" ref="Q16:BE16" si="12">SUM(R17:R23)</f>
        <v>70160.5602879184</v>
      </c>
      <c r="S16" s="119">
        <f ca="1" t="shared" si="12"/>
        <v>69660.5602879184</v>
      </c>
      <c r="T16" s="119">
        <f ca="1" t="shared" si="12"/>
        <v>69660.5602879184</v>
      </c>
      <c r="U16" s="119">
        <f ca="1" t="shared" si="12"/>
        <v>69660.5602879184</v>
      </c>
      <c r="V16" s="119">
        <f ca="1" t="shared" si="12"/>
        <v>69660.5602879184</v>
      </c>
      <c r="W16" s="119">
        <f ca="1" t="shared" si="12"/>
        <v>73452.0078989602</v>
      </c>
      <c r="X16" s="119">
        <f ca="1" t="shared" si="12"/>
        <v>82013.7005928176</v>
      </c>
      <c r="Y16" s="119">
        <f ca="1" t="shared" si="12"/>
        <v>82013.7005928176</v>
      </c>
      <c r="Z16" s="119">
        <f ca="1" t="shared" si="12"/>
        <v>82013.7005928176</v>
      </c>
      <c r="AA16" s="119">
        <f ca="1" t="shared" si="12"/>
        <v>82013.7005928176</v>
      </c>
      <c r="AB16" s="119">
        <f ca="1" t="shared" si="12"/>
        <v>83774.1877244242</v>
      </c>
      <c r="AC16" s="119">
        <f ca="1" t="shared" si="12"/>
        <v>100164.159308414</v>
      </c>
      <c r="AD16" s="119">
        <f ca="1" t="shared" si="12"/>
        <v>82013.7005928176</v>
      </c>
      <c r="AE16" s="119">
        <f ca="1" t="shared" si="12"/>
        <v>82013.7005928176</v>
      </c>
      <c r="AF16" s="119">
        <f ca="1" t="shared" si="12"/>
        <v>82013.7005928176</v>
      </c>
      <c r="AG16" s="119">
        <f ca="1" t="shared" si="12"/>
        <v>82467.4620607074</v>
      </c>
      <c r="AH16" s="119">
        <f ca="1" t="shared" si="12"/>
        <v>82013.7005928176</v>
      </c>
      <c r="AI16" s="119">
        <f ca="1" t="shared" si="12"/>
        <v>82013.7005928176</v>
      </c>
      <c r="AJ16" s="119">
        <f ca="1" t="shared" si="12"/>
        <v>83320.4262565343</v>
      </c>
      <c r="AK16" s="119">
        <f ca="1" t="shared" si="12"/>
        <v>82013.7005928176</v>
      </c>
      <c r="AL16" s="119">
        <f ca="1" t="shared" si="12"/>
        <v>82467.4620607074</v>
      </c>
      <c r="AM16" s="119">
        <f ca="1" t="shared" si="12"/>
        <v>100164.159308414</v>
      </c>
      <c r="AN16" s="119">
        <f ca="1" t="shared" si="12"/>
        <v>82013.7005928176</v>
      </c>
      <c r="AO16" s="119">
        <f ca="1" t="shared" si="12"/>
        <v>82013.7005928176</v>
      </c>
      <c r="AP16" s="119">
        <f ca="1" t="shared" si="12"/>
        <v>82013.7005928176</v>
      </c>
      <c r="AQ16" s="119">
        <f ca="1" t="shared" si="12"/>
        <v>82467.4620607074</v>
      </c>
      <c r="AR16" s="119">
        <f ca="1" t="shared" si="12"/>
        <v>83320.4262565343</v>
      </c>
      <c r="AS16" s="119">
        <f ca="1" t="shared" si="12"/>
        <v>82013.7005928176</v>
      </c>
      <c r="AT16" s="119">
        <f ca="1" t="shared" si="12"/>
        <v>82013.7005928176</v>
      </c>
      <c r="AU16" s="119">
        <f ca="1" t="shared" si="12"/>
        <v>82013.7005928176</v>
      </c>
      <c r="AV16" s="119">
        <f ca="1" t="shared" si="12"/>
        <v>82467.4620607074</v>
      </c>
      <c r="AW16" s="119">
        <f ca="1" t="shared" si="12"/>
        <v>100164.159308414</v>
      </c>
      <c r="AX16" s="119">
        <f ca="1" t="shared" si="12"/>
        <v>82013.7005928176</v>
      </c>
      <c r="AY16" s="119">
        <f ca="1" t="shared" si="12"/>
        <v>82013.7005928176</v>
      </c>
      <c r="AZ16" s="119">
        <f ca="1" t="shared" si="12"/>
        <v>83320.4262565343</v>
      </c>
      <c r="BA16" s="119">
        <f ca="1" t="shared" si="12"/>
        <v>82467.4620607074</v>
      </c>
      <c r="BB16" s="119">
        <f ca="1" t="shared" si="12"/>
        <v>82013.7005928176</v>
      </c>
      <c r="BC16" s="119">
        <f ca="1" t="shared" si="12"/>
        <v>82467.4620607074</v>
      </c>
      <c r="BD16" s="119">
        <f ca="1" t="shared" si="12"/>
        <v>82013.7005928176</v>
      </c>
      <c r="BE16" s="120">
        <f ca="1" t="shared" si="12"/>
        <v>48045.5637204415</v>
      </c>
    </row>
    <row r="17" s="105" customFormat="1" spans="2:57">
      <c r="B17" s="121">
        <v>2.1</v>
      </c>
      <c r="C17" s="122" t="s">
        <v>494</v>
      </c>
      <c r="D17" s="123">
        <f ca="1" t="shared" si="0"/>
        <v>859973.95</v>
      </c>
      <c r="E17" s="50" t="s">
        <v>130</v>
      </c>
      <c r="F17" s="124">
        <f ca="1">IF(参数输入表!$I$358="含建设期利息",'表1-资金筹措及还本付息表'!F8+'表1-资金筹措及还本付息表'!F9,'表1-资金筹措及还本付息表'!F8)</f>
        <v>28186.967634152</v>
      </c>
      <c r="G17" s="124">
        <f ca="1">IF(参数输入表!$I$358="含建设期利息",'表1-资金筹措及还本付息表'!G8+'表1-资金筹措及还本付息表'!G9,'表1-资金筹措及还本付息表'!G8)</f>
        <v>65769.5911463546</v>
      </c>
      <c r="H17" s="124">
        <f ca="1">IF(参数输入表!$I$358="含建设期利息",'表1-资金筹措及还本付息表'!H8+'表1-资金筹措及还本付息表'!H9,'表1-资金筹措及还本付息表'!H8)</f>
        <v>91349.6822169032</v>
      </c>
      <c r="I17" s="124">
        <f ca="1">IF(参数输入表!$I$358="含建设期利息",'表1-资金筹措及还本付息表'!I8+'表1-资金筹措及还本付息表'!I9,'表1-资金筹措及还本付息表'!I8)</f>
        <v>103682.384359691</v>
      </c>
      <c r="J17" s="124">
        <f ca="1">IF(参数输入表!$I$358="含建设期利息",'表1-资金筹措及还本付息表'!J8+'表1-资金筹措及还本付息表'!J9,'表1-资金筹措及还本付息表'!J8)</f>
        <v>113384.386958664</v>
      </c>
      <c r="K17" s="124">
        <f ca="1">IF(参数输入表!$I$358="含建设期利息",'表1-资金筹措及还本付息表'!K8+'表1-资金筹措及还本付息表'!K9,'表1-资金筹措及还本付息表'!K8)</f>
        <v>151566.969986111</v>
      </c>
      <c r="L17" s="124">
        <f ca="1">IF(参数输入表!$I$358="含建设期利息",'表1-资金筹措及还本付息表'!L8+'表1-资金筹措及还本付息表'!L9,'表1-资金筹措及还本付息表'!L8)</f>
        <v>138968.97276328</v>
      </c>
      <c r="M17" s="124">
        <f ca="1">IF(参数输入表!$I$358="含建设期利息",'表1-资金筹措及还本付息表'!M8+'表1-资金筹措及还本付息表'!M9,'表1-资金筹措及还本付息表'!M8)</f>
        <v>70206.0755556847</v>
      </c>
      <c r="N17" s="124">
        <f ca="1">IF(参数输入表!$I$358="含建设期利息",'表1-资金筹措及还本付息表'!N8+'表1-资金筹措及还本付息表'!N9,'表1-资金筹措及还本付息表'!N8)</f>
        <v>46804.0503704565</v>
      </c>
      <c r="O17" s="124">
        <f ca="1">IF(参数输入表!$I$358="含建设期利息",'表1-资金筹措及还本付息表'!O8+'表1-资金筹措及还本付息表'!O9,'表1-资金筹措及还本付息表'!O8)</f>
        <v>50054.8690087031</v>
      </c>
      <c r="P17" s="124">
        <f ca="1">IF(参数输入表!$I$358="含建设期利息",'表1-资金筹措及还本付息表'!P8+'表1-资金筹措及还本付息表'!P9,'表1-资金筹措及还本付息表'!P8)</f>
        <v>0</v>
      </c>
      <c r="Q17" s="124">
        <f ca="1">IF(参数输入表!$I$358="含建设期利息",'表1-资金筹措及还本付息表'!Q8+'表1-资金筹措及还本付息表'!Q9,'表1-资金筹措及还本付息表'!Q8)</f>
        <v>0</v>
      </c>
      <c r="R17" s="124">
        <f ca="1">IF(参数输入表!$I$358="含建设期利息",'表1-资金筹措及还本付息表'!R8+'表1-资金筹措及还本付息表'!R9,'表1-资金筹措及还本付息表'!R8)</f>
        <v>0</v>
      </c>
      <c r="S17" s="124">
        <f ca="1">IF(参数输入表!$I$358="含建设期利息",'表1-资金筹措及还本付息表'!S8+'表1-资金筹措及还本付息表'!S9,'表1-资金筹措及还本付息表'!S8)</f>
        <v>0</v>
      </c>
      <c r="T17" s="124">
        <f ca="1">IF(参数输入表!$I$358="含建设期利息",'表1-资金筹措及还本付息表'!T8+'表1-资金筹措及还本付息表'!T9,'表1-资金筹措及还本付息表'!T8)</f>
        <v>0</v>
      </c>
      <c r="U17" s="124">
        <f ca="1">IF(参数输入表!$I$358="含建设期利息",'表1-资金筹措及还本付息表'!U8+'表1-资金筹措及还本付息表'!U9,'表1-资金筹措及还本付息表'!U8)</f>
        <v>0</v>
      </c>
      <c r="V17" s="124">
        <f ca="1">IF(参数输入表!$I$358="含建设期利息",'表1-资金筹措及还本付息表'!V8+'表1-资金筹措及还本付息表'!V9,'表1-资金筹措及还本付息表'!V8)</f>
        <v>0</v>
      </c>
      <c r="W17" s="124">
        <f ca="1">IF(参数输入表!$I$358="含建设期利息",'表1-资金筹措及还本付息表'!W8+'表1-资金筹措及还本付息表'!W9,'表1-资金筹措及还本付息表'!W8)</f>
        <v>0</v>
      </c>
      <c r="X17" s="124">
        <f ca="1">IF(参数输入表!$I$358="含建设期利息",'表1-资金筹措及还本付息表'!X8+'表1-资金筹措及还本付息表'!X9,'表1-资金筹措及还本付息表'!X8)</f>
        <v>0</v>
      </c>
      <c r="Y17" s="124">
        <f ca="1">IF(参数输入表!$I$358="含建设期利息",'表1-资金筹措及还本付息表'!Y8+'表1-资金筹措及还本付息表'!Y9,'表1-资金筹措及还本付息表'!Y8)</f>
        <v>0</v>
      </c>
      <c r="Z17" s="124">
        <f ca="1">IF(参数输入表!$I$358="含建设期利息",'表1-资金筹措及还本付息表'!Z8+'表1-资金筹措及还本付息表'!Z9,'表1-资金筹措及还本付息表'!Z8)</f>
        <v>0</v>
      </c>
      <c r="AA17" s="124">
        <f ca="1">IF(参数输入表!$I$358="含建设期利息",'表1-资金筹措及还本付息表'!AA8+'表1-资金筹措及还本付息表'!AA9,'表1-资金筹措及还本付息表'!AA8)</f>
        <v>0</v>
      </c>
      <c r="AB17" s="124">
        <f ca="1">IF(参数输入表!$I$358="含建设期利息",'表1-资金筹措及还本付息表'!AB8+'表1-资金筹措及还本付息表'!AB9,'表1-资金筹措及还本付息表'!AB8)</f>
        <v>0</v>
      </c>
      <c r="AC17" s="124">
        <f ca="1">IF(参数输入表!$I$358="含建设期利息",'表1-资金筹措及还本付息表'!AC8+'表1-资金筹措及还本付息表'!AC9,'表1-资金筹措及还本付息表'!AC8)</f>
        <v>0</v>
      </c>
      <c r="AD17" s="124">
        <f ca="1">IF(参数输入表!$I$358="含建设期利息",'表1-资金筹措及还本付息表'!AD8+'表1-资金筹措及还本付息表'!AD9,'表1-资金筹措及还本付息表'!AD8)</f>
        <v>0</v>
      </c>
      <c r="AE17" s="124">
        <f ca="1">IF(参数输入表!$I$358="含建设期利息",'表1-资金筹措及还本付息表'!AE8+'表1-资金筹措及还本付息表'!AE9,'表1-资金筹措及还本付息表'!AE8)</f>
        <v>0</v>
      </c>
      <c r="AF17" s="124">
        <f ca="1">IF(参数输入表!$I$358="含建设期利息",'表1-资金筹措及还本付息表'!AF8+'表1-资金筹措及还本付息表'!AF9,'表1-资金筹措及还本付息表'!AF8)</f>
        <v>0</v>
      </c>
      <c r="AG17" s="124">
        <f ca="1">IF(参数输入表!$I$358="含建设期利息",'表1-资金筹措及还本付息表'!AG8+'表1-资金筹措及还本付息表'!AG9,'表1-资金筹措及还本付息表'!AG8)</f>
        <v>0</v>
      </c>
      <c r="AH17" s="124">
        <f ca="1">IF(参数输入表!$I$358="含建设期利息",'表1-资金筹措及还本付息表'!AH8+'表1-资金筹措及还本付息表'!AH9,'表1-资金筹措及还本付息表'!AH8)</f>
        <v>0</v>
      </c>
      <c r="AI17" s="124">
        <f ca="1">IF(参数输入表!$I$358="含建设期利息",'表1-资金筹措及还本付息表'!AI8+'表1-资金筹措及还本付息表'!AI9,'表1-资金筹措及还本付息表'!AI8)</f>
        <v>0</v>
      </c>
      <c r="AJ17" s="124">
        <f ca="1">IF(参数输入表!$I$358="含建设期利息",'表1-资金筹措及还本付息表'!AJ8+'表1-资金筹措及还本付息表'!AJ9,'表1-资金筹措及还本付息表'!AJ8)</f>
        <v>0</v>
      </c>
      <c r="AK17" s="124">
        <f ca="1">IF(参数输入表!$I$358="含建设期利息",'表1-资金筹措及还本付息表'!AK8+'表1-资金筹措及还本付息表'!AK9,'表1-资金筹措及还本付息表'!AK8)</f>
        <v>0</v>
      </c>
      <c r="AL17" s="124">
        <f ca="1">IF(参数输入表!$I$358="含建设期利息",'表1-资金筹措及还本付息表'!AL8+'表1-资金筹措及还本付息表'!AL9,'表1-资金筹措及还本付息表'!AL8)</f>
        <v>0</v>
      </c>
      <c r="AM17" s="124">
        <f ca="1">IF(参数输入表!$I$358="含建设期利息",'表1-资金筹措及还本付息表'!AM8+'表1-资金筹措及还本付息表'!AM9,'表1-资金筹措及还本付息表'!AM8)</f>
        <v>0</v>
      </c>
      <c r="AN17" s="124">
        <f ca="1">IF(参数输入表!$I$358="含建设期利息",'表1-资金筹措及还本付息表'!AN8+'表1-资金筹措及还本付息表'!AN9,'表1-资金筹措及还本付息表'!AN8)</f>
        <v>0</v>
      </c>
      <c r="AO17" s="124">
        <f ca="1">IF(参数输入表!$I$358="含建设期利息",'表1-资金筹措及还本付息表'!AO8+'表1-资金筹措及还本付息表'!AO9,'表1-资金筹措及还本付息表'!AO8)</f>
        <v>0</v>
      </c>
      <c r="AP17" s="124">
        <f ca="1">IF(参数输入表!$I$358="含建设期利息",'表1-资金筹措及还本付息表'!AP8+'表1-资金筹措及还本付息表'!AP9,'表1-资金筹措及还本付息表'!AP8)</f>
        <v>0</v>
      </c>
      <c r="AQ17" s="124">
        <f ca="1">IF(参数输入表!$I$358="含建设期利息",'表1-资金筹措及还本付息表'!AQ8+'表1-资金筹措及还本付息表'!AQ9,'表1-资金筹措及还本付息表'!AQ8)</f>
        <v>0</v>
      </c>
      <c r="AR17" s="124">
        <f ca="1">IF(参数输入表!$I$358="含建设期利息",'表1-资金筹措及还本付息表'!AR8+'表1-资金筹措及还本付息表'!AR9,'表1-资金筹措及还本付息表'!AR8)</f>
        <v>0</v>
      </c>
      <c r="AS17" s="124">
        <f ca="1">IF(参数输入表!$I$358="含建设期利息",'表1-资金筹措及还本付息表'!AS8+'表1-资金筹措及还本付息表'!AS9,'表1-资金筹措及还本付息表'!AS8)</f>
        <v>0</v>
      </c>
      <c r="AT17" s="124">
        <f ca="1">IF(参数输入表!$I$358="含建设期利息",'表1-资金筹措及还本付息表'!AT8+'表1-资金筹措及还本付息表'!AT9,'表1-资金筹措及还本付息表'!AT8)</f>
        <v>0</v>
      </c>
      <c r="AU17" s="124">
        <f ca="1">IF(参数输入表!$I$358="含建设期利息",'表1-资金筹措及还本付息表'!AU8+'表1-资金筹措及还本付息表'!AU9,'表1-资金筹措及还本付息表'!AU8)</f>
        <v>0</v>
      </c>
      <c r="AV17" s="124">
        <f ca="1">IF(参数输入表!$I$358="含建设期利息",'表1-资金筹措及还本付息表'!AV8+'表1-资金筹措及还本付息表'!AV9,'表1-资金筹措及还本付息表'!AV8)</f>
        <v>0</v>
      </c>
      <c r="AW17" s="124">
        <f ca="1">IF(参数输入表!$I$358="含建设期利息",'表1-资金筹措及还本付息表'!AW8+'表1-资金筹措及还本付息表'!AW9,'表1-资金筹措及还本付息表'!AW8)</f>
        <v>0</v>
      </c>
      <c r="AX17" s="124">
        <f ca="1">IF(参数输入表!$I$358="含建设期利息",'表1-资金筹措及还本付息表'!AX8+'表1-资金筹措及还本付息表'!AX9,'表1-资金筹措及还本付息表'!AX8)</f>
        <v>0</v>
      </c>
      <c r="AY17" s="124">
        <f ca="1">IF(参数输入表!$I$358="含建设期利息",'表1-资金筹措及还本付息表'!AY8+'表1-资金筹措及还本付息表'!AY9,'表1-资金筹措及还本付息表'!AY8)</f>
        <v>0</v>
      </c>
      <c r="AZ17" s="124">
        <f ca="1">IF(参数输入表!$I$358="含建设期利息",'表1-资金筹措及还本付息表'!AZ8+'表1-资金筹措及还本付息表'!AZ9,'表1-资金筹措及还本付息表'!AZ8)</f>
        <v>0</v>
      </c>
      <c r="BA17" s="124">
        <f ca="1">IF(参数输入表!$I$358="含建设期利息",'表1-资金筹措及还本付息表'!BA8+'表1-资金筹措及还本付息表'!BA9,'表1-资金筹措及还本付息表'!BA8)</f>
        <v>0</v>
      </c>
      <c r="BB17" s="124">
        <f ca="1">IF(参数输入表!$I$358="含建设期利息",'表1-资金筹措及还本付息表'!BB8+'表1-资金筹措及还本付息表'!BB9,'表1-资金筹措及还本付息表'!BB8)</f>
        <v>0</v>
      </c>
      <c r="BC17" s="124">
        <f ca="1">IF(参数输入表!$I$358="含建设期利息",'表1-资金筹措及还本付息表'!BC8+'表1-资金筹措及还本付息表'!BC9,'表1-资金筹措及还本付息表'!BC8)</f>
        <v>0</v>
      </c>
      <c r="BD17" s="124">
        <f ca="1">IF(参数输入表!$I$358="含建设期利息",'表1-资金筹措及还本付息表'!BD8+'表1-资金筹措及还本付息表'!BD9,'表1-资金筹措及还本付息表'!BD8)</f>
        <v>0</v>
      </c>
      <c r="BE17" s="125">
        <f ca="1">IF(参数输入表!$I$358="含建设期利息",'表1-资金筹措及还本付息表'!BE8+'表1-资金筹措及还本付息表'!BE9,'表1-资金筹措及还本付息表'!BE8)</f>
        <v>0</v>
      </c>
    </row>
    <row r="18" s="105" customFormat="1" spans="2:57">
      <c r="B18" s="121">
        <v>2.2</v>
      </c>
      <c r="C18" s="122" t="s">
        <v>162</v>
      </c>
      <c r="D18" s="123">
        <f t="shared" si="0"/>
        <v>6436.08669065986</v>
      </c>
      <c r="E18" s="50" t="s">
        <v>130</v>
      </c>
      <c r="F18" s="124">
        <f>'表1-资金筹措及还本付息表'!F35</f>
        <v>0</v>
      </c>
      <c r="G18" s="124">
        <f>'表1-资金筹措及还本付息表'!G35</f>
        <v>0</v>
      </c>
      <c r="H18" s="124">
        <f>'表1-资金筹措及还本付息表'!H35</f>
        <v>0</v>
      </c>
      <c r="I18" s="124">
        <f>'表1-资金筹措及还本付息表'!I35</f>
        <v>0</v>
      </c>
      <c r="J18" s="124">
        <f>'表1-资金筹措及还本付息表'!J35</f>
        <v>0</v>
      </c>
      <c r="K18" s="124">
        <f>'表1-资金筹措及还本付息表'!K35</f>
        <v>0</v>
      </c>
      <c r="L18" s="124">
        <f>'表1-资金筹措及还本付息表'!L35</f>
        <v>0</v>
      </c>
      <c r="M18" s="124">
        <f>'表1-资金筹措及还本付息表'!M35</f>
        <v>0</v>
      </c>
      <c r="N18" s="124">
        <f>'表1-资金筹措及还本付息表'!N35</f>
        <v>0</v>
      </c>
      <c r="O18" s="124">
        <f>'表1-资金筹措及还本付息表'!O35</f>
        <v>0</v>
      </c>
      <c r="P18" s="124">
        <f>'表1-资金筹措及还本付息表'!P35</f>
        <v>0</v>
      </c>
      <c r="Q18" s="124">
        <f>'表1-资金筹措及还本付息表'!Q35</f>
        <v>6436.08669065986</v>
      </c>
      <c r="R18" s="124">
        <f>'表1-资金筹措及还本付息表'!R35</f>
        <v>0</v>
      </c>
      <c r="S18" s="124">
        <f>'表1-资金筹措及还本付息表'!S35</f>
        <v>0</v>
      </c>
      <c r="T18" s="124">
        <f>'表1-资金筹措及还本付息表'!T35</f>
        <v>0</v>
      </c>
      <c r="U18" s="124">
        <f>'表1-资金筹措及还本付息表'!U35</f>
        <v>0</v>
      </c>
      <c r="V18" s="124">
        <f>'表1-资金筹措及还本付息表'!V35</f>
        <v>0</v>
      </c>
      <c r="W18" s="124">
        <f>'表1-资金筹措及还本付息表'!W35</f>
        <v>0</v>
      </c>
      <c r="X18" s="124">
        <f>'表1-资金筹措及还本付息表'!X35</f>
        <v>0</v>
      </c>
      <c r="Y18" s="124">
        <f>'表1-资金筹措及还本付息表'!Y35</f>
        <v>0</v>
      </c>
      <c r="Z18" s="124">
        <f>'表1-资金筹措及还本付息表'!Z35</f>
        <v>0</v>
      </c>
      <c r="AA18" s="124">
        <f>'表1-资金筹措及还本付息表'!AA35</f>
        <v>0</v>
      </c>
      <c r="AB18" s="124">
        <f>'表1-资金筹措及还本付息表'!AB35</f>
        <v>0</v>
      </c>
      <c r="AC18" s="124">
        <f>'表1-资金筹措及还本付息表'!AC35</f>
        <v>0</v>
      </c>
      <c r="AD18" s="124">
        <f>'表1-资金筹措及还本付息表'!AD35</f>
        <v>0</v>
      </c>
      <c r="AE18" s="124">
        <f>'表1-资金筹措及还本付息表'!AE35</f>
        <v>0</v>
      </c>
      <c r="AF18" s="124">
        <f>'表1-资金筹措及还本付息表'!AF35</f>
        <v>0</v>
      </c>
      <c r="AG18" s="124">
        <f>'表1-资金筹措及还本付息表'!AG35</f>
        <v>0</v>
      </c>
      <c r="AH18" s="124">
        <f>'表1-资金筹措及还本付息表'!AH35</f>
        <v>0</v>
      </c>
      <c r="AI18" s="124">
        <f>'表1-资金筹措及还本付息表'!AI35</f>
        <v>0</v>
      </c>
      <c r="AJ18" s="124">
        <f>'表1-资金筹措及还本付息表'!AJ35</f>
        <v>0</v>
      </c>
      <c r="AK18" s="124">
        <f>'表1-资金筹措及还本付息表'!AK35</f>
        <v>0</v>
      </c>
      <c r="AL18" s="124">
        <f>'表1-资金筹措及还本付息表'!AL35</f>
        <v>0</v>
      </c>
      <c r="AM18" s="124">
        <f>'表1-资金筹措及还本付息表'!AM35</f>
        <v>0</v>
      </c>
      <c r="AN18" s="124">
        <f>'表1-资金筹措及还本付息表'!AN35</f>
        <v>0</v>
      </c>
      <c r="AO18" s="124">
        <f>'表1-资金筹措及还本付息表'!AO35</f>
        <v>0</v>
      </c>
      <c r="AP18" s="124">
        <f>'表1-资金筹措及还本付息表'!AP35</f>
        <v>0</v>
      </c>
      <c r="AQ18" s="124">
        <f>'表1-资金筹措及还本付息表'!AQ35</f>
        <v>0</v>
      </c>
      <c r="AR18" s="124">
        <f>'表1-资金筹措及还本付息表'!AR35</f>
        <v>0</v>
      </c>
      <c r="AS18" s="124">
        <f>'表1-资金筹措及还本付息表'!AS35</f>
        <v>0</v>
      </c>
      <c r="AT18" s="124">
        <f>'表1-资金筹措及还本付息表'!AT35</f>
        <v>0</v>
      </c>
      <c r="AU18" s="124">
        <f>'表1-资金筹措及还本付息表'!AU35</f>
        <v>0</v>
      </c>
      <c r="AV18" s="124">
        <f>'表1-资金筹措及还本付息表'!AV35</f>
        <v>0</v>
      </c>
      <c r="AW18" s="124">
        <f>'表1-资金筹措及还本付息表'!AW35</f>
        <v>0</v>
      </c>
      <c r="AX18" s="124">
        <f>'表1-资金筹措及还本付息表'!AX35</f>
        <v>0</v>
      </c>
      <c r="AY18" s="124">
        <f>'表1-资金筹措及还本付息表'!AY35</f>
        <v>0</v>
      </c>
      <c r="AZ18" s="124">
        <f>'表1-资金筹措及还本付息表'!AZ35</f>
        <v>0</v>
      </c>
      <c r="BA18" s="124">
        <f>'表1-资金筹措及还本付息表'!BA35</f>
        <v>0</v>
      </c>
      <c r="BB18" s="124">
        <f>'表1-资金筹措及还本付息表'!BB35</f>
        <v>0</v>
      </c>
      <c r="BC18" s="124">
        <f>'表1-资金筹措及还本付息表'!BC35</f>
        <v>0</v>
      </c>
      <c r="BD18" s="124">
        <f>'表1-资金筹措及还本付息表'!BD35</f>
        <v>0</v>
      </c>
      <c r="BE18" s="125">
        <f>'表1-资金筹措及还本付息表'!BE35</f>
        <v>0</v>
      </c>
    </row>
    <row r="19" s="105" customFormat="1" spans="2:57">
      <c r="B19" s="121">
        <v>2.3</v>
      </c>
      <c r="C19" s="122" t="s">
        <v>960</v>
      </c>
      <c r="D19" s="123">
        <f t="shared" si="0"/>
        <v>2784922.41151674</v>
      </c>
      <c r="E19" s="50" t="s">
        <v>130</v>
      </c>
      <c r="F19" s="124">
        <v>0</v>
      </c>
      <c r="G19" s="124">
        <f>'表3-成本费用表'!F73</f>
        <v>0</v>
      </c>
      <c r="H19" s="124">
        <f>'表3-成本费用表'!G73</f>
        <v>0</v>
      </c>
      <c r="I19" s="124">
        <f>'表3-成本费用表'!H73</f>
        <v>0</v>
      </c>
      <c r="J19" s="124">
        <f>'表3-成本费用表'!I73</f>
        <v>0</v>
      </c>
      <c r="K19" s="124">
        <f>'表3-成本费用表'!J73</f>
        <v>0</v>
      </c>
      <c r="L19" s="124">
        <f>'表3-成本费用表'!K73</f>
        <v>0</v>
      </c>
      <c r="M19" s="124">
        <v>0</v>
      </c>
      <c r="N19" s="124">
        <f>'表3-成本费用表'!L73</f>
        <v>0</v>
      </c>
      <c r="O19" s="124">
        <v>0</v>
      </c>
      <c r="P19" s="124">
        <v>0</v>
      </c>
      <c r="Q19" s="124">
        <f>'表3-成本费用表'!M73</f>
        <v>28818.0084532993</v>
      </c>
      <c r="R19" s="124">
        <f>'表3-成本费用表'!N73</f>
        <v>70010.5602879184</v>
      </c>
      <c r="S19" s="124">
        <f>'表3-成本费用表'!O73</f>
        <v>69510.5602879184</v>
      </c>
      <c r="T19" s="124">
        <f>'表3-成本费用表'!P73</f>
        <v>69510.5602879184</v>
      </c>
      <c r="U19" s="124">
        <f>'表3-成本费用表'!Q73</f>
        <v>69510.5602879184</v>
      </c>
      <c r="V19" s="124">
        <f>'表3-成本费用表'!R73</f>
        <v>69510.5602879184</v>
      </c>
      <c r="W19" s="124">
        <f>'表3-成本费用表'!S73</f>
        <v>70010.5602879184</v>
      </c>
      <c r="X19" s="124">
        <f>'表3-成本费用表'!T73</f>
        <v>69510.5602879184</v>
      </c>
      <c r="Y19" s="124">
        <f>'表3-成本费用表'!U73</f>
        <v>69510.5602879184</v>
      </c>
      <c r="Z19" s="124">
        <f>'表3-成本费用表'!V73</f>
        <v>69510.5602879184</v>
      </c>
      <c r="AA19" s="124">
        <f>'表3-成本费用表'!W73</f>
        <v>69510.5602879184</v>
      </c>
      <c r="AB19" s="124">
        <f>'表3-成本费用表'!X73</f>
        <v>70010.5602879184</v>
      </c>
      <c r="AC19" s="124">
        <f>'表3-成本费用表'!Y73</f>
        <v>69510.5602879184</v>
      </c>
      <c r="AD19" s="124">
        <f>'表3-成本费用表'!Z73</f>
        <v>69510.5602879184</v>
      </c>
      <c r="AE19" s="124">
        <f>'表3-成本费用表'!AA73</f>
        <v>69510.5602879184</v>
      </c>
      <c r="AF19" s="124">
        <f>'表3-成本费用表'!AB73</f>
        <v>69510.5602879184</v>
      </c>
      <c r="AG19" s="124">
        <f>'表3-成本费用表'!AC73</f>
        <v>70010.5602879184</v>
      </c>
      <c r="AH19" s="124">
        <f>'表3-成本费用表'!AD73</f>
        <v>69510.5602879184</v>
      </c>
      <c r="AI19" s="124">
        <f>'表3-成本费用表'!AE73</f>
        <v>69510.5602879184</v>
      </c>
      <c r="AJ19" s="124">
        <f>'表3-成本费用表'!AF73</f>
        <v>69510.5602879184</v>
      </c>
      <c r="AK19" s="124">
        <f>'表3-成本费用表'!AG73</f>
        <v>69510.5602879184</v>
      </c>
      <c r="AL19" s="124">
        <f>'表3-成本费用表'!AH73</f>
        <v>70010.5602879184</v>
      </c>
      <c r="AM19" s="124">
        <f>'表3-成本费用表'!AI73</f>
        <v>69510.5602879184</v>
      </c>
      <c r="AN19" s="124">
        <f>'表3-成本费用表'!AJ73</f>
        <v>69510.5602879184</v>
      </c>
      <c r="AO19" s="124">
        <f>'表3-成本费用表'!AK73</f>
        <v>69510.5602879184</v>
      </c>
      <c r="AP19" s="124">
        <f>'表3-成本费用表'!AL73</f>
        <v>69510.5602879184</v>
      </c>
      <c r="AQ19" s="124">
        <f>'表3-成本费用表'!AM73</f>
        <v>70010.5602879184</v>
      </c>
      <c r="AR19" s="124">
        <f>'表3-成本费用表'!AN73</f>
        <v>69510.5602879184</v>
      </c>
      <c r="AS19" s="124">
        <f>'表3-成本费用表'!AO73</f>
        <v>69510.5602879184</v>
      </c>
      <c r="AT19" s="124">
        <f>'表3-成本费用表'!AP73</f>
        <v>69510.5602879184</v>
      </c>
      <c r="AU19" s="124">
        <f>'表3-成本费用表'!AQ73</f>
        <v>69510.5602879184</v>
      </c>
      <c r="AV19" s="124">
        <f>'表3-成本费用表'!AR73</f>
        <v>70010.5602879184</v>
      </c>
      <c r="AW19" s="124">
        <f>'表3-成本费用表'!AS73</f>
        <v>69510.5602879184</v>
      </c>
      <c r="AX19" s="124">
        <f>'表3-成本费用表'!AT73</f>
        <v>69510.5602879184</v>
      </c>
      <c r="AY19" s="124">
        <f>'表3-成本费用表'!AU73</f>
        <v>69510.5602879184</v>
      </c>
      <c r="AZ19" s="124">
        <f>'表3-成本费用表'!AV73</f>
        <v>69510.5602879184</v>
      </c>
      <c r="BA19" s="124">
        <f>'表3-成本费用表'!AW73</f>
        <v>70010.5602879184</v>
      </c>
      <c r="BB19" s="124">
        <f>'表3-成本费用表'!AX73</f>
        <v>69510.5602879184</v>
      </c>
      <c r="BC19" s="124">
        <f>'表3-成本费用表'!AY73</f>
        <v>70010.5602879184</v>
      </c>
      <c r="BD19" s="124">
        <f>'表3-成本费用表'!AZ73</f>
        <v>69510.5602879184</v>
      </c>
      <c r="BE19" s="125">
        <f>'表3-成本费用表'!BA73</f>
        <v>40692.5518346191</v>
      </c>
    </row>
    <row r="20" s="105" customFormat="1" spans="2:57">
      <c r="B20" s="121">
        <v>2.4</v>
      </c>
      <c r="C20" s="122" t="s">
        <v>341</v>
      </c>
      <c r="D20" s="123">
        <f t="shared" si="0"/>
        <v>0</v>
      </c>
      <c r="E20" s="50" t="s">
        <v>130</v>
      </c>
      <c r="F20" s="124">
        <v>0</v>
      </c>
      <c r="G20" s="124">
        <f>'表3-成本费用表'!F91</f>
        <v>0</v>
      </c>
      <c r="H20" s="124">
        <f>'表3-成本费用表'!G91</f>
        <v>0</v>
      </c>
      <c r="I20" s="124">
        <f>'表3-成本费用表'!H91</f>
        <v>0</v>
      </c>
      <c r="J20" s="124">
        <f>'表3-成本费用表'!I91</f>
        <v>0</v>
      </c>
      <c r="K20" s="124">
        <f>'表3-成本费用表'!J91</f>
        <v>0</v>
      </c>
      <c r="L20" s="124">
        <f>'表3-成本费用表'!K91</f>
        <v>0</v>
      </c>
      <c r="M20" s="124">
        <v>0</v>
      </c>
      <c r="N20" s="124">
        <f>'表3-成本费用表'!L91</f>
        <v>0</v>
      </c>
      <c r="O20" s="124">
        <v>0</v>
      </c>
      <c r="P20" s="124">
        <v>0</v>
      </c>
      <c r="Q20" s="124">
        <f>'表3-成本费用表'!M91</f>
        <v>0</v>
      </c>
      <c r="R20" s="124">
        <f>'表3-成本费用表'!N91</f>
        <v>0</v>
      </c>
      <c r="S20" s="124">
        <f>'表3-成本费用表'!O91</f>
        <v>0</v>
      </c>
      <c r="T20" s="124">
        <f>'表3-成本费用表'!P91</f>
        <v>0</v>
      </c>
      <c r="U20" s="124">
        <f>'表3-成本费用表'!Q91</f>
        <v>0</v>
      </c>
      <c r="V20" s="124">
        <f>'表3-成本费用表'!R91</f>
        <v>0</v>
      </c>
      <c r="W20" s="124">
        <f>'表3-成本费用表'!S91</f>
        <v>0</v>
      </c>
      <c r="X20" s="124">
        <f>'表3-成本费用表'!T91</f>
        <v>0</v>
      </c>
      <c r="Y20" s="124">
        <f>'表3-成本费用表'!U91</f>
        <v>0</v>
      </c>
      <c r="Z20" s="124">
        <f>'表3-成本费用表'!V91</f>
        <v>0</v>
      </c>
      <c r="AA20" s="124">
        <f>'表3-成本费用表'!W91</f>
        <v>0</v>
      </c>
      <c r="AB20" s="124">
        <f>'表3-成本费用表'!X91</f>
        <v>0</v>
      </c>
      <c r="AC20" s="124">
        <f>'表3-成本费用表'!Y91</f>
        <v>0</v>
      </c>
      <c r="AD20" s="124">
        <f>'表3-成本费用表'!Z91</f>
        <v>0</v>
      </c>
      <c r="AE20" s="124">
        <f>'表3-成本费用表'!AA91</f>
        <v>0</v>
      </c>
      <c r="AF20" s="124">
        <f>'表3-成本费用表'!AB91</f>
        <v>0</v>
      </c>
      <c r="AG20" s="124">
        <f>'表3-成本费用表'!AC91</f>
        <v>0</v>
      </c>
      <c r="AH20" s="124">
        <f>'表3-成本费用表'!AD91</f>
        <v>0</v>
      </c>
      <c r="AI20" s="124">
        <f>'表3-成本费用表'!AE91</f>
        <v>0</v>
      </c>
      <c r="AJ20" s="124">
        <f>'表3-成本费用表'!AF91</f>
        <v>0</v>
      </c>
      <c r="AK20" s="124">
        <f>'表3-成本费用表'!AG91</f>
        <v>0</v>
      </c>
      <c r="AL20" s="124">
        <f>'表3-成本费用表'!AH91</f>
        <v>0</v>
      </c>
      <c r="AM20" s="124">
        <f>'表3-成本费用表'!AI91</f>
        <v>0</v>
      </c>
      <c r="AN20" s="124">
        <f>'表3-成本费用表'!AJ91</f>
        <v>0</v>
      </c>
      <c r="AO20" s="124">
        <f>'表3-成本费用表'!AK91</f>
        <v>0</v>
      </c>
      <c r="AP20" s="124">
        <f>'表3-成本费用表'!AL91</f>
        <v>0</v>
      </c>
      <c r="AQ20" s="124">
        <f>'表3-成本费用表'!AM91</f>
        <v>0</v>
      </c>
      <c r="AR20" s="124">
        <f>'表3-成本费用表'!AN91</f>
        <v>0</v>
      </c>
      <c r="AS20" s="124">
        <f>'表3-成本费用表'!AO91</f>
        <v>0</v>
      </c>
      <c r="AT20" s="124">
        <f>'表3-成本费用表'!AP91</f>
        <v>0</v>
      </c>
      <c r="AU20" s="124">
        <f>'表3-成本费用表'!AQ91</f>
        <v>0</v>
      </c>
      <c r="AV20" s="124">
        <f>'表3-成本费用表'!AR91</f>
        <v>0</v>
      </c>
      <c r="AW20" s="124">
        <f>'表3-成本费用表'!AS91</f>
        <v>0</v>
      </c>
      <c r="AX20" s="124">
        <f>'表3-成本费用表'!AT91</f>
        <v>0</v>
      </c>
      <c r="AY20" s="124">
        <f>'表3-成本费用表'!AU91</f>
        <v>0</v>
      </c>
      <c r="AZ20" s="124">
        <f>'表3-成本费用表'!AV91</f>
        <v>0</v>
      </c>
      <c r="BA20" s="124">
        <f>'表3-成本费用表'!AW91</f>
        <v>0</v>
      </c>
      <c r="BB20" s="124">
        <f>'表3-成本费用表'!AX91</f>
        <v>0</v>
      </c>
      <c r="BC20" s="124">
        <f>'表3-成本费用表'!AY91</f>
        <v>0</v>
      </c>
      <c r="BD20" s="124">
        <f>'表3-成本费用表'!AZ91</f>
        <v>0</v>
      </c>
      <c r="BE20" s="125">
        <f>'表3-成本费用表'!BA91</f>
        <v>0</v>
      </c>
    </row>
    <row r="21" s="105" customFormat="1" spans="2:57">
      <c r="B21" s="121">
        <v>2.5</v>
      </c>
      <c r="C21" s="122" t="s">
        <v>961</v>
      </c>
      <c r="D21" s="123">
        <f t="shared" si="0"/>
        <v>367413.123781626</v>
      </c>
      <c r="E21" s="50" t="s">
        <v>130</v>
      </c>
      <c r="F21" s="124">
        <v>0</v>
      </c>
      <c r="G21" s="124">
        <f>'表4-收入税金表'!F23</f>
        <v>0</v>
      </c>
      <c r="H21" s="124">
        <f>'表4-收入税金表'!G23</f>
        <v>0</v>
      </c>
      <c r="I21" s="124">
        <f>'表4-收入税金表'!H23</f>
        <v>0</v>
      </c>
      <c r="J21" s="124">
        <f>'表4-收入税金表'!I23</f>
        <v>0</v>
      </c>
      <c r="K21" s="124">
        <f>'表4-收入税金表'!J23</f>
        <v>0</v>
      </c>
      <c r="L21" s="124">
        <f>'表4-收入税金表'!K23</f>
        <v>0</v>
      </c>
      <c r="M21" s="124">
        <v>0</v>
      </c>
      <c r="N21" s="124">
        <f>'表4-收入税金表'!L23</f>
        <v>0</v>
      </c>
      <c r="O21" s="124">
        <v>0</v>
      </c>
      <c r="P21" s="124">
        <v>0</v>
      </c>
      <c r="Q21" s="124">
        <f>'表4-收入税金表'!M23</f>
        <v>0</v>
      </c>
      <c r="R21" s="124">
        <f>'表4-收入税金表'!N23</f>
        <v>0</v>
      </c>
      <c r="S21" s="124">
        <f>'表4-收入税金表'!O23</f>
        <v>0</v>
      </c>
      <c r="T21" s="124">
        <f>'表4-收入税金表'!P23</f>
        <v>0</v>
      </c>
      <c r="U21" s="124">
        <f>'表4-收入税金表'!Q23</f>
        <v>0</v>
      </c>
      <c r="V21" s="124">
        <f>'表4-收入税金表'!R23</f>
        <v>0</v>
      </c>
      <c r="W21" s="124">
        <f>'表4-收入税金表'!S23</f>
        <v>2938.79250985871</v>
      </c>
      <c r="X21" s="124">
        <f>'表4-收入税金表'!T23</f>
        <v>11029.5895579457</v>
      </c>
      <c r="Y21" s="124">
        <f>'表4-收入税金表'!U23</f>
        <v>11029.5895579457</v>
      </c>
      <c r="Z21" s="124">
        <f>'表4-收入税金表'!V23</f>
        <v>11029.5895579457</v>
      </c>
      <c r="AA21" s="124">
        <f>'表4-收入税金表'!W23</f>
        <v>11029.5895579457</v>
      </c>
      <c r="AB21" s="124">
        <f>'表4-收入税金表'!X23</f>
        <v>10815.7387825945</v>
      </c>
      <c r="AC21" s="124">
        <f>'表4-收入税金表'!Y23</f>
        <v>9378.21341115667</v>
      </c>
      <c r="AD21" s="124">
        <f>'表4-收入税金表'!Z23</f>
        <v>11029.5895579457</v>
      </c>
      <c r="AE21" s="124">
        <f>'表4-收入税金表'!AA23</f>
        <v>11029.5895579457</v>
      </c>
      <c r="AF21" s="124">
        <f>'表4-收入税金表'!AB23</f>
        <v>11029.5895579457</v>
      </c>
      <c r="AG21" s="124">
        <f>'表4-收入税金表'!AC23</f>
        <v>10988.3051542759</v>
      </c>
      <c r="AH21" s="124">
        <f>'表4-收入税金表'!AD23</f>
        <v>11029.5895579457</v>
      </c>
      <c r="AI21" s="124">
        <f>'表4-收入税金表'!AE23</f>
        <v>11029.5895579457</v>
      </c>
      <c r="AJ21" s="124">
        <f>'表4-收入税金表'!AF23</f>
        <v>10857.0231862642</v>
      </c>
      <c r="AK21" s="124">
        <f>'表4-收入税金表'!AG23</f>
        <v>11029.5895579457</v>
      </c>
      <c r="AL21" s="124">
        <f>'表4-收入税金表'!AH23</f>
        <v>10988.3051542759</v>
      </c>
      <c r="AM21" s="124">
        <f>'表4-收入税金表'!AI23</f>
        <v>9378.21341115667</v>
      </c>
      <c r="AN21" s="124">
        <f>'表4-收入税金表'!AJ23</f>
        <v>11029.5895579457</v>
      </c>
      <c r="AO21" s="124">
        <f>'表4-收入税金表'!AK23</f>
        <v>11029.5895579457</v>
      </c>
      <c r="AP21" s="124">
        <f>'表4-收入税金表'!AL23</f>
        <v>11029.5895579457</v>
      </c>
      <c r="AQ21" s="124">
        <f>'表4-收入税金表'!AM23</f>
        <v>10988.3051542759</v>
      </c>
      <c r="AR21" s="124">
        <f>'表4-收入税金表'!AN23</f>
        <v>10857.0231862642</v>
      </c>
      <c r="AS21" s="124">
        <f>'表4-收入税金表'!AO23</f>
        <v>11029.5895579457</v>
      </c>
      <c r="AT21" s="124">
        <f>'表4-收入税金表'!AP23</f>
        <v>11029.5895579457</v>
      </c>
      <c r="AU21" s="124">
        <f>'表4-收入税金表'!AQ23</f>
        <v>11029.5895579457</v>
      </c>
      <c r="AV21" s="124">
        <f>'表4-收入税金表'!AR23</f>
        <v>10988.3051542759</v>
      </c>
      <c r="AW21" s="124">
        <f>'表4-收入税金表'!AS23</f>
        <v>9378.21341115667</v>
      </c>
      <c r="AX21" s="124">
        <f>'表4-收入税金表'!AT23</f>
        <v>11029.5895579457</v>
      </c>
      <c r="AY21" s="124">
        <f>'表4-收入税金表'!AU23</f>
        <v>11029.5895579457</v>
      </c>
      <c r="AZ21" s="124">
        <f>'表4-收入税金表'!AV23</f>
        <v>10857.0231862642</v>
      </c>
      <c r="BA21" s="124">
        <f>'表4-收入税金表'!AW23</f>
        <v>10988.3051542759</v>
      </c>
      <c r="BB21" s="124">
        <f>'表4-收入税金表'!AX23</f>
        <v>11029.5895579457</v>
      </c>
      <c r="BC21" s="124">
        <f>'表4-收入税金表'!AY23</f>
        <v>10988.3051542759</v>
      </c>
      <c r="BD21" s="124">
        <f>'表4-收入税金表'!AZ23</f>
        <v>11029.5895579457</v>
      </c>
      <c r="BE21" s="125">
        <f>'表4-收入税金表'!BA23</f>
        <v>6431.26061234146</v>
      </c>
    </row>
    <row r="22" s="105" customFormat="1" spans="2:57">
      <c r="B22" s="121">
        <v>2.6</v>
      </c>
      <c r="C22" s="122" t="s">
        <v>962</v>
      </c>
      <c r="D22" s="123">
        <f t="shared" si="0"/>
        <v>50089.5748537951</v>
      </c>
      <c r="E22" s="50" t="s">
        <v>130</v>
      </c>
      <c r="F22" s="124">
        <v>0</v>
      </c>
      <c r="G22" s="124">
        <f>'表4-收入税金表'!F55+'表4-收入税金表'!F59</f>
        <v>0</v>
      </c>
      <c r="H22" s="124">
        <f>'表4-收入税金表'!G55+'表4-收入税金表'!G59</f>
        <v>0</v>
      </c>
      <c r="I22" s="124">
        <f>'表4-收入税金表'!H55+'表4-收入税金表'!H59</f>
        <v>0</v>
      </c>
      <c r="J22" s="124">
        <f>'表4-收入税金表'!I55+'表4-收入税金表'!I59</f>
        <v>0</v>
      </c>
      <c r="K22" s="124">
        <f>'表4-收入税金表'!J55+'表4-收入税金表'!J59</f>
        <v>0</v>
      </c>
      <c r="L22" s="124">
        <f>'表4-收入税金表'!K55+'表4-收入税金表'!K59</f>
        <v>0</v>
      </c>
      <c r="M22" s="124">
        <v>0</v>
      </c>
      <c r="N22" s="124">
        <f>'表4-收入税金表'!L55+'表4-收入税金表'!L59</f>
        <v>0</v>
      </c>
      <c r="O22" s="124">
        <v>0</v>
      </c>
      <c r="P22" s="124">
        <v>0</v>
      </c>
      <c r="Q22" s="124">
        <f>'表4-收入税金表'!M55+'表4-收入税金表'!M59</f>
        <v>0</v>
      </c>
      <c r="R22" s="124">
        <f>'表4-收入税金表'!N55+'表4-收入税金表'!N59</f>
        <v>150</v>
      </c>
      <c r="S22" s="124">
        <f>'表4-收入税金表'!O55+'表4-收入税金表'!O59</f>
        <v>150</v>
      </c>
      <c r="T22" s="124">
        <f>'表4-收入税金表'!P55+'表4-收入税金表'!P59</f>
        <v>150</v>
      </c>
      <c r="U22" s="124">
        <f>'表4-收入税金表'!Q55+'表4-收入税金表'!Q59</f>
        <v>150</v>
      </c>
      <c r="V22" s="124">
        <f>'表4-收入税金表'!R55+'表4-收入税金表'!R59</f>
        <v>150</v>
      </c>
      <c r="W22" s="124">
        <f>'表4-收入税金表'!S55+'表4-收入税金表'!S59</f>
        <v>502.655101183045</v>
      </c>
      <c r="X22" s="124">
        <f>'表4-收入税金表'!T55+'表4-收入税金表'!T59</f>
        <v>1473.55074695348</v>
      </c>
      <c r="Y22" s="124">
        <f>'表4-收入税金表'!U55+'表4-收入税金表'!U59</f>
        <v>1473.55074695348</v>
      </c>
      <c r="Z22" s="124">
        <f>'表4-收入税金表'!V55+'表4-收入税金表'!V59</f>
        <v>1473.55074695348</v>
      </c>
      <c r="AA22" s="124">
        <f>'表4-收入税金表'!W55+'表4-收入税金表'!W59</f>
        <v>1473.55074695348</v>
      </c>
      <c r="AB22" s="124">
        <f>'表4-收入税金表'!X55+'表4-收入税金表'!X59</f>
        <v>1447.88865391134</v>
      </c>
      <c r="AC22" s="124">
        <f>'表4-收入税金表'!Y55+'表4-收入税金表'!Y59</f>
        <v>1275.3856093388</v>
      </c>
      <c r="AD22" s="124">
        <f>'表4-收入税金表'!Z55+'表4-收入税金表'!Z59</f>
        <v>1473.55074695348</v>
      </c>
      <c r="AE22" s="124">
        <f>'表4-收入税金表'!AA55+'表4-收入税金表'!AA59</f>
        <v>1473.55074695348</v>
      </c>
      <c r="AF22" s="124">
        <f>'表4-收入税金表'!AB55+'表4-收入税金表'!AB59</f>
        <v>1473.55074695348</v>
      </c>
      <c r="AG22" s="124">
        <f>'表4-收入税金表'!AC55+'表4-收入税金表'!AC59</f>
        <v>1468.59661851311</v>
      </c>
      <c r="AH22" s="124">
        <f>'表4-收入税金表'!AD55+'表4-收入税金表'!AD59</f>
        <v>1473.55074695348</v>
      </c>
      <c r="AI22" s="124">
        <f>'表4-收入税金表'!AE55+'表4-收入税金表'!AE59</f>
        <v>1473.55074695348</v>
      </c>
      <c r="AJ22" s="124">
        <f>'表4-收入税金表'!AF55+'表4-收入税金表'!AF59</f>
        <v>1452.84278235171</v>
      </c>
      <c r="AK22" s="124">
        <f>'表4-收入税金表'!AG55+'表4-收入税金表'!AG59</f>
        <v>1473.55074695348</v>
      </c>
      <c r="AL22" s="124">
        <f>'表4-收入税金表'!AH55+'表4-收入税金表'!AH59</f>
        <v>1468.59661851311</v>
      </c>
      <c r="AM22" s="124">
        <f>'表4-收入税金表'!AI55+'表4-收入税金表'!AI59</f>
        <v>1275.3856093388</v>
      </c>
      <c r="AN22" s="124">
        <f>'表4-收入税金表'!AJ55+'表4-收入税金表'!AJ59</f>
        <v>1473.55074695348</v>
      </c>
      <c r="AO22" s="124">
        <f>'表4-收入税金表'!AK55+'表4-收入税金表'!AK59</f>
        <v>1473.55074695348</v>
      </c>
      <c r="AP22" s="124">
        <f>'表4-收入税金表'!AL55+'表4-收入税金表'!AL59</f>
        <v>1473.55074695348</v>
      </c>
      <c r="AQ22" s="124">
        <f>'表4-收入税金表'!AM55+'表4-收入税金表'!AM59</f>
        <v>1468.59661851311</v>
      </c>
      <c r="AR22" s="124">
        <f>'表4-收入税金表'!AN55+'表4-收入税金表'!AN59</f>
        <v>1452.84278235171</v>
      </c>
      <c r="AS22" s="124">
        <f>'表4-收入税金表'!AO55+'表4-收入税金表'!AO59</f>
        <v>1473.55074695348</v>
      </c>
      <c r="AT22" s="124">
        <f>'表4-收入税金表'!AP55+'表4-收入税金表'!AP59</f>
        <v>1473.55074695348</v>
      </c>
      <c r="AU22" s="124">
        <f>'表4-收入税金表'!AQ55+'表4-收入税金表'!AQ59</f>
        <v>1473.55074695348</v>
      </c>
      <c r="AV22" s="124">
        <f>'表4-收入税金表'!AR55+'表4-收入税金表'!AR59</f>
        <v>1468.59661851311</v>
      </c>
      <c r="AW22" s="124">
        <f>'表4-收入税金表'!AS55+'表4-收入税金表'!AS59</f>
        <v>1275.3856093388</v>
      </c>
      <c r="AX22" s="124">
        <f>'表4-收入税金表'!AT55+'表4-收入税金表'!AT59</f>
        <v>1473.55074695348</v>
      </c>
      <c r="AY22" s="124">
        <f>'表4-收入税金表'!AU55+'表4-收入税金表'!AU59</f>
        <v>1473.55074695348</v>
      </c>
      <c r="AZ22" s="124">
        <f>'表4-收入税金表'!AV55+'表4-收入税金表'!AV59</f>
        <v>1452.84278235171</v>
      </c>
      <c r="BA22" s="124">
        <f>'表4-收入税金表'!AW55+'表4-收入税金表'!AW59</f>
        <v>1468.59661851311</v>
      </c>
      <c r="BB22" s="124">
        <f>'表4-收入税金表'!AX55+'表4-收入税金表'!AX59</f>
        <v>1473.55074695348</v>
      </c>
      <c r="BC22" s="124">
        <f>'表4-收入税金表'!AY55+'表4-收入税金表'!AY59</f>
        <v>1468.59661851311</v>
      </c>
      <c r="BD22" s="124">
        <f>'表4-收入税金表'!AZ55+'表4-收入税金表'!AZ59</f>
        <v>1473.55074695348</v>
      </c>
      <c r="BE22" s="125">
        <f>'表4-收入税金表'!BA55+'表4-收入税金表'!BA59</f>
        <v>921.751273480975</v>
      </c>
    </row>
    <row r="23" s="105" customFormat="1" spans="2:57">
      <c r="B23" s="121">
        <v>2.7</v>
      </c>
      <c r="C23" s="122" t="s">
        <v>963</v>
      </c>
      <c r="D23" s="123">
        <f t="shared" si="0"/>
        <v>66000</v>
      </c>
      <c r="E23" s="50" t="s">
        <v>130</v>
      </c>
      <c r="F23" s="124">
        <v>0</v>
      </c>
      <c r="G23" s="124">
        <f t="shared" ref="G23:L23" si="13">SUM(G24:G25)</f>
        <v>0</v>
      </c>
      <c r="H23" s="124">
        <f t="shared" si="13"/>
        <v>0</v>
      </c>
      <c r="I23" s="124">
        <f t="shared" si="13"/>
        <v>0</v>
      </c>
      <c r="J23" s="124">
        <f t="shared" si="13"/>
        <v>0</v>
      </c>
      <c r="K23" s="124">
        <f t="shared" si="13"/>
        <v>0</v>
      </c>
      <c r="L23" s="124">
        <f t="shared" si="13"/>
        <v>0</v>
      </c>
      <c r="M23" s="124">
        <v>0</v>
      </c>
      <c r="N23" s="124">
        <f>SUM(N24:N25)</f>
        <v>0</v>
      </c>
      <c r="O23" s="124">
        <f>SUM(O24:O25)</f>
        <v>0</v>
      </c>
      <c r="P23" s="124">
        <f>SUM(P24:P25)</f>
        <v>0</v>
      </c>
      <c r="Q23" s="124">
        <f t="shared" ref="Q23:BE23" si="14">SUM(Q24:Q25)</f>
        <v>0</v>
      </c>
      <c r="R23" s="124">
        <f t="shared" si="14"/>
        <v>0</v>
      </c>
      <c r="S23" s="124">
        <f t="shared" si="14"/>
        <v>0</v>
      </c>
      <c r="T23" s="124">
        <f t="shared" si="14"/>
        <v>0</v>
      </c>
      <c r="U23" s="124">
        <f t="shared" si="14"/>
        <v>0</v>
      </c>
      <c r="V23" s="124">
        <f t="shared" si="14"/>
        <v>0</v>
      </c>
      <c r="W23" s="124">
        <f t="shared" si="14"/>
        <v>0</v>
      </c>
      <c r="X23" s="124">
        <f t="shared" si="14"/>
        <v>0</v>
      </c>
      <c r="Y23" s="124">
        <f t="shared" si="14"/>
        <v>0</v>
      </c>
      <c r="Z23" s="124">
        <f t="shared" si="14"/>
        <v>0</v>
      </c>
      <c r="AA23" s="124">
        <f t="shared" si="14"/>
        <v>0</v>
      </c>
      <c r="AB23" s="124">
        <f t="shared" si="14"/>
        <v>1500</v>
      </c>
      <c r="AC23" s="124">
        <f t="shared" si="14"/>
        <v>20000</v>
      </c>
      <c r="AD23" s="124">
        <f t="shared" si="14"/>
        <v>0</v>
      </c>
      <c r="AE23" s="124">
        <f t="shared" si="14"/>
        <v>0</v>
      </c>
      <c r="AF23" s="124">
        <f t="shared" si="14"/>
        <v>0</v>
      </c>
      <c r="AG23" s="124">
        <f t="shared" si="14"/>
        <v>0</v>
      </c>
      <c r="AH23" s="124">
        <f t="shared" si="14"/>
        <v>0</v>
      </c>
      <c r="AI23" s="124">
        <f t="shared" si="14"/>
        <v>0</v>
      </c>
      <c r="AJ23" s="124">
        <f t="shared" si="14"/>
        <v>1500</v>
      </c>
      <c r="AK23" s="124">
        <f t="shared" si="14"/>
        <v>0</v>
      </c>
      <c r="AL23" s="124">
        <f t="shared" si="14"/>
        <v>0</v>
      </c>
      <c r="AM23" s="124">
        <f t="shared" si="14"/>
        <v>20000</v>
      </c>
      <c r="AN23" s="124">
        <f t="shared" si="14"/>
        <v>0</v>
      </c>
      <c r="AO23" s="124">
        <f t="shared" si="14"/>
        <v>0</v>
      </c>
      <c r="AP23" s="124">
        <f t="shared" si="14"/>
        <v>0</v>
      </c>
      <c r="AQ23" s="124">
        <f t="shared" si="14"/>
        <v>0</v>
      </c>
      <c r="AR23" s="124">
        <f t="shared" si="14"/>
        <v>1500</v>
      </c>
      <c r="AS23" s="124">
        <f t="shared" si="14"/>
        <v>0</v>
      </c>
      <c r="AT23" s="124">
        <f t="shared" si="14"/>
        <v>0</v>
      </c>
      <c r="AU23" s="124">
        <f t="shared" si="14"/>
        <v>0</v>
      </c>
      <c r="AV23" s="124">
        <f t="shared" si="14"/>
        <v>0</v>
      </c>
      <c r="AW23" s="124">
        <f t="shared" si="14"/>
        <v>20000</v>
      </c>
      <c r="AX23" s="124">
        <f t="shared" si="14"/>
        <v>0</v>
      </c>
      <c r="AY23" s="124">
        <f t="shared" si="14"/>
        <v>0</v>
      </c>
      <c r="AZ23" s="124">
        <f t="shared" si="14"/>
        <v>1500</v>
      </c>
      <c r="BA23" s="124">
        <f t="shared" si="14"/>
        <v>0</v>
      </c>
      <c r="BB23" s="124">
        <f t="shared" si="14"/>
        <v>0</v>
      </c>
      <c r="BC23" s="124">
        <f t="shared" si="14"/>
        <v>0</v>
      </c>
      <c r="BD23" s="124">
        <f t="shared" si="14"/>
        <v>0</v>
      </c>
      <c r="BE23" s="125">
        <f t="shared" si="14"/>
        <v>0</v>
      </c>
    </row>
    <row r="24" s="105" customFormat="1" spans="2:57">
      <c r="B24" s="121"/>
      <c r="C24" s="126" t="s">
        <v>331</v>
      </c>
      <c r="D24" s="123">
        <f t="shared" si="0"/>
        <v>60000</v>
      </c>
      <c r="E24" s="50" t="s">
        <v>130</v>
      </c>
      <c r="F24" s="124">
        <v>0</v>
      </c>
      <c r="G24" s="124">
        <f>参数输入表!$I$695</f>
        <v>0</v>
      </c>
      <c r="H24" s="124">
        <f>参数输入表!$I$696</f>
        <v>0</v>
      </c>
      <c r="I24" s="124">
        <f>参数输入表!$I$697</f>
        <v>0</v>
      </c>
      <c r="J24" s="124">
        <f>参数输入表!$I$698</f>
        <v>0</v>
      </c>
      <c r="K24" s="124">
        <f>参数输入表!$I$699</f>
        <v>0</v>
      </c>
      <c r="L24" s="124">
        <f>参数输入表!$I$700</f>
        <v>0</v>
      </c>
      <c r="M24" s="124">
        <v>0</v>
      </c>
      <c r="N24" s="124">
        <f>参数输入表!$I$701</f>
        <v>0</v>
      </c>
      <c r="O24" s="124">
        <v>0</v>
      </c>
      <c r="P24" s="124">
        <v>0</v>
      </c>
      <c r="Q24" s="124">
        <f>参数输入表!$I$702</f>
        <v>0</v>
      </c>
      <c r="R24" s="124">
        <f>参数输入表!$I$703</f>
        <v>0</v>
      </c>
      <c r="S24" s="124">
        <f>参数输入表!$I$704</f>
        <v>0</v>
      </c>
      <c r="T24" s="124">
        <f>参数输入表!$I$705</f>
        <v>0</v>
      </c>
      <c r="U24" s="124">
        <f>参数输入表!$I$706</f>
        <v>0</v>
      </c>
      <c r="V24" s="124">
        <f>参数输入表!$I$707</f>
        <v>0</v>
      </c>
      <c r="W24" s="124">
        <f>参数输入表!$I$708</f>
        <v>0</v>
      </c>
      <c r="X24" s="124">
        <f>参数输入表!$I$709</f>
        <v>0</v>
      </c>
      <c r="Y24" s="124">
        <f>参数输入表!$I$710</f>
        <v>0</v>
      </c>
      <c r="Z24" s="124">
        <f>参数输入表!$I$711</f>
        <v>0</v>
      </c>
      <c r="AA24" s="124">
        <f>参数输入表!$I$712</f>
        <v>0</v>
      </c>
      <c r="AB24" s="124">
        <f>参数输入表!$I$713</f>
        <v>0</v>
      </c>
      <c r="AC24" s="124">
        <f>参数输入表!$I$714</f>
        <v>20000</v>
      </c>
      <c r="AD24" s="124">
        <f>参数输入表!$I$715</f>
        <v>0</v>
      </c>
      <c r="AE24" s="124">
        <f>参数输入表!$I$716</f>
        <v>0</v>
      </c>
      <c r="AF24" s="124">
        <f>参数输入表!$I$717</f>
        <v>0</v>
      </c>
      <c r="AG24" s="124">
        <f>参数输入表!$I$718</f>
        <v>0</v>
      </c>
      <c r="AH24" s="124">
        <f>参数输入表!$I$719</f>
        <v>0</v>
      </c>
      <c r="AI24" s="124">
        <f>参数输入表!$I$720</f>
        <v>0</v>
      </c>
      <c r="AJ24" s="124">
        <f>参数输入表!$I$721</f>
        <v>0</v>
      </c>
      <c r="AK24" s="124">
        <f>参数输入表!$I$722</f>
        <v>0</v>
      </c>
      <c r="AL24" s="124">
        <f>参数输入表!$I$723</f>
        <v>0</v>
      </c>
      <c r="AM24" s="124">
        <f>参数输入表!$I$724</f>
        <v>20000</v>
      </c>
      <c r="AN24" s="124">
        <f>参数输入表!$I$725</f>
        <v>0</v>
      </c>
      <c r="AO24" s="124">
        <f>参数输入表!$I$726</f>
        <v>0</v>
      </c>
      <c r="AP24" s="124">
        <f>参数输入表!$I$727</f>
        <v>0</v>
      </c>
      <c r="AQ24" s="124">
        <f>参数输入表!$I$728</f>
        <v>0</v>
      </c>
      <c r="AR24" s="124">
        <f>参数输入表!$I$729</f>
        <v>0</v>
      </c>
      <c r="AS24" s="124">
        <f>参数输入表!$I$730</f>
        <v>0</v>
      </c>
      <c r="AT24" s="124">
        <f>参数输入表!$I$731</f>
        <v>0</v>
      </c>
      <c r="AU24" s="124">
        <f>参数输入表!$I$732</f>
        <v>0</v>
      </c>
      <c r="AV24" s="124">
        <f>参数输入表!$I$733</f>
        <v>0</v>
      </c>
      <c r="AW24" s="124">
        <f>参数输入表!$I$734</f>
        <v>20000</v>
      </c>
      <c r="AX24" s="124">
        <f>参数输入表!$I$735</f>
        <v>0</v>
      </c>
      <c r="AY24" s="124">
        <f>参数输入表!$I$736</f>
        <v>0</v>
      </c>
      <c r="AZ24" s="124">
        <f>参数输入表!$I$737</f>
        <v>0</v>
      </c>
      <c r="BA24" s="124">
        <f>参数输入表!$I$738</f>
        <v>0</v>
      </c>
      <c r="BB24" s="124">
        <f>参数输入表!$I$739</f>
        <v>0</v>
      </c>
      <c r="BC24" s="124">
        <f>参数输入表!$I$740</f>
        <v>0</v>
      </c>
      <c r="BD24" s="124">
        <f>参数输入表!$I$741</f>
        <v>0</v>
      </c>
      <c r="BE24" s="125">
        <f>参数输入表!$I$742</f>
        <v>0</v>
      </c>
    </row>
    <row r="25" s="105" customFormat="1" spans="2:57">
      <c r="B25" s="121"/>
      <c r="C25" s="126" t="s">
        <v>964</v>
      </c>
      <c r="D25" s="123">
        <f t="shared" si="0"/>
        <v>6000</v>
      </c>
      <c r="E25" s="50" t="s">
        <v>130</v>
      </c>
      <c r="F25" s="124">
        <v>0</v>
      </c>
      <c r="G25" s="124">
        <f>参数输入表!$I$749</f>
        <v>0</v>
      </c>
      <c r="H25" s="124">
        <f>参数输入表!$I$750</f>
        <v>0</v>
      </c>
      <c r="I25" s="124">
        <f>参数输入表!$I$751</f>
        <v>0</v>
      </c>
      <c r="J25" s="124">
        <f>参数输入表!$I$752</f>
        <v>0</v>
      </c>
      <c r="K25" s="124">
        <f>参数输入表!$I$753</f>
        <v>0</v>
      </c>
      <c r="L25" s="124">
        <f>参数输入表!$I$754</f>
        <v>0</v>
      </c>
      <c r="M25" s="124">
        <v>0</v>
      </c>
      <c r="N25" s="124">
        <f>参数输入表!$I$755</f>
        <v>0</v>
      </c>
      <c r="O25" s="124">
        <v>0</v>
      </c>
      <c r="P25" s="124">
        <v>0</v>
      </c>
      <c r="Q25" s="124">
        <f>参数输入表!$I$756</f>
        <v>0</v>
      </c>
      <c r="R25" s="124">
        <f>参数输入表!$I$757</f>
        <v>0</v>
      </c>
      <c r="S25" s="124">
        <f>参数输入表!$I$758</f>
        <v>0</v>
      </c>
      <c r="T25" s="124">
        <f>参数输入表!$I$759</f>
        <v>0</v>
      </c>
      <c r="U25" s="124">
        <f>参数输入表!$I$760</f>
        <v>0</v>
      </c>
      <c r="V25" s="124">
        <f>参数输入表!$I$761</f>
        <v>0</v>
      </c>
      <c r="W25" s="124">
        <f>参数输入表!$I$762</f>
        <v>0</v>
      </c>
      <c r="X25" s="124">
        <f>参数输入表!$I$763</f>
        <v>0</v>
      </c>
      <c r="Y25" s="124">
        <f>参数输入表!$I$764</f>
        <v>0</v>
      </c>
      <c r="Z25" s="124">
        <f>参数输入表!$I$765</f>
        <v>0</v>
      </c>
      <c r="AA25" s="124">
        <f>参数输入表!$I$766</f>
        <v>0</v>
      </c>
      <c r="AB25" s="124">
        <f>参数输入表!$I$767</f>
        <v>1500</v>
      </c>
      <c r="AC25" s="124">
        <f>参数输入表!$I$768</f>
        <v>0</v>
      </c>
      <c r="AD25" s="124">
        <f>参数输入表!$I$769</f>
        <v>0</v>
      </c>
      <c r="AE25" s="124">
        <f>参数输入表!$I$770</f>
        <v>0</v>
      </c>
      <c r="AF25" s="124">
        <f>参数输入表!$I$771</f>
        <v>0</v>
      </c>
      <c r="AG25" s="124">
        <f>参数输入表!$I$772</f>
        <v>0</v>
      </c>
      <c r="AH25" s="124">
        <f>参数输入表!$I$773</f>
        <v>0</v>
      </c>
      <c r="AI25" s="124">
        <f>参数输入表!$I$774</f>
        <v>0</v>
      </c>
      <c r="AJ25" s="124">
        <f>参数输入表!$I$775</f>
        <v>1500</v>
      </c>
      <c r="AK25" s="124">
        <f>参数输入表!$I$776</f>
        <v>0</v>
      </c>
      <c r="AL25" s="124">
        <f>参数输入表!$I$777</f>
        <v>0</v>
      </c>
      <c r="AM25" s="124">
        <f>参数输入表!$I$778</f>
        <v>0</v>
      </c>
      <c r="AN25" s="124">
        <f>参数输入表!$I$779</f>
        <v>0</v>
      </c>
      <c r="AO25" s="124">
        <f>参数输入表!$I$780</f>
        <v>0</v>
      </c>
      <c r="AP25" s="124">
        <f>参数输入表!$I$781</f>
        <v>0</v>
      </c>
      <c r="AQ25" s="124">
        <f>参数输入表!$I$782</f>
        <v>0</v>
      </c>
      <c r="AR25" s="124">
        <f>参数输入表!$I$783</f>
        <v>1500</v>
      </c>
      <c r="AS25" s="124">
        <f>参数输入表!$I$784</f>
        <v>0</v>
      </c>
      <c r="AT25" s="124">
        <f>参数输入表!$I$785</f>
        <v>0</v>
      </c>
      <c r="AU25" s="124">
        <f>参数输入表!$I$786</f>
        <v>0</v>
      </c>
      <c r="AV25" s="124">
        <f>参数输入表!$I$787</f>
        <v>0</v>
      </c>
      <c r="AW25" s="124">
        <f>参数输入表!$I$788</f>
        <v>0</v>
      </c>
      <c r="AX25" s="124">
        <f>参数输入表!$I$789</f>
        <v>0</v>
      </c>
      <c r="AY25" s="124">
        <f>参数输入表!$I$790</f>
        <v>0</v>
      </c>
      <c r="AZ25" s="124">
        <f>参数输入表!$I$791</f>
        <v>1500</v>
      </c>
      <c r="BA25" s="124">
        <f>参数输入表!$I$792</f>
        <v>0</v>
      </c>
      <c r="BB25" s="124">
        <f>参数输入表!$I$793</f>
        <v>0</v>
      </c>
      <c r="BC25" s="124">
        <f>参数输入表!$I$794</f>
        <v>0</v>
      </c>
      <c r="BD25" s="124">
        <f>参数输入表!$I$795</f>
        <v>0</v>
      </c>
      <c r="BE25" s="125">
        <f>参数输入表!$I$796</f>
        <v>0</v>
      </c>
    </row>
    <row r="26" s="105" customFormat="1" spans="2:57">
      <c r="B26" s="116">
        <v>3</v>
      </c>
      <c r="C26" s="117" t="s">
        <v>966</v>
      </c>
      <c r="D26" s="118">
        <f ca="1" t="shared" si="0"/>
        <v>2114335.91209904</v>
      </c>
      <c r="E26" s="50" t="s">
        <v>130</v>
      </c>
      <c r="F26" s="119">
        <f ca="1" t="shared" ref="F26:P26" si="15">F5-F16</f>
        <v>-28186.967634152</v>
      </c>
      <c r="G26" s="119">
        <f ca="1" t="shared" si="15"/>
        <v>-65769.5911463546</v>
      </c>
      <c r="H26" s="119">
        <f ca="1" t="shared" si="15"/>
        <v>-91349.6822169032</v>
      </c>
      <c r="I26" s="119">
        <f ca="1" t="shared" si="15"/>
        <v>-103682.384359691</v>
      </c>
      <c r="J26" s="119">
        <f ca="1" t="shared" si="15"/>
        <v>-113384.386958664</v>
      </c>
      <c r="K26" s="119">
        <f ca="1" t="shared" si="15"/>
        <v>-151566.969986111</v>
      </c>
      <c r="L26" s="119">
        <f ca="1" t="shared" si="15"/>
        <v>-138968.97276328</v>
      </c>
      <c r="M26" s="119">
        <f ca="1" t="shared" si="15"/>
        <v>-70206.0755556847</v>
      </c>
      <c r="N26" s="119">
        <f ca="1" t="shared" si="15"/>
        <v>-46804.0503704565</v>
      </c>
      <c r="O26" s="119">
        <f ca="1" t="shared" si="15"/>
        <v>-50054.8690087031</v>
      </c>
      <c r="P26" s="119">
        <f ca="1" t="shared" si="15"/>
        <v>0</v>
      </c>
      <c r="Q26" s="119">
        <f ca="1" t="shared" ref="Q26:BE26" si="16">Q5-Q16</f>
        <v>16257.2715227074</v>
      </c>
      <c r="R26" s="119">
        <f ca="1" t="shared" si="16"/>
        <v>66963.3113787482</v>
      </c>
      <c r="S26" s="119">
        <f ca="1" t="shared" si="16"/>
        <v>85398.5397120816</v>
      </c>
      <c r="T26" s="119">
        <f ca="1" t="shared" si="16"/>
        <v>85398.5397120816</v>
      </c>
      <c r="U26" s="119">
        <f ca="1" t="shared" si="16"/>
        <v>85398.5397120816</v>
      </c>
      <c r="V26" s="119">
        <f ca="1" t="shared" si="16"/>
        <v>85398.5397120816</v>
      </c>
      <c r="W26" s="119">
        <f ca="1" t="shared" si="16"/>
        <v>81607.0921010398</v>
      </c>
      <c r="X26" s="119">
        <f ca="1" t="shared" si="16"/>
        <v>73045.3994071824</v>
      </c>
      <c r="Y26" s="119">
        <f ca="1" t="shared" si="16"/>
        <v>73045.3994071824</v>
      </c>
      <c r="Z26" s="119">
        <f ca="1" t="shared" si="16"/>
        <v>73045.3994071824</v>
      </c>
      <c r="AA26" s="119">
        <f ca="1" t="shared" si="16"/>
        <v>73045.3994071824</v>
      </c>
      <c r="AB26" s="119">
        <f ca="1" t="shared" si="16"/>
        <v>71284.9122755758</v>
      </c>
      <c r="AC26" s="119">
        <f ca="1" t="shared" si="16"/>
        <v>54894.9406915861</v>
      </c>
      <c r="AD26" s="119">
        <f ca="1" t="shared" si="16"/>
        <v>73045.3994071824</v>
      </c>
      <c r="AE26" s="119">
        <f ca="1" t="shared" si="16"/>
        <v>73045.3994071824</v>
      </c>
      <c r="AF26" s="119">
        <f ca="1" t="shared" si="16"/>
        <v>73045.3994071824</v>
      </c>
      <c r="AG26" s="119">
        <f ca="1" t="shared" si="16"/>
        <v>72591.6379392926</v>
      </c>
      <c r="AH26" s="119">
        <f ca="1" t="shared" si="16"/>
        <v>73045.3994071824</v>
      </c>
      <c r="AI26" s="119">
        <f ca="1" t="shared" si="16"/>
        <v>73045.3994071824</v>
      </c>
      <c r="AJ26" s="119">
        <f ca="1" t="shared" si="16"/>
        <v>71738.6737434657</v>
      </c>
      <c r="AK26" s="119">
        <f ca="1" t="shared" si="16"/>
        <v>73045.3994071824</v>
      </c>
      <c r="AL26" s="119">
        <f ca="1" t="shared" si="16"/>
        <v>72591.6379392926</v>
      </c>
      <c r="AM26" s="119">
        <f ca="1" t="shared" si="16"/>
        <v>54894.9406915861</v>
      </c>
      <c r="AN26" s="119">
        <f ca="1" t="shared" si="16"/>
        <v>73045.3994071824</v>
      </c>
      <c r="AO26" s="119">
        <f ca="1" t="shared" si="16"/>
        <v>73045.3994071824</v>
      </c>
      <c r="AP26" s="119">
        <f ca="1" t="shared" si="16"/>
        <v>73045.3994071824</v>
      </c>
      <c r="AQ26" s="119">
        <f ca="1" t="shared" si="16"/>
        <v>72591.6379392926</v>
      </c>
      <c r="AR26" s="119">
        <f ca="1" t="shared" si="16"/>
        <v>71738.6737434657</v>
      </c>
      <c r="AS26" s="119">
        <f ca="1" t="shared" si="16"/>
        <v>73045.3994071824</v>
      </c>
      <c r="AT26" s="119">
        <f ca="1" t="shared" si="16"/>
        <v>73045.3994071824</v>
      </c>
      <c r="AU26" s="119">
        <f ca="1" t="shared" si="16"/>
        <v>73045.3994071824</v>
      </c>
      <c r="AV26" s="119">
        <f ca="1" t="shared" si="16"/>
        <v>72591.6379392926</v>
      </c>
      <c r="AW26" s="119">
        <f ca="1" t="shared" si="16"/>
        <v>54894.9406915861</v>
      </c>
      <c r="AX26" s="119">
        <f ca="1" t="shared" si="16"/>
        <v>73045.3994071824</v>
      </c>
      <c r="AY26" s="119">
        <f ca="1" t="shared" si="16"/>
        <v>73045.3994071824</v>
      </c>
      <c r="AZ26" s="119">
        <f ca="1" t="shared" si="16"/>
        <v>71738.6737434657</v>
      </c>
      <c r="BA26" s="119">
        <f ca="1" t="shared" si="16"/>
        <v>72591.6379392926</v>
      </c>
      <c r="BB26" s="119">
        <f ca="1" t="shared" si="16"/>
        <v>73045.3994071824</v>
      </c>
      <c r="BC26" s="119">
        <f ca="1" t="shared" si="16"/>
        <v>72591.6379392926</v>
      </c>
      <c r="BD26" s="119">
        <f ca="1" t="shared" si="16"/>
        <v>73045.3994071824</v>
      </c>
      <c r="BE26" s="120">
        <f ca="1" t="shared" si="16"/>
        <v>120244.456888081</v>
      </c>
    </row>
    <row r="27" s="105" customFormat="1" spans="2:57">
      <c r="B27" s="116">
        <v>4</v>
      </c>
      <c r="C27" s="95" t="s">
        <v>967</v>
      </c>
      <c r="D27" s="95"/>
      <c r="E27" s="50" t="s">
        <v>130</v>
      </c>
      <c r="F27" s="119">
        <f ca="1">F26</f>
        <v>-28186.967634152</v>
      </c>
      <c r="G27" s="119">
        <f ca="1" t="shared" ref="G27:U27" si="17">F27+G26</f>
        <v>-93956.5587805066</v>
      </c>
      <c r="H27" s="119">
        <f ca="1" t="shared" si="17"/>
        <v>-185306.24099741</v>
      </c>
      <c r="I27" s="119">
        <f ca="1" t="shared" si="17"/>
        <v>-288988.625357101</v>
      </c>
      <c r="J27" s="119">
        <f ca="1" t="shared" si="17"/>
        <v>-402373.012315765</v>
      </c>
      <c r="K27" s="119">
        <f ca="1" t="shared" si="17"/>
        <v>-553939.982301876</v>
      </c>
      <c r="L27" s="119">
        <f ca="1" t="shared" si="17"/>
        <v>-692908.955065156</v>
      </c>
      <c r="M27" s="119">
        <f ca="1" t="shared" si="17"/>
        <v>-763115.030620841</v>
      </c>
      <c r="N27" s="119">
        <f ca="1" t="shared" si="17"/>
        <v>-809919.080991297</v>
      </c>
      <c r="O27" s="119">
        <f ca="1" t="shared" si="17"/>
        <v>-859973.95</v>
      </c>
      <c r="P27" s="119">
        <f ca="1" t="shared" si="17"/>
        <v>-859973.95</v>
      </c>
      <c r="Q27" s="119">
        <f ca="1" t="shared" si="17"/>
        <v>-843716.678477293</v>
      </c>
      <c r="R27" s="119">
        <f ca="1" t="shared" si="17"/>
        <v>-776753.367098544</v>
      </c>
      <c r="S27" s="119">
        <f ca="1" t="shared" si="17"/>
        <v>-691354.827386463</v>
      </c>
      <c r="T27" s="119">
        <f ca="1" t="shared" si="17"/>
        <v>-605956.287674381</v>
      </c>
      <c r="U27" s="119">
        <f ca="1" t="shared" si="17"/>
        <v>-520557.7479623</v>
      </c>
      <c r="V27" s="119">
        <f ca="1" t="shared" ref="V27" si="18">U27+V26</f>
        <v>-435159.208250218</v>
      </c>
      <c r="W27" s="119">
        <f ca="1" t="shared" ref="W27" si="19">V27+W26</f>
        <v>-353552.116149178</v>
      </c>
      <c r="X27" s="119">
        <f ca="1" t="shared" ref="X27" si="20">W27+X26</f>
        <v>-280506.716741996</v>
      </c>
      <c r="Y27" s="119">
        <f ca="1" t="shared" ref="Y27" si="21">X27+Y26</f>
        <v>-207461.317334813</v>
      </c>
      <c r="Z27" s="119">
        <f ca="1" t="shared" ref="Z27" si="22">Y27+Z26</f>
        <v>-134415.917927631</v>
      </c>
      <c r="AA27" s="119">
        <f ca="1" t="shared" ref="AA27" si="23">Z27+AA26</f>
        <v>-61370.5185204485</v>
      </c>
      <c r="AB27" s="119">
        <f ca="1" t="shared" ref="AB27" si="24">AA27+AB26</f>
        <v>9914.3937551273</v>
      </c>
      <c r="AC27" s="119">
        <f ca="1" t="shared" ref="AC27" si="25">AB27+AC26</f>
        <v>64809.3344467134</v>
      </c>
      <c r="AD27" s="119">
        <f ca="1" t="shared" ref="AD27" si="26">AC27+AD26</f>
        <v>137854.733853896</v>
      </c>
      <c r="AE27" s="119">
        <f ca="1" t="shared" ref="AE27" si="27">AD27+AE26</f>
        <v>210900.133261078</v>
      </c>
      <c r="AF27" s="119">
        <f ca="1" t="shared" ref="AF27" si="28">AE27+AF26</f>
        <v>283945.532668261</v>
      </c>
      <c r="AG27" s="119">
        <f ca="1" t="shared" ref="AG27" si="29">AF27+AG26</f>
        <v>356537.170607553</v>
      </c>
      <c r="AH27" s="119">
        <f ca="1" t="shared" ref="AH27" si="30">AG27+AH26</f>
        <v>429582.570014736</v>
      </c>
      <c r="AI27" s="119">
        <f ca="1" t="shared" ref="AI27" si="31">AH27+AI26</f>
        <v>502627.969421918</v>
      </c>
      <c r="AJ27" s="119">
        <f ca="1" t="shared" ref="AJ27" si="32">AI27+AJ26</f>
        <v>574366.643165384</v>
      </c>
      <c r="AK27" s="119">
        <f ca="1" t="shared" ref="AK27" si="33">AJ27+AK26</f>
        <v>647412.042572566</v>
      </c>
      <c r="AL27" s="119">
        <f ca="1" t="shared" ref="AL27" si="34">AK27+AL26</f>
        <v>720003.680511859</v>
      </c>
      <c r="AM27" s="119">
        <f ca="1" t="shared" ref="AM27" si="35">AL27+AM26</f>
        <v>774898.621203445</v>
      </c>
      <c r="AN27" s="119">
        <f ca="1" t="shared" ref="AN27" si="36">AM27+AN26</f>
        <v>847944.020610627</v>
      </c>
      <c r="AO27" s="119">
        <f ca="1" t="shared" ref="AO27" si="37">AN27+AO26</f>
        <v>920989.42001781</v>
      </c>
      <c r="AP27" s="119">
        <f ca="1" t="shared" ref="AP27" si="38">AO27+AP26</f>
        <v>994034.819424992</v>
      </c>
      <c r="AQ27" s="119">
        <f ca="1" t="shared" ref="AQ27:BE27" si="39">AP27+AQ26</f>
        <v>1066626.45736428</v>
      </c>
      <c r="AR27" s="119">
        <f ca="1" t="shared" si="39"/>
        <v>1138365.13110775</v>
      </c>
      <c r="AS27" s="119">
        <f ca="1" t="shared" si="39"/>
        <v>1211410.53051493</v>
      </c>
      <c r="AT27" s="119">
        <f ca="1" t="shared" si="39"/>
        <v>1284455.92992212</v>
      </c>
      <c r="AU27" s="119">
        <f ca="1" t="shared" si="39"/>
        <v>1357501.3293293</v>
      </c>
      <c r="AV27" s="119">
        <f ca="1" t="shared" si="39"/>
        <v>1430092.96726859</v>
      </c>
      <c r="AW27" s="119">
        <f ca="1" t="shared" si="39"/>
        <v>1484987.90796018</v>
      </c>
      <c r="AX27" s="119">
        <f ca="1" t="shared" si="39"/>
        <v>1558033.30736736</v>
      </c>
      <c r="AY27" s="119">
        <f ca="1" t="shared" si="39"/>
        <v>1631078.70677454</v>
      </c>
      <c r="AZ27" s="119">
        <f ca="1" t="shared" si="39"/>
        <v>1702817.38051801</v>
      </c>
      <c r="BA27" s="119">
        <f ca="1" t="shared" si="39"/>
        <v>1775409.0184573</v>
      </c>
      <c r="BB27" s="119">
        <f ca="1" t="shared" si="39"/>
        <v>1848454.41786448</v>
      </c>
      <c r="BC27" s="119">
        <f ca="1" t="shared" si="39"/>
        <v>1921046.05580377</v>
      </c>
      <c r="BD27" s="119">
        <f ca="1" t="shared" si="39"/>
        <v>1994091.45521096</v>
      </c>
      <c r="BE27" s="120">
        <f ca="1" t="shared" si="39"/>
        <v>2114335.91209904</v>
      </c>
    </row>
    <row r="28" s="105" customFormat="1" spans="2:57">
      <c r="B28" s="116">
        <v>5</v>
      </c>
      <c r="C28" s="95" t="s">
        <v>985</v>
      </c>
      <c r="D28" s="118">
        <f ca="1">SUM(F28:BE28)</f>
        <v>477760.296168119</v>
      </c>
      <c r="E28" s="50" t="s">
        <v>130</v>
      </c>
      <c r="F28" s="119">
        <v>0</v>
      </c>
      <c r="G28" s="119">
        <f ca="1">'表7-利润表-全投资'!F51</f>
        <v>0</v>
      </c>
      <c r="H28" s="119">
        <f ca="1">'表7-利润表-全投资'!G51</f>
        <v>0</v>
      </c>
      <c r="I28" s="119">
        <f ca="1">'表7-利润表-全投资'!H51</f>
        <v>0</v>
      </c>
      <c r="J28" s="119">
        <f ca="1">'表7-利润表-全投资'!I51</f>
        <v>0</v>
      </c>
      <c r="K28" s="119">
        <f ca="1">'表7-利润表-全投资'!J51</f>
        <v>0</v>
      </c>
      <c r="L28" s="119">
        <f ca="1">'表7-利润表-全投资'!K51</f>
        <v>0</v>
      </c>
      <c r="M28" s="119">
        <v>0</v>
      </c>
      <c r="N28" s="119">
        <f ca="1">'表7-利润表-全投资'!L51</f>
        <v>0</v>
      </c>
      <c r="O28" s="119">
        <v>0</v>
      </c>
      <c r="P28" s="119">
        <v>0</v>
      </c>
      <c r="Q28" s="119">
        <f ca="1">'表7-利润表-全投资'!M51</f>
        <v>0</v>
      </c>
      <c r="R28" s="119">
        <f ca="1">'表7-利润表-全投资'!N51</f>
        <v>0</v>
      </c>
      <c r="S28" s="119">
        <f ca="1">'表7-利润表-全投资'!O51</f>
        <v>0</v>
      </c>
      <c r="T28" s="119">
        <f ca="1">'表7-利润表-全投资'!P51</f>
        <v>5706.57796031925</v>
      </c>
      <c r="U28" s="119">
        <f ca="1">'表7-利润表-全投资'!Q51</f>
        <v>5706.57796031925</v>
      </c>
      <c r="V28" s="119">
        <f ca="1">'表7-利润表-全投资'!R51</f>
        <v>5706.57796031925</v>
      </c>
      <c r="W28" s="119">
        <f ca="1">'表7-利润表-全投资'!S51</f>
        <v>11324.9921453427</v>
      </c>
      <c r="X28" s="119">
        <f ca="1">'表7-利润表-全投资'!T51</f>
        <v>11082.2682339001</v>
      </c>
      <c r="Y28" s="119">
        <f ca="1">'表7-利润表-全投资'!U51</f>
        <v>11082.2682339001</v>
      </c>
      <c r="Z28" s="119">
        <f ca="1">'表7-利润表-全投资'!V51</f>
        <v>11082.2682339001</v>
      </c>
      <c r="AA28" s="119">
        <f ca="1">'表7-利润表-全投资'!W51</f>
        <v>11082.2682339001</v>
      </c>
      <c r="AB28" s="119">
        <f ca="1">'表7-利润表-全投资'!X51</f>
        <v>11047.2014562757</v>
      </c>
      <c r="AC28" s="119">
        <f ca="1">'表7-利润表-全投资'!Y51</f>
        <v>10687.8616210886</v>
      </c>
      <c r="AD28" s="119">
        <f ca="1">'表7-利润表-全投资'!Z51</f>
        <v>10717.0703366849</v>
      </c>
      <c r="AE28" s="119">
        <f ca="1">'表7-利润表-全投资'!AA51</f>
        <v>10717.0703366849</v>
      </c>
      <c r="AF28" s="119">
        <f ca="1">'表7-利润表-全投资'!AB51</f>
        <v>10717.0703366849</v>
      </c>
      <c r="AG28" s="119">
        <f ca="1">'表7-利润表-全投资'!AC51</f>
        <v>10718.308868795</v>
      </c>
      <c r="AH28" s="119">
        <f ca="1">'表7-利润表-全投资'!AD51</f>
        <v>10717.0703366849</v>
      </c>
      <c r="AI28" s="119">
        <f ca="1">'表7-利润表-全投资'!AE51</f>
        <v>11156.8851514997</v>
      </c>
      <c r="AJ28" s="119">
        <f ca="1">'表7-利润表-全投资'!AF51</f>
        <v>11777.8028833909</v>
      </c>
      <c r="AK28" s="119">
        <f ca="1">'表7-利润表-全投资'!AG51</f>
        <v>11832.0008922405</v>
      </c>
      <c r="AL28" s="119">
        <f ca="1">'表7-利润表-全投资'!AH51</f>
        <v>11916.3644243505</v>
      </c>
      <c r="AM28" s="119">
        <f ca="1">'表7-利润表-全投资'!AI51</f>
        <v>11964.6671766441</v>
      </c>
      <c r="AN28" s="119">
        <f ca="1">'表7-利润表-全投资'!AJ51</f>
        <v>11915.1258922405</v>
      </c>
      <c r="AO28" s="119">
        <f ca="1">'表7-利润表-全投资'!AK51</f>
        <v>11915.1258922405</v>
      </c>
      <c r="AP28" s="119">
        <f ca="1">'表7-利润表-全投资'!AL51</f>
        <v>11915.1258922405</v>
      </c>
      <c r="AQ28" s="119">
        <f ca="1">'表7-利润表-全投资'!AM51</f>
        <v>11916.3644243505</v>
      </c>
      <c r="AR28" s="119">
        <f ca="1">'表7-利润表-全投资'!AN51</f>
        <v>11920.3028833909</v>
      </c>
      <c r="AS28" s="119">
        <f ca="1">'表7-利润表-全投资'!AO51</f>
        <v>11915.1258922405</v>
      </c>
      <c r="AT28" s="119">
        <f ca="1">'表7-利润表-全投资'!AP51</f>
        <v>14279.9551766252</v>
      </c>
      <c r="AU28" s="119">
        <f ca="1">'表7-利润表-全投资'!AQ51</f>
        <v>17590.7161747639</v>
      </c>
      <c r="AV28" s="119">
        <f ca="1">'表7-利润表-全投资'!AR51</f>
        <v>17591.954706874</v>
      </c>
      <c r="AW28" s="119">
        <f ca="1">'表7-利润表-全投资'!AS51</f>
        <v>17589.2890595753</v>
      </c>
      <c r="AX28" s="119">
        <f ca="1">'表7-利润表-全投资'!AT51</f>
        <v>17539.7477751717</v>
      </c>
      <c r="AY28" s="119">
        <f ca="1">'表7-利润表-全投资'!AU51</f>
        <v>17539.7477751717</v>
      </c>
      <c r="AZ28" s="119">
        <f ca="1">'表7-利润表-全投资'!AV51</f>
        <v>17531.0973326938</v>
      </c>
      <c r="BA28" s="119">
        <f ca="1">'表7-利润表-全投资'!AW51</f>
        <v>17527.1588736534</v>
      </c>
      <c r="BB28" s="119">
        <f ca="1">'表7-利润表-全投资'!AX51</f>
        <v>17525.9203415434</v>
      </c>
      <c r="BC28" s="119">
        <f ca="1">'表7-利润表-全投资'!AY51</f>
        <v>17488.9325739593</v>
      </c>
      <c r="BD28" s="119">
        <f ca="1">'表7-利润表-全投资'!AZ51</f>
        <v>17487.6940418492</v>
      </c>
      <c r="BE28" s="120">
        <f ca="1">'表7-利润表-全投资'!BA51</f>
        <v>9827.73867660977</v>
      </c>
    </row>
    <row r="29" s="105" customFormat="1" spans="2:57">
      <c r="B29" s="71">
        <v>6</v>
      </c>
      <c r="C29" s="127" t="s">
        <v>970</v>
      </c>
      <c r="D29" s="118">
        <f ca="1">SUM(F29:BE29)</f>
        <v>1636575.61593092</v>
      </c>
      <c r="E29" s="50" t="s">
        <v>130</v>
      </c>
      <c r="F29" s="119">
        <f ca="1" t="shared" ref="F29:Q29" si="40">F26-F28</f>
        <v>-28186.967634152</v>
      </c>
      <c r="G29" s="119">
        <f ca="1" t="shared" si="40"/>
        <v>-65769.5911463546</v>
      </c>
      <c r="H29" s="119">
        <f ca="1" t="shared" si="40"/>
        <v>-91349.6822169032</v>
      </c>
      <c r="I29" s="119">
        <f ca="1" t="shared" si="40"/>
        <v>-103682.384359691</v>
      </c>
      <c r="J29" s="119">
        <f ca="1" t="shared" si="40"/>
        <v>-113384.386958664</v>
      </c>
      <c r="K29" s="119">
        <f ca="1" t="shared" si="40"/>
        <v>-151566.969986111</v>
      </c>
      <c r="L29" s="119">
        <f ca="1" t="shared" si="40"/>
        <v>-138968.97276328</v>
      </c>
      <c r="M29" s="119">
        <f ca="1" t="shared" si="40"/>
        <v>-70206.0755556847</v>
      </c>
      <c r="N29" s="119">
        <f ca="1" t="shared" si="40"/>
        <v>-46804.0503704565</v>
      </c>
      <c r="O29" s="119">
        <f ca="1" t="shared" si="40"/>
        <v>-50054.8690087031</v>
      </c>
      <c r="P29" s="119">
        <f ca="1" t="shared" si="40"/>
        <v>0</v>
      </c>
      <c r="Q29" s="119">
        <f ca="1" t="shared" si="40"/>
        <v>16257.2715227074</v>
      </c>
      <c r="R29" s="119">
        <f ca="1" t="shared" ref="Q29:V29" si="41">R26-R28</f>
        <v>66963.3113787482</v>
      </c>
      <c r="S29" s="119">
        <f ca="1" t="shared" si="41"/>
        <v>85398.5397120816</v>
      </c>
      <c r="T29" s="119">
        <f ca="1" t="shared" si="41"/>
        <v>79691.9617517624</v>
      </c>
      <c r="U29" s="119">
        <f ca="1" t="shared" si="41"/>
        <v>79691.9617517624</v>
      </c>
      <c r="V29" s="119">
        <f ca="1" t="shared" si="41"/>
        <v>79691.9617517624</v>
      </c>
      <c r="W29" s="119">
        <f ca="1" t="shared" ref="W29:AP29" si="42">W26-W28</f>
        <v>70282.0999556971</v>
      </c>
      <c r="X29" s="119">
        <f ca="1" t="shared" si="42"/>
        <v>61963.1311732823</v>
      </c>
      <c r="Y29" s="119">
        <f ca="1" t="shared" si="42"/>
        <v>61963.1311732823</v>
      </c>
      <c r="Z29" s="119">
        <f ca="1" t="shared" si="42"/>
        <v>61963.1311732823</v>
      </c>
      <c r="AA29" s="119">
        <f ca="1" t="shared" si="42"/>
        <v>61963.1311732823</v>
      </c>
      <c r="AB29" s="119">
        <f ca="1" t="shared" si="42"/>
        <v>60237.7108193001</v>
      </c>
      <c r="AC29" s="119">
        <f ca="1" t="shared" si="42"/>
        <v>44207.0790704976</v>
      </c>
      <c r="AD29" s="119">
        <f ca="1" t="shared" si="42"/>
        <v>62328.3290704975</v>
      </c>
      <c r="AE29" s="119">
        <f ca="1" t="shared" si="42"/>
        <v>62328.3290704975</v>
      </c>
      <c r="AF29" s="119">
        <f ca="1" t="shared" si="42"/>
        <v>62328.3290704975</v>
      </c>
      <c r="AG29" s="119">
        <f ca="1" t="shared" si="42"/>
        <v>61873.3290704976</v>
      </c>
      <c r="AH29" s="119">
        <f ca="1" t="shared" si="42"/>
        <v>62328.3290704975</v>
      </c>
      <c r="AI29" s="119">
        <f ca="1" t="shared" si="42"/>
        <v>61888.5142556827</v>
      </c>
      <c r="AJ29" s="119">
        <f ca="1" t="shared" si="42"/>
        <v>59960.8708600748</v>
      </c>
      <c r="AK29" s="119">
        <f ca="1" t="shared" si="42"/>
        <v>61213.398514942</v>
      </c>
      <c r="AL29" s="119">
        <f ca="1" t="shared" si="42"/>
        <v>60675.273514942</v>
      </c>
      <c r="AM29" s="119">
        <f ca="1" t="shared" si="42"/>
        <v>42930.273514942</v>
      </c>
      <c r="AN29" s="119">
        <f ca="1" t="shared" si="42"/>
        <v>61130.273514942</v>
      </c>
      <c r="AO29" s="119">
        <f ca="1" t="shared" si="42"/>
        <v>61130.273514942</v>
      </c>
      <c r="AP29" s="119">
        <f ca="1" t="shared" si="42"/>
        <v>61130.273514942</v>
      </c>
      <c r="AQ29" s="119">
        <f ca="1" t="shared" ref="AQ29:BE29" si="43">AQ26-AQ28</f>
        <v>60675.273514942</v>
      </c>
      <c r="AR29" s="119">
        <f ca="1" t="shared" si="43"/>
        <v>59818.3708600748</v>
      </c>
      <c r="AS29" s="119">
        <f ca="1" t="shared" si="43"/>
        <v>61130.273514942</v>
      </c>
      <c r="AT29" s="119">
        <f ca="1" t="shared" si="43"/>
        <v>58765.4442305572</v>
      </c>
      <c r="AU29" s="119">
        <f ca="1" t="shared" si="43"/>
        <v>55454.6832324185</v>
      </c>
      <c r="AV29" s="119">
        <f ca="1" t="shared" si="43"/>
        <v>54999.6832324186</v>
      </c>
      <c r="AW29" s="119">
        <f ca="1" t="shared" si="43"/>
        <v>37305.6516320108</v>
      </c>
      <c r="AX29" s="119">
        <f ca="1" t="shared" si="43"/>
        <v>55505.6516320108</v>
      </c>
      <c r="AY29" s="119">
        <f ca="1" t="shared" si="43"/>
        <v>55505.6516320108</v>
      </c>
      <c r="AZ29" s="119">
        <f ca="1" t="shared" si="43"/>
        <v>54207.5764107719</v>
      </c>
      <c r="BA29" s="119">
        <f ca="1" t="shared" si="43"/>
        <v>55064.4790656391</v>
      </c>
      <c r="BB29" s="119">
        <f ca="1" t="shared" si="43"/>
        <v>55519.4790656391</v>
      </c>
      <c r="BC29" s="119">
        <f ca="1" t="shared" si="43"/>
        <v>55102.7053653333</v>
      </c>
      <c r="BD29" s="119">
        <f ca="1" t="shared" si="43"/>
        <v>55557.7053653333</v>
      </c>
      <c r="BE29" s="120">
        <f ca="1" t="shared" si="43"/>
        <v>110416.718211472</v>
      </c>
    </row>
    <row r="30" s="105" customFormat="1" ht="17.25" spans="2:57">
      <c r="B30" s="87">
        <v>7</v>
      </c>
      <c r="C30" s="128" t="s">
        <v>971</v>
      </c>
      <c r="D30" s="128"/>
      <c r="E30" s="90" t="s">
        <v>130</v>
      </c>
      <c r="F30" s="129">
        <f ca="1">F29</f>
        <v>-28186.967634152</v>
      </c>
      <c r="G30" s="129">
        <f ca="1" t="shared" ref="G30:T30" si="44">F30+G29</f>
        <v>-93956.5587805066</v>
      </c>
      <c r="H30" s="129">
        <f ca="1" t="shared" si="44"/>
        <v>-185306.24099741</v>
      </c>
      <c r="I30" s="129">
        <f ca="1" t="shared" si="44"/>
        <v>-288988.625357101</v>
      </c>
      <c r="J30" s="129">
        <f ca="1" t="shared" si="44"/>
        <v>-402373.012315765</v>
      </c>
      <c r="K30" s="129">
        <f ca="1" t="shared" si="44"/>
        <v>-553939.982301876</v>
      </c>
      <c r="L30" s="129">
        <f ca="1" t="shared" si="44"/>
        <v>-692908.955065156</v>
      </c>
      <c r="M30" s="129">
        <f ca="1" t="shared" si="44"/>
        <v>-763115.030620841</v>
      </c>
      <c r="N30" s="129">
        <f ca="1" t="shared" si="44"/>
        <v>-809919.080991297</v>
      </c>
      <c r="O30" s="129">
        <f ca="1" t="shared" si="44"/>
        <v>-859973.95</v>
      </c>
      <c r="P30" s="129">
        <f ca="1" t="shared" si="44"/>
        <v>-859973.95</v>
      </c>
      <c r="Q30" s="129">
        <f ca="1" t="shared" si="44"/>
        <v>-843716.678477293</v>
      </c>
      <c r="R30" s="129">
        <f ca="1" t="shared" si="44"/>
        <v>-776753.367098544</v>
      </c>
      <c r="S30" s="129">
        <f ca="1" t="shared" si="44"/>
        <v>-691354.827386463</v>
      </c>
      <c r="T30" s="129">
        <f ca="1" t="shared" si="44"/>
        <v>-611662.865634701</v>
      </c>
      <c r="U30" s="129">
        <f ca="1" t="shared" ref="U30:AP30" si="45">T30+U29</f>
        <v>-531970.903882938</v>
      </c>
      <c r="V30" s="129">
        <f ca="1" t="shared" si="45"/>
        <v>-452278.942131176</v>
      </c>
      <c r="W30" s="129">
        <f ca="1" t="shared" si="45"/>
        <v>-381996.842175479</v>
      </c>
      <c r="X30" s="129">
        <f ca="1" t="shared" si="45"/>
        <v>-320033.711002196</v>
      </c>
      <c r="Y30" s="129">
        <f ca="1" t="shared" si="45"/>
        <v>-258070.579828914</v>
      </c>
      <c r="Z30" s="129">
        <f ca="1" t="shared" si="45"/>
        <v>-196107.448655632</v>
      </c>
      <c r="AA30" s="129">
        <f ca="1" t="shared" si="45"/>
        <v>-134144.317482349</v>
      </c>
      <c r="AB30" s="129">
        <f ca="1" t="shared" si="45"/>
        <v>-73906.6066630494</v>
      </c>
      <c r="AC30" s="129">
        <f ca="1" t="shared" si="45"/>
        <v>-29699.5275925519</v>
      </c>
      <c r="AD30" s="129">
        <f ca="1" t="shared" si="45"/>
        <v>32628.8014779457</v>
      </c>
      <c r="AE30" s="129">
        <f ca="1" t="shared" si="45"/>
        <v>94957.1305484432</v>
      </c>
      <c r="AF30" s="129">
        <f ca="1" t="shared" si="45"/>
        <v>157285.459618941</v>
      </c>
      <c r="AG30" s="129">
        <f ca="1" t="shared" si="45"/>
        <v>219158.788689438</v>
      </c>
      <c r="AH30" s="129">
        <f ca="1" t="shared" si="45"/>
        <v>281487.117759936</v>
      </c>
      <c r="AI30" s="129">
        <f ca="1" t="shared" si="45"/>
        <v>343375.632015619</v>
      </c>
      <c r="AJ30" s="129">
        <f ca="1" t="shared" si="45"/>
        <v>403336.502875693</v>
      </c>
      <c r="AK30" s="129">
        <f ca="1" t="shared" si="45"/>
        <v>464549.901390635</v>
      </c>
      <c r="AL30" s="129">
        <f ca="1" t="shared" si="45"/>
        <v>525225.174905577</v>
      </c>
      <c r="AM30" s="129">
        <f ca="1" t="shared" si="45"/>
        <v>568155.448420519</v>
      </c>
      <c r="AN30" s="129">
        <f ca="1" t="shared" si="45"/>
        <v>629285.721935462</v>
      </c>
      <c r="AO30" s="129">
        <f ca="1" t="shared" si="45"/>
        <v>690415.995450404</v>
      </c>
      <c r="AP30" s="129">
        <f ca="1" t="shared" si="45"/>
        <v>751546.268965346</v>
      </c>
      <c r="AQ30" s="129">
        <f ca="1" t="shared" ref="AQ30:BE30" si="46">AP30+AQ29</f>
        <v>812221.542480288</v>
      </c>
      <c r="AR30" s="129">
        <f ca="1" t="shared" si="46"/>
        <v>872039.913340362</v>
      </c>
      <c r="AS30" s="129">
        <f ca="1" t="shared" si="46"/>
        <v>933170.186855304</v>
      </c>
      <c r="AT30" s="129">
        <f ca="1" t="shared" si="46"/>
        <v>991935.631085861</v>
      </c>
      <c r="AU30" s="129">
        <f ca="1" t="shared" si="46"/>
        <v>1047390.31431828</v>
      </c>
      <c r="AV30" s="129">
        <f ca="1" t="shared" si="46"/>
        <v>1102389.9975507</v>
      </c>
      <c r="AW30" s="129">
        <f ca="1" t="shared" si="46"/>
        <v>1139695.64918271</v>
      </c>
      <c r="AX30" s="129">
        <f ca="1" t="shared" si="46"/>
        <v>1195201.30081472</v>
      </c>
      <c r="AY30" s="129">
        <f ca="1" t="shared" si="46"/>
        <v>1250706.95244673</v>
      </c>
      <c r="AZ30" s="129">
        <f ca="1" t="shared" si="46"/>
        <v>1304914.5288575</v>
      </c>
      <c r="BA30" s="129">
        <f ca="1" t="shared" si="46"/>
        <v>1359979.00792314</v>
      </c>
      <c r="BB30" s="129">
        <f ca="1" t="shared" si="46"/>
        <v>1415498.48698878</v>
      </c>
      <c r="BC30" s="129">
        <f ca="1" t="shared" si="46"/>
        <v>1470601.19235411</v>
      </c>
      <c r="BD30" s="129">
        <f ca="1" t="shared" si="46"/>
        <v>1526158.89771945</v>
      </c>
      <c r="BE30" s="130">
        <f ca="1" t="shared" si="46"/>
        <v>1636575.61593092</v>
      </c>
    </row>
    <row r="31" spans="2:57">
      <c r="P31" s="105"/>
    </row>
    <row r="32" spans="2:57">
      <c r="C32" s="28" t="s">
        <v>986</v>
      </c>
      <c r="D32" s="131">
        <f ca="1">XIRR(F26:BE26,F3:BE3)</f>
        <v>0.06422219231988</v>
      </c>
      <c r="E32" s="132"/>
      <c r="F32" s="132"/>
      <c r="G32" s="132"/>
      <c r="H32" s="132"/>
      <c r="I32" s="132"/>
      <c r="J32" s="132"/>
      <c r="K32" s="132"/>
      <c r="L32" s="132"/>
      <c r="M32" s="132"/>
      <c r="N32" s="132"/>
      <c r="O32" s="132"/>
      <c r="P32" s="133"/>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row>
    <row r="33" spans="3:57">
      <c r="C33" s="28" t="s">
        <v>987</v>
      </c>
      <c r="D33" s="131">
        <f ca="1">XIRR(F29:BE29,F3:BE3)</f>
        <v>0.0554925899889749</v>
      </c>
      <c r="E33" s="132"/>
      <c r="F33" s="132"/>
      <c r="G33" s="132"/>
      <c r="H33" s="132"/>
      <c r="I33" s="132"/>
      <c r="J33" s="132"/>
      <c r="K33" s="132"/>
      <c r="L33" s="132"/>
      <c r="M33" s="132"/>
      <c r="N33" s="132"/>
      <c r="O33" s="132"/>
      <c r="P33" s="133"/>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row>
    <row r="34" spans="3:57">
      <c r="C34" s="28" t="s">
        <v>974</v>
      </c>
      <c r="D34" s="134">
        <f ca="1">SUM(G34:BE34)</f>
        <v>20.4765012641196</v>
      </c>
      <c r="E34" s="29" t="s">
        <v>15</v>
      </c>
      <c r="F34" s="29"/>
      <c r="G34" s="42">
        <v>0</v>
      </c>
      <c r="H34" s="42">
        <f ca="1">IF(H30/G30&lt;0,G4+ABS(G30/H29),0)</f>
        <v>0</v>
      </c>
      <c r="I34" s="42">
        <f ca="1">IF(I30/H30&lt;0,H4+ABS(H30/I29),0)</f>
        <v>0</v>
      </c>
      <c r="J34" s="42">
        <f ca="1">IF(J30/I30&lt;0,I4+ABS(I30/J29),0)</f>
        <v>0</v>
      </c>
      <c r="K34" s="42">
        <f ca="1">IF(K30/J30&lt;0,J4+ABS(J30/K29),0)</f>
        <v>0</v>
      </c>
      <c r="L34" s="42">
        <f ca="1">IF(L30/K30&lt;0,K4+ABS(K30/L29),0)</f>
        <v>0</v>
      </c>
      <c r="M34" s="42">
        <f ca="1" t="shared" ref="M34:R34" si="47">IF(M30/L30&lt;0,L4+ABS(L30/M29),0)</f>
        <v>0</v>
      </c>
      <c r="N34" s="42">
        <f ca="1" t="shared" si="47"/>
        <v>0</v>
      </c>
      <c r="O34" s="42">
        <f ca="1" t="shared" si="47"/>
        <v>0</v>
      </c>
      <c r="P34" s="124">
        <f ca="1" t="shared" si="47"/>
        <v>0</v>
      </c>
      <c r="Q34" s="42">
        <f ca="1" t="shared" si="47"/>
        <v>0</v>
      </c>
      <c r="R34" s="42">
        <f ca="1" t="shared" si="47"/>
        <v>0</v>
      </c>
      <c r="S34" s="42">
        <f ca="1" t="shared" ref="Q34:BE34" si="48">IF(S30/R30&lt;0,R4+ABS(R30/S29),0)</f>
        <v>0</v>
      </c>
      <c r="T34" s="42">
        <f ca="1" t="shared" si="48"/>
        <v>0</v>
      </c>
      <c r="U34" s="42">
        <f ca="1" t="shared" si="48"/>
        <v>0</v>
      </c>
      <c r="V34" s="42">
        <f ca="1" t="shared" si="48"/>
        <v>0</v>
      </c>
      <c r="W34" s="42">
        <f ca="1" t="shared" si="48"/>
        <v>0</v>
      </c>
      <c r="X34" s="42">
        <f ca="1" t="shared" si="48"/>
        <v>0</v>
      </c>
      <c r="Y34" s="42">
        <f ca="1" t="shared" si="48"/>
        <v>0</v>
      </c>
      <c r="Z34" s="42">
        <f ca="1" t="shared" si="48"/>
        <v>0</v>
      </c>
      <c r="AA34" s="42">
        <f ca="1" t="shared" si="48"/>
        <v>0</v>
      </c>
      <c r="AB34" s="42">
        <f ca="1" t="shared" si="48"/>
        <v>0</v>
      </c>
      <c r="AC34" s="42">
        <f ca="1" t="shared" si="48"/>
        <v>0</v>
      </c>
      <c r="AD34" s="42">
        <f ca="1" t="shared" si="48"/>
        <v>20.4765012641196</v>
      </c>
      <c r="AE34" s="42">
        <f ca="1" t="shared" si="48"/>
        <v>0</v>
      </c>
      <c r="AF34" s="42">
        <f ca="1" t="shared" si="48"/>
        <v>0</v>
      </c>
      <c r="AG34" s="42">
        <f ca="1" t="shared" si="48"/>
        <v>0</v>
      </c>
      <c r="AH34" s="42">
        <f ca="1" t="shared" si="48"/>
        <v>0</v>
      </c>
      <c r="AI34" s="42">
        <f ca="1" t="shared" si="48"/>
        <v>0</v>
      </c>
      <c r="AJ34" s="42">
        <f ca="1" t="shared" si="48"/>
        <v>0</v>
      </c>
      <c r="AK34" s="42">
        <f ca="1" t="shared" si="48"/>
        <v>0</v>
      </c>
      <c r="AL34" s="42">
        <f ca="1" t="shared" si="48"/>
        <v>0</v>
      </c>
      <c r="AM34" s="42">
        <f ca="1" t="shared" si="48"/>
        <v>0</v>
      </c>
      <c r="AN34" s="42">
        <f ca="1" t="shared" si="48"/>
        <v>0</v>
      </c>
      <c r="AO34" s="42">
        <f ca="1" t="shared" si="48"/>
        <v>0</v>
      </c>
      <c r="AP34" s="42">
        <f ca="1" t="shared" si="48"/>
        <v>0</v>
      </c>
      <c r="AQ34" s="42">
        <f ca="1" t="shared" si="48"/>
        <v>0</v>
      </c>
      <c r="AR34" s="42">
        <f ca="1" t="shared" si="48"/>
        <v>0</v>
      </c>
      <c r="AS34" s="42">
        <f ca="1" t="shared" si="48"/>
        <v>0</v>
      </c>
      <c r="AT34" s="42">
        <f ca="1" t="shared" si="48"/>
        <v>0</v>
      </c>
      <c r="AU34" s="42">
        <f ca="1" t="shared" si="48"/>
        <v>0</v>
      </c>
      <c r="AV34" s="42">
        <f ca="1" t="shared" si="48"/>
        <v>0</v>
      </c>
      <c r="AW34" s="42">
        <f ca="1" t="shared" si="48"/>
        <v>0</v>
      </c>
      <c r="AX34" s="42">
        <f ca="1" t="shared" si="48"/>
        <v>0</v>
      </c>
      <c r="AY34" s="42">
        <f ca="1" t="shared" si="48"/>
        <v>0</v>
      </c>
      <c r="AZ34" s="42">
        <f ca="1" t="shared" si="48"/>
        <v>0</v>
      </c>
      <c r="BA34" s="42">
        <f ca="1" t="shared" si="48"/>
        <v>0</v>
      </c>
      <c r="BB34" s="42">
        <f ca="1" t="shared" si="48"/>
        <v>0</v>
      </c>
      <c r="BC34" s="42">
        <f ca="1" t="shared" si="48"/>
        <v>0</v>
      </c>
      <c r="BD34" s="42">
        <f ca="1" t="shared" si="48"/>
        <v>0</v>
      </c>
      <c r="BE34" s="42">
        <f ca="1" t="shared" si="48"/>
        <v>0</v>
      </c>
    </row>
    <row r="35" spans="3:57">
      <c r="C35" s="6"/>
      <c r="D35" s="135"/>
    </row>
    <row r="36" spans="3:57">
      <c r="R36" s="136"/>
    </row>
    <row r="37" ht="22.5" spans="3:57">
      <c r="C37" s="137" t="s">
        <v>356</v>
      </c>
      <c r="D37" s="138">
        <f ca="1">D29-'表7-利润表-全投资'!D54</f>
        <v>-9.77888703346252e-9</v>
      </c>
    </row>
  </sheetData>
  <mergeCells count="4">
    <mergeCell ref="B3:B4"/>
    <mergeCell ref="C3:C4"/>
    <mergeCell ref="D3:D4"/>
    <mergeCell ref="E3:E4"/>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FF00"/>
  </sheetPr>
  <dimension ref="B1:BA81"/>
  <sheetViews>
    <sheetView showGridLines="0" zoomScale="70" zoomScaleNormal="70" workbookViewId="0">
      <pane xSplit="5" ySplit="4" topLeftCell="F5" activePane="bottomRight" state="frozen"/>
      <selection/>
      <selection pane="topRight"/>
      <selection pane="bottomLeft"/>
      <selection pane="bottomRight" activeCell="I6" sqref="I6"/>
    </sheetView>
  </sheetViews>
  <sheetFormatPr defaultColWidth="9" defaultRowHeight="16.5"/>
  <cols>
    <col min="1" max="1" width="1.44545454545455" style="6" customWidth="1"/>
    <col min="2" max="2" width="5.66363636363636" style="7" customWidth="1"/>
    <col min="3" max="3" width="67.7818181818182" style="6" customWidth="1"/>
    <col min="4" max="4" width="16.5545454545455" style="6" customWidth="1"/>
    <col min="5" max="5" width="9" style="7"/>
    <col min="6" max="7" width="14.6636363636364" style="6" customWidth="1"/>
    <col min="8" max="12" width="16.3363636363636" style="6" customWidth="1"/>
    <col min="13" max="24" width="15.3363636363636" style="6" customWidth="1"/>
    <col min="25" max="32" width="16.3363636363636" style="6" customWidth="1"/>
    <col min="33" max="53" width="15.3363636363636" style="6" customWidth="1"/>
    <col min="54" max="16384" width="9" style="6"/>
  </cols>
  <sheetData>
    <row r="1" ht="4.95" customHeight="1"/>
    <row r="2" ht="17.25" spans="2:53">
      <c r="B2" s="70" t="s">
        <v>988</v>
      </c>
      <c r="D2" s="7"/>
    </row>
    <row r="3" spans="2:53">
      <c r="B3" s="8" t="s">
        <v>2</v>
      </c>
      <c r="C3" s="9" t="s">
        <v>430</v>
      </c>
      <c r="D3" s="10" t="s">
        <v>491</v>
      </c>
      <c r="E3" s="10" t="s">
        <v>9</v>
      </c>
      <c r="F3" s="11">
        <v>2023</v>
      </c>
      <c r="G3" s="11">
        <v>2024</v>
      </c>
      <c r="H3" s="11">
        <v>2025</v>
      </c>
      <c r="I3" s="11">
        <v>2026</v>
      </c>
      <c r="J3" s="11">
        <v>2027</v>
      </c>
      <c r="K3" s="11">
        <v>2028</v>
      </c>
      <c r="L3" s="12">
        <v>2029</v>
      </c>
      <c r="M3" s="12">
        <v>2030</v>
      </c>
      <c r="N3" s="13">
        <v>2031</v>
      </c>
      <c r="O3" s="13">
        <v>2032</v>
      </c>
      <c r="P3" s="13">
        <v>2033</v>
      </c>
      <c r="Q3" s="13">
        <v>2034</v>
      </c>
      <c r="R3" s="13">
        <v>2035</v>
      </c>
      <c r="S3" s="13">
        <v>2036</v>
      </c>
      <c r="T3" s="13">
        <v>2037</v>
      </c>
      <c r="U3" s="13">
        <v>2038</v>
      </c>
      <c r="V3" s="13">
        <v>2039</v>
      </c>
      <c r="W3" s="13">
        <v>2040</v>
      </c>
      <c r="X3" s="13">
        <v>2041</v>
      </c>
      <c r="Y3" s="13">
        <v>2042</v>
      </c>
      <c r="Z3" s="13">
        <v>2043</v>
      </c>
      <c r="AA3" s="13">
        <v>2044</v>
      </c>
      <c r="AB3" s="13">
        <v>2045</v>
      </c>
      <c r="AC3" s="13">
        <v>2046</v>
      </c>
      <c r="AD3" s="13">
        <v>2047</v>
      </c>
      <c r="AE3" s="13">
        <v>2048</v>
      </c>
      <c r="AF3" s="13">
        <v>2049</v>
      </c>
      <c r="AG3" s="13">
        <v>2050</v>
      </c>
      <c r="AH3" s="13">
        <v>2051</v>
      </c>
      <c r="AI3" s="13">
        <v>2052</v>
      </c>
      <c r="AJ3" s="13">
        <v>2053</v>
      </c>
      <c r="AK3" s="13">
        <v>2054</v>
      </c>
      <c r="AL3" s="13">
        <v>2055</v>
      </c>
      <c r="AM3" s="13">
        <v>2056</v>
      </c>
      <c r="AN3" s="13">
        <v>2057</v>
      </c>
      <c r="AO3" s="13">
        <v>2058</v>
      </c>
      <c r="AP3" s="13">
        <v>2059</v>
      </c>
      <c r="AQ3" s="13">
        <v>2060</v>
      </c>
      <c r="AR3" s="13">
        <v>2061</v>
      </c>
      <c r="AS3" s="13">
        <v>2062</v>
      </c>
      <c r="AT3" s="13">
        <v>2063</v>
      </c>
      <c r="AU3" s="13">
        <v>2064</v>
      </c>
      <c r="AV3" s="13">
        <v>2065</v>
      </c>
      <c r="AW3" s="13">
        <v>2066</v>
      </c>
      <c r="AX3" s="13">
        <v>2067</v>
      </c>
      <c r="AY3" s="13">
        <v>2068</v>
      </c>
      <c r="AZ3" s="13">
        <v>2069</v>
      </c>
      <c r="BA3" s="14">
        <v>2070</v>
      </c>
    </row>
    <row r="4" spans="2:53">
      <c r="B4" s="15"/>
      <c r="C4" s="16"/>
      <c r="D4" s="17"/>
      <c r="E4" s="17"/>
      <c r="F4" s="18">
        <v>1</v>
      </c>
      <c r="G4" s="18">
        <v>2</v>
      </c>
      <c r="H4" s="18">
        <v>3</v>
      </c>
      <c r="I4" s="18">
        <v>4</v>
      </c>
      <c r="J4" s="18">
        <v>5</v>
      </c>
      <c r="K4" s="18">
        <v>6</v>
      </c>
      <c r="L4" s="19">
        <v>7</v>
      </c>
      <c r="M4" s="19">
        <v>8</v>
      </c>
      <c r="N4" s="20">
        <v>9</v>
      </c>
      <c r="O4" s="20">
        <v>10</v>
      </c>
      <c r="P4" s="20">
        <v>11</v>
      </c>
      <c r="Q4" s="20">
        <v>12</v>
      </c>
      <c r="R4" s="20">
        <v>13</v>
      </c>
      <c r="S4" s="20">
        <v>14</v>
      </c>
      <c r="T4" s="20">
        <v>15</v>
      </c>
      <c r="U4" s="20">
        <v>16</v>
      </c>
      <c r="V4" s="20">
        <v>17</v>
      </c>
      <c r="W4" s="20">
        <v>18</v>
      </c>
      <c r="X4" s="20">
        <v>19</v>
      </c>
      <c r="Y4" s="20">
        <v>20</v>
      </c>
      <c r="Z4" s="20">
        <v>21</v>
      </c>
      <c r="AA4" s="20">
        <v>22</v>
      </c>
      <c r="AB4" s="20">
        <v>23</v>
      </c>
      <c r="AC4" s="20">
        <v>24</v>
      </c>
      <c r="AD4" s="20">
        <v>25</v>
      </c>
      <c r="AE4" s="20">
        <v>26</v>
      </c>
      <c r="AF4" s="20">
        <v>27</v>
      </c>
      <c r="AG4" s="20">
        <v>28</v>
      </c>
      <c r="AH4" s="20">
        <v>29</v>
      </c>
      <c r="AI4" s="20">
        <v>30</v>
      </c>
      <c r="AJ4" s="20">
        <v>31</v>
      </c>
      <c r="AK4" s="20">
        <v>32</v>
      </c>
      <c r="AL4" s="20">
        <v>33</v>
      </c>
      <c r="AM4" s="20">
        <v>34</v>
      </c>
      <c r="AN4" s="20">
        <v>35</v>
      </c>
      <c r="AO4" s="20">
        <v>36</v>
      </c>
      <c r="AP4" s="20">
        <v>37</v>
      </c>
      <c r="AQ4" s="20">
        <v>38</v>
      </c>
      <c r="AR4" s="20">
        <v>39</v>
      </c>
      <c r="AS4" s="20">
        <v>40</v>
      </c>
      <c r="AT4" s="20">
        <v>41</v>
      </c>
      <c r="AU4" s="20">
        <v>42</v>
      </c>
      <c r="AV4" s="20">
        <v>43</v>
      </c>
      <c r="AW4" s="20">
        <v>44</v>
      </c>
      <c r="AX4" s="20">
        <v>45</v>
      </c>
      <c r="AY4" s="20">
        <v>46</v>
      </c>
      <c r="AZ4" s="20">
        <v>47</v>
      </c>
      <c r="BA4" s="21">
        <v>48</v>
      </c>
    </row>
    <row r="5" s="4" customFormat="1" ht="19.95" customHeight="1" spans="2:53">
      <c r="B5" s="71" t="s">
        <v>834</v>
      </c>
      <c r="C5" s="72" t="s">
        <v>989</v>
      </c>
      <c r="D5" s="73"/>
      <c r="E5" s="50"/>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3"/>
    </row>
    <row r="6" s="4" customFormat="1" ht="19.95" customHeight="1" spans="2:53">
      <c r="B6" s="48"/>
      <c r="C6" s="74" t="s">
        <v>990</v>
      </c>
      <c r="D6" s="51">
        <f>SUM(F6:BA6)</f>
        <v>6146363.99999999</v>
      </c>
      <c r="E6" s="50" t="s">
        <v>130</v>
      </c>
      <c r="F6" s="51">
        <f>'表6-现金流量表-资本金'!F7+'表6-现金流量表-资本金'!G7</f>
        <v>0</v>
      </c>
      <c r="G6" s="51">
        <f>'表6-现金流量表-资本金'!H7</f>
        <v>0</v>
      </c>
      <c r="H6" s="51">
        <f>'表6-现金流量表-资本金'!I7</f>
        <v>0</v>
      </c>
      <c r="I6" s="51">
        <f>'表6-现金流量表-资本金'!J7</f>
        <v>0</v>
      </c>
      <c r="J6" s="51">
        <f>'表6-现金流量表-资本金'!K7</f>
        <v>0</v>
      </c>
      <c r="K6" s="51">
        <f>'表6-现金流量表-资本金'!L7</f>
        <v>0</v>
      </c>
      <c r="L6" s="51">
        <f>'表6-现金流量表-资本金'!M7+'表6-现金流量表-资本金'!N7</f>
        <v>0</v>
      </c>
      <c r="M6" s="51">
        <f>'表6-现金流量表-资本金'!O7+'表6-现金流量表-资本金'!P7+'表6-现金流量表-资本金'!Q7</f>
        <v>51219.6999999999</v>
      </c>
      <c r="N6" s="51">
        <f>'表6-现金流量表-资本金'!R7</f>
        <v>135732.205</v>
      </c>
      <c r="O6" s="51">
        <f>'表6-现金流量表-资本金'!S7</f>
        <v>153659.1</v>
      </c>
      <c r="P6" s="51">
        <f>'表6-现金流量表-资本金'!T7</f>
        <v>153659.1</v>
      </c>
      <c r="Q6" s="51">
        <f>'表6-现金流量表-资本金'!U7</f>
        <v>153659.1</v>
      </c>
      <c r="R6" s="51">
        <f>'表6-现金流量表-资本金'!V7</f>
        <v>153659.1</v>
      </c>
      <c r="S6" s="51">
        <f>'表6-现金流量表-资本金'!W7</f>
        <v>153659.1</v>
      </c>
      <c r="T6" s="51">
        <f>'表6-现金流量表-资本金'!X7</f>
        <v>153659.1</v>
      </c>
      <c r="U6" s="51">
        <f>'表6-现金流量表-资本金'!Y7</f>
        <v>153659.1</v>
      </c>
      <c r="V6" s="51">
        <f>'表6-现金流量表-资本金'!Z7</f>
        <v>153659.1</v>
      </c>
      <c r="W6" s="51">
        <f>'表6-现金流量表-资本金'!AA7</f>
        <v>153659.1</v>
      </c>
      <c r="X6" s="51">
        <f>'表6-现金流量表-资本金'!AB7</f>
        <v>153659.1</v>
      </c>
      <c r="Y6" s="51">
        <f>'表6-现金流量表-资本金'!AC7</f>
        <v>153659.1</v>
      </c>
      <c r="Z6" s="51">
        <f>'表6-现金流量表-资本金'!AD7</f>
        <v>153659.1</v>
      </c>
      <c r="AA6" s="51">
        <f>'表6-现金流量表-资本金'!AE7</f>
        <v>153659.1</v>
      </c>
      <c r="AB6" s="51">
        <f>'表6-现金流量表-资本金'!AF7</f>
        <v>153659.1</v>
      </c>
      <c r="AC6" s="51">
        <f>'表6-现金流量表-资本金'!AG7</f>
        <v>153659.1</v>
      </c>
      <c r="AD6" s="51">
        <f>'表6-现金流量表-资本金'!AH7</f>
        <v>153659.1</v>
      </c>
      <c r="AE6" s="51">
        <f>'表6-现金流量表-资本金'!AI7</f>
        <v>153659.1</v>
      </c>
      <c r="AF6" s="51">
        <f>'表6-现金流量表-资本金'!AJ7</f>
        <v>153659.1</v>
      </c>
      <c r="AG6" s="51">
        <f>'表6-现金流量表-资本金'!AK7</f>
        <v>153659.1</v>
      </c>
      <c r="AH6" s="51">
        <f>'表6-现金流量表-资本金'!AL7</f>
        <v>153659.1</v>
      </c>
      <c r="AI6" s="51">
        <f>'表6-现金流量表-资本金'!AM7</f>
        <v>153659.1</v>
      </c>
      <c r="AJ6" s="51">
        <f>'表6-现金流量表-资本金'!AN7</f>
        <v>153659.1</v>
      </c>
      <c r="AK6" s="51">
        <f>'表6-现金流量表-资本金'!AO7</f>
        <v>153659.1</v>
      </c>
      <c r="AL6" s="51">
        <f>'表6-现金流量表-资本金'!AP7</f>
        <v>153659.1</v>
      </c>
      <c r="AM6" s="51">
        <f>'表6-现金流量表-资本金'!AQ7</f>
        <v>153659.1</v>
      </c>
      <c r="AN6" s="51">
        <f>'表6-现金流量表-资本金'!AR7</f>
        <v>153659.1</v>
      </c>
      <c r="AO6" s="51">
        <f>'表6-现金流量表-资本金'!AS7</f>
        <v>153659.1</v>
      </c>
      <c r="AP6" s="51">
        <f>'表6-现金流量表-资本金'!AT7</f>
        <v>153659.1</v>
      </c>
      <c r="AQ6" s="51">
        <f>'表6-现金流量表-资本金'!AU7</f>
        <v>153659.1</v>
      </c>
      <c r="AR6" s="51">
        <f>'表6-现金流量表-资本金'!AV7</f>
        <v>153659.1</v>
      </c>
      <c r="AS6" s="51">
        <f>'表6-现金流量表-资本金'!AW7</f>
        <v>153659.1</v>
      </c>
      <c r="AT6" s="51">
        <f>'表6-现金流量表-资本金'!AX7</f>
        <v>153659.1</v>
      </c>
      <c r="AU6" s="51">
        <f>'表6-现金流量表-资本金'!AY7</f>
        <v>153659.1</v>
      </c>
      <c r="AV6" s="51">
        <f>'表6-现金流量表-资本金'!AZ7</f>
        <v>153659.1</v>
      </c>
      <c r="AW6" s="51">
        <f>'表6-现金流量表-资本金'!BA7</f>
        <v>153659.1</v>
      </c>
      <c r="AX6" s="51">
        <f>'表6-现金流量表-资本金'!BB7</f>
        <v>153659.1</v>
      </c>
      <c r="AY6" s="51">
        <f>'表6-现金流量表-资本金'!BC7</f>
        <v>153659.1</v>
      </c>
      <c r="AZ6" s="51">
        <f>'表6-现金流量表-资本金'!BD7</f>
        <v>153659.1</v>
      </c>
      <c r="BA6" s="53">
        <f>'表6-现金流量表-资本金'!BE7</f>
        <v>120366.295</v>
      </c>
    </row>
    <row r="7" s="4" customFormat="1" ht="19.95" customHeight="1" spans="2:53">
      <c r="B7" s="48"/>
      <c r="C7" s="75" t="s">
        <v>991</v>
      </c>
      <c r="D7" s="51">
        <f t="shared" ref="D7:D21" si="0">SUM(F7:BA7)</f>
        <v>0</v>
      </c>
      <c r="E7" s="50" t="s">
        <v>130</v>
      </c>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3"/>
    </row>
    <row r="8" s="4" customFormat="1" ht="19.95" customHeight="1" spans="2:53">
      <c r="B8" s="48"/>
      <c r="C8" s="75" t="s">
        <v>992</v>
      </c>
      <c r="D8" s="51">
        <f t="shared" si="0"/>
        <v>0</v>
      </c>
      <c r="E8" s="50" t="s">
        <v>130</v>
      </c>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3"/>
    </row>
    <row r="9" s="4" customFormat="1" ht="19.95" customHeight="1" spans="2:53">
      <c r="B9" s="48"/>
      <c r="C9" s="75" t="s">
        <v>993</v>
      </c>
      <c r="D9" s="51">
        <f t="shared" si="0"/>
        <v>0</v>
      </c>
      <c r="E9" s="50" t="s">
        <v>130</v>
      </c>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3"/>
    </row>
    <row r="10" s="4" customFormat="1" ht="19.95" customHeight="1" spans="2:53">
      <c r="B10" s="48"/>
      <c r="C10" s="75" t="s">
        <v>994</v>
      </c>
      <c r="D10" s="51">
        <f t="shared" si="0"/>
        <v>0</v>
      </c>
      <c r="E10" s="50" t="s">
        <v>130</v>
      </c>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3"/>
    </row>
    <row r="11" s="4" customFormat="1" ht="19.95" customHeight="1" spans="2:53">
      <c r="B11" s="48"/>
      <c r="C11" s="75" t="s">
        <v>995</v>
      </c>
      <c r="D11" s="51">
        <f t="shared" si="0"/>
        <v>0</v>
      </c>
      <c r="E11" s="50" t="s">
        <v>130</v>
      </c>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3"/>
    </row>
    <row r="12" s="4" customFormat="1" ht="19.95" customHeight="1" spans="2:53">
      <c r="B12" s="48"/>
      <c r="C12" s="75" t="s">
        <v>996</v>
      </c>
      <c r="D12" s="51">
        <f t="shared" si="0"/>
        <v>0</v>
      </c>
      <c r="E12" s="50" t="s">
        <v>130</v>
      </c>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3"/>
    </row>
    <row r="13" s="4" customFormat="1" ht="19.95" customHeight="1" spans="2:53">
      <c r="B13" s="48"/>
      <c r="C13" s="75" t="s">
        <v>997</v>
      </c>
      <c r="D13" s="51">
        <f t="shared" si="0"/>
        <v>0</v>
      </c>
      <c r="E13" s="50" t="s">
        <v>130</v>
      </c>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3"/>
    </row>
    <row r="14" s="4" customFormat="1" ht="19.95" customHeight="1" spans="2:53">
      <c r="B14" s="48"/>
      <c r="C14" s="75" t="s">
        <v>998</v>
      </c>
      <c r="D14" s="51">
        <f t="shared" si="0"/>
        <v>0</v>
      </c>
      <c r="E14" s="50" t="s">
        <v>130</v>
      </c>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3"/>
    </row>
    <row r="15" s="4" customFormat="1" ht="19.95" customHeight="1" spans="2:53">
      <c r="B15" s="48"/>
      <c r="C15" s="75" t="s">
        <v>999</v>
      </c>
      <c r="D15" s="51">
        <f t="shared" si="0"/>
        <v>0</v>
      </c>
      <c r="E15" s="50" t="s">
        <v>130</v>
      </c>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3"/>
    </row>
    <row r="16" s="4" customFormat="1" ht="19.95" customHeight="1" spans="2:53">
      <c r="B16" s="48"/>
      <c r="C16" s="75" t="s">
        <v>1000</v>
      </c>
      <c r="D16" s="51">
        <f t="shared" si="0"/>
        <v>0</v>
      </c>
      <c r="E16" s="50" t="s">
        <v>130</v>
      </c>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3"/>
    </row>
    <row r="17" s="4" customFormat="1" ht="19.95" customHeight="1" spans="2:53">
      <c r="B17" s="48"/>
      <c r="C17" s="75" t="s">
        <v>1001</v>
      </c>
      <c r="D17" s="51">
        <f t="shared" si="0"/>
        <v>0</v>
      </c>
      <c r="E17" s="50" t="s">
        <v>130</v>
      </c>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3"/>
    </row>
    <row r="18" s="4" customFormat="1" ht="19.95" customHeight="1" spans="2:53">
      <c r="B18" s="48"/>
      <c r="C18" s="74" t="s">
        <v>1002</v>
      </c>
      <c r="D18" s="51">
        <f t="shared" si="0"/>
        <v>0</v>
      </c>
      <c r="E18" s="50" t="s">
        <v>130</v>
      </c>
      <c r="F18" s="51">
        <f>'表4-收入税金表'!F15</f>
        <v>0</v>
      </c>
      <c r="G18" s="51">
        <f>'表4-收入税金表'!G15</f>
        <v>0</v>
      </c>
      <c r="H18" s="51">
        <f>'表4-收入税金表'!H15</f>
        <v>0</v>
      </c>
      <c r="I18" s="51">
        <f>'表4-收入税金表'!I15</f>
        <v>0</v>
      </c>
      <c r="J18" s="51">
        <f>'表4-收入税金表'!J15</f>
        <v>0</v>
      </c>
      <c r="K18" s="51">
        <f>'表4-收入税金表'!K15</f>
        <v>0</v>
      </c>
      <c r="L18" s="51">
        <f>'表4-收入税金表'!L15</f>
        <v>0</v>
      </c>
      <c r="M18" s="51">
        <f>'表4-收入税金表'!M15</f>
        <v>0</v>
      </c>
      <c r="N18" s="51">
        <f>'表4-收入税金表'!N15</f>
        <v>0</v>
      </c>
      <c r="O18" s="51">
        <f>'表4-收入税金表'!O15</f>
        <v>0</v>
      </c>
      <c r="P18" s="51">
        <f>'表4-收入税金表'!P15</f>
        <v>0</v>
      </c>
      <c r="Q18" s="51">
        <f>'表4-收入税金表'!Q15</f>
        <v>0</v>
      </c>
      <c r="R18" s="51">
        <f>'表4-收入税金表'!R15</f>
        <v>0</v>
      </c>
      <c r="S18" s="51">
        <f>'表4-收入税金表'!S15</f>
        <v>0</v>
      </c>
      <c r="T18" s="51">
        <f>'表4-收入税金表'!T15</f>
        <v>0</v>
      </c>
      <c r="U18" s="51">
        <f>'表4-收入税金表'!U15</f>
        <v>0</v>
      </c>
      <c r="V18" s="51">
        <f>'表4-收入税金表'!V15</f>
        <v>0</v>
      </c>
      <c r="W18" s="51">
        <f>'表4-收入税金表'!W15</f>
        <v>0</v>
      </c>
      <c r="X18" s="51">
        <f>'表4-收入税金表'!X15</f>
        <v>0</v>
      </c>
      <c r="Y18" s="51">
        <f>'表4-收入税金表'!Y15</f>
        <v>0</v>
      </c>
      <c r="Z18" s="51">
        <f>'表4-收入税金表'!Z15</f>
        <v>0</v>
      </c>
      <c r="AA18" s="51">
        <f>'表4-收入税金表'!AA15</f>
        <v>0</v>
      </c>
      <c r="AB18" s="51">
        <f>'表4-收入税金表'!AB15</f>
        <v>0</v>
      </c>
      <c r="AC18" s="51">
        <f>'表4-收入税金表'!AC15</f>
        <v>0</v>
      </c>
      <c r="AD18" s="51">
        <f>'表4-收入税金表'!AD15</f>
        <v>0</v>
      </c>
      <c r="AE18" s="51">
        <f>'表4-收入税金表'!AE15</f>
        <v>0</v>
      </c>
      <c r="AF18" s="51">
        <f>'表4-收入税金表'!AF15</f>
        <v>0</v>
      </c>
      <c r="AG18" s="51">
        <f>'表4-收入税金表'!AG15</f>
        <v>0</v>
      </c>
      <c r="AH18" s="51">
        <f>'表4-收入税金表'!AH15</f>
        <v>0</v>
      </c>
      <c r="AI18" s="51">
        <f>'表4-收入税金表'!AI15</f>
        <v>0</v>
      </c>
      <c r="AJ18" s="51">
        <f>'表4-收入税金表'!AJ15</f>
        <v>0</v>
      </c>
      <c r="AK18" s="51">
        <f>'表4-收入税金表'!AK15</f>
        <v>0</v>
      </c>
      <c r="AL18" s="51">
        <f>'表4-收入税金表'!AL15</f>
        <v>0</v>
      </c>
      <c r="AM18" s="51">
        <f>'表4-收入税金表'!AM15</f>
        <v>0</v>
      </c>
      <c r="AN18" s="51">
        <f>'表4-收入税金表'!AN15</f>
        <v>0</v>
      </c>
      <c r="AO18" s="51">
        <f>'表4-收入税金表'!AO15</f>
        <v>0</v>
      </c>
      <c r="AP18" s="51">
        <f>'表4-收入税金表'!AP15</f>
        <v>0</v>
      </c>
      <c r="AQ18" s="51">
        <f>'表4-收入税金表'!AQ15</f>
        <v>0</v>
      </c>
      <c r="AR18" s="51">
        <f>'表4-收入税金表'!AR15</f>
        <v>0</v>
      </c>
      <c r="AS18" s="51">
        <f>'表4-收入税金表'!AS15</f>
        <v>0</v>
      </c>
      <c r="AT18" s="51">
        <f>'表4-收入税金表'!AT15</f>
        <v>0</v>
      </c>
      <c r="AU18" s="51">
        <f>'表4-收入税金表'!AU15</f>
        <v>0</v>
      </c>
      <c r="AV18" s="51">
        <f>'表4-收入税金表'!AV15</f>
        <v>0</v>
      </c>
      <c r="AW18" s="51">
        <f>'表4-收入税金表'!AW15</f>
        <v>0</v>
      </c>
      <c r="AX18" s="51">
        <f>'表4-收入税金表'!AX15</f>
        <v>0</v>
      </c>
      <c r="AY18" s="51">
        <f>'表4-收入税金表'!AY15</f>
        <v>0</v>
      </c>
      <c r="AZ18" s="51">
        <f>'表4-收入税金表'!AZ15</f>
        <v>0</v>
      </c>
      <c r="BA18" s="53">
        <f>'表4-收入税金表'!BA15</f>
        <v>0</v>
      </c>
    </row>
    <row r="19" s="4" customFormat="1" ht="19.95" customHeight="1" spans="2:53">
      <c r="B19" s="48"/>
      <c r="C19" s="74" t="s">
        <v>1003</v>
      </c>
      <c r="D19" s="51">
        <f t="shared" si="0"/>
        <v>56400</v>
      </c>
      <c r="E19" s="50" t="s">
        <v>130</v>
      </c>
      <c r="F19" s="51">
        <f>'表6-现金流量表-资本金'!F12+'表6-现金流量表-资本金'!F14+'表6-现金流量表-资本金'!G12+'表6-现金流量表-资本金'!G14</f>
        <v>0</v>
      </c>
      <c r="G19" s="51">
        <f>'表6-现金流量表-资本金'!H12+'表6-现金流量表-资本金'!H14</f>
        <v>0</v>
      </c>
      <c r="H19" s="51">
        <f>'表6-现金流量表-资本金'!I12+'表6-现金流量表-资本金'!I14</f>
        <v>0</v>
      </c>
      <c r="I19" s="51">
        <f>'表6-现金流量表-资本金'!J12+'表6-现金流量表-资本金'!J14</f>
        <v>0</v>
      </c>
      <c r="J19" s="51">
        <f>'表6-现金流量表-资本金'!K12+'表6-现金流量表-资本金'!K14</f>
        <v>0</v>
      </c>
      <c r="K19" s="51">
        <f>'表6-现金流量表-资本金'!L12+'表6-现金流量表-资本金'!L14</f>
        <v>0</v>
      </c>
      <c r="L19" s="51">
        <f>'表6-现金流量表-资本金'!M12+'表6-现金流量表-资本金'!M14+'表6-现金流量表-资本金'!N12+'表6-现金流量表-资本金'!N14</f>
        <v>0</v>
      </c>
      <c r="M19" s="51">
        <f>'表6-现金流量表-资本金'!O12+'表6-现金流量表-资本金'!O14+'表6-现金流量表-资本金'!P12+'表6-现金流量表-资本金'!P14+'表6-现金流量表-资本金'!Q12+'表6-现金流量表-资本金'!Q14</f>
        <v>291.666666666667</v>
      </c>
      <c r="N19" s="51">
        <f>'表6-现金流量表-资本金'!R12+'表6-现金流量表-资本金'!R14</f>
        <v>1391.66666666667</v>
      </c>
      <c r="O19" s="51">
        <f>'表6-现金流量表-资本金'!S12+'表6-现金流量表-资本金'!S14</f>
        <v>1400</v>
      </c>
      <c r="P19" s="51">
        <f>'表6-现金流量表-资本金'!T12+'表6-现金流量表-资本金'!T14</f>
        <v>1400</v>
      </c>
      <c r="Q19" s="51">
        <f>'表6-现金流量表-资本金'!U12+'表6-现金流量表-资本金'!U14</f>
        <v>1400</v>
      </c>
      <c r="R19" s="51">
        <f>'表6-现金流量表-资本金'!V12+'表6-现金流量表-资本金'!V14</f>
        <v>1400</v>
      </c>
      <c r="S19" s="51">
        <f>'表6-现金流量表-资本金'!W12+'表6-现金流量表-资本金'!W14</f>
        <v>1400</v>
      </c>
      <c r="T19" s="51">
        <f>'表6-现金流量表-资本金'!X12+'表6-现金流量表-资本金'!X14</f>
        <v>1400</v>
      </c>
      <c r="U19" s="51">
        <f>'表6-现金流量表-资本金'!Y12+'表6-现金流量表-资本金'!Y14</f>
        <v>1400</v>
      </c>
      <c r="V19" s="51">
        <f>'表6-现金流量表-资本金'!Z12+'表6-现金流量表-资本金'!Z14</f>
        <v>1400</v>
      </c>
      <c r="W19" s="51">
        <f>'表6-现金流量表-资本金'!AA12+'表6-现金流量表-资本金'!AA14</f>
        <v>1400</v>
      </c>
      <c r="X19" s="51">
        <f>'表6-现金流量表-资本金'!AB12+'表6-现金流量表-资本金'!AB14</f>
        <v>1400</v>
      </c>
      <c r="Y19" s="51">
        <f>'表6-现金流量表-资本金'!AC12+'表6-现金流量表-资本金'!AC14</f>
        <v>1400</v>
      </c>
      <c r="Z19" s="51">
        <f>'表6-现金流量表-资本金'!AD12+'表6-现金流量表-资本金'!AD14</f>
        <v>1400</v>
      </c>
      <c r="AA19" s="51">
        <f>'表6-现金流量表-资本金'!AE12+'表6-现金流量表-资本金'!AE14</f>
        <v>1400</v>
      </c>
      <c r="AB19" s="51">
        <f>'表6-现金流量表-资本金'!AF12+'表6-现金流量表-资本金'!AF14</f>
        <v>1400</v>
      </c>
      <c r="AC19" s="51">
        <f>'表6-现金流量表-资本金'!AG12+'表6-现金流量表-资本金'!AG14</f>
        <v>1400</v>
      </c>
      <c r="AD19" s="51">
        <f>'表6-现金流量表-资本金'!AH12+'表6-现金流量表-资本金'!AH14</f>
        <v>1400</v>
      </c>
      <c r="AE19" s="51">
        <f>'表6-现金流量表-资本金'!AI12+'表6-现金流量表-资本金'!AI14</f>
        <v>1400</v>
      </c>
      <c r="AF19" s="51">
        <f>'表6-现金流量表-资本金'!AJ12+'表6-现金流量表-资本金'!AJ14</f>
        <v>1400</v>
      </c>
      <c r="AG19" s="51">
        <f>'表6-现金流量表-资本金'!AK12+'表6-现金流量表-资本金'!AK14</f>
        <v>1400</v>
      </c>
      <c r="AH19" s="51">
        <f>'表6-现金流量表-资本金'!AL12+'表6-现金流量表-资本金'!AL14</f>
        <v>1400</v>
      </c>
      <c r="AI19" s="51">
        <f>'表6-现金流量表-资本金'!AM12+'表6-现金流量表-资本金'!AM14</f>
        <v>1400</v>
      </c>
      <c r="AJ19" s="51">
        <f>'表6-现金流量表-资本金'!AN12+'表6-现金流量表-资本金'!AN14</f>
        <v>1400</v>
      </c>
      <c r="AK19" s="51">
        <f>'表6-现金流量表-资本金'!AO12+'表6-现金流量表-资本金'!AO14</f>
        <v>1400</v>
      </c>
      <c r="AL19" s="51">
        <f>'表6-现金流量表-资本金'!AP12+'表6-现金流量表-资本金'!AP14</f>
        <v>1400</v>
      </c>
      <c r="AM19" s="51">
        <f>'表6-现金流量表-资本金'!AQ12+'表6-现金流量表-资本金'!AQ14</f>
        <v>1400</v>
      </c>
      <c r="AN19" s="51">
        <f>'表6-现金流量表-资本金'!AR12+'表6-现金流量表-资本金'!AR14</f>
        <v>1400</v>
      </c>
      <c r="AO19" s="51">
        <f>'表6-现金流量表-资本金'!AS12+'表6-现金流量表-资本金'!AS14</f>
        <v>1400</v>
      </c>
      <c r="AP19" s="51">
        <f>'表6-现金流量表-资本金'!AT12+'表6-现金流量表-资本金'!AT14</f>
        <v>1400</v>
      </c>
      <c r="AQ19" s="51">
        <f>'表6-现金流量表-资本金'!AU12+'表6-现金流量表-资本金'!AU14</f>
        <v>1400</v>
      </c>
      <c r="AR19" s="51">
        <f>'表6-现金流量表-资本金'!AV12+'表6-现金流量表-资本金'!AV14</f>
        <v>1400</v>
      </c>
      <c r="AS19" s="51">
        <f>'表6-现金流量表-资本金'!AW12+'表6-现金流量表-资本金'!AW14</f>
        <v>1400</v>
      </c>
      <c r="AT19" s="51">
        <f>'表6-现金流量表-资本金'!AX12+'表6-现金流量表-资本金'!AX14</f>
        <v>1400</v>
      </c>
      <c r="AU19" s="51">
        <f>'表6-现金流量表-资本金'!AY12+'表6-现金流量表-资本金'!AY14</f>
        <v>1400</v>
      </c>
      <c r="AV19" s="51">
        <f>'表6-现金流量表-资本金'!AZ12+'表6-现金流量表-资本金'!AZ14</f>
        <v>1400</v>
      </c>
      <c r="AW19" s="51">
        <f>'表6-现金流量表-资本金'!BA12+'表6-现金流量表-资本金'!BA14</f>
        <v>1400</v>
      </c>
      <c r="AX19" s="51">
        <f>'表6-现金流量表-资本金'!BB12+'表6-现金流量表-资本金'!BB14</f>
        <v>1400</v>
      </c>
      <c r="AY19" s="51">
        <f>'表6-现金流量表-资本金'!BC12+'表6-现金流量表-资本金'!BC14</f>
        <v>1400</v>
      </c>
      <c r="AZ19" s="51">
        <f>'表6-现金流量表-资本金'!BD12+'表6-现金流量表-资本金'!BD14</f>
        <v>1400</v>
      </c>
      <c r="BA19" s="53">
        <f>'表6-现金流量表-资本金'!BE12+'表6-现金流量表-资本金'!BE14</f>
        <v>1516.66666666667</v>
      </c>
    </row>
    <row r="20" s="4" customFormat="1" ht="19.95" customHeight="1" spans="2:53">
      <c r="B20" s="48"/>
      <c r="C20" s="76" t="s">
        <v>1004</v>
      </c>
      <c r="D20" s="73">
        <f t="shared" si="0"/>
        <v>6202763.99999999</v>
      </c>
      <c r="E20" s="50" t="s">
        <v>130</v>
      </c>
      <c r="F20" s="73">
        <f>SUM(F6:F19)</f>
        <v>0</v>
      </c>
      <c r="G20" s="73">
        <f t="shared" ref="G20:O20" si="1">SUM(G6:G19)</f>
        <v>0</v>
      </c>
      <c r="H20" s="73">
        <f t="shared" si="1"/>
        <v>0</v>
      </c>
      <c r="I20" s="73">
        <f t="shared" si="1"/>
        <v>0</v>
      </c>
      <c r="J20" s="73">
        <f t="shared" si="1"/>
        <v>0</v>
      </c>
      <c r="K20" s="73">
        <f t="shared" si="1"/>
        <v>0</v>
      </c>
      <c r="L20" s="73">
        <f t="shared" si="1"/>
        <v>0</v>
      </c>
      <c r="M20" s="73">
        <f t="shared" si="1"/>
        <v>51511.3666666666</v>
      </c>
      <c r="N20" s="73">
        <f t="shared" si="1"/>
        <v>137123.871666666</v>
      </c>
      <c r="O20" s="73">
        <f t="shared" si="1"/>
        <v>155059.1</v>
      </c>
      <c r="P20" s="73">
        <f t="shared" ref="P20:AL20" si="2">SUM(P6:P19)</f>
        <v>155059.1</v>
      </c>
      <c r="Q20" s="73">
        <f t="shared" si="2"/>
        <v>155059.1</v>
      </c>
      <c r="R20" s="73">
        <f t="shared" si="2"/>
        <v>155059.1</v>
      </c>
      <c r="S20" s="73">
        <f t="shared" si="2"/>
        <v>155059.1</v>
      </c>
      <c r="T20" s="73">
        <f t="shared" si="2"/>
        <v>155059.1</v>
      </c>
      <c r="U20" s="73">
        <f t="shared" si="2"/>
        <v>155059.1</v>
      </c>
      <c r="V20" s="73">
        <f t="shared" si="2"/>
        <v>155059.1</v>
      </c>
      <c r="W20" s="73">
        <f t="shared" si="2"/>
        <v>155059.1</v>
      </c>
      <c r="X20" s="73">
        <f t="shared" si="2"/>
        <v>155059.1</v>
      </c>
      <c r="Y20" s="73">
        <f t="shared" si="2"/>
        <v>155059.1</v>
      </c>
      <c r="Z20" s="73">
        <f t="shared" si="2"/>
        <v>155059.1</v>
      </c>
      <c r="AA20" s="73">
        <f t="shared" si="2"/>
        <v>155059.1</v>
      </c>
      <c r="AB20" s="73">
        <f t="shared" si="2"/>
        <v>155059.1</v>
      </c>
      <c r="AC20" s="73">
        <f t="shared" si="2"/>
        <v>155059.1</v>
      </c>
      <c r="AD20" s="73">
        <f t="shared" si="2"/>
        <v>155059.1</v>
      </c>
      <c r="AE20" s="73">
        <f t="shared" si="2"/>
        <v>155059.1</v>
      </c>
      <c r="AF20" s="73">
        <f t="shared" si="2"/>
        <v>155059.1</v>
      </c>
      <c r="AG20" s="73">
        <f t="shared" si="2"/>
        <v>155059.1</v>
      </c>
      <c r="AH20" s="73">
        <f t="shared" si="2"/>
        <v>155059.1</v>
      </c>
      <c r="AI20" s="73">
        <f t="shared" si="2"/>
        <v>155059.1</v>
      </c>
      <c r="AJ20" s="73">
        <f t="shared" si="2"/>
        <v>155059.1</v>
      </c>
      <c r="AK20" s="73">
        <f t="shared" si="2"/>
        <v>155059.1</v>
      </c>
      <c r="AL20" s="73">
        <f t="shared" si="2"/>
        <v>155059.1</v>
      </c>
      <c r="AM20" s="73">
        <f t="shared" ref="AM20:BA20" si="3">SUM(AM6:AM19)</f>
        <v>155059.1</v>
      </c>
      <c r="AN20" s="73">
        <f t="shared" si="3"/>
        <v>155059.1</v>
      </c>
      <c r="AO20" s="73">
        <f t="shared" si="3"/>
        <v>155059.1</v>
      </c>
      <c r="AP20" s="73">
        <f t="shared" si="3"/>
        <v>155059.1</v>
      </c>
      <c r="AQ20" s="73">
        <f t="shared" si="3"/>
        <v>155059.1</v>
      </c>
      <c r="AR20" s="73">
        <f t="shared" si="3"/>
        <v>155059.1</v>
      </c>
      <c r="AS20" s="73">
        <f t="shared" si="3"/>
        <v>155059.1</v>
      </c>
      <c r="AT20" s="73">
        <f t="shared" si="3"/>
        <v>155059.1</v>
      </c>
      <c r="AU20" s="73">
        <f t="shared" si="3"/>
        <v>155059.1</v>
      </c>
      <c r="AV20" s="73">
        <f t="shared" si="3"/>
        <v>155059.1</v>
      </c>
      <c r="AW20" s="73">
        <f t="shared" si="3"/>
        <v>155059.1</v>
      </c>
      <c r="AX20" s="73">
        <f t="shared" si="3"/>
        <v>155059.1</v>
      </c>
      <c r="AY20" s="73">
        <f t="shared" si="3"/>
        <v>155059.1</v>
      </c>
      <c r="AZ20" s="73">
        <f t="shared" si="3"/>
        <v>155059.1</v>
      </c>
      <c r="BA20" s="77">
        <f t="shared" si="3"/>
        <v>121882.961666667</v>
      </c>
    </row>
    <row r="21" s="4" customFormat="1" ht="19.95" customHeight="1" spans="2:53">
      <c r="B21" s="48"/>
      <c r="C21" s="74" t="s">
        <v>1005</v>
      </c>
      <c r="D21" s="51">
        <f t="shared" si="0"/>
        <v>2674654.94485007</v>
      </c>
      <c r="E21" s="50" t="s">
        <v>130</v>
      </c>
      <c r="F21" s="51">
        <f>'表3-成本费用表'!F73-'表3-成本费用表'!F83+'表1-资金筹措及还本付息表'!F315-'表1-资金筹措及还本付息表'!F318</f>
        <v>0</v>
      </c>
      <c r="G21" s="51">
        <f>'表3-成本费用表'!G73-'表3-成本费用表'!G83+'表1-资金筹措及还本付息表'!G315-'表1-资金筹措及还本付息表'!G318</f>
        <v>0</v>
      </c>
      <c r="H21" s="51">
        <f>'表3-成本费用表'!H73-'表3-成本费用表'!H83+'表1-资金筹措及还本付息表'!H315-'表1-资金筹措及还本付息表'!H318</f>
        <v>0</v>
      </c>
      <c r="I21" s="51">
        <f>'表3-成本费用表'!I73-'表3-成本费用表'!I83+'表1-资金筹措及还本付息表'!I315-'表1-资金筹措及还本付息表'!I318</f>
        <v>0</v>
      </c>
      <c r="J21" s="51">
        <f>'表3-成本费用表'!J73-'表3-成本费用表'!J83+'表1-资金筹措及还本付息表'!J315-'表1-资金筹措及还本付息表'!J318</f>
        <v>0</v>
      </c>
      <c r="K21" s="51">
        <f>'表3-成本费用表'!K73-'表3-成本费用表'!K83+'表1-资金筹措及还本付息表'!K315-'表1-资金筹措及还本付息表'!K318</f>
        <v>0</v>
      </c>
      <c r="L21" s="51">
        <f>'表3-成本费用表'!L73-'表3-成本费用表'!L83+'表1-资金筹措及还本付息表'!L315-'表1-资金筹措及还本付息表'!L318</f>
        <v>0</v>
      </c>
      <c r="M21" s="51">
        <f>'表3-成本费用表'!M73-'表3-成本费用表'!M83+'表1-资金筹措及还本付息表'!M315-'表1-资金筹措及还本付息表'!L315-('表1-资金筹措及还本付息表'!M318-'表1-资金筹措及还本付息表'!L318)</f>
        <v>28494.0417866327</v>
      </c>
      <c r="N21" s="51">
        <f>'表3-成本费用表'!N73-'表3-成本费用表'!N83+'表1-资金筹措及还本付息表'!N315-'表1-资金筹措及还本付息表'!M315-('表1-资金筹措及还本付息表'!N318-'表1-资金筹措及还本付息表'!M318)</f>
        <v>67233.0402879184</v>
      </c>
      <c r="O21" s="51">
        <f>'表3-成本费用表'!O73-'表3-成本费用表'!O83+'表1-资金筹措及还本付息表'!O315-'表1-资金筹措及还本付息表'!N315-('表1-资金筹措及还本付息表'!O318-'表1-资金筹措及还本付息表'!N318)</f>
        <v>66733.0402879184</v>
      </c>
      <c r="P21" s="51">
        <f>'表3-成本费用表'!P73-'表3-成本费用表'!P83+'表1-资金筹措及还本付息表'!P315-'表1-资金筹措及还本付息表'!O315-('表1-资金筹措及还本付息表'!P318-'表1-资金筹措及还本付息表'!O318)</f>
        <v>66733.0402879184</v>
      </c>
      <c r="Q21" s="51">
        <f>'表3-成本费用表'!Q73-'表3-成本费用表'!Q83+'表1-资金筹措及还本付息表'!Q315-'表1-资金筹措及还本付息表'!P315-('表1-资金筹措及还本付息表'!Q318-'表1-资金筹措及还本付息表'!P318)</f>
        <v>66733.0402879184</v>
      </c>
      <c r="R21" s="51">
        <f>'表3-成本费用表'!R73-'表3-成本费用表'!R83+'表1-资金筹措及还本付息表'!R315-'表1-资金筹措及还本付息表'!Q315-('表1-资金筹措及还本付息表'!R318-'表1-资金筹措及还本付息表'!Q318)</f>
        <v>66733.0402879184</v>
      </c>
      <c r="S21" s="51">
        <f>'表3-成本费用表'!S73-'表3-成本费用表'!S83+'表1-资金筹措及还本付息表'!S315-'表1-资金筹措及还本付息表'!R315-('表1-资金筹措及还本付息表'!S318-'表1-资金筹措及还本付息表'!R318)</f>
        <v>67233.0402879184</v>
      </c>
      <c r="T21" s="51">
        <f>'表3-成本费用表'!T73-'表3-成本费用表'!T83+'表1-资金筹措及还本付息表'!T315-'表1-资金筹措及还本付息表'!S315-('表1-资金筹措及还本付息表'!T318-'表1-资金筹措及还本付息表'!S318)</f>
        <v>66733.0402879184</v>
      </c>
      <c r="U21" s="51">
        <f>'表3-成本费用表'!U73-'表3-成本费用表'!U83+'表1-资金筹措及还本付息表'!U315-'表1-资金筹措及还本付息表'!T315-('表1-资金筹措及还本付息表'!U318-'表1-资金筹措及还本付息表'!T318)</f>
        <v>66733.0402879184</v>
      </c>
      <c r="V21" s="51">
        <f>'表3-成本费用表'!V73-'表3-成本费用表'!V83+'表1-资金筹措及还本付息表'!V315-'表1-资金筹措及还本付息表'!U315-('表1-资金筹措及还本付息表'!V318-'表1-资金筹措及还本付息表'!U318)</f>
        <v>66733.0402879184</v>
      </c>
      <c r="W21" s="51">
        <f>'表3-成本费用表'!W73-'表3-成本费用表'!W83+'表1-资金筹措及还本付息表'!W315-'表1-资金筹措及还本付息表'!V315-('表1-资金筹措及还本付息表'!W318-'表1-资金筹措及还本付息表'!V318)</f>
        <v>66733.0402879184</v>
      </c>
      <c r="X21" s="51">
        <f>'表3-成本费用表'!X73-'表3-成本费用表'!X83+'表1-资金筹措及还本付息表'!X315-'表1-资金筹措及还本付息表'!W315-('表1-资金筹措及还本付息表'!X318-'表1-资金筹措及还本付息表'!W318)</f>
        <v>67233.0402879184</v>
      </c>
      <c r="Y21" s="51">
        <f>'表3-成本费用表'!Y73-'表3-成本费用表'!Y83+'表1-资金筹措及还本付息表'!Y315-'表1-资金筹措及还本付息表'!X315-('表1-资金筹措及还本付息表'!Y318-'表1-资金筹措及还本付息表'!X318)</f>
        <v>66733.0402879184</v>
      </c>
      <c r="Z21" s="51">
        <f>'表3-成本费用表'!Z73-'表3-成本费用表'!Z83+'表1-资金筹措及还本付息表'!Z315-'表1-资金筹措及还本付息表'!Y315-('表1-资金筹措及还本付息表'!Z318-'表1-资金筹措及还本付息表'!Y318)</f>
        <v>66733.0402879184</v>
      </c>
      <c r="AA21" s="51">
        <f>'表3-成本费用表'!AA73-'表3-成本费用表'!AA83+'表1-资金筹措及还本付息表'!AA315-'表1-资金筹措及还本付息表'!Z315-('表1-资金筹措及还本付息表'!AA318-'表1-资金筹措及还本付息表'!Z318)</f>
        <v>66733.0402879184</v>
      </c>
      <c r="AB21" s="51">
        <f>'表3-成本费用表'!AB73-'表3-成本费用表'!AB83+'表1-资金筹措及还本付息表'!AB315-'表1-资金筹措及还本付息表'!AA315-('表1-资金筹措及还本付息表'!AB318-'表1-资金筹措及还本付息表'!AA318)</f>
        <v>66733.0402879184</v>
      </c>
      <c r="AC21" s="51">
        <f>'表3-成本费用表'!AC73-'表3-成本费用表'!AC83+'表1-资金筹措及还本付息表'!AC315-'表1-资金筹措及还本付息表'!AB315-('表1-资金筹措及还本付息表'!AC318-'表1-资金筹措及还本付息表'!AB318)</f>
        <v>67233.0402879184</v>
      </c>
      <c r="AD21" s="51">
        <f>'表3-成本费用表'!AD73-'表3-成本费用表'!AD83+'表1-资金筹措及还本付息表'!AD315-'表1-资金筹措及还本付息表'!AC315-('表1-资金筹措及还本付息表'!AD318-'表1-资金筹措及还本付息表'!AC318)</f>
        <v>66733.0402879184</v>
      </c>
      <c r="AE21" s="51">
        <f>'表3-成本费用表'!AE73-'表3-成本费用表'!AE83+'表1-资金筹措及还本付息表'!AE315-'表1-资金筹措及还本付息表'!AD315-('表1-资金筹措及还本付息表'!AE318-'表1-资金筹措及还本付息表'!AD318)</f>
        <v>66733.0402879184</v>
      </c>
      <c r="AF21" s="51">
        <f>'表3-成本费用表'!AF73-'表3-成本费用表'!AF83+'表1-资金筹措及还本付息表'!AF315-'表1-资金筹措及还本付息表'!AE315-('表1-资金筹措及还本付息表'!AF318-'表1-资金筹措及还本付息表'!AE318)</f>
        <v>66733.0402879184</v>
      </c>
      <c r="AG21" s="51">
        <f>'表3-成本费用表'!AG73-'表3-成本费用表'!AG83+'表1-资金筹措及还本付息表'!AG315-'表1-资金筹措及还本付息表'!AF315-('表1-资金筹措及还本付息表'!AG318-'表1-资金筹措及还本付息表'!AF318)</f>
        <v>66733.0402879184</v>
      </c>
      <c r="AH21" s="51">
        <f>'表3-成本费用表'!AH73-'表3-成本费用表'!AH83+'表1-资金筹措及还本付息表'!AH315-'表1-资金筹措及还本付息表'!AG315-('表1-资金筹措及还本付息表'!AH318-'表1-资金筹措及还本付息表'!AG318)</f>
        <v>67233.0402879184</v>
      </c>
      <c r="AI21" s="51">
        <f>'表3-成本费用表'!AI73-'表3-成本费用表'!AI83+'表1-资金筹措及还本付息表'!AI315-'表1-资金筹措及还本付息表'!AH315-('表1-资金筹措及还本付息表'!AI318-'表1-资金筹措及还本付息表'!AH318)</f>
        <v>66733.0402879184</v>
      </c>
      <c r="AJ21" s="51">
        <f>'表3-成本费用表'!AJ73-'表3-成本费用表'!AJ83+'表1-资金筹措及还本付息表'!AJ315-'表1-资金筹措及还本付息表'!AI315-('表1-资金筹措及还本付息表'!AJ318-'表1-资金筹措及还本付息表'!AI318)</f>
        <v>66733.0402879184</v>
      </c>
      <c r="AK21" s="51">
        <f>'表3-成本费用表'!AK73-'表3-成本费用表'!AK83+'表1-资金筹措及还本付息表'!AK315-'表1-资金筹措及还本付息表'!AJ315-('表1-资金筹措及还本付息表'!AK318-'表1-资金筹措及还本付息表'!AJ318)</f>
        <v>66733.0402879184</v>
      </c>
      <c r="AL21" s="51">
        <f>'表3-成本费用表'!AL73-'表3-成本费用表'!AL83+'表1-资金筹措及还本付息表'!AL315-'表1-资金筹措及还本付息表'!AK315-('表1-资金筹措及还本付息表'!AL318-'表1-资金筹措及还本付息表'!AK318)</f>
        <v>66733.0402879184</v>
      </c>
      <c r="AM21" s="51">
        <f>'表3-成本费用表'!AM73-'表3-成本费用表'!AM83+'表1-资金筹措及还本付息表'!AM315-'表1-资金筹措及还本付息表'!AL315-('表1-资金筹措及还本付息表'!AM318-'表1-资金筹措及还本付息表'!AL318)</f>
        <v>67233.0402879184</v>
      </c>
      <c r="AN21" s="51">
        <f>'表3-成本费用表'!AN73-'表3-成本费用表'!AN83+'表1-资金筹措及还本付息表'!AN315-'表1-资金筹措及还本付息表'!AM315-('表1-资金筹措及还本付息表'!AN318-'表1-资金筹措及还本付息表'!AM318)</f>
        <v>66733.0402879184</v>
      </c>
      <c r="AO21" s="51">
        <f>'表3-成本费用表'!AO73-'表3-成本费用表'!AO83+'表1-资金筹措及还本付息表'!AO315-'表1-资金筹措及还本付息表'!AN315-('表1-资金筹措及还本付息表'!AO318-'表1-资金筹措及还本付息表'!AN318)</f>
        <v>66733.0402879184</v>
      </c>
      <c r="AP21" s="51">
        <f>'表3-成本费用表'!AP73-'表3-成本费用表'!AP83+'表1-资金筹措及还本付息表'!AP315-'表1-资金筹措及还本付息表'!AO315-('表1-资金筹措及还本付息表'!AP318-'表1-资金筹措及还本付息表'!AO318)</f>
        <v>66733.0402879184</v>
      </c>
      <c r="AQ21" s="51">
        <f>'表3-成本费用表'!AQ73-'表3-成本费用表'!AQ83+'表1-资金筹措及还本付息表'!AQ315-'表1-资金筹措及还本付息表'!AP315-('表1-资金筹措及还本付息表'!AQ318-'表1-资金筹措及还本付息表'!AP318)</f>
        <v>66733.0402879184</v>
      </c>
      <c r="AR21" s="51">
        <f>'表3-成本费用表'!AR73-'表3-成本费用表'!AR83+'表1-资金筹措及还本付息表'!AR315-'表1-资金筹措及还本付息表'!AQ315-('表1-资金筹措及还本付息表'!AR318-'表1-资金筹措及还本付息表'!AQ318)</f>
        <v>67233.0402879184</v>
      </c>
      <c r="AS21" s="51">
        <f>'表3-成本费用表'!AS73-'表3-成本费用表'!AS83+'表1-资金筹措及还本付息表'!AS315-'表1-资金筹措及还本付息表'!AR315-('表1-资金筹措及还本付息表'!AS318-'表1-资金筹措及还本付息表'!AR318)</f>
        <v>66733.0402879184</v>
      </c>
      <c r="AT21" s="51">
        <f>'表3-成本费用表'!AT73-'表3-成本费用表'!AT83+'表1-资金筹措及还本付息表'!AT315-'表1-资金筹措及还本付息表'!AS315-('表1-资金筹措及还本付息表'!AT318-'表1-资金筹措及还本付息表'!AS318)</f>
        <v>66733.0402879184</v>
      </c>
      <c r="AU21" s="51">
        <f>'表3-成本费用表'!AU73-'表3-成本费用表'!AU83+'表1-资金筹措及还本付息表'!AU315-'表1-资金筹措及还本付息表'!AT315-('表1-资金筹措及还本付息表'!AU318-'表1-资金筹措及还本付息表'!AT318)</f>
        <v>66733.0402879184</v>
      </c>
      <c r="AV21" s="51">
        <f>'表3-成本费用表'!AV73-'表3-成本费用表'!AV83+'表1-资金筹措及还本付息表'!AV315-'表1-资金筹措及还本付息表'!AU315-('表1-资金筹措及还本付息表'!AV318-'表1-资金筹措及还本付息表'!AU318)</f>
        <v>66733.0402879184</v>
      </c>
      <c r="AW21" s="51">
        <f>'表3-成本费用表'!AW73-'表3-成本费用表'!AW83+'表1-资金筹措及还本付息表'!AW315-'表1-资金筹措及还本付息表'!AV315-('表1-资金筹措及还本付息表'!AW318-'表1-资金筹措及还本付息表'!AV318)</f>
        <v>67233.0402879184</v>
      </c>
      <c r="AX21" s="51">
        <f>'表3-成本费用表'!AX73-'表3-成本费用表'!AX83+'表1-资金筹措及还本付息表'!AX315-'表1-资金筹措及还本付息表'!AW315-('表1-资金筹措及还本付息表'!AX318-'表1-资金筹措及还本付息表'!AW318)</f>
        <v>66733.0402879184</v>
      </c>
      <c r="AY21" s="51">
        <f>'表3-成本费用表'!AY73-'表3-成本费用表'!AY83+'表1-资金筹措及还本付息表'!AY315-'表1-资金筹措及还本付息表'!AX315-('表1-资金筹措及还本付息表'!AY318-'表1-资金筹措及还本付息表'!AX318)</f>
        <v>67233.0402879184</v>
      </c>
      <c r="AZ21" s="51">
        <f>'表3-成本费用表'!AZ73-'表3-成本费用表'!AZ83+'表1-资金筹措及还本付息表'!AZ315-'表1-资金筹措及还本付息表'!AY315-('表1-资金筹措及还本付息表'!AZ318-'表1-资金筹措及还本付息表'!AY318)</f>
        <v>66733.0402879184</v>
      </c>
      <c r="BA21" s="53">
        <f>'表3-成本费用表'!BA73-'表3-成本费用表'!BA83+'表1-资金筹措及还本付息表'!BA315-'表1-资金筹措及还本付息表'!AZ315-('表1-资金筹措及还本付息表'!BA318-'表1-资金筹措及还本付息表'!AZ318)</f>
        <v>39072.3318346191</v>
      </c>
    </row>
    <row r="22" s="4" customFormat="1" ht="19.95" customHeight="1" spans="2:53">
      <c r="B22" s="48"/>
      <c r="C22" s="75" t="s">
        <v>1006</v>
      </c>
      <c r="D22" s="51">
        <f t="shared" ref="D22:D32" si="4">SUM(F22:BA22)</f>
        <v>0</v>
      </c>
      <c r="E22" s="50" t="s">
        <v>130</v>
      </c>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3"/>
    </row>
    <row r="23" s="4" customFormat="1" ht="19.95" customHeight="1" spans="2:53">
      <c r="B23" s="48"/>
      <c r="C23" s="75" t="s">
        <v>1007</v>
      </c>
      <c r="D23" s="51">
        <f t="shared" si="4"/>
        <v>0</v>
      </c>
      <c r="E23" s="50" t="s">
        <v>130</v>
      </c>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3"/>
    </row>
    <row r="24" s="4" customFormat="1" ht="19.95" customHeight="1" spans="2:53">
      <c r="B24" s="48"/>
      <c r="C24" s="75" t="s">
        <v>1008</v>
      </c>
      <c r="D24" s="51">
        <f t="shared" si="4"/>
        <v>0</v>
      </c>
      <c r="E24" s="50" t="s">
        <v>130</v>
      </c>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3"/>
    </row>
    <row r="25" s="4" customFormat="1" ht="19.95" customHeight="1" spans="2:53">
      <c r="B25" s="48"/>
      <c r="C25" s="75" t="s">
        <v>1009</v>
      </c>
      <c r="D25" s="51">
        <f t="shared" si="4"/>
        <v>0</v>
      </c>
      <c r="E25" s="50" t="s">
        <v>130</v>
      </c>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3"/>
    </row>
    <row r="26" s="4" customFormat="1" ht="19.95" customHeight="1" spans="2:53">
      <c r="B26" s="48"/>
      <c r="C26" s="75" t="s">
        <v>1010</v>
      </c>
      <c r="D26" s="51">
        <f t="shared" si="4"/>
        <v>0</v>
      </c>
      <c r="E26" s="50" t="s">
        <v>130</v>
      </c>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3"/>
    </row>
    <row r="27" s="4" customFormat="1" ht="19.95" customHeight="1" spans="2:53">
      <c r="B27" s="48"/>
      <c r="C27" s="75" t="s">
        <v>1011</v>
      </c>
      <c r="D27" s="51">
        <f t="shared" si="4"/>
        <v>0</v>
      </c>
      <c r="E27" s="50" t="s">
        <v>130</v>
      </c>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3"/>
    </row>
    <row r="28" s="4" customFormat="1" ht="19.95" customHeight="1" spans="2:53">
      <c r="B28" s="48"/>
      <c r="C28" s="74" t="s">
        <v>1012</v>
      </c>
      <c r="D28" s="51">
        <f t="shared" si="4"/>
        <v>111100.8</v>
      </c>
      <c r="E28" s="50" t="s">
        <v>130</v>
      </c>
      <c r="F28" s="51">
        <f>'表3-成本费用表'!F83</f>
        <v>0</v>
      </c>
      <c r="G28" s="51">
        <f>'表3-成本费用表'!G83</f>
        <v>0</v>
      </c>
      <c r="H28" s="51">
        <f>'表3-成本费用表'!H83</f>
        <v>0</v>
      </c>
      <c r="I28" s="51">
        <f>'表3-成本费用表'!I83</f>
        <v>0</v>
      </c>
      <c r="J28" s="51">
        <f>'表3-成本费用表'!J83</f>
        <v>0</v>
      </c>
      <c r="K28" s="51">
        <f>'表3-成本费用表'!K83</f>
        <v>0</v>
      </c>
      <c r="L28" s="51">
        <f>'表3-成本费用表'!L83</f>
        <v>0</v>
      </c>
      <c r="M28" s="51">
        <f>'表3-成本费用表'!M83</f>
        <v>1157.3</v>
      </c>
      <c r="N28" s="51">
        <f>'表3-成本费用表'!N83</f>
        <v>2777.52</v>
      </c>
      <c r="O28" s="51">
        <f>'表3-成本费用表'!O83</f>
        <v>2777.52</v>
      </c>
      <c r="P28" s="51">
        <f>'表3-成本费用表'!P83</f>
        <v>2777.52</v>
      </c>
      <c r="Q28" s="51">
        <f>'表3-成本费用表'!Q83</f>
        <v>2777.52</v>
      </c>
      <c r="R28" s="51">
        <f>'表3-成本费用表'!R83</f>
        <v>2777.52</v>
      </c>
      <c r="S28" s="51">
        <f>'表3-成本费用表'!S83</f>
        <v>2777.52</v>
      </c>
      <c r="T28" s="51">
        <f>'表3-成本费用表'!T83</f>
        <v>2777.52</v>
      </c>
      <c r="U28" s="51">
        <f>'表3-成本费用表'!U83</f>
        <v>2777.52</v>
      </c>
      <c r="V28" s="51">
        <f>'表3-成本费用表'!V83</f>
        <v>2777.52</v>
      </c>
      <c r="W28" s="51">
        <f>'表3-成本费用表'!W83</f>
        <v>2777.52</v>
      </c>
      <c r="X28" s="51">
        <f>'表3-成本费用表'!X83</f>
        <v>2777.52</v>
      </c>
      <c r="Y28" s="51">
        <f>'表3-成本费用表'!Y83</f>
        <v>2777.52</v>
      </c>
      <c r="Z28" s="51">
        <f>'表3-成本费用表'!Z83</f>
        <v>2777.52</v>
      </c>
      <c r="AA28" s="51">
        <f>'表3-成本费用表'!AA83</f>
        <v>2777.52</v>
      </c>
      <c r="AB28" s="51">
        <f>'表3-成本费用表'!AB83</f>
        <v>2777.52</v>
      </c>
      <c r="AC28" s="51">
        <f>'表3-成本费用表'!AC83</f>
        <v>2777.52</v>
      </c>
      <c r="AD28" s="51">
        <f>'表3-成本费用表'!AD83</f>
        <v>2777.52</v>
      </c>
      <c r="AE28" s="51">
        <f>'表3-成本费用表'!AE83</f>
        <v>2777.52</v>
      </c>
      <c r="AF28" s="51">
        <f>'表3-成本费用表'!AF83</f>
        <v>2777.52</v>
      </c>
      <c r="AG28" s="51">
        <f>'表3-成本费用表'!AG83</f>
        <v>2777.52</v>
      </c>
      <c r="AH28" s="51">
        <f>'表3-成本费用表'!AH83</f>
        <v>2777.52</v>
      </c>
      <c r="AI28" s="51">
        <f>'表3-成本费用表'!AI83</f>
        <v>2777.52</v>
      </c>
      <c r="AJ28" s="51">
        <f>'表3-成本费用表'!AJ83</f>
        <v>2777.52</v>
      </c>
      <c r="AK28" s="51">
        <f>'表3-成本费用表'!AK83</f>
        <v>2777.52</v>
      </c>
      <c r="AL28" s="51">
        <f>'表3-成本费用表'!AL83</f>
        <v>2777.52</v>
      </c>
      <c r="AM28" s="51">
        <f>'表3-成本费用表'!AM83</f>
        <v>2777.52</v>
      </c>
      <c r="AN28" s="51">
        <f>'表3-成本费用表'!AN83</f>
        <v>2777.52</v>
      </c>
      <c r="AO28" s="51">
        <f>'表3-成本费用表'!AO83</f>
        <v>2777.52</v>
      </c>
      <c r="AP28" s="51">
        <f>'表3-成本费用表'!AP83</f>
        <v>2777.52</v>
      </c>
      <c r="AQ28" s="51">
        <f>'表3-成本费用表'!AQ83</f>
        <v>2777.52</v>
      </c>
      <c r="AR28" s="51">
        <f>'表3-成本费用表'!AR83</f>
        <v>2777.52</v>
      </c>
      <c r="AS28" s="51">
        <f>'表3-成本费用表'!AS83</f>
        <v>2777.52</v>
      </c>
      <c r="AT28" s="51">
        <f>'表3-成本费用表'!AT83</f>
        <v>2777.52</v>
      </c>
      <c r="AU28" s="51">
        <f>'表3-成本费用表'!AU83</f>
        <v>2777.52</v>
      </c>
      <c r="AV28" s="51">
        <f>'表3-成本费用表'!AV83</f>
        <v>2777.52</v>
      </c>
      <c r="AW28" s="51">
        <f>'表3-成本费用表'!AW83</f>
        <v>2777.52</v>
      </c>
      <c r="AX28" s="51">
        <f>'表3-成本费用表'!AX83</f>
        <v>2777.52</v>
      </c>
      <c r="AY28" s="51">
        <f>'表3-成本费用表'!AY83</f>
        <v>2777.52</v>
      </c>
      <c r="AZ28" s="51">
        <f>'表3-成本费用表'!AZ83</f>
        <v>2777.52</v>
      </c>
      <c r="BA28" s="53">
        <f>'表3-成本费用表'!BA83</f>
        <v>1620.22</v>
      </c>
    </row>
    <row r="29" s="4" customFormat="1" ht="19.95" customHeight="1" spans="2:53">
      <c r="B29" s="48"/>
      <c r="C29" s="78" t="s">
        <v>1013</v>
      </c>
      <c r="D29" s="79">
        <f ca="1" t="shared" si="4"/>
        <v>889064.685320601</v>
      </c>
      <c r="E29" s="80" t="s">
        <v>130</v>
      </c>
      <c r="F29" s="79">
        <f ca="1">'表4-收入税金表'!F23+'表4-收入税金表'!F55+'表4-收入税金表'!F59+'表5-利润表-资本金'!F56++'表5-利润表-资本金'!F57</f>
        <v>0</v>
      </c>
      <c r="G29" s="79">
        <f ca="1">'表4-收入税金表'!G23+'表4-收入税金表'!G55+'表4-收入税金表'!G59+'表5-利润表-资本金'!G56++'表5-利润表-资本金'!G57</f>
        <v>0</v>
      </c>
      <c r="H29" s="79">
        <f ca="1">'表4-收入税金表'!H23+'表4-收入税金表'!H55+'表4-收入税金表'!H59+'表5-利润表-资本金'!H56++'表5-利润表-资本金'!H57</f>
        <v>0</v>
      </c>
      <c r="I29" s="79">
        <f ca="1">'表4-收入税金表'!I23+'表4-收入税金表'!I55+'表4-收入税金表'!I59+'表5-利润表-资本金'!I56++'表5-利润表-资本金'!I57</f>
        <v>0</v>
      </c>
      <c r="J29" s="79">
        <f ca="1">'表4-收入税金表'!J23+'表4-收入税金表'!J55+'表4-收入税金表'!J59+'表5-利润表-资本金'!J56++'表5-利润表-资本金'!J57</f>
        <v>0</v>
      </c>
      <c r="K29" s="79">
        <f ca="1">'表4-收入税金表'!K23+'表4-收入税金表'!K55+'表4-收入税金表'!K59+'表5-利润表-资本金'!K56++'表5-利润表-资本金'!K57</f>
        <v>0</v>
      </c>
      <c r="L29" s="79">
        <f ca="1">'表4-收入税金表'!L23+'表4-收入税金表'!L55+'表4-收入税金表'!L59+'表5-利润表-资本金'!L56++'表5-利润表-资本金'!L57</f>
        <v>0</v>
      </c>
      <c r="M29" s="79">
        <f ca="1">'表4-收入税金表'!M23+'表4-收入税金表'!M55+'表4-收入税金表'!M59+'表5-利润表-资本金'!M56++'表5-利润表-资本金'!M57</f>
        <v>391.883042916966</v>
      </c>
      <c r="N29" s="79">
        <f ca="1">'表4-收入税金表'!N23+'表4-收入税金表'!N55+'表4-收入税金表'!N59+'表5-利润表-资本金'!N56++'表5-利润表-资本金'!N57</f>
        <v>684.193736556501</v>
      </c>
      <c r="O29" s="79">
        <f ca="1">'表4-收入税金表'!O23+'表4-收入税金表'!O55+'表4-收入税金表'!O59+'表5-利润表-资本金'!O56++'表5-利润表-资本金'!O57</f>
        <v>771.613674108663</v>
      </c>
      <c r="P29" s="79">
        <f ca="1">'表4-收入税金表'!P23+'表4-收入税金表'!P55+'表4-收入税金表'!P59+'表5-利润表-资本金'!P56++'表5-利润表-资本金'!P57</f>
        <v>2671.13891077271</v>
      </c>
      <c r="Q29" s="79">
        <f ca="1">'表4-收入税金表'!Q23+'表4-收入税金表'!Q55+'表4-收入税金表'!Q59+'表5-利润表-资本金'!Q56++'表5-利润表-资本金'!Q57</f>
        <v>3007.13760927825</v>
      </c>
      <c r="R29" s="79">
        <f ca="1">'表4-收入税金表'!R23+'表4-收入税金表'!R55+'表4-收入税金表'!R59+'表5-利润表-资本金'!R56++'表5-利润表-资本金'!R57</f>
        <v>3323.75491821685</v>
      </c>
      <c r="S29" s="79">
        <f ca="1">'表4-收入税金表'!S23+'表4-收入税金表'!S55+'表4-收入税金表'!S59+'表5-利润表-资本金'!S56++'表5-利润表-资本金'!S57</f>
        <v>9267.0941507067</v>
      </c>
      <c r="T29" s="79">
        <f ca="1">'表4-收入税金表'!T23+'表4-收入税金表'!T55+'表4-收入税金表'!T59+'表5-利润表-资本金'!T56++'表5-利润表-资本金'!T57</f>
        <v>18395.7691528816</v>
      </c>
      <c r="U29" s="79">
        <f ca="1">'表4-收入税金表'!U23+'表4-收入税金表'!U55+'表4-收入税金表'!U59+'表5-利润表-资本金'!U56++'表5-利润表-资本金'!U57</f>
        <v>18675.309058704</v>
      </c>
      <c r="V29" s="79">
        <f ca="1">'表4-收入税金表'!V23+'表4-收入税金表'!V55+'表4-收入税金表'!V59+'表5-利润表-资本金'!V56++'表5-利润表-资本金'!V57</f>
        <v>18959.3514673988</v>
      </c>
      <c r="W29" s="79">
        <f ca="1">'表4-收入税金表'!W23+'表4-收入税金表'!W55+'表4-收入税金表'!W59+'表5-利润表-资本金'!W56++'表5-利润表-资本金'!W57</f>
        <v>19245.9018239083</v>
      </c>
      <c r="X29" s="79">
        <f ca="1">'表4-收入税金表'!X23+'表4-收入税金表'!X55+'表4-收入税金表'!X59+'表5-利润表-资本金'!X56++'表5-利润表-资本金'!X57</f>
        <v>19237.6416225749</v>
      </c>
      <c r="Y29" s="79">
        <f ca="1">'表4-收入税金表'!Y23+'表4-收入税金表'!Y55+'表4-收入税金表'!Y59+'表5-利润表-资本金'!Y56++'表5-利润表-资本金'!Y57</f>
        <v>17283.8506913656</v>
      </c>
      <c r="Z29" s="79">
        <f ca="1">'表4-收入税金表'!Z23+'表4-收入税金表'!Z55+'表4-收入税金表'!Z59+'表5-利润表-资本金'!Z56++'表5-利润表-资本金'!Z57</f>
        <v>19288.0356084448</v>
      </c>
      <c r="AA29" s="79">
        <f ca="1">'表4-收入税金表'!AA23+'表4-收入税金表'!AA55+'表4-收入税金表'!AA59+'表5-利润表-资本金'!AA56++'表5-利润表-资本金'!AA57</f>
        <v>19610.9615130247</v>
      </c>
      <c r="AB29" s="79">
        <f ca="1">'表4-收入税金表'!AB23+'表4-收入税金表'!AB55+'表4-收入税金表'!AB59+'表5-利润表-资本金'!AB56++'表5-利润表-资本金'!AB57</f>
        <v>20072.447859474</v>
      </c>
      <c r="AC29" s="79">
        <f ca="1">'表4-收入税金表'!AC23+'表4-收入税金表'!AC55+'表4-收入税金表'!AC59+'表5-利润表-资本金'!AC56++'表5-利润表-资本金'!AC57</f>
        <v>20630.2115973746</v>
      </c>
      <c r="AD29" s="79">
        <f ca="1">'表4-收入税金表'!AD23+'表4-收入税金表'!AD55+'表4-收入税金表'!AD59+'表5-利润表-资本金'!AD56++'表5-利润表-资本金'!AD57</f>
        <v>21447.8691823371</v>
      </c>
      <c r="AE29" s="79">
        <f ca="1">'表4-收入税金表'!AE23+'表4-收入税金表'!AE55+'表4-收入税金表'!AE59+'表5-利润表-资本金'!AE56++'表5-利润表-资本金'!AE57</f>
        <v>22746.4418232739</v>
      </c>
      <c r="AF29" s="79">
        <f ca="1">'表4-收入税金表'!AF23+'表4-收入税金表'!AF55+'表4-收入税金表'!AF59+'表5-利润表-资本金'!AF56++'表5-利润表-资本金'!AF57</f>
        <v>24023.2244966123</v>
      </c>
      <c r="AG29" s="79">
        <f ca="1">'表4-收入税金表'!AG23+'表4-收入税金表'!AG55+'表4-收入税金表'!AG59+'表5-利润表-资本金'!AG56++'表5-利润表-资本金'!AG57</f>
        <v>24980.2565333653</v>
      </c>
      <c r="AH29" s="79">
        <f ca="1">'表4-收入税金表'!AH23+'表4-收入税金表'!AH55+'表4-收入税金表'!AH59+'表5-利润表-资本金'!AH56++'表5-利润表-资本金'!AH57</f>
        <v>25522.4211123355</v>
      </c>
      <c r="AI29" s="79">
        <f ca="1">'表4-收入税金表'!AI23+'表4-收入税金表'!AI55+'表4-收入税金表'!AI59+'表5-利润表-资本金'!AI56++'表5-利润表-资本金'!AI57</f>
        <v>23910.5930881905</v>
      </c>
      <c r="AJ29" s="79">
        <f ca="1">'表4-收入税金表'!AJ23+'表4-收入税金表'!AJ55+'表4-收入税金表'!AJ59+'表5-利润表-资本金'!AJ56++'表5-利润表-资本金'!AJ57</f>
        <v>25700.6848313098</v>
      </c>
      <c r="AK29" s="79">
        <f ca="1">'表4-收入税金表'!AK23+'表4-收入税金表'!AK55+'表4-收入税金表'!AK59+'表5-利润表-资本金'!AK56++'表5-利润表-资本金'!AK57</f>
        <v>25700.6848313098</v>
      </c>
      <c r="AL29" s="79">
        <f ca="1">'表4-收入税金表'!AL23+'表4-收入税金表'!AL55+'表4-收入税金表'!AL59+'表5-利润表-资本金'!AL56++'表5-利润表-资本金'!AL57</f>
        <v>25700.6848313098</v>
      </c>
      <c r="AM29" s="79">
        <f ca="1">'表4-收入税金表'!AM23+'表4-收入税金表'!AM55+'表4-收入税金表'!AM59+'表5-利润表-资本金'!AM56++'表5-利润表-资本金'!AM57</f>
        <v>25655.9325377318</v>
      </c>
      <c r="AN29" s="79">
        <f ca="1">'表4-收入税金表'!AN23+'表4-收入税金表'!AN55+'表4-收入税金表'!AN59+'表5-利润表-资本金'!AN56++'表5-利润表-资本金'!AN57</f>
        <v>25513.6228844071</v>
      </c>
      <c r="AO29" s="79">
        <f ca="1">'表4-收入税金表'!AO23+'表4-收入税金表'!AO55+'表4-收入税金表'!AO59+'表5-利润表-资本金'!AO56++'表5-利润表-资本金'!AO57</f>
        <v>25700.6848313098</v>
      </c>
      <c r="AP29" s="79">
        <f ca="1">'表4-收入税金表'!AP23+'表4-收入税金表'!AP55+'表4-收入税金表'!AP59+'表5-利润表-资本金'!AP56++'表5-利润表-资本金'!AP57</f>
        <v>28976.510780819</v>
      </c>
      <c r="AQ29" s="79">
        <f ca="1">'表4-收入税金表'!AQ23+'表4-收入税金表'!AQ55+'表4-收入税金表'!AQ59+'表5-利润表-资本金'!AQ56++'表5-利润表-资本金'!AQ57</f>
        <v>33562.667110132</v>
      </c>
      <c r="AR29" s="79">
        <f ca="1">'表4-收入税金表'!AR23+'表4-收入税金表'!AR55+'表4-收入税金表'!AR59+'表5-利润表-资本金'!AR56++'表5-利润表-资本金'!AR57</f>
        <v>33517.914816554</v>
      </c>
      <c r="AS29" s="79">
        <f ca="1">'表4-收入税金表'!AS23+'表4-收入税金表'!AS55+'表4-收入税金表'!AS59+'表5-利润表-资本金'!AS56++'表5-利润表-资本金'!AS57</f>
        <v>31711.413287502</v>
      </c>
      <c r="AT29" s="79">
        <f ca="1">'表4-收入税金表'!AT23+'表4-收入税金表'!AT55+'表4-收入税金表'!AT59+'表5-利润表-资本金'!AT56++'表5-利润表-资本金'!AT57</f>
        <v>33501.5050306213</v>
      </c>
      <c r="AU29" s="79">
        <f ca="1">'表4-收入税金表'!AU23+'表4-收入税金表'!AU55+'表4-收入税金表'!AU59+'表5-利润表-资本金'!AU56++'表5-利润表-资本金'!AU57</f>
        <v>33501.5050306213</v>
      </c>
      <c r="AV29" s="79">
        <f ca="1">'表4-收入税金表'!AV23+'表4-收入税金表'!AV55+'表4-收入税金表'!AV59+'表5-利润表-资本金'!AV56++'表5-利润表-资本金'!AV57</f>
        <v>33297.8501633647</v>
      </c>
      <c r="AW29" s="79">
        <f ca="1">'表4-收入税金表'!AW23+'表4-收入税金表'!AW55+'表4-收入税金表'!AW59+'表5-利润表-资本金'!AW56++'表5-利润表-资本金'!AW57</f>
        <v>33440.1598166893</v>
      </c>
      <c r="AX29" s="79">
        <f ca="1">'表4-收入税金表'!AX23+'表4-收入税金表'!AX55+'表4-收入税金表'!AX59+'表5-利润表-资本金'!AX56++'表5-利润表-资本金'!AX57</f>
        <v>33484.9121102673</v>
      </c>
      <c r="AY29" s="79">
        <f ca="1">'表4-收入税金表'!AY23+'表4-收入税金表'!AY55+'表4-收入税金表'!AY59+'表5-利润表-资本金'!AY56++'表5-利润表-资本金'!AY57</f>
        <v>33394.2882570563</v>
      </c>
      <c r="AZ29" s="79">
        <f ca="1">'表4-收入税金表'!AZ23+'表4-收入税金表'!AZ55+'表4-收入税金表'!AZ59+'表5-利润表-资本金'!AZ56++'表5-利润表-资本金'!AZ57</f>
        <v>33439.0405506343</v>
      </c>
      <c r="BA29" s="79">
        <f ca="1">'表4-收入税金表'!BA23+'表4-收入税金表'!BA55+'表4-收入税金表'!BA59+'表5-利润表-资本金'!BA56++'表5-利润表-资本金'!BA57</f>
        <v>19117.5209451386</v>
      </c>
    </row>
    <row r="30" s="4" customFormat="1" ht="19.95" customHeight="1" spans="2:53">
      <c r="B30" s="48"/>
      <c r="C30" s="74" t="s">
        <v>1014</v>
      </c>
      <c r="D30" s="51">
        <f t="shared" si="4"/>
        <v>0</v>
      </c>
      <c r="E30" s="50" t="s">
        <v>130</v>
      </c>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3"/>
    </row>
    <row r="31" s="4" customFormat="1" ht="19.95" customHeight="1" spans="2:53">
      <c r="B31" s="48"/>
      <c r="C31" s="76" t="s">
        <v>1015</v>
      </c>
      <c r="D31" s="73">
        <f ca="1" t="shared" si="4"/>
        <v>3674820.43017067</v>
      </c>
      <c r="E31" s="50" t="s">
        <v>130</v>
      </c>
      <c r="F31" s="73">
        <f ca="1">SUM(F21:F30)</f>
        <v>0</v>
      </c>
      <c r="G31" s="73">
        <f ca="1" t="shared" ref="G31:N31" si="5">SUM(G21:G30)</f>
        <v>0</v>
      </c>
      <c r="H31" s="73">
        <f ca="1" t="shared" si="5"/>
        <v>0</v>
      </c>
      <c r="I31" s="73">
        <f ca="1" t="shared" si="5"/>
        <v>0</v>
      </c>
      <c r="J31" s="73">
        <f ca="1" t="shared" si="5"/>
        <v>0</v>
      </c>
      <c r="K31" s="73">
        <f ca="1" t="shared" si="5"/>
        <v>0</v>
      </c>
      <c r="L31" s="73">
        <f ca="1" t="shared" si="5"/>
        <v>0</v>
      </c>
      <c r="M31" s="73">
        <f ca="1" t="shared" si="5"/>
        <v>30043.2248295497</v>
      </c>
      <c r="N31" s="73">
        <f ca="1" t="shared" si="5"/>
        <v>70694.7540244749</v>
      </c>
      <c r="O31" s="73">
        <f ca="1" t="shared" ref="O31:AL31" si="6">SUM(O21:O30)</f>
        <v>70282.1739620271</v>
      </c>
      <c r="P31" s="73">
        <f ca="1" t="shared" si="6"/>
        <v>72181.6991986911</v>
      </c>
      <c r="Q31" s="73">
        <f ca="1" t="shared" si="6"/>
        <v>72517.6978971966</v>
      </c>
      <c r="R31" s="73">
        <f ca="1" t="shared" si="6"/>
        <v>72834.3152061352</v>
      </c>
      <c r="S31" s="73">
        <f ca="1" t="shared" si="6"/>
        <v>79277.6544386251</v>
      </c>
      <c r="T31" s="73">
        <f ca="1" t="shared" si="6"/>
        <v>87906.3294408</v>
      </c>
      <c r="U31" s="73">
        <f ca="1" t="shared" si="6"/>
        <v>88185.8693466224</v>
      </c>
      <c r="V31" s="73">
        <f ca="1" t="shared" si="6"/>
        <v>88469.9117553172</v>
      </c>
      <c r="W31" s="73">
        <f ca="1" t="shared" si="6"/>
        <v>88756.4621118268</v>
      </c>
      <c r="X31" s="73">
        <f ca="1" t="shared" si="6"/>
        <v>89248.2019104933</v>
      </c>
      <c r="Y31" s="73">
        <f ca="1" t="shared" si="6"/>
        <v>86794.410979284</v>
      </c>
      <c r="Z31" s="73">
        <f ca="1" t="shared" si="6"/>
        <v>88798.5958963632</v>
      </c>
      <c r="AA31" s="73">
        <f ca="1" t="shared" si="6"/>
        <v>89121.5218009431</v>
      </c>
      <c r="AB31" s="73">
        <f ca="1" t="shared" si="6"/>
        <v>89583.0081473924</v>
      </c>
      <c r="AC31" s="73">
        <f ca="1" t="shared" si="6"/>
        <v>90640.771885293</v>
      </c>
      <c r="AD31" s="73">
        <f ca="1" t="shared" si="6"/>
        <v>90958.4294702555</v>
      </c>
      <c r="AE31" s="73">
        <f ca="1" t="shared" si="6"/>
        <v>92257.0021111923</v>
      </c>
      <c r="AF31" s="73">
        <f ca="1" t="shared" si="6"/>
        <v>93533.7847845307</v>
      </c>
      <c r="AG31" s="73">
        <f ca="1" t="shared" si="6"/>
        <v>94490.8168212837</v>
      </c>
      <c r="AH31" s="73">
        <f ca="1" t="shared" si="6"/>
        <v>95532.9814002539</v>
      </c>
      <c r="AI31" s="73">
        <f ca="1" t="shared" si="6"/>
        <v>93421.1533761089</v>
      </c>
      <c r="AJ31" s="73">
        <f ca="1" t="shared" si="6"/>
        <v>95211.2451192282</v>
      </c>
      <c r="AK31" s="73">
        <f ca="1" t="shared" si="6"/>
        <v>95211.2451192282</v>
      </c>
      <c r="AL31" s="73">
        <f ca="1" t="shared" si="6"/>
        <v>95211.2451192282</v>
      </c>
      <c r="AM31" s="73">
        <f ca="1" t="shared" ref="AM31:BA31" si="7">SUM(AM21:AM30)</f>
        <v>95666.4928256502</v>
      </c>
      <c r="AN31" s="73">
        <f ca="1" t="shared" si="7"/>
        <v>95024.1831723255</v>
      </c>
      <c r="AO31" s="73">
        <f ca="1" t="shared" si="7"/>
        <v>95211.2451192282</v>
      </c>
      <c r="AP31" s="73">
        <f ca="1" t="shared" si="7"/>
        <v>98487.0710687374</v>
      </c>
      <c r="AQ31" s="73">
        <f ca="1" t="shared" si="7"/>
        <v>103073.22739805</v>
      </c>
      <c r="AR31" s="73">
        <f ca="1" t="shared" si="7"/>
        <v>103528.475104472</v>
      </c>
      <c r="AS31" s="73">
        <f ca="1" t="shared" si="7"/>
        <v>101221.97357542</v>
      </c>
      <c r="AT31" s="73">
        <f ca="1" t="shared" si="7"/>
        <v>103012.06531854</v>
      </c>
      <c r="AU31" s="73">
        <f ca="1" t="shared" si="7"/>
        <v>103012.06531854</v>
      </c>
      <c r="AV31" s="73">
        <f ca="1" t="shared" si="7"/>
        <v>102808.410451283</v>
      </c>
      <c r="AW31" s="73">
        <f ca="1" t="shared" si="7"/>
        <v>103450.720104608</v>
      </c>
      <c r="AX31" s="73">
        <f ca="1" t="shared" si="7"/>
        <v>102995.472398186</v>
      </c>
      <c r="AY31" s="73">
        <f ca="1" t="shared" si="7"/>
        <v>103404.848544975</v>
      </c>
      <c r="AZ31" s="73">
        <f ca="1" t="shared" si="7"/>
        <v>102949.600838553</v>
      </c>
      <c r="BA31" s="77">
        <f ca="1" t="shared" si="7"/>
        <v>59810.0727797577</v>
      </c>
    </row>
    <row r="32" s="67" customFormat="1" ht="19.95" customHeight="1" spans="2:53">
      <c r="B32" s="81"/>
      <c r="C32" s="82" t="s">
        <v>1016</v>
      </c>
      <c r="D32" s="83">
        <f ca="1" t="shared" si="4"/>
        <v>2527943.56982933</v>
      </c>
      <c r="E32" s="84" t="s">
        <v>130</v>
      </c>
      <c r="F32" s="83">
        <f ca="1">F20-F31</f>
        <v>0</v>
      </c>
      <c r="G32" s="83">
        <f ca="1" t="shared" ref="G32:R32" si="8">G20-G31</f>
        <v>0</v>
      </c>
      <c r="H32" s="83">
        <f ca="1" t="shared" si="8"/>
        <v>0</v>
      </c>
      <c r="I32" s="83">
        <f ca="1" t="shared" si="8"/>
        <v>0</v>
      </c>
      <c r="J32" s="83">
        <f ca="1" t="shared" si="8"/>
        <v>0</v>
      </c>
      <c r="K32" s="83">
        <f ca="1" t="shared" si="8"/>
        <v>0</v>
      </c>
      <c r="L32" s="83">
        <f ca="1" t="shared" si="8"/>
        <v>0</v>
      </c>
      <c r="M32" s="83">
        <f ca="1" t="shared" si="8"/>
        <v>21468.1418371169</v>
      </c>
      <c r="N32" s="83">
        <f ca="1" t="shared" si="8"/>
        <v>66429.1176421921</v>
      </c>
      <c r="O32" s="83">
        <f ca="1" t="shared" si="8"/>
        <v>84776.9260379729</v>
      </c>
      <c r="P32" s="83">
        <f ca="1" t="shared" si="8"/>
        <v>82877.4008013089</v>
      </c>
      <c r="Q32" s="83">
        <f ca="1" t="shared" si="8"/>
        <v>82541.4021028034</v>
      </c>
      <c r="R32" s="83">
        <f ca="1" t="shared" si="8"/>
        <v>82224.7847938648</v>
      </c>
      <c r="S32" s="83">
        <f ca="1" t="shared" ref="S32:AL32" si="9">S20-S31</f>
        <v>75781.4455613749</v>
      </c>
      <c r="T32" s="83">
        <f ca="1" t="shared" si="9"/>
        <v>67152.7705592</v>
      </c>
      <c r="U32" s="83">
        <f ca="1" t="shared" si="9"/>
        <v>66873.2306533776</v>
      </c>
      <c r="V32" s="83">
        <f ca="1" t="shared" si="9"/>
        <v>66589.1882446828</v>
      </c>
      <c r="W32" s="83">
        <f ca="1" t="shared" si="9"/>
        <v>66302.6378881733</v>
      </c>
      <c r="X32" s="83">
        <f ca="1" t="shared" si="9"/>
        <v>65810.8980895067</v>
      </c>
      <c r="Y32" s="83">
        <f ca="1" t="shared" si="9"/>
        <v>68264.689020716</v>
      </c>
      <c r="Z32" s="83">
        <f ca="1" t="shared" si="9"/>
        <v>66260.5041036368</v>
      </c>
      <c r="AA32" s="83">
        <f ca="1" t="shared" si="9"/>
        <v>65937.5781990569</v>
      </c>
      <c r="AB32" s="83">
        <f ca="1" t="shared" si="9"/>
        <v>65476.0918526076</v>
      </c>
      <c r="AC32" s="83">
        <f ca="1" t="shared" si="9"/>
        <v>64418.328114707</v>
      </c>
      <c r="AD32" s="83">
        <f ca="1" t="shared" si="9"/>
        <v>64100.6705297445</v>
      </c>
      <c r="AE32" s="83">
        <f ca="1" t="shared" si="9"/>
        <v>62802.0978888077</v>
      </c>
      <c r="AF32" s="83">
        <f ca="1" t="shared" si="9"/>
        <v>61525.3152154693</v>
      </c>
      <c r="AG32" s="83">
        <f ca="1" t="shared" si="9"/>
        <v>60568.2831787163</v>
      </c>
      <c r="AH32" s="83">
        <f ca="1" t="shared" si="9"/>
        <v>59526.1185997461</v>
      </c>
      <c r="AI32" s="83">
        <f ca="1" t="shared" si="9"/>
        <v>61637.9466238911</v>
      </c>
      <c r="AJ32" s="83">
        <f ca="1" t="shared" si="9"/>
        <v>59847.8548807718</v>
      </c>
      <c r="AK32" s="83">
        <f ca="1" t="shared" si="9"/>
        <v>59847.8548807718</v>
      </c>
      <c r="AL32" s="83">
        <f ca="1" t="shared" si="9"/>
        <v>59847.8548807718</v>
      </c>
      <c r="AM32" s="83">
        <f ca="1" t="shared" ref="AM32:BA32" si="10">AM20-AM31</f>
        <v>59392.6071743498</v>
      </c>
      <c r="AN32" s="83">
        <f ca="1" t="shared" si="10"/>
        <v>60034.9168276745</v>
      </c>
      <c r="AO32" s="83">
        <f ca="1" t="shared" si="10"/>
        <v>59847.8548807718</v>
      </c>
      <c r="AP32" s="83">
        <f ca="1" t="shared" si="10"/>
        <v>56572.0289312626</v>
      </c>
      <c r="AQ32" s="83">
        <f ca="1" t="shared" si="10"/>
        <v>51985.8726019496</v>
      </c>
      <c r="AR32" s="83">
        <f ca="1" t="shared" si="10"/>
        <v>51530.6248955276</v>
      </c>
      <c r="AS32" s="83">
        <f ca="1" t="shared" si="10"/>
        <v>53837.1264245796</v>
      </c>
      <c r="AT32" s="83">
        <f ca="1" t="shared" si="10"/>
        <v>52047.0346814603</v>
      </c>
      <c r="AU32" s="83">
        <f ca="1" t="shared" si="10"/>
        <v>52047.0346814603</v>
      </c>
      <c r="AV32" s="83">
        <f ca="1" t="shared" si="10"/>
        <v>52250.689548717</v>
      </c>
      <c r="AW32" s="83">
        <f ca="1" t="shared" si="10"/>
        <v>51608.3798953923</v>
      </c>
      <c r="AX32" s="83">
        <f ca="1" t="shared" si="10"/>
        <v>52063.6276018143</v>
      </c>
      <c r="AY32" s="83">
        <f ca="1" t="shared" si="10"/>
        <v>51654.2514550253</v>
      </c>
      <c r="AZ32" s="83">
        <f ca="1" t="shared" si="10"/>
        <v>52109.4991614473</v>
      </c>
      <c r="BA32" s="85">
        <f ca="1" t="shared" si="10"/>
        <v>62072.8888869093</v>
      </c>
    </row>
    <row r="33" s="4" customFormat="1" ht="19.95" customHeight="1" spans="2:53">
      <c r="B33" s="71" t="s">
        <v>840</v>
      </c>
      <c r="C33" s="72" t="s">
        <v>1017</v>
      </c>
      <c r="D33" s="73"/>
      <c r="E33" s="50"/>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3"/>
    </row>
    <row r="34" s="4" customFormat="1" ht="19.95" customHeight="1" spans="2:53">
      <c r="B34" s="48"/>
      <c r="C34" s="74" t="s">
        <v>1018</v>
      </c>
      <c r="D34" s="51">
        <f t="shared" ref="D34:D41" si="11">SUM(F34:BA34)</f>
        <v>0</v>
      </c>
      <c r="E34" s="50" t="s">
        <v>130</v>
      </c>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3"/>
    </row>
    <row r="35" s="4" customFormat="1" ht="19.95" customHeight="1" spans="2:53">
      <c r="B35" s="48"/>
      <c r="C35" s="74" t="s">
        <v>1019</v>
      </c>
      <c r="D35" s="51">
        <f t="shared" si="11"/>
        <v>0</v>
      </c>
      <c r="E35" s="50" t="s">
        <v>130</v>
      </c>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3"/>
    </row>
    <row r="36" s="4" customFormat="1" ht="19.95" customHeight="1" spans="2:53">
      <c r="B36" s="48"/>
      <c r="C36" s="74" t="s">
        <v>1020</v>
      </c>
      <c r="D36" s="51">
        <f ca="1" t="shared" si="11"/>
        <v>45319.5589624292</v>
      </c>
      <c r="E36" s="50" t="s">
        <v>130</v>
      </c>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f ca="1">'表6-现金流量表-资本金'!BE16</f>
        <v>45319.5589624292</v>
      </c>
    </row>
    <row r="37" s="4" customFormat="1" ht="19.95" customHeight="1" spans="2:53">
      <c r="B37" s="48"/>
      <c r="C37" s="74" t="s">
        <v>1021</v>
      </c>
      <c r="D37" s="51">
        <f t="shared" si="11"/>
        <v>0</v>
      </c>
      <c r="E37" s="50" t="s">
        <v>130</v>
      </c>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3"/>
    </row>
    <row r="38" s="4" customFormat="1" ht="19.95" customHeight="1" spans="2:53">
      <c r="B38" s="48"/>
      <c r="C38" s="74" t="s">
        <v>1022</v>
      </c>
      <c r="D38" s="51">
        <f t="shared" si="11"/>
        <v>0</v>
      </c>
      <c r="E38" s="50" t="s">
        <v>130</v>
      </c>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3"/>
    </row>
    <row r="39" s="4" customFormat="1" ht="19.95" customHeight="1" spans="2:53">
      <c r="B39" s="48"/>
      <c r="C39" s="76" t="s">
        <v>1023</v>
      </c>
      <c r="D39" s="73">
        <f ca="1" t="shared" si="11"/>
        <v>45319.5589624292</v>
      </c>
      <c r="E39" s="50" t="s">
        <v>130</v>
      </c>
      <c r="F39" s="73">
        <f>SUM(F34:F38)</f>
        <v>0</v>
      </c>
      <c r="G39" s="73">
        <f t="shared" ref="G39:O39" si="12">SUM(G34:G38)</f>
        <v>0</v>
      </c>
      <c r="H39" s="73">
        <f t="shared" si="12"/>
        <v>0</v>
      </c>
      <c r="I39" s="73">
        <f t="shared" si="12"/>
        <v>0</v>
      </c>
      <c r="J39" s="73">
        <f t="shared" si="12"/>
        <v>0</v>
      </c>
      <c r="K39" s="73">
        <f t="shared" si="12"/>
        <v>0</v>
      </c>
      <c r="L39" s="73">
        <f t="shared" si="12"/>
        <v>0</v>
      </c>
      <c r="M39" s="73">
        <f t="shared" si="12"/>
        <v>0</v>
      </c>
      <c r="N39" s="73">
        <f t="shared" si="12"/>
        <v>0</v>
      </c>
      <c r="O39" s="73">
        <f t="shared" si="12"/>
        <v>0</v>
      </c>
      <c r="P39" s="73">
        <f t="shared" ref="P39:AL39" si="13">SUM(P34:P38)</f>
        <v>0</v>
      </c>
      <c r="Q39" s="73">
        <f t="shared" si="13"/>
        <v>0</v>
      </c>
      <c r="R39" s="73">
        <f t="shared" si="13"/>
        <v>0</v>
      </c>
      <c r="S39" s="73">
        <f t="shared" si="13"/>
        <v>0</v>
      </c>
      <c r="T39" s="73">
        <f t="shared" si="13"/>
        <v>0</v>
      </c>
      <c r="U39" s="73">
        <f t="shared" si="13"/>
        <v>0</v>
      </c>
      <c r="V39" s="73">
        <f t="shared" si="13"/>
        <v>0</v>
      </c>
      <c r="W39" s="73">
        <f t="shared" si="13"/>
        <v>0</v>
      </c>
      <c r="X39" s="73">
        <f t="shared" si="13"/>
        <v>0</v>
      </c>
      <c r="Y39" s="73">
        <f t="shared" si="13"/>
        <v>0</v>
      </c>
      <c r="Z39" s="73">
        <f t="shared" si="13"/>
        <v>0</v>
      </c>
      <c r="AA39" s="73">
        <f t="shared" si="13"/>
        <v>0</v>
      </c>
      <c r="AB39" s="73">
        <f t="shared" si="13"/>
        <v>0</v>
      </c>
      <c r="AC39" s="73">
        <f t="shared" si="13"/>
        <v>0</v>
      </c>
      <c r="AD39" s="73">
        <f t="shared" si="13"/>
        <v>0</v>
      </c>
      <c r="AE39" s="73">
        <f t="shared" si="13"/>
        <v>0</v>
      </c>
      <c r="AF39" s="73">
        <f t="shared" si="13"/>
        <v>0</v>
      </c>
      <c r="AG39" s="73">
        <f t="shared" si="13"/>
        <v>0</v>
      </c>
      <c r="AH39" s="73">
        <f t="shared" si="13"/>
        <v>0</v>
      </c>
      <c r="AI39" s="73">
        <f t="shared" si="13"/>
        <v>0</v>
      </c>
      <c r="AJ39" s="73">
        <f t="shared" si="13"/>
        <v>0</v>
      </c>
      <c r="AK39" s="73">
        <f t="shared" si="13"/>
        <v>0</v>
      </c>
      <c r="AL39" s="73">
        <f t="shared" si="13"/>
        <v>0</v>
      </c>
      <c r="AM39" s="73">
        <f t="shared" ref="AM39:BA39" si="14">SUM(AM34:AM38)</f>
        <v>0</v>
      </c>
      <c r="AN39" s="73">
        <f t="shared" si="14"/>
        <v>0</v>
      </c>
      <c r="AO39" s="73">
        <f t="shared" si="14"/>
        <v>0</v>
      </c>
      <c r="AP39" s="73">
        <f t="shared" si="14"/>
        <v>0</v>
      </c>
      <c r="AQ39" s="73">
        <f t="shared" si="14"/>
        <v>0</v>
      </c>
      <c r="AR39" s="73">
        <f t="shared" si="14"/>
        <v>0</v>
      </c>
      <c r="AS39" s="73">
        <f t="shared" si="14"/>
        <v>0</v>
      </c>
      <c r="AT39" s="73">
        <f t="shared" si="14"/>
        <v>0</v>
      </c>
      <c r="AU39" s="73">
        <f t="shared" si="14"/>
        <v>0</v>
      </c>
      <c r="AV39" s="73">
        <f t="shared" si="14"/>
        <v>0</v>
      </c>
      <c r="AW39" s="73">
        <f t="shared" si="14"/>
        <v>0</v>
      </c>
      <c r="AX39" s="73">
        <f t="shared" si="14"/>
        <v>0</v>
      </c>
      <c r="AY39" s="73">
        <f t="shared" si="14"/>
        <v>0</v>
      </c>
      <c r="AZ39" s="73">
        <f t="shared" si="14"/>
        <v>0</v>
      </c>
      <c r="BA39" s="77">
        <f ca="1" t="shared" si="14"/>
        <v>45319.5589624292</v>
      </c>
    </row>
    <row r="40" s="4" customFormat="1" ht="19.95" customHeight="1" spans="2:53">
      <c r="B40" s="48"/>
      <c r="C40" s="74" t="s">
        <v>1024</v>
      </c>
      <c r="D40" s="51">
        <f ca="1" t="shared" si="11"/>
        <v>966945.684224657</v>
      </c>
      <c r="E40" s="50" t="s">
        <v>130</v>
      </c>
      <c r="F40" s="51">
        <f ca="1">'表1-资金筹措及还本付息表'!F8+'表1-资金筹措及还本付息表'!F9+'表1-资金筹措及还本付息表'!G8+'表1-资金筹措及还本付息表'!G9</f>
        <v>95511.3167916022</v>
      </c>
      <c r="G40" s="51">
        <f ca="1">'表1-资金筹措及还本付息表'!H8+'表1-资金筹措及还本付息表'!H9</f>
        <v>95902.9358091799</v>
      </c>
      <c r="H40" s="51">
        <f ca="1">'表1-资金筹措及还本付息表'!I8+'表1-资金筹措及还本付息表'!I9</f>
        <v>111527.372453866</v>
      </c>
      <c r="I40" s="51">
        <f ca="1">'表1-资金筹措及还本付息表'!J8+'表1-资金筹措及还本付息表'!J9</f>
        <v>124982.577606385</v>
      </c>
      <c r="J40" s="51">
        <f ca="1">'表1-资金筹措及还本付息表'!K8+'表1-资金筹措及还本付息表'!K9</f>
        <v>167811.542912955</v>
      </c>
      <c r="K40" s="51">
        <f ca="1">'表1-资金筹措及还本付息表'!L8+'表1-资金筹措及还本付息表'!L9</f>
        <v>160422.325243849</v>
      </c>
      <c r="L40" s="51">
        <f ca="1">'表1-资金筹措及还本付息表'!M8+'表1-资金筹措及还本付息表'!M9+'表1-资金筹措及还本付息表'!N8+'表1-资金筹措及还本付息表'!N9</f>
        <v>143340.106328929</v>
      </c>
      <c r="M40" s="51">
        <f ca="1">'表1-资金筹措及还本付息表'!O8+'表1-资金筹措及还本付息表'!O9+'表1-资金筹措及还本付息表'!P8+'表1-资金筹措及还本付息表'!P9+'表1-资金筹措及还本付息表'!Q8+'表1-资金筹措及还本付息表'!Q9</f>
        <v>67447.5070778898</v>
      </c>
      <c r="N40" s="51">
        <f ca="1">'表1-资金筹措及还本付息表'!R8+'表1-资金筹措及还本付息表'!R9</f>
        <v>0</v>
      </c>
      <c r="O40" s="51">
        <f ca="1">'表1-资金筹措及还本付息表'!S8+'表1-资金筹措及还本付息表'!S9</f>
        <v>0</v>
      </c>
      <c r="P40" s="51">
        <f ca="1">'表1-资金筹措及还本付息表'!T8+'表1-资金筹措及还本付息表'!T9</f>
        <v>0</v>
      </c>
      <c r="Q40" s="51">
        <f ca="1">'表1-资金筹措及还本付息表'!U8+'表1-资金筹措及还本付息表'!U9</f>
        <v>0</v>
      </c>
      <c r="R40" s="51">
        <f ca="1">'表1-资金筹措及还本付息表'!V8+'表1-资金筹措及还本付息表'!V9</f>
        <v>0</v>
      </c>
      <c r="S40" s="51">
        <f ca="1">'表1-资金筹措及还本付息表'!W8+'表1-资金筹措及还本付息表'!W9</f>
        <v>0</v>
      </c>
      <c r="T40" s="51">
        <f ca="1">'表1-资金筹措及还本付息表'!X8+'表1-资金筹措及还本付息表'!X9</f>
        <v>0</v>
      </c>
      <c r="U40" s="51">
        <f ca="1">'表1-资金筹措及还本付息表'!Y8+'表1-资金筹措及还本付息表'!Y9</f>
        <v>0</v>
      </c>
      <c r="V40" s="51">
        <f ca="1">'表1-资金筹措及还本付息表'!Z8+'表1-资金筹措及还本付息表'!Z9</f>
        <v>0</v>
      </c>
      <c r="W40" s="51">
        <f ca="1">'表1-资金筹措及还本付息表'!AA8+'表1-资金筹措及还本付息表'!AA9</f>
        <v>0</v>
      </c>
      <c r="X40" s="51">
        <f ca="1">'表1-资金筹措及还本付息表'!AB8+'表1-资金筹措及还本付息表'!AB9</f>
        <v>0</v>
      </c>
      <c r="Y40" s="51">
        <f ca="1">'表1-资金筹措及还本付息表'!AC8+'表1-资金筹措及还本付息表'!AC9</f>
        <v>0</v>
      </c>
      <c r="Z40" s="51">
        <f ca="1">'表1-资金筹措及还本付息表'!AD8+'表1-资金筹措及还本付息表'!AD9</f>
        <v>0</v>
      </c>
      <c r="AA40" s="51">
        <f ca="1">'表1-资金筹措及还本付息表'!AE8+'表1-资金筹措及还本付息表'!AE9</f>
        <v>0</v>
      </c>
      <c r="AB40" s="51">
        <f ca="1">'表1-资金筹措及还本付息表'!AF8+'表1-资金筹措及还本付息表'!AF9</f>
        <v>0</v>
      </c>
      <c r="AC40" s="51">
        <f ca="1">'表1-资金筹措及还本付息表'!AG8+'表1-资金筹措及还本付息表'!AG9</f>
        <v>0</v>
      </c>
      <c r="AD40" s="51">
        <f ca="1">'表1-资金筹措及还本付息表'!AH8+'表1-资金筹措及还本付息表'!AH9</f>
        <v>0</v>
      </c>
      <c r="AE40" s="51">
        <f ca="1">'表1-资金筹措及还本付息表'!AI8+'表1-资金筹措及还本付息表'!AI9</f>
        <v>0</v>
      </c>
      <c r="AF40" s="51">
        <f ca="1">'表1-资金筹措及还本付息表'!AJ8+'表1-资金筹措及还本付息表'!AJ9</f>
        <v>0</v>
      </c>
      <c r="AG40" s="51">
        <f ca="1">'表1-资金筹措及还本付息表'!AK8+'表1-资金筹措及还本付息表'!AK9</f>
        <v>0</v>
      </c>
      <c r="AH40" s="51">
        <f ca="1">'表1-资金筹措及还本付息表'!AL8+'表1-资金筹措及还本付息表'!AL9</f>
        <v>0</v>
      </c>
      <c r="AI40" s="51">
        <f ca="1">'表1-资金筹措及还本付息表'!AM8+'表1-资金筹措及还本付息表'!AM9</f>
        <v>0</v>
      </c>
      <c r="AJ40" s="51">
        <f ca="1">'表1-资金筹措及还本付息表'!AN8+'表1-资金筹措及还本付息表'!AN9</f>
        <v>0</v>
      </c>
      <c r="AK40" s="51">
        <f ca="1">'表1-资金筹措及还本付息表'!AO8+'表1-资金筹措及还本付息表'!AO9</f>
        <v>0</v>
      </c>
      <c r="AL40" s="51">
        <f ca="1">'表1-资金筹措及还本付息表'!AP8+'表1-资金筹措及还本付息表'!AP9</f>
        <v>0</v>
      </c>
      <c r="AM40" s="51">
        <f ca="1">'表1-资金筹措及还本付息表'!AQ8+'表1-资金筹措及还本付息表'!AQ9</f>
        <v>0</v>
      </c>
      <c r="AN40" s="51">
        <f ca="1">'表1-资金筹措及还本付息表'!AR8+'表1-资金筹措及还本付息表'!AR9</f>
        <v>0</v>
      </c>
      <c r="AO40" s="51">
        <f ca="1">'表1-资金筹措及还本付息表'!AS8+'表1-资金筹措及还本付息表'!AS9</f>
        <v>0</v>
      </c>
      <c r="AP40" s="51">
        <f ca="1">'表1-资金筹措及还本付息表'!AT8+'表1-资金筹措及还本付息表'!AT9</f>
        <v>0</v>
      </c>
      <c r="AQ40" s="51">
        <f ca="1">'表1-资金筹措及还本付息表'!AU8+'表1-资金筹措及还本付息表'!AU9</f>
        <v>0</v>
      </c>
      <c r="AR40" s="51">
        <f ca="1">'表1-资金筹措及还本付息表'!AV8+'表1-资金筹措及还本付息表'!AV9</f>
        <v>0</v>
      </c>
      <c r="AS40" s="51">
        <f ca="1">'表1-资金筹措及还本付息表'!AW8+'表1-资金筹措及还本付息表'!AW9</f>
        <v>0</v>
      </c>
      <c r="AT40" s="51">
        <f ca="1">'表1-资金筹措及还本付息表'!AX8+'表1-资金筹措及还本付息表'!AX9</f>
        <v>0</v>
      </c>
      <c r="AU40" s="51">
        <f ca="1">'表1-资金筹措及还本付息表'!AY8+'表1-资金筹措及还本付息表'!AY9</f>
        <v>0</v>
      </c>
      <c r="AV40" s="51">
        <f ca="1">'表1-资金筹措及还本付息表'!AZ8+'表1-资金筹措及还本付息表'!AZ9</f>
        <v>0</v>
      </c>
      <c r="AW40" s="51">
        <f ca="1">'表1-资金筹措及还本付息表'!BA8+'表1-资金筹措及还本付息表'!BA9</f>
        <v>0</v>
      </c>
      <c r="AX40" s="51">
        <f ca="1">'表1-资金筹措及还本付息表'!BB8+'表1-资金筹措及还本付息表'!BB9</f>
        <v>0</v>
      </c>
      <c r="AY40" s="51">
        <f ca="1">'表1-资金筹措及还本付息表'!BC8+'表1-资金筹措及还本付息表'!BC9</f>
        <v>0</v>
      </c>
      <c r="AZ40" s="51">
        <f ca="1">'表1-资金筹措及还本付息表'!BD8+'表1-资金筹措及还本付息表'!BD9</f>
        <v>0</v>
      </c>
      <c r="BA40" s="53">
        <f ca="1">'表1-资金筹措及还本付息表'!BE8+'表1-资金筹措及还本付息表'!BE9</f>
        <v>0</v>
      </c>
    </row>
    <row r="41" s="4" customFormat="1" ht="19.95" customHeight="1" spans="2:53">
      <c r="B41" s="48"/>
      <c r="C41" s="74" t="s">
        <v>1025</v>
      </c>
      <c r="D41" s="51">
        <f t="shared" si="11"/>
        <v>66000</v>
      </c>
      <c r="E41" s="50" t="s">
        <v>130</v>
      </c>
      <c r="F41" s="51">
        <f>'表6-现金流量表-资本金'!G32</f>
        <v>0</v>
      </c>
      <c r="G41" s="51">
        <f>'表6-现金流量表-资本金'!H32</f>
        <v>0</v>
      </c>
      <c r="H41" s="51">
        <f>'表6-现金流量表-资本金'!I32</f>
        <v>0</v>
      </c>
      <c r="I41" s="51">
        <f>'表6-现金流量表-资本金'!J32</f>
        <v>0</v>
      </c>
      <c r="J41" s="51">
        <f>'表6-现金流量表-资本金'!K32</f>
        <v>0</v>
      </c>
      <c r="K41" s="51">
        <f>'表6-现金流量表-资本金'!L32</f>
        <v>0</v>
      </c>
      <c r="L41" s="51">
        <f>'表6-现金流量表-资本金'!M32+'表6-现金流量表-资本金'!N32</f>
        <v>0</v>
      </c>
      <c r="M41" s="51">
        <f>'表6-现金流量表-资本金'!O32+'表6-现金流量表-资本金'!P32+'表6-现金流量表-资本金'!Q32</f>
        <v>0</v>
      </c>
      <c r="N41" s="51">
        <f>'表6-现金流量表-资本金'!R32</f>
        <v>0</v>
      </c>
      <c r="O41" s="51">
        <f>'表6-现金流量表-资本金'!S32</f>
        <v>0</v>
      </c>
      <c r="P41" s="51">
        <f>'表6-现金流量表-资本金'!T32</f>
        <v>0</v>
      </c>
      <c r="Q41" s="51">
        <f>'表6-现金流量表-资本金'!U32</f>
        <v>0</v>
      </c>
      <c r="R41" s="51">
        <f>'表6-现金流量表-资本金'!V32</f>
        <v>0</v>
      </c>
      <c r="S41" s="51">
        <f>'表6-现金流量表-资本金'!W32</f>
        <v>0</v>
      </c>
      <c r="T41" s="51">
        <f>'表6-现金流量表-资本金'!X32</f>
        <v>0</v>
      </c>
      <c r="U41" s="51">
        <f>'表6-现金流量表-资本金'!Y32</f>
        <v>0</v>
      </c>
      <c r="V41" s="51">
        <f>'表6-现金流量表-资本金'!Z32</f>
        <v>0</v>
      </c>
      <c r="W41" s="51">
        <f>'表6-现金流量表-资本金'!AA32</f>
        <v>0</v>
      </c>
      <c r="X41" s="51">
        <f>'表6-现金流量表-资本金'!AB32</f>
        <v>1500</v>
      </c>
      <c r="Y41" s="51">
        <f>'表6-现金流量表-资本金'!AC32</f>
        <v>20000</v>
      </c>
      <c r="Z41" s="51">
        <f>'表6-现金流量表-资本金'!AD32</f>
        <v>0</v>
      </c>
      <c r="AA41" s="51">
        <f>'表6-现金流量表-资本金'!AE32</f>
        <v>0</v>
      </c>
      <c r="AB41" s="51">
        <f>'表6-现金流量表-资本金'!AF32</f>
        <v>0</v>
      </c>
      <c r="AC41" s="51">
        <f>'表6-现金流量表-资本金'!AG32</f>
        <v>0</v>
      </c>
      <c r="AD41" s="51">
        <f>'表6-现金流量表-资本金'!AH32</f>
        <v>0</v>
      </c>
      <c r="AE41" s="51">
        <f>'表6-现金流量表-资本金'!AI32</f>
        <v>0</v>
      </c>
      <c r="AF41" s="51">
        <f>'表6-现金流量表-资本金'!AJ32</f>
        <v>1500</v>
      </c>
      <c r="AG41" s="51">
        <f>'表6-现金流量表-资本金'!AK32</f>
        <v>0</v>
      </c>
      <c r="AH41" s="51">
        <f>'表6-现金流量表-资本金'!AL32</f>
        <v>0</v>
      </c>
      <c r="AI41" s="51">
        <f>'表6-现金流量表-资本金'!AM32</f>
        <v>20000</v>
      </c>
      <c r="AJ41" s="51">
        <f>'表6-现金流量表-资本金'!AN32</f>
        <v>0</v>
      </c>
      <c r="AK41" s="51">
        <f>'表6-现金流量表-资本金'!AO32</f>
        <v>0</v>
      </c>
      <c r="AL41" s="51">
        <f>'表6-现金流量表-资本金'!AP32</f>
        <v>0</v>
      </c>
      <c r="AM41" s="51">
        <f>'表6-现金流量表-资本金'!AQ32</f>
        <v>0</v>
      </c>
      <c r="AN41" s="51">
        <f>'表6-现金流量表-资本金'!AR32</f>
        <v>1500</v>
      </c>
      <c r="AO41" s="51">
        <f>'表6-现金流量表-资本金'!AS32</f>
        <v>0</v>
      </c>
      <c r="AP41" s="51">
        <f>'表6-现金流量表-资本金'!AT32</f>
        <v>0</v>
      </c>
      <c r="AQ41" s="51">
        <f>'表6-现金流量表-资本金'!AU32</f>
        <v>0</v>
      </c>
      <c r="AR41" s="51">
        <f>'表6-现金流量表-资本金'!AV32</f>
        <v>0</v>
      </c>
      <c r="AS41" s="51">
        <f>'表6-现金流量表-资本金'!AW32</f>
        <v>20000</v>
      </c>
      <c r="AT41" s="51">
        <f>'表6-现金流量表-资本金'!AX32</f>
        <v>0</v>
      </c>
      <c r="AU41" s="51">
        <f>'表6-现金流量表-资本金'!AY32</f>
        <v>0</v>
      </c>
      <c r="AV41" s="51">
        <f>'表6-现金流量表-资本金'!AZ32</f>
        <v>1500</v>
      </c>
      <c r="AW41" s="51">
        <f>'表6-现金流量表-资本金'!BA32</f>
        <v>0</v>
      </c>
      <c r="AX41" s="51">
        <f>'表6-现金流量表-资本金'!BB32</f>
        <v>0</v>
      </c>
      <c r="AY41" s="51">
        <f>'表6-现金流量表-资本金'!BC32</f>
        <v>0</v>
      </c>
      <c r="AZ41" s="51">
        <f>'表6-现金流量表-资本金'!BD32</f>
        <v>0</v>
      </c>
      <c r="BA41" s="53">
        <f>'表6-现金流量表-资本金'!BE32</f>
        <v>0</v>
      </c>
    </row>
    <row r="42" s="4" customFormat="1" ht="19.95" customHeight="1" spans="2:53">
      <c r="B42" s="48"/>
      <c r="C42" s="75" t="s">
        <v>1026</v>
      </c>
      <c r="D42" s="51">
        <f t="shared" ref="D42:D46" si="15">SUM(F42:BA42)</f>
        <v>0</v>
      </c>
      <c r="E42" s="50" t="s">
        <v>130</v>
      </c>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3"/>
    </row>
    <row r="43" s="4" customFormat="1" ht="19.95" customHeight="1" spans="2:53">
      <c r="B43" s="48"/>
      <c r="C43" s="74" t="s">
        <v>1027</v>
      </c>
      <c r="D43" s="51">
        <f t="shared" si="15"/>
        <v>0</v>
      </c>
      <c r="E43" s="50" t="s">
        <v>130</v>
      </c>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3"/>
    </row>
    <row r="44" s="4" customFormat="1" ht="19.95" customHeight="1" spans="2:53">
      <c r="B44" s="48"/>
      <c r="C44" s="74" t="s">
        <v>1028</v>
      </c>
      <c r="D44" s="51">
        <f t="shared" si="15"/>
        <v>0</v>
      </c>
      <c r="E44" s="50" t="s">
        <v>130</v>
      </c>
      <c r="F44" s="51">
        <f>'表6-现金流量表-资本金'!G29</f>
        <v>0</v>
      </c>
      <c r="G44" s="51">
        <f>'表6-现金流量表-资本金'!H29</f>
        <v>0</v>
      </c>
      <c r="H44" s="51">
        <f>'表6-现金流量表-资本金'!I29</f>
        <v>0</v>
      </c>
      <c r="I44" s="51">
        <f>'表6-现金流量表-资本金'!J29</f>
        <v>0</v>
      </c>
      <c r="J44" s="51">
        <f>'表6-现金流量表-资本金'!K29</f>
        <v>0</v>
      </c>
      <c r="K44" s="51">
        <f>'表6-现金流量表-资本金'!L29</f>
        <v>0</v>
      </c>
      <c r="L44" s="51">
        <f>'表6-现金流量表-资本金'!M29+'表6-现金流量表-资本金'!N29</f>
        <v>0</v>
      </c>
      <c r="M44" s="51">
        <f>'表6-现金流量表-资本金'!O29+'表6-现金流量表-资本金'!P29+'表6-现金流量表-资本金'!Q29</f>
        <v>0</v>
      </c>
      <c r="N44" s="51">
        <f>'表6-现金流量表-资本金'!R29</f>
        <v>0</v>
      </c>
      <c r="O44" s="51">
        <f>'表6-现金流量表-资本金'!S29</f>
        <v>0</v>
      </c>
      <c r="P44" s="51">
        <f>'表6-现金流量表-资本金'!T29</f>
        <v>0</v>
      </c>
      <c r="Q44" s="51">
        <f>'表6-现金流量表-资本金'!U29</f>
        <v>0</v>
      </c>
      <c r="R44" s="51">
        <f>'表6-现金流量表-资本金'!V29</f>
        <v>0</v>
      </c>
      <c r="S44" s="51">
        <f>'表6-现金流量表-资本金'!W29</f>
        <v>0</v>
      </c>
      <c r="T44" s="51">
        <f>'表6-现金流量表-资本金'!X29</f>
        <v>0</v>
      </c>
      <c r="U44" s="51">
        <f>'表6-现金流量表-资本金'!Y29</f>
        <v>0</v>
      </c>
      <c r="V44" s="51">
        <f>'表6-现金流量表-资本金'!Z29</f>
        <v>0</v>
      </c>
      <c r="W44" s="51">
        <f>'表6-现金流量表-资本金'!AA29</f>
        <v>0</v>
      </c>
      <c r="X44" s="51">
        <f>'表6-现金流量表-资本金'!AB29</f>
        <v>0</v>
      </c>
      <c r="Y44" s="51">
        <f>'表6-现金流量表-资本金'!AC29</f>
        <v>0</v>
      </c>
      <c r="Z44" s="51">
        <f>'表6-现金流量表-资本金'!AD29</f>
        <v>0</v>
      </c>
      <c r="AA44" s="51">
        <f>'表6-现金流量表-资本金'!AE29</f>
        <v>0</v>
      </c>
      <c r="AB44" s="51">
        <f>'表6-现金流量表-资本金'!AF29</f>
        <v>0</v>
      </c>
      <c r="AC44" s="51">
        <f>'表6-现金流量表-资本金'!AG29</f>
        <v>0</v>
      </c>
      <c r="AD44" s="51">
        <f>'表6-现金流量表-资本金'!AH29</f>
        <v>0</v>
      </c>
      <c r="AE44" s="51">
        <f>'表6-现金流量表-资本金'!AI29</f>
        <v>0</v>
      </c>
      <c r="AF44" s="51">
        <f>'表6-现金流量表-资本金'!AJ29</f>
        <v>0</v>
      </c>
      <c r="AG44" s="51">
        <f>'表6-现金流量表-资本金'!AK29</f>
        <v>0</v>
      </c>
      <c r="AH44" s="51">
        <f>'表6-现金流量表-资本金'!AL29</f>
        <v>0</v>
      </c>
      <c r="AI44" s="51">
        <f>'表6-现金流量表-资本金'!AM29</f>
        <v>0</v>
      </c>
      <c r="AJ44" s="51">
        <f>'表6-现金流量表-资本金'!AN29</f>
        <v>0</v>
      </c>
      <c r="AK44" s="51">
        <f>'表6-现金流量表-资本金'!AO29</f>
        <v>0</v>
      </c>
      <c r="AL44" s="51">
        <f>'表6-现金流量表-资本金'!AP29</f>
        <v>0</v>
      </c>
      <c r="AM44" s="51">
        <f>'表6-现金流量表-资本金'!AQ29</f>
        <v>0</v>
      </c>
      <c r="AN44" s="51">
        <f>'表6-现金流量表-资本金'!AR29</f>
        <v>0</v>
      </c>
      <c r="AO44" s="51">
        <f>'表6-现金流量表-资本金'!AS29</f>
        <v>0</v>
      </c>
      <c r="AP44" s="51">
        <f>'表6-现金流量表-资本金'!AT29</f>
        <v>0</v>
      </c>
      <c r="AQ44" s="51">
        <f>'表6-现金流量表-资本金'!AU29</f>
        <v>0</v>
      </c>
      <c r="AR44" s="51">
        <f>'表6-现金流量表-资本金'!AV29</f>
        <v>0</v>
      </c>
      <c r="AS44" s="51">
        <f>'表6-现金流量表-资本金'!AW29</f>
        <v>0</v>
      </c>
      <c r="AT44" s="51">
        <f>'表6-现金流量表-资本金'!AX29</f>
        <v>0</v>
      </c>
      <c r="AU44" s="51">
        <f>'表6-现金流量表-资本金'!AY29</f>
        <v>0</v>
      </c>
      <c r="AV44" s="51">
        <f>'表6-现金流量表-资本金'!AZ29</f>
        <v>0</v>
      </c>
      <c r="AW44" s="51">
        <f>'表6-现金流量表-资本金'!BA29</f>
        <v>0</v>
      </c>
      <c r="AX44" s="51">
        <f>'表6-现金流量表-资本金'!BB29</f>
        <v>0</v>
      </c>
      <c r="AY44" s="51">
        <f>'表6-现金流量表-资本金'!BC29</f>
        <v>0</v>
      </c>
      <c r="AZ44" s="51">
        <f>'表6-现金流量表-资本金'!BD29</f>
        <v>0</v>
      </c>
      <c r="BA44" s="53">
        <f>'表6-现金流量表-资本金'!BE29</f>
        <v>0</v>
      </c>
    </row>
    <row r="45" s="4" customFormat="1" ht="19.95" customHeight="1" spans="2:53">
      <c r="B45" s="48"/>
      <c r="C45" s="76" t="s">
        <v>1029</v>
      </c>
      <c r="D45" s="73">
        <f ca="1" t="shared" si="15"/>
        <v>1032945.68422466</v>
      </c>
      <c r="E45" s="50" t="s">
        <v>130</v>
      </c>
      <c r="F45" s="73">
        <f ca="1">SUM(F40:F44)</f>
        <v>95511.3167916022</v>
      </c>
      <c r="G45" s="73">
        <f ca="1" t="shared" ref="G45:Q45" si="16">SUM(G40:G44)</f>
        <v>95902.9358091799</v>
      </c>
      <c r="H45" s="73">
        <f ca="1" t="shared" si="16"/>
        <v>111527.372453866</v>
      </c>
      <c r="I45" s="73">
        <f ca="1" t="shared" si="16"/>
        <v>124982.577606385</v>
      </c>
      <c r="J45" s="73">
        <f ca="1" t="shared" si="16"/>
        <v>167811.542912955</v>
      </c>
      <c r="K45" s="73">
        <f ca="1" t="shared" si="16"/>
        <v>160422.325243849</v>
      </c>
      <c r="L45" s="73">
        <f ca="1" t="shared" si="16"/>
        <v>143340.106328929</v>
      </c>
      <c r="M45" s="73">
        <f ca="1" t="shared" si="16"/>
        <v>67447.5070778898</v>
      </c>
      <c r="N45" s="73">
        <f ca="1" t="shared" si="16"/>
        <v>0</v>
      </c>
      <c r="O45" s="73">
        <f ca="1" t="shared" si="16"/>
        <v>0</v>
      </c>
      <c r="P45" s="73">
        <f ca="1" t="shared" si="16"/>
        <v>0</v>
      </c>
      <c r="Q45" s="73">
        <f ca="1" t="shared" si="16"/>
        <v>0</v>
      </c>
      <c r="R45" s="73">
        <f ca="1" t="shared" ref="R45:AL45" si="17">SUM(R40:R44)</f>
        <v>0</v>
      </c>
      <c r="S45" s="73">
        <f ca="1" t="shared" si="17"/>
        <v>0</v>
      </c>
      <c r="T45" s="73">
        <f ca="1" t="shared" si="17"/>
        <v>0</v>
      </c>
      <c r="U45" s="73">
        <f ca="1" t="shared" si="17"/>
        <v>0</v>
      </c>
      <c r="V45" s="73">
        <f ca="1" t="shared" si="17"/>
        <v>0</v>
      </c>
      <c r="W45" s="73">
        <f ca="1" t="shared" si="17"/>
        <v>0</v>
      </c>
      <c r="X45" s="73">
        <f ca="1" t="shared" si="17"/>
        <v>1500</v>
      </c>
      <c r="Y45" s="73">
        <f ca="1" t="shared" si="17"/>
        <v>20000</v>
      </c>
      <c r="Z45" s="73">
        <f ca="1" t="shared" si="17"/>
        <v>0</v>
      </c>
      <c r="AA45" s="73">
        <f ca="1" t="shared" si="17"/>
        <v>0</v>
      </c>
      <c r="AB45" s="73">
        <f ca="1" t="shared" si="17"/>
        <v>0</v>
      </c>
      <c r="AC45" s="73">
        <f ca="1" t="shared" si="17"/>
        <v>0</v>
      </c>
      <c r="AD45" s="73">
        <f ca="1" t="shared" si="17"/>
        <v>0</v>
      </c>
      <c r="AE45" s="73">
        <f ca="1" t="shared" si="17"/>
        <v>0</v>
      </c>
      <c r="AF45" s="73">
        <f ca="1" t="shared" si="17"/>
        <v>1500</v>
      </c>
      <c r="AG45" s="73">
        <f ca="1" t="shared" si="17"/>
        <v>0</v>
      </c>
      <c r="AH45" s="73">
        <f ca="1" t="shared" si="17"/>
        <v>0</v>
      </c>
      <c r="AI45" s="73">
        <f ca="1" t="shared" si="17"/>
        <v>20000</v>
      </c>
      <c r="AJ45" s="73">
        <f ca="1" t="shared" si="17"/>
        <v>0</v>
      </c>
      <c r="AK45" s="73">
        <f ca="1" t="shared" si="17"/>
        <v>0</v>
      </c>
      <c r="AL45" s="73">
        <f ca="1" t="shared" si="17"/>
        <v>0</v>
      </c>
      <c r="AM45" s="73">
        <f ca="1" t="shared" ref="AM45:BA45" si="18">SUM(AM40:AM44)</f>
        <v>0</v>
      </c>
      <c r="AN45" s="73">
        <f ca="1" t="shared" si="18"/>
        <v>1500</v>
      </c>
      <c r="AO45" s="73">
        <f ca="1" t="shared" si="18"/>
        <v>0</v>
      </c>
      <c r="AP45" s="73">
        <f ca="1" t="shared" si="18"/>
        <v>0</v>
      </c>
      <c r="AQ45" s="73">
        <f ca="1" t="shared" si="18"/>
        <v>0</v>
      </c>
      <c r="AR45" s="73">
        <f ca="1" t="shared" si="18"/>
        <v>0</v>
      </c>
      <c r="AS45" s="73">
        <f ca="1" t="shared" si="18"/>
        <v>20000</v>
      </c>
      <c r="AT45" s="73">
        <f ca="1" t="shared" si="18"/>
        <v>0</v>
      </c>
      <c r="AU45" s="73">
        <f ca="1" t="shared" si="18"/>
        <v>0</v>
      </c>
      <c r="AV45" s="73">
        <f ca="1" t="shared" si="18"/>
        <v>1500</v>
      </c>
      <c r="AW45" s="73">
        <f ca="1" t="shared" si="18"/>
        <v>0</v>
      </c>
      <c r="AX45" s="73">
        <f ca="1" t="shared" si="18"/>
        <v>0</v>
      </c>
      <c r="AY45" s="73">
        <f ca="1" t="shared" si="18"/>
        <v>0</v>
      </c>
      <c r="AZ45" s="73">
        <f ca="1" t="shared" si="18"/>
        <v>0</v>
      </c>
      <c r="BA45" s="77">
        <f ca="1" t="shared" si="18"/>
        <v>0</v>
      </c>
    </row>
    <row r="46" s="4" customFormat="1" ht="19.95" customHeight="1" spans="2:53">
      <c r="B46" s="48"/>
      <c r="C46" s="76" t="s">
        <v>1030</v>
      </c>
      <c r="D46" s="73">
        <f ca="1" t="shared" si="15"/>
        <v>-987626.125262227</v>
      </c>
      <c r="E46" s="50" t="s">
        <v>130</v>
      </c>
      <c r="F46" s="73">
        <f ca="1">F39-F45</f>
        <v>-95511.3167916022</v>
      </c>
      <c r="G46" s="73">
        <f ca="1">G39-G45</f>
        <v>-95902.9358091799</v>
      </c>
      <c r="H46" s="73">
        <f ca="1" t="shared" ref="H46:R46" si="19">H39-H45</f>
        <v>-111527.372453866</v>
      </c>
      <c r="I46" s="73">
        <f ca="1" t="shared" si="19"/>
        <v>-124982.577606385</v>
      </c>
      <c r="J46" s="73">
        <f ca="1" t="shared" si="19"/>
        <v>-167811.542912955</v>
      </c>
      <c r="K46" s="73">
        <f ca="1" t="shared" si="19"/>
        <v>-160422.325243849</v>
      </c>
      <c r="L46" s="73">
        <f ca="1" t="shared" si="19"/>
        <v>-143340.106328929</v>
      </c>
      <c r="M46" s="73">
        <f ca="1" t="shared" si="19"/>
        <v>-67447.5070778898</v>
      </c>
      <c r="N46" s="73">
        <f ca="1" t="shared" si="19"/>
        <v>0</v>
      </c>
      <c r="O46" s="73">
        <f ca="1" t="shared" si="19"/>
        <v>0</v>
      </c>
      <c r="P46" s="73">
        <f ca="1" t="shared" si="19"/>
        <v>0</v>
      </c>
      <c r="Q46" s="73">
        <f ca="1" t="shared" si="19"/>
        <v>0</v>
      </c>
      <c r="R46" s="73">
        <f ca="1" t="shared" si="19"/>
        <v>0</v>
      </c>
      <c r="S46" s="73">
        <f ca="1" t="shared" ref="S46:AL46" si="20">S39-S45</f>
        <v>0</v>
      </c>
      <c r="T46" s="73">
        <f ca="1" t="shared" si="20"/>
        <v>0</v>
      </c>
      <c r="U46" s="73">
        <f ca="1" t="shared" si="20"/>
        <v>0</v>
      </c>
      <c r="V46" s="73">
        <f ca="1" t="shared" si="20"/>
        <v>0</v>
      </c>
      <c r="W46" s="73">
        <f ca="1" t="shared" si="20"/>
        <v>0</v>
      </c>
      <c r="X46" s="73">
        <f ca="1" t="shared" si="20"/>
        <v>-1500</v>
      </c>
      <c r="Y46" s="73">
        <f ca="1" t="shared" si="20"/>
        <v>-20000</v>
      </c>
      <c r="Z46" s="73">
        <f ca="1" t="shared" si="20"/>
        <v>0</v>
      </c>
      <c r="AA46" s="73">
        <f ca="1" t="shared" si="20"/>
        <v>0</v>
      </c>
      <c r="AB46" s="73">
        <f ca="1" t="shared" si="20"/>
        <v>0</v>
      </c>
      <c r="AC46" s="73">
        <f ca="1" t="shared" si="20"/>
        <v>0</v>
      </c>
      <c r="AD46" s="73">
        <f ca="1" t="shared" si="20"/>
        <v>0</v>
      </c>
      <c r="AE46" s="73">
        <f ca="1" t="shared" si="20"/>
        <v>0</v>
      </c>
      <c r="AF46" s="73">
        <f ca="1" t="shared" si="20"/>
        <v>-1500</v>
      </c>
      <c r="AG46" s="73">
        <f ca="1" t="shared" si="20"/>
        <v>0</v>
      </c>
      <c r="AH46" s="73">
        <f ca="1" t="shared" si="20"/>
        <v>0</v>
      </c>
      <c r="AI46" s="73">
        <f ca="1" t="shared" si="20"/>
        <v>-20000</v>
      </c>
      <c r="AJ46" s="73">
        <f ca="1" t="shared" si="20"/>
        <v>0</v>
      </c>
      <c r="AK46" s="73">
        <f ca="1" t="shared" si="20"/>
        <v>0</v>
      </c>
      <c r="AL46" s="73">
        <f ca="1" t="shared" si="20"/>
        <v>0</v>
      </c>
      <c r="AM46" s="73">
        <f ca="1" t="shared" ref="AM46:BA46" si="21">AM39-AM45</f>
        <v>0</v>
      </c>
      <c r="AN46" s="73">
        <f ca="1" t="shared" si="21"/>
        <v>-1500</v>
      </c>
      <c r="AO46" s="73">
        <f ca="1" t="shared" si="21"/>
        <v>0</v>
      </c>
      <c r="AP46" s="73">
        <f ca="1" t="shared" si="21"/>
        <v>0</v>
      </c>
      <c r="AQ46" s="73">
        <f ca="1" t="shared" si="21"/>
        <v>0</v>
      </c>
      <c r="AR46" s="73">
        <f ca="1" t="shared" si="21"/>
        <v>0</v>
      </c>
      <c r="AS46" s="73">
        <f ca="1" t="shared" si="21"/>
        <v>-20000</v>
      </c>
      <c r="AT46" s="73">
        <f ca="1" t="shared" si="21"/>
        <v>0</v>
      </c>
      <c r="AU46" s="73">
        <f ca="1" t="shared" si="21"/>
        <v>0</v>
      </c>
      <c r="AV46" s="73">
        <f ca="1" t="shared" si="21"/>
        <v>-1500</v>
      </c>
      <c r="AW46" s="73">
        <f ca="1" t="shared" si="21"/>
        <v>0</v>
      </c>
      <c r="AX46" s="73">
        <f ca="1" t="shared" si="21"/>
        <v>0</v>
      </c>
      <c r="AY46" s="73">
        <f ca="1" t="shared" si="21"/>
        <v>0</v>
      </c>
      <c r="AZ46" s="73">
        <f ca="1" t="shared" si="21"/>
        <v>0</v>
      </c>
      <c r="BA46" s="77">
        <f ca="1" t="shared" si="21"/>
        <v>45319.5589624292</v>
      </c>
    </row>
    <row r="47" s="4" customFormat="1" ht="19.95" customHeight="1" spans="2:53">
      <c r="B47" s="71" t="s">
        <v>864</v>
      </c>
      <c r="C47" s="72" t="s">
        <v>1031</v>
      </c>
      <c r="D47" s="73"/>
      <c r="E47" s="50"/>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3"/>
    </row>
    <row r="48" s="4" customFormat="1" ht="19.95" customHeight="1" spans="2:53">
      <c r="B48" s="48"/>
      <c r="C48" s="74" t="s">
        <v>1032</v>
      </c>
      <c r="D48" s="51">
        <f ca="1" t="shared" ref="D48:D53" si="22">SUM(F48:BA48)</f>
        <v>243667.247063362</v>
      </c>
      <c r="E48" s="50" t="s">
        <v>130</v>
      </c>
      <c r="F48" s="51">
        <f ca="1">'表1-资金筹措及还本付息表'!F37+'表1-资金筹措及还本付息表'!G37</f>
        <v>23877.8291979006</v>
      </c>
      <c r="G48" s="51">
        <f ca="1">'表1-资金筹措及还本付息表'!H37</f>
        <v>23975.733952295</v>
      </c>
      <c r="H48" s="51">
        <f ca="1">'表1-资金筹措及还本付息表'!I37</f>
        <v>27881.8431134666</v>
      </c>
      <c r="I48" s="51">
        <f ca="1">'表1-资金筹措及还本付息表'!J37</f>
        <v>31245.6444015962</v>
      </c>
      <c r="J48" s="51">
        <f ca="1">'表1-资金筹措及还本付息表'!K37</f>
        <v>41952.8857282388</v>
      </c>
      <c r="K48" s="51">
        <f ca="1">'表1-资金筹措及还本付息表'!L37</f>
        <v>40105.5813109623</v>
      </c>
      <c r="L48" s="51">
        <f ca="1">'表1-资金筹措及还本付息表'!M37+'表1-资金筹措及还本付息表'!N37</f>
        <v>35835.0265822323</v>
      </c>
      <c r="M48" s="51">
        <f ca="1">'表1-资金筹措及还本付息表'!O37+'表1-资金筹措及还本付息表'!P37+'表1-资金筹措及还本付息表'!Q37</f>
        <v>18792.7027766704</v>
      </c>
      <c r="N48" s="51">
        <f ca="1">'表1-资金筹措及还本付息表'!R37</f>
        <v>0</v>
      </c>
      <c r="O48" s="51">
        <f ca="1">'表1-资金筹措及还本付息表'!S37</f>
        <v>0</v>
      </c>
      <c r="P48" s="51">
        <f ca="1">'表1-资金筹措及还本付息表'!T37</f>
        <v>0</v>
      </c>
      <c r="Q48" s="51">
        <f ca="1">'表1-资金筹措及还本付息表'!U37</f>
        <v>0</v>
      </c>
      <c r="R48" s="51">
        <f ca="1">'表1-资金筹措及还本付息表'!V37</f>
        <v>0</v>
      </c>
      <c r="S48" s="51">
        <f ca="1">'表1-资金筹措及还本付息表'!W37</f>
        <v>0</v>
      </c>
      <c r="T48" s="51">
        <f ca="1">'表1-资金筹措及还本付息表'!X37</f>
        <v>0</v>
      </c>
      <c r="U48" s="51">
        <f ca="1">'表1-资金筹措及还本付息表'!Y37</f>
        <v>0</v>
      </c>
      <c r="V48" s="51">
        <f ca="1">'表1-资金筹措及还本付息表'!Z37</f>
        <v>0</v>
      </c>
      <c r="W48" s="51">
        <f ca="1">'表1-资金筹措及还本付息表'!AA37</f>
        <v>0</v>
      </c>
      <c r="X48" s="51">
        <f ca="1">'表1-资金筹措及还本付息表'!AB37</f>
        <v>0</v>
      </c>
      <c r="Y48" s="51">
        <f ca="1">'表1-资金筹措及还本付息表'!AC37</f>
        <v>0</v>
      </c>
      <c r="Z48" s="51">
        <f ca="1">'表1-资金筹措及还本付息表'!AD37</f>
        <v>0</v>
      </c>
      <c r="AA48" s="51">
        <f ca="1">'表1-资金筹措及还本付息表'!AE37</f>
        <v>0</v>
      </c>
      <c r="AB48" s="51">
        <f ca="1">'表1-资金筹措及还本付息表'!AF37</f>
        <v>0</v>
      </c>
      <c r="AC48" s="51">
        <f ca="1">'表1-资金筹措及还本付息表'!AG37</f>
        <v>0</v>
      </c>
      <c r="AD48" s="51">
        <f ca="1">'表1-资金筹措及还本付息表'!AH37</f>
        <v>0</v>
      </c>
      <c r="AE48" s="51">
        <f ca="1">'表1-资金筹措及还本付息表'!AI37</f>
        <v>0</v>
      </c>
      <c r="AF48" s="51">
        <f ca="1">'表1-资金筹措及还本付息表'!AJ37</f>
        <v>0</v>
      </c>
      <c r="AG48" s="51">
        <f ca="1">'表1-资金筹措及还本付息表'!AK37</f>
        <v>0</v>
      </c>
      <c r="AH48" s="51">
        <f ca="1">'表1-资金筹措及还本付息表'!AL37</f>
        <v>0</v>
      </c>
      <c r="AI48" s="51">
        <f ca="1">'表1-资金筹措及还本付息表'!AM37</f>
        <v>0</v>
      </c>
      <c r="AJ48" s="51">
        <f ca="1">'表1-资金筹措及还本付息表'!AN37</f>
        <v>0</v>
      </c>
      <c r="AK48" s="51">
        <f ca="1">'表1-资金筹措及还本付息表'!AO37</f>
        <v>0</v>
      </c>
      <c r="AL48" s="51">
        <f ca="1">'表1-资金筹措及还本付息表'!AP37</f>
        <v>0</v>
      </c>
      <c r="AM48" s="51">
        <f ca="1">'表1-资金筹措及还本付息表'!AQ37</f>
        <v>0</v>
      </c>
      <c r="AN48" s="51">
        <f ca="1">'表1-资金筹措及还本付息表'!AR37</f>
        <v>0</v>
      </c>
      <c r="AO48" s="51">
        <f ca="1">'表1-资金筹措及还本付息表'!AS37</f>
        <v>0</v>
      </c>
      <c r="AP48" s="51">
        <f ca="1">'表1-资金筹措及还本付息表'!AT37</f>
        <v>0</v>
      </c>
      <c r="AQ48" s="51">
        <f ca="1">'表1-资金筹措及还本付息表'!AU37</f>
        <v>0</v>
      </c>
      <c r="AR48" s="51">
        <f ca="1">'表1-资金筹措及还本付息表'!AV37</f>
        <v>0</v>
      </c>
      <c r="AS48" s="51">
        <f ca="1">'表1-资金筹措及还本付息表'!AW37</f>
        <v>0</v>
      </c>
      <c r="AT48" s="51">
        <f ca="1">'表1-资金筹措及还本付息表'!AX37</f>
        <v>0</v>
      </c>
      <c r="AU48" s="51">
        <f ca="1">'表1-资金筹措及还本付息表'!AY37</f>
        <v>0</v>
      </c>
      <c r="AV48" s="51">
        <f ca="1">'表1-资金筹措及还本付息表'!AZ37</f>
        <v>0</v>
      </c>
      <c r="AW48" s="51">
        <f ca="1">'表1-资金筹措及还本付息表'!BA37</f>
        <v>0</v>
      </c>
      <c r="AX48" s="51">
        <f ca="1">'表1-资金筹措及还本付息表'!BB37</f>
        <v>0</v>
      </c>
      <c r="AY48" s="51">
        <f ca="1">'表1-资金筹措及还本付息表'!BC37</f>
        <v>0</v>
      </c>
      <c r="AZ48" s="51">
        <f ca="1">'表1-资金筹措及还本付息表'!BD37</f>
        <v>0</v>
      </c>
      <c r="BA48" s="53">
        <f ca="1">'表1-资金筹措及还本付息表'!BE37</f>
        <v>0</v>
      </c>
    </row>
    <row r="49" s="4" customFormat="1" ht="19.95" customHeight="1" spans="2:53">
      <c r="B49" s="48"/>
      <c r="C49" s="86" t="s">
        <v>1033</v>
      </c>
      <c r="D49" s="51">
        <f t="shared" si="22"/>
        <v>0</v>
      </c>
      <c r="E49" s="50" t="s">
        <v>130</v>
      </c>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3"/>
    </row>
    <row r="50" s="4" customFormat="1" ht="19.95" customHeight="1" spans="2:53">
      <c r="B50" s="48"/>
      <c r="C50" s="74" t="s">
        <v>1034</v>
      </c>
      <c r="D50" s="51">
        <f ca="1" t="shared" si="22"/>
        <v>2597312.22972162</v>
      </c>
      <c r="E50" s="50" t="s">
        <v>130</v>
      </c>
      <c r="F50" s="51">
        <f ca="1">'表1-资金筹措及还本付息表'!F294+'表1-资金筹措及还本付息表'!G294</f>
        <v>71633.4875937017</v>
      </c>
      <c r="G50" s="51">
        <f ca="1">'表1-资金筹措及还本付息表'!H294</f>
        <v>71927.2018568849</v>
      </c>
      <c r="H50" s="51">
        <f ca="1">'表1-资金筹措及还本付息表'!I294</f>
        <v>83645.5293403997</v>
      </c>
      <c r="I50" s="51">
        <f ca="1">'表1-资金筹措及还本付息表'!J294</f>
        <v>93736.9332047887</v>
      </c>
      <c r="J50" s="51">
        <f ca="1">'表1-资金筹措及还本付息表'!K294</f>
        <v>125858.657184717</v>
      </c>
      <c r="K50" s="51">
        <f ca="1">'表1-资金筹措及还本付息表'!L294</f>
        <v>120316.743932887</v>
      </c>
      <c r="L50" s="51">
        <f ca="1">'表1-资金筹措及还本付息表'!M294+'表1-资金筹措及还本付息表'!N294</f>
        <v>107505.079746697</v>
      </c>
      <c r="M50" s="51">
        <f ca="1">'表1-资金筹措及还本付息表'!O294+'表1-资金筹措及还本付息表'!P294+'表1-资金筹措及还本付息表'!Q294</f>
        <v>58273.7092048179</v>
      </c>
      <c r="N50" s="51">
        <f ca="1">'表1-资金筹措及还本付息表'!R294</f>
        <v>27429.1662357059</v>
      </c>
      <c r="O50" s="51">
        <f ca="1">'表1-资金筹措及还本付息表'!S294</f>
        <v>29415.0506783122</v>
      </c>
      <c r="P50" s="51">
        <f ca="1">'表1-资金筹措及还本付息表'!T294</f>
        <v>32660.6358712653</v>
      </c>
      <c r="Q50" s="51">
        <f ca="1">'表1-资金筹措及还本付息表'!U294</f>
        <v>31627.037889113</v>
      </c>
      <c r="R50" s="51">
        <f ca="1">'表1-资金筹措及还本付息表'!V294</f>
        <v>35708.6894526235</v>
      </c>
      <c r="S50" s="51">
        <f ca="1">'表1-资金筹措及还本付息表'!W294</f>
        <v>44428.714898108</v>
      </c>
      <c r="T50" s="51">
        <f ca="1">'表1-资金筹措及还本付息表'!X294</f>
        <v>60608.0240897013</v>
      </c>
      <c r="U50" s="51">
        <f ca="1">'表1-资金筹措及还本付息表'!Y294</f>
        <v>76516.2775010761</v>
      </c>
      <c r="V50" s="51">
        <f ca="1">'表1-资金筹措及还本付息表'!Z294</f>
        <v>92284.3992157401</v>
      </c>
      <c r="W50" s="51">
        <f ca="1">'表1-资金筹措及还本付息表'!AA294</f>
        <v>107963.616296999</v>
      </c>
      <c r="X50" s="51">
        <f ca="1">'表1-资金筹措及还本付息表'!AB294</f>
        <v>124938.820778828</v>
      </c>
      <c r="Y50" s="51">
        <f ca="1">'表1-资金筹措及还本付息表'!AC294</f>
        <v>157099.631529802</v>
      </c>
      <c r="Z50" s="51">
        <f ca="1">'表1-资金筹措及还本付息表'!AD294</f>
        <v>170974.144282481</v>
      </c>
      <c r="AA50" s="51">
        <f ca="1">'表1-资金筹措及还本付息表'!AE294</f>
        <v>184565.755890073</v>
      </c>
      <c r="AB50" s="51">
        <f ca="1">'表1-资金筹措及还本付息表'!AF294</f>
        <v>185786.347010846</v>
      </c>
      <c r="AC50" s="51">
        <f ca="1">'表1-资金筹措及还本付息表'!AG294</f>
        <v>150900.363734209</v>
      </c>
      <c r="AD50" s="51">
        <f ca="1">'表1-资金筹措及还本付息表'!AH294</f>
        <v>115201.388893535</v>
      </c>
      <c r="AE50" s="51">
        <f ca="1">'表1-资金筹措及还本付息表'!AI294</f>
        <v>80508.138788182</v>
      </c>
      <c r="AF50" s="51">
        <f ca="1">'表1-资金筹措及还本付息表'!AJ294</f>
        <v>48995.3860303238</v>
      </c>
      <c r="AG50" s="51">
        <f ca="1">'表1-资金筹措及还本付息表'!AK294</f>
        <v>16698.0849205678</v>
      </c>
      <c r="AH50" s="51">
        <f ca="1">'表1-资金筹措及还本付息表'!AL294</f>
        <v>4505.2606834619</v>
      </c>
      <c r="AI50" s="51">
        <f ca="1">'表1-资金筹措及还本付息表'!AM294</f>
        <v>4505.2606834619</v>
      </c>
      <c r="AJ50" s="51">
        <f ca="1">'表1-资金筹措及还本付息表'!AN294</f>
        <v>4505.2606834619</v>
      </c>
      <c r="AK50" s="51">
        <f ca="1">'表1-资金筹措及还本付息表'!AO294</f>
        <v>4505.2606834619</v>
      </c>
      <c r="AL50" s="51">
        <f ca="1">'表1-资金筹措及还本付息表'!AP294</f>
        <v>4505.2606834619</v>
      </c>
      <c r="AM50" s="51">
        <f ca="1">'表1-资金筹措及还本付息表'!AQ294</f>
        <v>4505.2606834619</v>
      </c>
      <c r="AN50" s="51">
        <f ca="1">'表1-资金筹措及还本付息表'!AR294</f>
        <v>4505.2606834619</v>
      </c>
      <c r="AO50" s="51">
        <f ca="1">'表1-资金筹措及还本付息表'!AS294</f>
        <v>4505.2606834619</v>
      </c>
      <c r="AP50" s="51">
        <f ca="1">'表1-资金筹措及还本付息表'!AT294</f>
        <v>4505.2606834619</v>
      </c>
      <c r="AQ50" s="51">
        <f ca="1">'表1-资金筹措及还本付息表'!AU294</f>
        <v>4505.2606834619</v>
      </c>
      <c r="AR50" s="51">
        <f ca="1">'表1-资金筹措及还本付息表'!AV294</f>
        <v>4505.2606834619</v>
      </c>
      <c r="AS50" s="51">
        <f ca="1">'表1-资金筹措及还本付息表'!AW294</f>
        <v>4505.2606834619</v>
      </c>
      <c r="AT50" s="51">
        <f ca="1">'表1-资金筹措及还本付息表'!AX294</f>
        <v>4505.2606834619</v>
      </c>
      <c r="AU50" s="51">
        <f ca="1">'表1-资金筹措及还本付息表'!AY294</f>
        <v>4505.2606834619</v>
      </c>
      <c r="AV50" s="51">
        <f ca="1">'表1-资金筹措及还本付息表'!AZ294</f>
        <v>4505.2606834619</v>
      </c>
      <c r="AW50" s="51">
        <f ca="1">'表1-资金筹措及还本付息表'!BA294</f>
        <v>4505.2606834619</v>
      </c>
      <c r="AX50" s="51">
        <f ca="1">'表1-资金筹措及还本付息表'!BB294</f>
        <v>4505.2606834619</v>
      </c>
      <c r="AY50" s="51">
        <f ca="1">'表1-资金筹措及还本付息表'!BC294</f>
        <v>4505.2606834619</v>
      </c>
      <c r="AZ50" s="51">
        <f ca="1">'表1-资金筹措及还本付息表'!BD294</f>
        <v>4505.2606834619</v>
      </c>
      <c r="BA50" s="53">
        <f ca="1">'表1-资金筹措及还本付息表'!BE294</f>
        <v>4505.2606834619</v>
      </c>
    </row>
    <row r="51" s="4" customFormat="1" ht="19.95" customHeight="1" spans="2:53">
      <c r="B51" s="48"/>
      <c r="C51" s="74" t="s">
        <v>1035</v>
      </c>
      <c r="D51" s="51">
        <f t="shared" si="22"/>
        <v>0</v>
      </c>
      <c r="E51" s="50" t="s">
        <v>130</v>
      </c>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3"/>
    </row>
    <row r="52" s="4" customFormat="1" ht="19.95" customHeight="1" spans="2:53">
      <c r="B52" s="48"/>
      <c r="C52" s="76" t="s">
        <v>1036</v>
      </c>
      <c r="D52" s="73">
        <f ca="1" t="shared" si="22"/>
        <v>2840979.47678499</v>
      </c>
      <c r="E52" s="50" t="s">
        <v>130</v>
      </c>
      <c r="F52" s="73">
        <f ca="1">F48+F50+F51</f>
        <v>95511.3167916022</v>
      </c>
      <c r="G52" s="73">
        <f ca="1" t="shared" ref="G52:S52" si="23">G48+G50+G51</f>
        <v>95902.9358091799</v>
      </c>
      <c r="H52" s="73">
        <f ca="1" t="shared" si="23"/>
        <v>111527.372453866</v>
      </c>
      <c r="I52" s="73">
        <f ca="1" t="shared" si="23"/>
        <v>124982.577606385</v>
      </c>
      <c r="J52" s="73">
        <f ca="1" t="shared" si="23"/>
        <v>167811.542912955</v>
      </c>
      <c r="K52" s="73">
        <f ca="1" t="shared" si="23"/>
        <v>160422.325243849</v>
      </c>
      <c r="L52" s="73">
        <f ca="1" t="shared" si="23"/>
        <v>143340.106328929</v>
      </c>
      <c r="M52" s="73">
        <f ca="1" t="shared" si="23"/>
        <v>77066.4119814883</v>
      </c>
      <c r="N52" s="73">
        <f ca="1" t="shared" si="23"/>
        <v>27429.1662357059</v>
      </c>
      <c r="O52" s="73">
        <f ca="1" t="shared" si="23"/>
        <v>29415.0506783122</v>
      </c>
      <c r="P52" s="73">
        <f ca="1" t="shared" si="23"/>
        <v>32660.6358712653</v>
      </c>
      <c r="Q52" s="73">
        <f ca="1" t="shared" si="23"/>
        <v>31627.037889113</v>
      </c>
      <c r="R52" s="73">
        <f ca="1" t="shared" si="23"/>
        <v>35708.6894526235</v>
      </c>
      <c r="S52" s="73">
        <f ca="1" t="shared" si="23"/>
        <v>44428.714898108</v>
      </c>
      <c r="T52" s="73">
        <f ca="1" t="shared" ref="T52:AL52" si="24">T48+T50+T51</f>
        <v>60608.0240897013</v>
      </c>
      <c r="U52" s="73">
        <f ca="1" t="shared" si="24"/>
        <v>76516.2775010761</v>
      </c>
      <c r="V52" s="73">
        <f ca="1" t="shared" si="24"/>
        <v>92284.3992157401</v>
      </c>
      <c r="W52" s="73">
        <f ca="1" t="shared" si="24"/>
        <v>107963.616296999</v>
      </c>
      <c r="X52" s="73">
        <f ca="1" t="shared" si="24"/>
        <v>124938.820778828</v>
      </c>
      <c r="Y52" s="73">
        <f ca="1" t="shared" si="24"/>
        <v>157099.631529802</v>
      </c>
      <c r="Z52" s="73">
        <f ca="1" t="shared" si="24"/>
        <v>170974.144282481</v>
      </c>
      <c r="AA52" s="73">
        <f ca="1" t="shared" si="24"/>
        <v>184565.755890073</v>
      </c>
      <c r="AB52" s="73">
        <f ca="1" t="shared" si="24"/>
        <v>185786.347010846</v>
      </c>
      <c r="AC52" s="73">
        <f ca="1" t="shared" si="24"/>
        <v>150900.363734209</v>
      </c>
      <c r="AD52" s="73">
        <f ca="1" t="shared" si="24"/>
        <v>115201.388893535</v>
      </c>
      <c r="AE52" s="73">
        <f ca="1" t="shared" si="24"/>
        <v>80508.138788182</v>
      </c>
      <c r="AF52" s="73">
        <f ca="1" t="shared" si="24"/>
        <v>48995.3860303238</v>
      </c>
      <c r="AG52" s="73">
        <f ca="1" t="shared" si="24"/>
        <v>16698.0849205678</v>
      </c>
      <c r="AH52" s="73">
        <f ca="1" t="shared" si="24"/>
        <v>4505.2606834619</v>
      </c>
      <c r="AI52" s="73">
        <f ca="1" t="shared" si="24"/>
        <v>4505.2606834619</v>
      </c>
      <c r="AJ52" s="73">
        <f ca="1" t="shared" si="24"/>
        <v>4505.2606834619</v>
      </c>
      <c r="AK52" s="73">
        <f ca="1" t="shared" si="24"/>
        <v>4505.2606834619</v>
      </c>
      <c r="AL52" s="73">
        <f ca="1" t="shared" si="24"/>
        <v>4505.2606834619</v>
      </c>
      <c r="AM52" s="73">
        <f ca="1" t="shared" ref="AM52:BA52" si="25">AM48+AM50+AM51</f>
        <v>4505.2606834619</v>
      </c>
      <c r="AN52" s="73">
        <f ca="1" t="shared" si="25"/>
        <v>4505.2606834619</v>
      </c>
      <c r="AO52" s="73">
        <f ca="1" t="shared" si="25"/>
        <v>4505.2606834619</v>
      </c>
      <c r="AP52" s="73">
        <f ca="1" t="shared" si="25"/>
        <v>4505.2606834619</v>
      </c>
      <c r="AQ52" s="73">
        <f ca="1" t="shared" si="25"/>
        <v>4505.2606834619</v>
      </c>
      <c r="AR52" s="73">
        <f ca="1" t="shared" si="25"/>
        <v>4505.2606834619</v>
      </c>
      <c r="AS52" s="73">
        <f ca="1" t="shared" si="25"/>
        <v>4505.2606834619</v>
      </c>
      <c r="AT52" s="73">
        <f ca="1" t="shared" si="25"/>
        <v>4505.2606834619</v>
      </c>
      <c r="AU52" s="73">
        <f ca="1" t="shared" si="25"/>
        <v>4505.2606834619</v>
      </c>
      <c r="AV52" s="73">
        <f ca="1" t="shared" si="25"/>
        <v>4505.2606834619</v>
      </c>
      <c r="AW52" s="73">
        <f ca="1" t="shared" si="25"/>
        <v>4505.2606834619</v>
      </c>
      <c r="AX52" s="73">
        <f ca="1" t="shared" si="25"/>
        <v>4505.2606834619</v>
      </c>
      <c r="AY52" s="73">
        <f ca="1" t="shared" si="25"/>
        <v>4505.2606834619</v>
      </c>
      <c r="AZ52" s="73">
        <f ca="1" t="shared" si="25"/>
        <v>4505.2606834619</v>
      </c>
      <c r="BA52" s="77">
        <f ca="1" t="shared" si="25"/>
        <v>4505.2606834619</v>
      </c>
    </row>
    <row r="53" s="4" customFormat="1" ht="19.95" customHeight="1" spans="2:53">
      <c r="B53" s="48"/>
      <c r="C53" s="74" t="s">
        <v>1037</v>
      </c>
      <c r="D53" s="51">
        <f ca="1" t="shared" si="22"/>
        <v>2967994.88484869</v>
      </c>
      <c r="E53" s="50" t="s">
        <v>130</v>
      </c>
      <c r="F53" s="51">
        <f ca="1">'表1-资金筹措及还本付息表'!F296+'表1-资金筹措及还本付息表'!F297+'表1-资金筹措及还本付息表'!G296+'表1-资金筹措及还本付息表'!G297</f>
        <v>0</v>
      </c>
      <c r="G53" s="51">
        <f ca="1">'表1-资金筹措及还本付息表'!H296+'表1-资金筹措及还本付息表'!H297</f>
        <v>0</v>
      </c>
      <c r="H53" s="51">
        <f ca="1">'表1-资金筹措及还本付息表'!I296+'表1-资金筹措及还本付息表'!I297</f>
        <v>0</v>
      </c>
      <c r="I53" s="51">
        <f ca="1">'表1-资金筹措及还本付息表'!J296+'表1-资金筹措及还本付息表'!J297</f>
        <v>0</v>
      </c>
      <c r="J53" s="51">
        <f ca="1">'表1-资金筹措及还本付息表'!K296+'表1-资金筹措及还本付息表'!K297</f>
        <v>0</v>
      </c>
      <c r="K53" s="51">
        <f ca="1">'表1-资金筹措及还本付息表'!L296+'表1-资金筹措及还本付息表'!L297</f>
        <v>0</v>
      </c>
      <c r="L53" s="51">
        <f ca="1">'表1-资金筹措及还本付息表'!M296+'表1-资金筹措及还本付息表'!M297+'表1-资金筹措及还本付息表'!N296+'表1-资金筹措及还本付息表'!N297</f>
        <v>0</v>
      </c>
      <c r="M53" s="51">
        <f ca="1">'表1-资金筹措及还本付息表'!O296+'表1-资金筹措及还本付息表'!O297+'表1-资金筹措及还本付息表'!P296+'表1-资金筹措及还本付息表'!P297+'表1-资金筹措及还本付息表'!Q296+'表1-资金筹措及还本付息表'!Q297</f>
        <v>27267.3627214038</v>
      </c>
      <c r="N53" s="51">
        <f ca="1">'表1-资金筹措及还本付息表'!R296+'表1-资金筹措及还本付息表'!R297</f>
        <v>87037.3655930772</v>
      </c>
      <c r="O53" s="51">
        <f ca="1">'表1-资金筹措及还本付息表'!S296+'表1-资金筹措及还本付息表'!S297</f>
        <v>105492.554181339</v>
      </c>
      <c r="P53" s="51">
        <f ca="1">'表1-资金筹措及还本付息表'!T296+'表1-资金筹措及还本付息表'!T297</f>
        <v>105816.704044561</v>
      </c>
      <c r="Q53" s="51">
        <f ca="1">'表1-资金筹措及还本付息表'!U296+'表1-资金筹措及还本付息表'!U297</f>
        <v>102454.796674625</v>
      </c>
      <c r="R53" s="51">
        <f ca="1">'表1-资金筹措及还本付息表'!V296+'表1-资金筹措及还本付息表'!V297</f>
        <v>104611.956927109</v>
      </c>
      <c r="S53" s="51">
        <f ca="1">'表1-资金筹措及还本付息表'!W296+'表1-资金筹措及还本付息表'!W297</f>
        <v>107057.873980365</v>
      </c>
      <c r="T53" s="51">
        <f ca="1">'表1-资金筹措及还本付息表'!X296+'表1-资金筹措及还本付息表'!X297</f>
        <v>114583.72941902</v>
      </c>
      <c r="U53" s="51">
        <f ca="1">'表1-资金筹措及还本付息表'!Y296+'表1-资金筹措及还本付息表'!Y297</f>
        <v>129831.238924538</v>
      </c>
      <c r="V53" s="51">
        <f ca="1">'表1-资金筹措及还本付息表'!Z296+'表1-资金筹措及还本付息表'!Z297</f>
        <v>144792.684306931</v>
      </c>
      <c r="W53" s="51">
        <f ca="1">'表1-资金筹措及还本付息表'!AA296+'表1-资金筹措及还本付息表'!AA297</f>
        <v>159605.638166563</v>
      </c>
      <c r="X53" s="51">
        <f ca="1">'表1-资金筹措及还本付息表'!AB296+'表1-资金筹措及还本付息表'!AB297</f>
        <v>174061.245913791</v>
      </c>
      <c r="Y53" s="51">
        <f ca="1">'表1-资金筹措及还本付息表'!AC296+'表1-资金筹措及还本付息表'!AC297</f>
        <v>190432.466105534</v>
      </c>
      <c r="Z53" s="51">
        <f ca="1">'表1-资金筹措及还本付息表'!AD296+'表1-资金筹措及还本付息表'!AD297</f>
        <v>222194.632943309</v>
      </c>
      <c r="AA53" s="51">
        <f ca="1">'表1-资金筹措及还本付息表'!AE296+'表1-资金筹措及还本付息表'!AE297</f>
        <v>234992.726014055</v>
      </c>
      <c r="AB53" s="51">
        <f ca="1">'表1-资金筹措及还本付息表'!AF296+'表1-资金筹措及还本付息表'!AF297</f>
        <v>234959.228747341</v>
      </c>
      <c r="AC53" s="51">
        <f ca="1">'表1-资金筹措及还本付息表'!AG296+'表1-资金筹措及还本付息表'!AG297</f>
        <v>197910.969938094</v>
      </c>
      <c r="AD53" s="51">
        <f ca="1">'表1-资金筹措及还本付息表'!AH296+'表1-资金筹措及还本付息表'!AH297</f>
        <v>160448.635690175</v>
      </c>
      <c r="AE53" s="51">
        <f ca="1">'表1-资金筹措及还本付息表'!AI296+'表1-资金筹措及还本付息表'!AI297</f>
        <v>122180.344638972</v>
      </c>
      <c r="AF53" s="51">
        <f ca="1">'表1-资金筹措及还本付息表'!AJ296+'表1-资金筹措及还本付息表'!AJ297</f>
        <v>85070.5754291111</v>
      </c>
      <c r="AG53" s="51">
        <f ca="1">'表1-资金筹措及还本付息表'!AK296+'表1-资金筹措及还本付息表'!AK297</f>
        <v>51228.755705085</v>
      </c>
      <c r="AH53" s="51">
        <f ca="1">'表1-资金筹措及还本付息表'!AL296+'表1-资金筹措及还本付息表'!AL297</f>
        <v>17307.5650201685</v>
      </c>
      <c r="AI53" s="51">
        <f ca="1">'表1-资金筹措及还本付息表'!AM296+'表1-资金筹措及还本付息表'!AM297</f>
        <v>4669.70269840826</v>
      </c>
      <c r="AJ53" s="51">
        <f ca="1">'表1-资金筹措及还本付息表'!AN296+'表1-资金筹措及还本付息表'!AN297</f>
        <v>4669.70269840826</v>
      </c>
      <c r="AK53" s="51">
        <f ca="1">'表1-资金筹措及还本付息表'!AO296+'表1-资金筹措及还本付息表'!AO297</f>
        <v>4669.70269840826</v>
      </c>
      <c r="AL53" s="51">
        <f ca="1">'表1-资金筹措及还本付息表'!AP296+'表1-资金筹措及还本付息表'!AP297</f>
        <v>4669.70269840826</v>
      </c>
      <c r="AM53" s="51">
        <f ca="1">'表1-资金筹措及还本付息表'!AQ296+'表1-资金筹措及还本付息表'!AQ297</f>
        <v>4669.70269840826</v>
      </c>
      <c r="AN53" s="51">
        <f ca="1">'表1-资金筹措及还本付息表'!AR296+'表1-资金筹措及还本付息表'!AR297</f>
        <v>4669.70269840826</v>
      </c>
      <c r="AO53" s="51">
        <f ca="1">'表1-资金筹措及还本付息表'!AS296+'表1-资金筹措及还本付息表'!AS297</f>
        <v>4669.70269840826</v>
      </c>
      <c r="AP53" s="51">
        <f ca="1">'表1-资金筹措及还本付息表'!AT296+'表1-资金筹措及还本付息表'!AT297</f>
        <v>4669.70269840826</v>
      </c>
      <c r="AQ53" s="51">
        <f ca="1">'表1-资金筹措及还本付息表'!AU296+'表1-资金筹措及还本付息表'!AU297</f>
        <v>4669.70269840826</v>
      </c>
      <c r="AR53" s="51">
        <f ca="1">'表1-资金筹措及还本付息表'!AV296+'表1-资金筹措及还本付息表'!AV297</f>
        <v>4669.70269840826</v>
      </c>
      <c r="AS53" s="51">
        <f ca="1">'表1-资金筹措及还本付息表'!AW296+'表1-资金筹措及还本付息表'!AW297</f>
        <v>4669.70269840826</v>
      </c>
      <c r="AT53" s="51">
        <f ca="1">'表1-资金筹措及还本付息表'!AX296+'表1-资金筹措及还本付息表'!AX297</f>
        <v>4669.70269840826</v>
      </c>
      <c r="AU53" s="51">
        <f ca="1">'表1-资金筹措及还本付息表'!AY296+'表1-资金筹措及还本付息表'!AY297</f>
        <v>4669.70269840826</v>
      </c>
      <c r="AV53" s="51">
        <f ca="1">'表1-资金筹措及还本付息表'!AZ296+'表1-资金筹措及还本付息表'!AZ297</f>
        <v>4669.70269840826</v>
      </c>
      <c r="AW53" s="51">
        <f ca="1">'表1-资金筹措及还本付息表'!BA296+'表1-资金筹措及还本付息表'!BA297</f>
        <v>4669.70269840826</v>
      </c>
      <c r="AX53" s="51">
        <f ca="1">'表1-资金筹措及还本付息表'!BB296+'表1-资金筹措及还本付息表'!BB297</f>
        <v>4669.70269840826</v>
      </c>
      <c r="AY53" s="51">
        <f ca="1">'表1-资金筹措及还本付息表'!BC296+'表1-资金筹措及还本付息表'!BC297</f>
        <v>4669.70269840826</v>
      </c>
      <c r="AZ53" s="51">
        <f ca="1">'表1-资金筹措及还本付息表'!BD296+'表1-资金筹措及还本付息表'!BD297</f>
        <v>4669.70269840826</v>
      </c>
      <c r="BA53" s="53">
        <f ca="1">'表1-资金筹措及还本付息表'!BE296+'表1-资金筹措及还本付息表'!BE297</f>
        <v>4601.18519218061</v>
      </c>
    </row>
    <row r="54" s="4" customFormat="1" ht="19.95" customHeight="1" spans="2:53">
      <c r="B54" s="48"/>
      <c r="C54" s="74" t="s">
        <v>1038</v>
      </c>
      <c r="D54" s="51">
        <f ca="1" t="shared" ref="D54:D60" si="26">SUM(F54:BA54)</f>
        <v>1073267.47858185</v>
      </c>
      <c r="E54" s="50" t="s">
        <v>130</v>
      </c>
      <c r="F54" s="51">
        <f ca="1">'表5-利润表-资本金'!F67</f>
        <v>0</v>
      </c>
      <c r="G54" s="51">
        <f ca="1">'表5-利润表-资本金'!G67</f>
        <v>0</v>
      </c>
      <c r="H54" s="51">
        <f ca="1">'表5-利润表-资本金'!H67</f>
        <v>0</v>
      </c>
      <c r="I54" s="51">
        <f ca="1">'表5-利润表-资本金'!I67</f>
        <v>0</v>
      </c>
      <c r="J54" s="51">
        <f ca="1">'表5-利润表-资本金'!J67</f>
        <v>0</v>
      </c>
      <c r="K54" s="51">
        <f ca="1">'表5-利润表-资本金'!K67</f>
        <v>0</v>
      </c>
      <c r="L54" s="51">
        <f ca="1">'表5-利润表-资本金'!L67</f>
        <v>0</v>
      </c>
      <c r="M54" s="51">
        <f ca="1">'表5-利润表-资本金'!M67</f>
        <v>3819.68401931167</v>
      </c>
      <c r="N54" s="51">
        <f ca="1">'表5-利润表-资本金'!N67</f>
        <v>6820.91828482081</v>
      </c>
      <c r="O54" s="51">
        <f ca="1">'表5-利润表-资本金'!O67</f>
        <v>8699.42253494585</v>
      </c>
      <c r="P54" s="51">
        <f ca="1">'表5-利润表-资本金'!P67</f>
        <v>9721.33262801371</v>
      </c>
      <c r="Q54" s="51">
        <f ca="1">'表5-利润表-资本金'!Q67</f>
        <v>11713.6433172915</v>
      </c>
      <c r="R54" s="51">
        <f ca="1">'表5-利润表-资本金'!R67</f>
        <v>13321.5173193792</v>
      </c>
      <c r="S54" s="51">
        <f ca="1">'表5-利润表-资本金'!S67</f>
        <v>13152.2864791181</v>
      </c>
      <c r="T54" s="51">
        <f ca="1">'表5-利润表-资本金'!T67</f>
        <v>13177.0652298815</v>
      </c>
      <c r="U54" s="51">
        <f ca="1">'表5-利润表-资本金'!U67</f>
        <v>13558.2692299154</v>
      </c>
      <c r="V54" s="51">
        <f ca="1">'表5-利润表-资本金'!V67</f>
        <v>14080.9031534923</v>
      </c>
      <c r="W54" s="51">
        <f ca="1">'表5-利润表-资本金'!W67</f>
        <v>14660.6160186093</v>
      </c>
      <c r="X54" s="51">
        <f ca="1">'表5-利润表-资本金'!X67</f>
        <v>15188.4729545432</v>
      </c>
      <c r="Y54" s="51">
        <f ca="1">'表5-利润表-资本金'!Y67</f>
        <v>14931.8544449837</v>
      </c>
      <c r="Z54" s="51">
        <f ca="1">'表5-利润表-资本金'!Z67</f>
        <v>15040.0154428094</v>
      </c>
      <c r="AA54" s="51">
        <f ca="1">'表5-利润表-资本金'!AA67</f>
        <v>15510.6080750745</v>
      </c>
      <c r="AB54" s="51">
        <f ca="1">'表5-利润表-资本金'!AB67</f>
        <v>16303.2101161128</v>
      </c>
      <c r="AC54" s="51">
        <f ca="1">'表5-利润表-资本金'!AC67</f>
        <v>17407.7219108216</v>
      </c>
      <c r="AD54" s="51">
        <f ca="1">'表5-利润表-资本金'!AD67</f>
        <v>18853.4237331047</v>
      </c>
      <c r="AE54" s="51">
        <f ca="1">'表5-利润表-资本金'!AE67</f>
        <v>21129.8920380181</v>
      </c>
      <c r="AF54" s="51">
        <f ca="1">'表5-利润表-资本金'!AF67</f>
        <v>23950.125816682</v>
      </c>
      <c r="AG54" s="51">
        <f ca="1">'表5-利润表-资本金'!AG67</f>
        <v>26037.6123941991</v>
      </c>
      <c r="AH54" s="51">
        <f ca="1">'表5-利润表-资本金'!AH67</f>
        <v>27613.4334313924</v>
      </c>
      <c r="AI54" s="51">
        <f ca="1">'表5-利润表-资本金'!AI67</f>
        <v>28466.9068139634</v>
      </c>
      <c r="AJ54" s="51">
        <f ca="1">'表5-利润表-资本金'!AJ67</f>
        <v>28712.1588094322</v>
      </c>
      <c r="AK54" s="51">
        <f ca="1">'表5-利润表-资本金'!AK67</f>
        <v>28805.3545677103</v>
      </c>
      <c r="AL54" s="51">
        <f ca="1">'表5-利润表-资本金'!AL67</f>
        <v>28840.768955856</v>
      </c>
      <c r="AM54" s="51">
        <f ca="1">'表5-利润表-资本金'!AM67</f>
        <v>28856.2031205991</v>
      </c>
      <c r="AN54" s="51">
        <f ca="1">'表5-利润表-资本金'!AN67</f>
        <v>28868.3538838298</v>
      </c>
      <c r="AO54" s="51">
        <f ca="1">'表5-利润表-资本金'!AO67</f>
        <v>28864.7086959814</v>
      </c>
      <c r="AP54" s="51">
        <f ca="1">'表5-利润表-资本金'!AP67</f>
        <v>33220.1720374463</v>
      </c>
      <c r="AQ54" s="51">
        <f ca="1">'表5-利润表-资本金'!AQ67</f>
        <v>40974.8360251892</v>
      </c>
      <c r="AR54" s="51">
        <f ca="1">'表5-利润表-资本金'!AR67</f>
        <v>43923.5850377792</v>
      </c>
      <c r="AS54" s="51">
        <f ca="1">'表5-利润表-资本金'!AS67</f>
        <v>45039.8552894748</v>
      </c>
      <c r="AT54" s="51">
        <f ca="1">'表5-利润表-资本金'!AT67</f>
        <v>45384.9700952108</v>
      </c>
      <c r="AU54" s="51">
        <f ca="1">'表5-利润表-资本金'!AU67</f>
        <v>45516.1137213905</v>
      </c>
      <c r="AV54" s="51">
        <f ca="1">'表5-利润表-资本金'!AV67</f>
        <v>45552.1421931441</v>
      </c>
      <c r="AW54" s="51">
        <f ca="1">'表5-利润表-资本金'!AW67</f>
        <v>45559.547231782</v>
      </c>
      <c r="AX54" s="51">
        <f ca="1">'表5-利润表-资本金'!AX67</f>
        <v>45560.3844492168</v>
      </c>
      <c r="AY54" s="51">
        <f ca="1">'表5-利润表-资本金'!AY67</f>
        <v>45501.6701147777</v>
      </c>
      <c r="AZ54" s="51">
        <f ca="1">'表5-利润表-资本金'!AZ67</f>
        <v>45477.3819704432</v>
      </c>
      <c r="BA54" s="53">
        <f ca="1">'表5-利润表-资本金'!BA67</f>
        <v>55450.3369960981</v>
      </c>
    </row>
    <row r="55" s="4" customFormat="1" ht="19.95" customHeight="1" spans="2:53">
      <c r="B55" s="48"/>
      <c r="C55" s="86" t="s">
        <v>1039</v>
      </c>
      <c r="D55" s="51">
        <f t="shared" si="26"/>
        <v>0</v>
      </c>
      <c r="E55" s="50" t="s">
        <v>130</v>
      </c>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3"/>
    </row>
    <row r="56" s="4" customFormat="1" ht="19.95" customHeight="1" spans="2:53">
      <c r="B56" s="48"/>
      <c r="C56" s="74" t="s">
        <v>1040</v>
      </c>
      <c r="D56" s="51">
        <f t="shared" si="26"/>
        <v>0</v>
      </c>
      <c r="E56" s="50" t="s">
        <v>130</v>
      </c>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3"/>
    </row>
    <row r="57" s="4" customFormat="1" ht="19.95" customHeight="1" spans="2:53">
      <c r="B57" s="48"/>
      <c r="C57" s="76" t="s">
        <v>1041</v>
      </c>
      <c r="D57" s="73">
        <f ca="1" t="shared" si="26"/>
        <v>4041262.36343054</v>
      </c>
      <c r="E57" s="50" t="s">
        <v>130</v>
      </c>
      <c r="F57" s="73">
        <f ca="1">F53+F54+F56</f>
        <v>0</v>
      </c>
      <c r="G57" s="73">
        <f ca="1" t="shared" ref="G57:P57" si="27">G53+G54+G56</f>
        <v>0</v>
      </c>
      <c r="H57" s="73">
        <f ca="1" t="shared" si="27"/>
        <v>0</v>
      </c>
      <c r="I57" s="73">
        <f ca="1" t="shared" si="27"/>
        <v>0</v>
      </c>
      <c r="J57" s="73">
        <f ca="1" t="shared" si="27"/>
        <v>0</v>
      </c>
      <c r="K57" s="73">
        <f ca="1" t="shared" si="27"/>
        <v>0</v>
      </c>
      <c r="L57" s="73">
        <f ca="1" t="shared" si="27"/>
        <v>0</v>
      </c>
      <c r="M57" s="73">
        <f ca="1" t="shared" si="27"/>
        <v>31087.0467407155</v>
      </c>
      <c r="N57" s="73">
        <f ca="1" t="shared" si="27"/>
        <v>93858.283877898</v>
      </c>
      <c r="O57" s="73">
        <f ca="1" t="shared" si="27"/>
        <v>114191.976716285</v>
      </c>
      <c r="P57" s="73">
        <f ca="1" t="shared" si="27"/>
        <v>115538.036672574</v>
      </c>
      <c r="Q57" s="73">
        <f ca="1" t="shared" ref="Q57:AL57" si="28">Q53+Q54+Q56</f>
        <v>114168.439991916</v>
      </c>
      <c r="R57" s="73">
        <f ca="1" t="shared" si="28"/>
        <v>117933.474246488</v>
      </c>
      <c r="S57" s="73">
        <f ca="1" t="shared" si="28"/>
        <v>120210.160459483</v>
      </c>
      <c r="T57" s="73">
        <f ca="1" t="shared" si="28"/>
        <v>127760.794648901</v>
      </c>
      <c r="U57" s="73">
        <f ca="1" t="shared" si="28"/>
        <v>143389.508154454</v>
      </c>
      <c r="V57" s="73">
        <f ca="1" t="shared" si="28"/>
        <v>158873.587460423</v>
      </c>
      <c r="W57" s="73">
        <f ca="1" t="shared" si="28"/>
        <v>174266.254185172</v>
      </c>
      <c r="X57" s="73">
        <f ca="1" t="shared" si="28"/>
        <v>189249.718868334</v>
      </c>
      <c r="Y57" s="73">
        <f ca="1" t="shared" si="28"/>
        <v>205364.320550518</v>
      </c>
      <c r="Z57" s="73">
        <f ca="1" t="shared" si="28"/>
        <v>237234.648386118</v>
      </c>
      <c r="AA57" s="73">
        <f ca="1" t="shared" si="28"/>
        <v>250503.33408913</v>
      </c>
      <c r="AB57" s="73">
        <f ca="1" t="shared" si="28"/>
        <v>251262.438863454</v>
      </c>
      <c r="AC57" s="73">
        <f ca="1" t="shared" si="28"/>
        <v>215318.691848916</v>
      </c>
      <c r="AD57" s="73">
        <f ca="1" t="shared" si="28"/>
        <v>179302.05942328</v>
      </c>
      <c r="AE57" s="73">
        <f ca="1" t="shared" si="28"/>
        <v>143310.23667699</v>
      </c>
      <c r="AF57" s="73">
        <f ca="1" t="shared" si="28"/>
        <v>109020.701245793</v>
      </c>
      <c r="AG57" s="73">
        <f ca="1" t="shared" si="28"/>
        <v>77266.3680992841</v>
      </c>
      <c r="AH57" s="73">
        <f ca="1" t="shared" si="28"/>
        <v>44920.9984515609</v>
      </c>
      <c r="AI57" s="73">
        <f ca="1" t="shared" si="28"/>
        <v>33136.6095123717</v>
      </c>
      <c r="AJ57" s="73">
        <f ca="1" t="shared" si="28"/>
        <v>33381.8615078404</v>
      </c>
      <c r="AK57" s="73">
        <f ca="1" t="shared" si="28"/>
        <v>33475.0572661186</v>
      </c>
      <c r="AL57" s="73">
        <f ca="1" t="shared" si="28"/>
        <v>33510.4716542643</v>
      </c>
      <c r="AM57" s="73">
        <f ca="1" t="shared" ref="AM57:BA57" si="29">AM53+AM54+AM56</f>
        <v>33525.9058190073</v>
      </c>
      <c r="AN57" s="73">
        <f ca="1" t="shared" si="29"/>
        <v>33538.0565822381</v>
      </c>
      <c r="AO57" s="73">
        <f ca="1" t="shared" si="29"/>
        <v>33534.4113943897</v>
      </c>
      <c r="AP57" s="73">
        <f ca="1" t="shared" si="29"/>
        <v>37889.8747358546</v>
      </c>
      <c r="AQ57" s="73">
        <f ca="1" t="shared" si="29"/>
        <v>45644.5387235975</v>
      </c>
      <c r="AR57" s="73">
        <f ca="1" t="shared" si="29"/>
        <v>48593.2877361875</v>
      </c>
      <c r="AS57" s="73">
        <f ca="1" t="shared" si="29"/>
        <v>49709.557987883</v>
      </c>
      <c r="AT57" s="73">
        <f ca="1" t="shared" si="29"/>
        <v>50054.6727936191</v>
      </c>
      <c r="AU57" s="73">
        <f ca="1" t="shared" si="29"/>
        <v>50185.8164197987</v>
      </c>
      <c r="AV57" s="73">
        <f ca="1" t="shared" si="29"/>
        <v>50221.8448915523</v>
      </c>
      <c r="AW57" s="73">
        <f ca="1" t="shared" si="29"/>
        <v>50229.2499301903</v>
      </c>
      <c r="AX57" s="73">
        <f ca="1" t="shared" si="29"/>
        <v>50230.087147625</v>
      </c>
      <c r="AY57" s="73">
        <f ca="1" t="shared" si="29"/>
        <v>50171.372813186</v>
      </c>
      <c r="AZ57" s="73">
        <f ca="1" t="shared" si="29"/>
        <v>50147.0846688515</v>
      </c>
      <c r="BA57" s="77">
        <f ca="1" t="shared" si="29"/>
        <v>60051.5221882787</v>
      </c>
    </row>
    <row r="58" s="4" customFormat="1" ht="19.95" customHeight="1" spans="2:53">
      <c r="B58" s="48"/>
      <c r="C58" s="76" t="s">
        <v>1042</v>
      </c>
      <c r="D58" s="73">
        <f ca="1" t="shared" si="26"/>
        <v>-1200282.88664556</v>
      </c>
      <c r="E58" s="50" t="s">
        <v>130</v>
      </c>
      <c r="F58" s="73">
        <f ca="1">F52-F57</f>
        <v>95511.3167916022</v>
      </c>
      <c r="G58" s="73">
        <f ca="1">G52-G57</f>
        <v>95902.9358091799</v>
      </c>
      <c r="H58" s="73">
        <f ca="1" t="shared" ref="H58:R58" si="30">H52-H57</f>
        <v>111527.372453866</v>
      </c>
      <c r="I58" s="73">
        <f ca="1" t="shared" si="30"/>
        <v>124982.577606385</v>
      </c>
      <c r="J58" s="73">
        <f ca="1" t="shared" si="30"/>
        <v>167811.542912955</v>
      </c>
      <c r="K58" s="73">
        <f ca="1" t="shared" si="30"/>
        <v>160422.325243849</v>
      </c>
      <c r="L58" s="73">
        <f ca="1" t="shared" si="30"/>
        <v>143340.106328929</v>
      </c>
      <c r="M58" s="73">
        <f ca="1" t="shared" si="30"/>
        <v>45979.3652407728</v>
      </c>
      <c r="N58" s="73">
        <f ca="1" t="shared" si="30"/>
        <v>-66429.1176421921</v>
      </c>
      <c r="O58" s="73">
        <f ca="1" t="shared" si="30"/>
        <v>-84776.9260379729</v>
      </c>
      <c r="P58" s="73">
        <f ca="1" t="shared" si="30"/>
        <v>-82877.4008013089</v>
      </c>
      <c r="Q58" s="73">
        <f ca="1" t="shared" si="30"/>
        <v>-82541.4021028033</v>
      </c>
      <c r="R58" s="73">
        <f ca="1" t="shared" si="30"/>
        <v>-82224.7847938648</v>
      </c>
      <c r="S58" s="73">
        <f ca="1" t="shared" ref="S58:AL58" si="31">S52-S57</f>
        <v>-75781.4455613749</v>
      </c>
      <c r="T58" s="73">
        <f ca="1" t="shared" si="31"/>
        <v>-67152.7705592</v>
      </c>
      <c r="U58" s="73">
        <f ca="1" t="shared" si="31"/>
        <v>-66873.2306533776</v>
      </c>
      <c r="V58" s="73">
        <f ca="1" t="shared" si="31"/>
        <v>-66589.1882446828</v>
      </c>
      <c r="W58" s="73">
        <f ca="1" t="shared" si="31"/>
        <v>-66302.6378881733</v>
      </c>
      <c r="X58" s="73">
        <f ca="1" t="shared" si="31"/>
        <v>-64310.8980895067</v>
      </c>
      <c r="Y58" s="73">
        <f ca="1" t="shared" si="31"/>
        <v>-48264.689020716</v>
      </c>
      <c r="Z58" s="73">
        <f ca="1" t="shared" si="31"/>
        <v>-66260.5041036368</v>
      </c>
      <c r="AA58" s="73">
        <f ca="1" t="shared" si="31"/>
        <v>-65937.5781990569</v>
      </c>
      <c r="AB58" s="73">
        <f ca="1" t="shared" si="31"/>
        <v>-65476.0918526076</v>
      </c>
      <c r="AC58" s="73">
        <f ca="1" t="shared" si="31"/>
        <v>-64418.328114707</v>
      </c>
      <c r="AD58" s="73">
        <f ca="1" t="shared" si="31"/>
        <v>-64100.6705297445</v>
      </c>
      <c r="AE58" s="73">
        <f ca="1" t="shared" si="31"/>
        <v>-62802.0978888077</v>
      </c>
      <c r="AF58" s="73">
        <f ca="1" t="shared" si="31"/>
        <v>-60025.3152154693</v>
      </c>
      <c r="AG58" s="73">
        <f ca="1" t="shared" si="31"/>
        <v>-60568.2831787163</v>
      </c>
      <c r="AH58" s="73">
        <f ca="1" t="shared" si="31"/>
        <v>-40415.737768099</v>
      </c>
      <c r="AI58" s="73">
        <f ca="1" t="shared" si="31"/>
        <v>-28631.3488289098</v>
      </c>
      <c r="AJ58" s="73">
        <f ca="1" t="shared" si="31"/>
        <v>-28876.6008243785</v>
      </c>
      <c r="AK58" s="73">
        <f ca="1" t="shared" si="31"/>
        <v>-28969.7965826567</v>
      </c>
      <c r="AL58" s="73">
        <f ca="1" t="shared" si="31"/>
        <v>-29005.2109708024</v>
      </c>
      <c r="AM58" s="73">
        <f ca="1" t="shared" ref="AM58:BA58" si="32">AM52-AM57</f>
        <v>-29020.6451355454</v>
      </c>
      <c r="AN58" s="73">
        <f ca="1" t="shared" si="32"/>
        <v>-29032.7958987762</v>
      </c>
      <c r="AO58" s="73">
        <f ca="1" t="shared" si="32"/>
        <v>-29029.1507109278</v>
      </c>
      <c r="AP58" s="73">
        <f ca="1" t="shared" si="32"/>
        <v>-33384.6140523927</v>
      </c>
      <c r="AQ58" s="73">
        <f ca="1" t="shared" si="32"/>
        <v>-41139.2780401356</v>
      </c>
      <c r="AR58" s="73">
        <f ca="1" t="shared" si="32"/>
        <v>-44088.0270527256</v>
      </c>
      <c r="AS58" s="73">
        <f ca="1" t="shared" si="32"/>
        <v>-45204.2973044211</v>
      </c>
      <c r="AT58" s="73">
        <f ca="1" t="shared" si="32"/>
        <v>-45549.4121101572</v>
      </c>
      <c r="AU58" s="73">
        <f ca="1" t="shared" si="32"/>
        <v>-45680.5557363368</v>
      </c>
      <c r="AV58" s="73">
        <f ca="1" t="shared" si="32"/>
        <v>-45716.5842080904</v>
      </c>
      <c r="AW58" s="73">
        <f ca="1" t="shared" si="32"/>
        <v>-45723.9892467284</v>
      </c>
      <c r="AX58" s="73">
        <f ca="1" t="shared" si="32"/>
        <v>-45724.8264641631</v>
      </c>
      <c r="AY58" s="73">
        <f ca="1" t="shared" si="32"/>
        <v>-45666.1121297241</v>
      </c>
      <c r="AZ58" s="73">
        <f ca="1" t="shared" si="32"/>
        <v>-45641.8239853896</v>
      </c>
      <c r="BA58" s="77">
        <f ca="1" t="shared" si="32"/>
        <v>-55546.2615048168</v>
      </c>
    </row>
    <row r="59" s="4" customFormat="1" ht="19.95" customHeight="1" spans="2:53">
      <c r="B59" s="71" t="s">
        <v>869</v>
      </c>
      <c r="C59" s="72" t="s">
        <v>1043</v>
      </c>
      <c r="D59" s="73">
        <f t="shared" si="26"/>
        <v>0</v>
      </c>
      <c r="E59" s="50" t="s">
        <v>130</v>
      </c>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3"/>
    </row>
    <row r="60" s="4" customFormat="1" ht="19.95" customHeight="1" spans="2:53">
      <c r="B60" s="71" t="s">
        <v>885</v>
      </c>
      <c r="C60" s="72" t="s">
        <v>1044</v>
      </c>
      <c r="D60" s="73">
        <f ca="1" t="shared" si="26"/>
        <v>340034.557921546</v>
      </c>
      <c r="E60" s="50" t="s">
        <v>130</v>
      </c>
      <c r="F60" s="73">
        <f ca="1">F32+F46+F58</f>
        <v>0</v>
      </c>
      <c r="G60" s="73">
        <f ca="1">G32+G46+G58</f>
        <v>0</v>
      </c>
      <c r="H60" s="73">
        <f ca="1" t="shared" ref="H60:P60" si="33">H32+H46+H58</f>
        <v>0</v>
      </c>
      <c r="I60" s="73">
        <f ca="1" t="shared" si="33"/>
        <v>0</v>
      </c>
      <c r="J60" s="73">
        <f ca="1" t="shared" si="33"/>
        <v>0</v>
      </c>
      <c r="K60" s="73">
        <f ca="1" t="shared" si="33"/>
        <v>0</v>
      </c>
      <c r="L60" s="73">
        <f ca="1" t="shared" si="33"/>
        <v>0</v>
      </c>
      <c r="M60" s="73">
        <f ca="1" t="shared" si="33"/>
        <v>0</v>
      </c>
      <c r="N60" s="73">
        <f ca="1" t="shared" si="33"/>
        <v>0</v>
      </c>
      <c r="O60" s="73">
        <f ca="1" t="shared" si="33"/>
        <v>0</v>
      </c>
      <c r="P60" s="73">
        <f ca="1" t="shared" si="33"/>
        <v>0</v>
      </c>
      <c r="Q60" s="73">
        <f ca="1" t="shared" ref="Q60:AL60" si="34">Q32+Q46+Q58</f>
        <v>0</v>
      </c>
      <c r="R60" s="73">
        <f ca="1" t="shared" si="34"/>
        <v>0</v>
      </c>
      <c r="S60" s="73">
        <f ca="1" t="shared" si="34"/>
        <v>0</v>
      </c>
      <c r="T60" s="73">
        <f ca="1" t="shared" si="34"/>
        <v>0</v>
      </c>
      <c r="U60" s="73">
        <f ca="1" t="shared" si="34"/>
        <v>0</v>
      </c>
      <c r="V60" s="73">
        <f ca="1" t="shared" si="34"/>
        <v>0</v>
      </c>
      <c r="W60" s="73">
        <f ca="1" t="shared" si="34"/>
        <v>0</v>
      </c>
      <c r="X60" s="73">
        <f ca="1" t="shared" si="34"/>
        <v>0</v>
      </c>
      <c r="Y60" s="73">
        <f ca="1" t="shared" si="34"/>
        <v>0</v>
      </c>
      <c r="Z60" s="73">
        <f ca="1" t="shared" si="34"/>
        <v>0</v>
      </c>
      <c r="AA60" s="73">
        <f ca="1" t="shared" si="34"/>
        <v>0</v>
      </c>
      <c r="AB60" s="73">
        <f ca="1" t="shared" si="34"/>
        <v>0</v>
      </c>
      <c r="AC60" s="73">
        <f ca="1" t="shared" si="34"/>
        <v>0</v>
      </c>
      <c r="AD60" s="73">
        <f ca="1" t="shared" si="34"/>
        <v>0</v>
      </c>
      <c r="AE60" s="73">
        <f ca="1" t="shared" si="34"/>
        <v>0</v>
      </c>
      <c r="AF60" s="73">
        <f ca="1" t="shared" si="34"/>
        <v>0</v>
      </c>
      <c r="AG60" s="73">
        <f ca="1" t="shared" si="34"/>
        <v>0</v>
      </c>
      <c r="AH60" s="73">
        <f ca="1" t="shared" si="34"/>
        <v>19110.3808316471</v>
      </c>
      <c r="AI60" s="73">
        <f ca="1" t="shared" si="34"/>
        <v>13006.5977949813</v>
      </c>
      <c r="AJ60" s="73">
        <f ca="1" t="shared" si="34"/>
        <v>30971.2540563933</v>
      </c>
      <c r="AK60" s="73">
        <f ca="1" t="shared" si="34"/>
        <v>30878.0582981152</v>
      </c>
      <c r="AL60" s="73">
        <f ca="1" t="shared" si="34"/>
        <v>30842.6439099695</v>
      </c>
      <c r="AM60" s="73">
        <f ca="1" t="shared" ref="AM60:BA60" si="35">AM32+AM46+AM58</f>
        <v>30371.9620388044</v>
      </c>
      <c r="AN60" s="73">
        <f ca="1" t="shared" si="35"/>
        <v>29502.1209288983</v>
      </c>
      <c r="AO60" s="73">
        <f ca="1" t="shared" si="35"/>
        <v>30818.7041698441</v>
      </c>
      <c r="AP60" s="73">
        <f ca="1" t="shared" si="35"/>
        <v>23187.4148788699</v>
      </c>
      <c r="AQ60" s="73">
        <f ca="1" t="shared" si="35"/>
        <v>10846.594561814</v>
      </c>
      <c r="AR60" s="73">
        <f ca="1" t="shared" si="35"/>
        <v>7442.59784280198</v>
      </c>
      <c r="AS60" s="73">
        <f ca="1" t="shared" si="35"/>
        <v>-11367.1708798415</v>
      </c>
      <c r="AT60" s="73">
        <f ca="1" t="shared" si="35"/>
        <v>6497.62257130317</v>
      </c>
      <c r="AU60" s="73">
        <f ca="1" t="shared" si="35"/>
        <v>6366.47894512348</v>
      </c>
      <c r="AV60" s="73">
        <f ca="1" t="shared" si="35"/>
        <v>5034.10534062651</v>
      </c>
      <c r="AW60" s="73">
        <f ca="1" t="shared" si="35"/>
        <v>5884.39064866385</v>
      </c>
      <c r="AX60" s="73">
        <f ca="1" t="shared" si="35"/>
        <v>6338.80113765119</v>
      </c>
      <c r="AY60" s="73">
        <f ca="1" t="shared" si="35"/>
        <v>5988.1393253012</v>
      </c>
      <c r="AZ60" s="73">
        <f ca="1" t="shared" si="35"/>
        <v>6467.67517605778</v>
      </c>
      <c r="BA60" s="77">
        <f ca="1" t="shared" si="35"/>
        <v>51846.1863445217</v>
      </c>
    </row>
    <row r="61" s="4" customFormat="1" ht="19.95" customHeight="1" spans="2:53">
      <c r="B61" s="48"/>
      <c r="C61" s="74" t="s">
        <v>1045</v>
      </c>
      <c r="D61" s="51"/>
      <c r="E61" s="50" t="s">
        <v>130</v>
      </c>
      <c r="F61" s="51">
        <v>0</v>
      </c>
      <c r="G61" s="51">
        <f ca="1">F62</f>
        <v>0</v>
      </c>
      <c r="H61" s="51">
        <f ca="1" t="shared" ref="H61:P61" si="36">G62</f>
        <v>0</v>
      </c>
      <c r="I61" s="51">
        <f ca="1" t="shared" si="36"/>
        <v>0</v>
      </c>
      <c r="J61" s="51">
        <f ca="1" t="shared" si="36"/>
        <v>0</v>
      </c>
      <c r="K61" s="51">
        <f ca="1" t="shared" si="36"/>
        <v>0</v>
      </c>
      <c r="L61" s="51">
        <f ca="1" t="shared" si="36"/>
        <v>0</v>
      </c>
      <c r="M61" s="51">
        <f ca="1" t="shared" si="36"/>
        <v>0</v>
      </c>
      <c r="N61" s="51">
        <f ca="1" t="shared" si="36"/>
        <v>0</v>
      </c>
      <c r="O61" s="51">
        <f ca="1" t="shared" si="36"/>
        <v>0</v>
      </c>
      <c r="P61" s="51">
        <f ca="1" t="shared" si="36"/>
        <v>0</v>
      </c>
      <c r="Q61" s="51">
        <f ca="1" t="shared" ref="P61:AL61" si="37">P62</f>
        <v>0</v>
      </c>
      <c r="R61" s="51">
        <f ca="1" t="shared" si="37"/>
        <v>0</v>
      </c>
      <c r="S61" s="51">
        <f ca="1" t="shared" si="37"/>
        <v>0</v>
      </c>
      <c r="T61" s="51">
        <f ca="1" t="shared" si="37"/>
        <v>0</v>
      </c>
      <c r="U61" s="51">
        <f ca="1" t="shared" si="37"/>
        <v>0</v>
      </c>
      <c r="V61" s="51">
        <f ca="1" t="shared" si="37"/>
        <v>0</v>
      </c>
      <c r="W61" s="51">
        <f ca="1" t="shared" si="37"/>
        <v>0</v>
      </c>
      <c r="X61" s="51">
        <f ca="1" t="shared" si="37"/>
        <v>0</v>
      </c>
      <c r="Y61" s="51">
        <f ca="1" t="shared" si="37"/>
        <v>0</v>
      </c>
      <c r="Z61" s="51">
        <f ca="1" t="shared" si="37"/>
        <v>0</v>
      </c>
      <c r="AA61" s="51">
        <f ca="1" t="shared" si="37"/>
        <v>0</v>
      </c>
      <c r="AB61" s="51">
        <f ca="1" t="shared" si="37"/>
        <v>0</v>
      </c>
      <c r="AC61" s="51">
        <f ca="1" t="shared" si="37"/>
        <v>0</v>
      </c>
      <c r="AD61" s="51">
        <f ca="1" t="shared" si="37"/>
        <v>0</v>
      </c>
      <c r="AE61" s="51">
        <f ca="1" t="shared" si="37"/>
        <v>0</v>
      </c>
      <c r="AF61" s="51">
        <f ca="1" t="shared" si="37"/>
        <v>0</v>
      </c>
      <c r="AG61" s="51">
        <f ca="1" t="shared" si="37"/>
        <v>0</v>
      </c>
      <c r="AH61" s="51">
        <f ca="1" t="shared" si="37"/>
        <v>0</v>
      </c>
      <c r="AI61" s="51">
        <f ca="1" t="shared" si="37"/>
        <v>19110.3808316471</v>
      </c>
      <c r="AJ61" s="51">
        <f ca="1" t="shared" si="37"/>
        <v>32116.9786266284</v>
      </c>
      <c r="AK61" s="51">
        <f ca="1" t="shared" si="37"/>
        <v>63088.2326830217</v>
      </c>
      <c r="AL61" s="51">
        <f ca="1" t="shared" si="37"/>
        <v>93966.2909811369</v>
      </c>
      <c r="AM61" s="51">
        <f ca="1" t="shared" ref="AM61:BA61" si="38">AL62</f>
        <v>124808.934891106</v>
      </c>
      <c r="AN61" s="51">
        <f ca="1" t="shared" si="38"/>
        <v>155180.896929911</v>
      </c>
      <c r="AO61" s="51">
        <f ca="1" t="shared" si="38"/>
        <v>184683.017858809</v>
      </c>
      <c r="AP61" s="51">
        <f ca="1" t="shared" si="38"/>
        <v>215501.722028653</v>
      </c>
      <c r="AQ61" s="51">
        <f ca="1" t="shared" si="38"/>
        <v>238689.136907523</v>
      </c>
      <c r="AR61" s="51">
        <f ca="1" t="shared" si="38"/>
        <v>249535.731469337</v>
      </c>
      <c r="AS61" s="51">
        <f ca="1" t="shared" si="38"/>
        <v>256978.329312139</v>
      </c>
      <c r="AT61" s="51">
        <f ca="1" t="shared" si="38"/>
        <v>245611.158432297</v>
      </c>
      <c r="AU61" s="51">
        <f ca="1" t="shared" si="38"/>
        <v>252108.781003601</v>
      </c>
      <c r="AV61" s="51">
        <f ca="1" t="shared" si="38"/>
        <v>258475.259948724</v>
      </c>
      <c r="AW61" s="51">
        <f ca="1" t="shared" si="38"/>
        <v>263509.365289351</v>
      </c>
      <c r="AX61" s="51">
        <f ca="1" t="shared" si="38"/>
        <v>269393.755938014</v>
      </c>
      <c r="AY61" s="51">
        <f ca="1" t="shared" si="38"/>
        <v>275732.557075666</v>
      </c>
      <c r="AZ61" s="51">
        <f ca="1" t="shared" si="38"/>
        <v>281720.696400967</v>
      </c>
      <c r="BA61" s="53">
        <f ca="1" t="shared" si="38"/>
        <v>288188.371577025</v>
      </c>
    </row>
    <row r="62" s="4" customFormat="1" ht="19.95" customHeight="1" spans="2:53">
      <c r="B62" s="87" t="s">
        <v>905</v>
      </c>
      <c r="C62" s="88" t="s">
        <v>1046</v>
      </c>
      <c r="D62" s="89"/>
      <c r="E62" s="90" t="s">
        <v>130</v>
      </c>
      <c r="F62" s="89">
        <f ca="1">F60+F61</f>
        <v>0</v>
      </c>
      <c r="G62" s="89">
        <f ca="1">G60+G61</f>
        <v>0</v>
      </c>
      <c r="H62" s="89">
        <f ca="1" t="shared" ref="H62:P62" si="39">H60+H61</f>
        <v>0</v>
      </c>
      <c r="I62" s="89">
        <f ca="1" t="shared" si="39"/>
        <v>0</v>
      </c>
      <c r="J62" s="89">
        <f ca="1" t="shared" si="39"/>
        <v>0</v>
      </c>
      <c r="K62" s="89">
        <f ca="1" t="shared" si="39"/>
        <v>0</v>
      </c>
      <c r="L62" s="89">
        <f ca="1" t="shared" si="39"/>
        <v>0</v>
      </c>
      <c r="M62" s="89">
        <f ca="1" t="shared" si="39"/>
        <v>0</v>
      </c>
      <c r="N62" s="89">
        <f ca="1" t="shared" si="39"/>
        <v>0</v>
      </c>
      <c r="O62" s="89">
        <f ca="1" t="shared" si="39"/>
        <v>0</v>
      </c>
      <c r="P62" s="89">
        <f ca="1" t="shared" si="39"/>
        <v>0</v>
      </c>
      <c r="Q62" s="89">
        <f ca="1" t="shared" ref="Q62:AL62" si="40">Q60+Q61</f>
        <v>0</v>
      </c>
      <c r="R62" s="89">
        <f ca="1" t="shared" si="40"/>
        <v>0</v>
      </c>
      <c r="S62" s="89">
        <f ca="1" t="shared" si="40"/>
        <v>0</v>
      </c>
      <c r="T62" s="89">
        <f ca="1" t="shared" si="40"/>
        <v>0</v>
      </c>
      <c r="U62" s="89">
        <f ca="1" t="shared" si="40"/>
        <v>0</v>
      </c>
      <c r="V62" s="89">
        <f ca="1" t="shared" si="40"/>
        <v>0</v>
      </c>
      <c r="W62" s="89">
        <f ca="1" t="shared" si="40"/>
        <v>0</v>
      </c>
      <c r="X62" s="89">
        <f ca="1" t="shared" si="40"/>
        <v>0</v>
      </c>
      <c r="Y62" s="89">
        <f ca="1" t="shared" si="40"/>
        <v>0</v>
      </c>
      <c r="Z62" s="89">
        <f ca="1" t="shared" si="40"/>
        <v>0</v>
      </c>
      <c r="AA62" s="89">
        <f ca="1" t="shared" si="40"/>
        <v>0</v>
      </c>
      <c r="AB62" s="89">
        <f ca="1" t="shared" si="40"/>
        <v>0</v>
      </c>
      <c r="AC62" s="89">
        <f ca="1" t="shared" si="40"/>
        <v>0</v>
      </c>
      <c r="AD62" s="89">
        <f ca="1" t="shared" si="40"/>
        <v>0</v>
      </c>
      <c r="AE62" s="89">
        <f ca="1" t="shared" si="40"/>
        <v>0</v>
      </c>
      <c r="AF62" s="89">
        <f ca="1" t="shared" si="40"/>
        <v>0</v>
      </c>
      <c r="AG62" s="89">
        <f ca="1" t="shared" si="40"/>
        <v>0</v>
      </c>
      <c r="AH62" s="89">
        <f ca="1" t="shared" si="40"/>
        <v>19110.3808316471</v>
      </c>
      <c r="AI62" s="89">
        <f ca="1" t="shared" si="40"/>
        <v>32116.9786266284</v>
      </c>
      <c r="AJ62" s="89">
        <f ca="1" t="shared" si="40"/>
        <v>63088.2326830217</v>
      </c>
      <c r="AK62" s="89">
        <f ca="1" t="shared" si="40"/>
        <v>93966.2909811369</v>
      </c>
      <c r="AL62" s="89">
        <f ca="1" t="shared" si="40"/>
        <v>124808.934891106</v>
      </c>
      <c r="AM62" s="89">
        <f ca="1" t="shared" ref="AM62:BA62" si="41">AM60+AM61</f>
        <v>155180.896929911</v>
      </c>
      <c r="AN62" s="89">
        <f ca="1" t="shared" si="41"/>
        <v>184683.017858809</v>
      </c>
      <c r="AO62" s="89">
        <f ca="1" t="shared" si="41"/>
        <v>215501.722028653</v>
      </c>
      <c r="AP62" s="89">
        <f ca="1" t="shared" si="41"/>
        <v>238689.136907523</v>
      </c>
      <c r="AQ62" s="89">
        <f ca="1" t="shared" si="41"/>
        <v>249535.731469337</v>
      </c>
      <c r="AR62" s="89">
        <f ca="1" t="shared" si="41"/>
        <v>256978.329312139</v>
      </c>
      <c r="AS62" s="89">
        <f ca="1" t="shared" si="41"/>
        <v>245611.158432297</v>
      </c>
      <c r="AT62" s="89">
        <f ca="1" t="shared" si="41"/>
        <v>252108.781003601</v>
      </c>
      <c r="AU62" s="89">
        <f ca="1" t="shared" si="41"/>
        <v>258475.259948724</v>
      </c>
      <c r="AV62" s="89">
        <f ca="1" t="shared" si="41"/>
        <v>263509.365289351</v>
      </c>
      <c r="AW62" s="89">
        <f ca="1" t="shared" si="41"/>
        <v>269393.755938014</v>
      </c>
      <c r="AX62" s="89">
        <f ca="1" t="shared" si="41"/>
        <v>275732.557075666</v>
      </c>
      <c r="AY62" s="89">
        <f ca="1" t="shared" si="41"/>
        <v>281720.696400967</v>
      </c>
      <c r="AZ62" s="89">
        <f ca="1" t="shared" si="41"/>
        <v>288188.371577025</v>
      </c>
      <c r="BA62" s="91">
        <f ca="1" t="shared" si="41"/>
        <v>340034.557921546</v>
      </c>
    </row>
    <row r="65" s="4" customFormat="1" ht="22" customHeight="1" spans="2:53">
      <c r="B65" s="92"/>
      <c r="C65" s="93" t="s">
        <v>1047</v>
      </c>
      <c r="D65" s="75"/>
      <c r="E65" s="50" t="s">
        <v>130</v>
      </c>
      <c r="F65" s="94">
        <v>0</v>
      </c>
      <c r="G65" s="94">
        <v>0</v>
      </c>
      <c r="H65" s="94">
        <v>0</v>
      </c>
      <c r="I65" s="94">
        <v>0</v>
      </c>
      <c r="J65" s="94">
        <v>0</v>
      </c>
      <c r="K65" s="94">
        <v>0</v>
      </c>
      <c r="L65" s="94">
        <v>0</v>
      </c>
      <c r="M65" s="94">
        <v>0</v>
      </c>
      <c r="N65" s="94">
        <v>0</v>
      </c>
      <c r="O65" s="94">
        <v>0</v>
      </c>
      <c r="P65" s="94">
        <v>0</v>
      </c>
      <c r="Q65" s="94">
        <v>0</v>
      </c>
      <c r="R65" s="94">
        <v>0</v>
      </c>
      <c r="S65" s="94">
        <v>0</v>
      </c>
      <c r="T65" s="94">
        <v>0</v>
      </c>
      <c r="U65" s="94">
        <v>0</v>
      </c>
      <c r="V65" s="94">
        <v>0</v>
      </c>
      <c r="W65" s="94">
        <v>0</v>
      </c>
      <c r="X65" s="94">
        <v>0</v>
      </c>
      <c r="Y65" s="94">
        <v>0</v>
      </c>
      <c r="Z65" s="94">
        <v>0</v>
      </c>
      <c r="AA65" s="94">
        <v>0</v>
      </c>
      <c r="AB65" s="94">
        <v>0</v>
      </c>
      <c r="AC65" s="94">
        <v>0</v>
      </c>
      <c r="AD65" s="94">
        <v>0</v>
      </c>
      <c r="AE65" s="94">
        <v>0</v>
      </c>
      <c r="AF65" s="94">
        <v>0</v>
      </c>
      <c r="AG65" s="94">
        <v>0</v>
      </c>
      <c r="AH65" s="94">
        <v>0</v>
      </c>
      <c r="AI65" s="94">
        <v>0</v>
      </c>
      <c r="AJ65" s="94">
        <v>0</v>
      </c>
      <c r="AK65" s="94">
        <v>0</v>
      </c>
      <c r="AL65" s="94">
        <v>0</v>
      </c>
      <c r="AM65" s="94">
        <v>0</v>
      </c>
      <c r="AN65" s="94">
        <v>0</v>
      </c>
      <c r="AO65" s="94">
        <v>0</v>
      </c>
      <c r="AP65" s="94">
        <v>0</v>
      </c>
      <c r="AQ65" s="94">
        <v>0</v>
      </c>
      <c r="AR65" s="94">
        <v>0</v>
      </c>
      <c r="AS65" s="94">
        <v>0</v>
      </c>
      <c r="AT65" s="94">
        <v>0</v>
      </c>
      <c r="AU65" s="94">
        <v>0</v>
      </c>
      <c r="AV65" s="94">
        <v>0</v>
      </c>
      <c r="AW65" s="94">
        <v>0</v>
      </c>
      <c r="AX65" s="94">
        <v>0</v>
      </c>
      <c r="AY65" s="94">
        <v>0</v>
      </c>
      <c r="AZ65" s="94">
        <v>0</v>
      </c>
      <c r="BA65" s="94">
        <v>0</v>
      </c>
    </row>
    <row r="66" s="4" customFormat="1" ht="22" customHeight="1" spans="2:53">
      <c r="B66" s="92"/>
      <c r="C66" s="95" t="s">
        <v>1016</v>
      </c>
      <c r="D66" s="96"/>
      <c r="E66" s="50" t="s">
        <v>130</v>
      </c>
      <c r="F66" s="73">
        <f ca="1">F32</f>
        <v>0</v>
      </c>
      <c r="G66" s="73">
        <f ca="1" t="shared" ref="G66:BA66" si="42">G32</f>
        <v>0</v>
      </c>
      <c r="H66" s="73">
        <f ca="1" t="shared" si="42"/>
        <v>0</v>
      </c>
      <c r="I66" s="73">
        <f ca="1" t="shared" si="42"/>
        <v>0</v>
      </c>
      <c r="J66" s="73">
        <f ca="1" t="shared" si="42"/>
        <v>0</v>
      </c>
      <c r="K66" s="73">
        <f ca="1" t="shared" si="42"/>
        <v>0</v>
      </c>
      <c r="L66" s="73">
        <f ca="1" t="shared" si="42"/>
        <v>0</v>
      </c>
      <c r="M66" s="73">
        <f ca="1" t="shared" si="42"/>
        <v>21468.1418371169</v>
      </c>
      <c r="N66" s="73">
        <f ca="1" t="shared" si="42"/>
        <v>66429.1176421921</v>
      </c>
      <c r="O66" s="73">
        <f ca="1" t="shared" si="42"/>
        <v>84776.9260379729</v>
      </c>
      <c r="P66" s="73">
        <f ca="1" t="shared" si="42"/>
        <v>82877.4008013089</v>
      </c>
      <c r="Q66" s="73">
        <f ca="1" t="shared" si="42"/>
        <v>82541.4021028034</v>
      </c>
      <c r="R66" s="73">
        <f ca="1" t="shared" si="42"/>
        <v>82224.7847938648</v>
      </c>
      <c r="S66" s="73">
        <f ca="1" t="shared" si="42"/>
        <v>75781.4455613749</v>
      </c>
      <c r="T66" s="73">
        <f ca="1" t="shared" si="42"/>
        <v>67152.7705592</v>
      </c>
      <c r="U66" s="73">
        <f ca="1" t="shared" si="42"/>
        <v>66873.2306533776</v>
      </c>
      <c r="V66" s="73">
        <f ca="1" t="shared" si="42"/>
        <v>66589.1882446828</v>
      </c>
      <c r="W66" s="73">
        <f ca="1" t="shared" si="42"/>
        <v>66302.6378881733</v>
      </c>
      <c r="X66" s="73">
        <f ca="1" t="shared" si="42"/>
        <v>65810.8980895067</v>
      </c>
      <c r="Y66" s="73">
        <f ca="1" t="shared" si="42"/>
        <v>68264.689020716</v>
      </c>
      <c r="Z66" s="73">
        <f ca="1" t="shared" si="42"/>
        <v>66260.5041036368</v>
      </c>
      <c r="AA66" s="73">
        <f ca="1" t="shared" si="42"/>
        <v>65937.5781990569</v>
      </c>
      <c r="AB66" s="73">
        <f ca="1" t="shared" si="42"/>
        <v>65476.0918526076</v>
      </c>
      <c r="AC66" s="73">
        <f ca="1" t="shared" si="42"/>
        <v>64418.328114707</v>
      </c>
      <c r="AD66" s="73">
        <f ca="1" t="shared" si="42"/>
        <v>64100.6705297445</v>
      </c>
      <c r="AE66" s="73">
        <f ca="1" t="shared" si="42"/>
        <v>62802.0978888077</v>
      </c>
      <c r="AF66" s="73">
        <f ca="1" t="shared" si="42"/>
        <v>61525.3152154693</v>
      </c>
      <c r="AG66" s="73">
        <f ca="1" t="shared" si="42"/>
        <v>60568.2831787163</v>
      </c>
      <c r="AH66" s="73">
        <f ca="1" t="shared" si="42"/>
        <v>59526.1185997461</v>
      </c>
      <c r="AI66" s="73">
        <f ca="1" t="shared" si="42"/>
        <v>61637.9466238911</v>
      </c>
      <c r="AJ66" s="73">
        <f ca="1" t="shared" si="42"/>
        <v>59847.8548807718</v>
      </c>
      <c r="AK66" s="73">
        <f ca="1" t="shared" si="42"/>
        <v>59847.8548807718</v>
      </c>
      <c r="AL66" s="73">
        <f ca="1" t="shared" si="42"/>
        <v>59847.8548807718</v>
      </c>
      <c r="AM66" s="73">
        <f ca="1" t="shared" si="42"/>
        <v>59392.6071743498</v>
      </c>
      <c r="AN66" s="73">
        <f ca="1" t="shared" si="42"/>
        <v>60034.9168276745</v>
      </c>
      <c r="AO66" s="73">
        <f ca="1" t="shared" si="42"/>
        <v>59847.8548807718</v>
      </c>
      <c r="AP66" s="73">
        <f ca="1" t="shared" si="42"/>
        <v>56572.0289312626</v>
      </c>
      <c r="AQ66" s="73">
        <f ca="1" t="shared" si="42"/>
        <v>51985.8726019496</v>
      </c>
      <c r="AR66" s="73">
        <f ca="1" t="shared" si="42"/>
        <v>51530.6248955276</v>
      </c>
      <c r="AS66" s="73">
        <f ca="1" t="shared" si="42"/>
        <v>53837.1264245796</v>
      </c>
      <c r="AT66" s="73">
        <f ca="1" t="shared" si="42"/>
        <v>52047.0346814603</v>
      </c>
      <c r="AU66" s="73">
        <f ca="1" t="shared" si="42"/>
        <v>52047.0346814603</v>
      </c>
      <c r="AV66" s="73">
        <f ca="1" t="shared" si="42"/>
        <v>52250.689548717</v>
      </c>
      <c r="AW66" s="73">
        <f ca="1" t="shared" si="42"/>
        <v>51608.3798953923</v>
      </c>
      <c r="AX66" s="73">
        <f ca="1" t="shared" si="42"/>
        <v>52063.6276018143</v>
      </c>
      <c r="AY66" s="73">
        <f ca="1" t="shared" si="42"/>
        <v>51654.2514550253</v>
      </c>
      <c r="AZ66" s="73">
        <f ca="1" t="shared" si="42"/>
        <v>52109.4991614473</v>
      </c>
      <c r="BA66" s="73">
        <f ca="1" t="shared" si="42"/>
        <v>62072.8888869093</v>
      </c>
    </row>
    <row r="67" s="4" customFormat="1" ht="22" customHeight="1" spans="2:53">
      <c r="B67" s="92"/>
      <c r="C67" s="95" t="s">
        <v>1030</v>
      </c>
      <c r="D67" s="97"/>
      <c r="E67" s="50" t="s">
        <v>130</v>
      </c>
      <c r="F67" s="73">
        <f ca="1">F46</f>
        <v>-95511.3167916022</v>
      </c>
      <c r="G67" s="73">
        <f ca="1" t="shared" ref="G67:BA67" si="43">G46</f>
        <v>-95902.9358091799</v>
      </c>
      <c r="H67" s="73">
        <f ca="1" t="shared" si="43"/>
        <v>-111527.372453866</v>
      </c>
      <c r="I67" s="73">
        <f ca="1" t="shared" si="43"/>
        <v>-124982.577606385</v>
      </c>
      <c r="J67" s="73">
        <f ca="1" t="shared" si="43"/>
        <v>-167811.542912955</v>
      </c>
      <c r="K67" s="73">
        <f ca="1" t="shared" si="43"/>
        <v>-160422.325243849</v>
      </c>
      <c r="L67" s="73">
        <f ca="1" t="shared" si="43"/>
        <v>-143340.106328929</v>
      </c>
      <c r="M67" s="73">
        <f ca="1" t="shared" si="43"/>
        <v>-67447.5070778898</v>
      </c>
      <c r="N67" s="73">
        <f ca="1" t="shared" si="43"/>
        <v>0</v>
      </c>
      <c r="O67" s="73">
        <f ca="1" t="shared" si="43"/>
        <v>0</v>
      </c>
      <c r="P67" s="73">
        <f ca="1" t="shared" si="43"/>
        <v>0</v>
      </c>
      <c r="Q67" s="73">
        <f ca="1" t="shared" si="43"/>
        <v>0</v>
      </c>
      <c r="R67" s="73">
        <f ca="1" t="shared" si="43"/>
        <v>0</v>
      </c>
      <c r="S67" s="73">
        <f ca="1" t="shared" si="43"/>
        <v>0</v>
      </c>
      <c r="T67" s="73">
        <f ca="1" t="shared" si="43"/>
        <v>0</v>
      </c>
      <c r="U67" s="73">
        <f ca="1" t="shared" si="43"/>
        <v>0</v>
      </c>
      <c r="V67" s="73">
        <f ca="1" t="shared" si="43"/>
        <v>0</v>
      </c>
      <c r="W67" s="73">
        <f ca="1" t="shared" si="43"/>
        <v>0</v>
      </c>
      <c r="X67" s="73">
        <f ca="1" t="shared" si="43"/>
        <v>-1500</v>
      </c>
      <c r="Y67" s="73">
        <f ca="1" t="shared" si="43"/>
        <v>-20000</v>
      </c>
      <c r="Z67" s="73">
        <f ca="1" t="shared" si="43"/>
        <v>0</v>
      </c>
      <c r="AA67" s="73">
        <f ca="1" t="shared" si="43"/>
        <v>0</v>
      </c>
      <c r="AB67" s="73">
        <f ca="1" t="shared" si="43"/>
        <v>0</v>
      </c>
      <c r="AC67" s="73">
        <f ca="1" t="shared" si="43"/>
        <v>0</v>
      </c>
      <c r="AD67" s="73">
        <f ca="1" t="shared" si="43"/>
        <v>0</v>
      </c>
      <c r="AE67" s="73">
        <f ca="1" t="shared" si="43"/>
        <v>0</v>
      </c>
      <c r="AF67" s="73">
        <f ca="1" t="shared" si="43"/>
        <v>-1500</v>
      </c>
      <c r="AG67" s="73">
        <f ca="1" t="shared" si="43"/>
        <v>0</v>
      </c>
      <c r="AH67" s="73">
        <f ca="1" t="shared" si="43"/>
        <v>0</v>
      </c>
      <c r="AI67" s="73">
        <f ca="1" t="shared" si="43"/>
        <v>-20000</v>
      </c>
      <c r="AJ67" s="73">
        <f ca="1" t="shared" si="43"/>
        <v>0</v>
      </c>
      <c r="AK67" s="73">
        <f ca="1" t="shared" si="43"/>
        <v>0</v>
      </c>
      <c r="AL67" s="73">
        <f ca="1" t="shared" si="43"/>
        <v>0</v>
      </c>
      <c r="AM67" s="73">
        <f ca="1" t="shared" si="43"/>
        <v>0</v>
      </c>
      <c r="AN67" s="73">
        <f ca="1" t="shared" si="43"/>
        <v>-1500</v>
      </c>
      <c r="AO67" s="73">
        <f ca="1" t="shared" si="43"/>
        <v>0</v>
      </c>
      <c r="AP67" s="73">
        <f ca="1" t="shared" si="43"/>
        <v>0</v>
      </c>
      <c r="AQ67" s="73">
        <f ca="1" t="shared" si="43"/>
        <v>0</v>
      </c>
      <c r="AR67" s="73">
        <f ca="1" t="shared" si="43"/>
        <v>0</v>
      </c>
      <c r="AS67" s="73">
        <f ca="1" t="shared" si="43"/>
        <v>-20000</v>
      </c>
      <c r="AT67" s="73">
        <f ca="1" t="shared" si="43"/>
        <v>0</v>
      </c>
      <c r="AU67" s="73">
        <f ca="1" t="shared" si="43"/>
        <v>0</v>
      </c>
      <c r="AV67" s="73">
        <f ca="1" t="shared" si="43"/>
        <v>-1500</v>
      </c>
      <c r="AW67" s="73">
        <f ca="1" t="shared" si="43"/>
        <v>0</v>
      </c>
      <c r="AX67" s="73">
        <f ca="1" t="shared" si="43"/>
        <v>0</v>
      </c>
      <c r="AY67" s="73">
        <f ca="1" t="shared" si="43"/>
        <v>0</v>
      </c>
      <c r="AZ67" s="73">
        <f ca="1" t="shared" si="43"/>
        <v>0</v>
      </c>
      <c r="BA67" s="73">
        <f ca="1" t="shared" si="43"/>
        <v>45319.5589624292</v>
      </c>
    </row>
    <row r="68" s="4" customFormat="1" ht="22" customHeight="1" spans="2:53">
      <c r="B68" s="92"/>
      <c r="C68" s="95" t="s">
        <v>1042</v>
      </c>
      <c r="D68" s="75"/>
      <c r="E68" s="50" t="s">
        <v>130</v>
      </c>
      <c r="F68" s="73">
        <f ca="1">F69-F72</f>
        <v>95511.3167916022</v>
      </c>
      <c r="G68" s="73">
        <f ca="1" t="shared" ref="G68:BA68" si="44">G69-G72</f>
        <v>95902.9358091799</v>
      </c>
      <c r="H68" s="73">
        <f ca="1" t="shared" si="44"/>
        <v>111527.372453866</v>
      </c>
      <c r="I68" s="73">
        <f ca="1" t="shared" si="44"/>
        <v>124982.577606385</v>
      </c>
      <c r="J68" s="73">
        <f ca="1" t="shared" si="44"/>
        <v>167811.542912955</v>
      </c>
      <c r="K68" s="73">
        <f ca="1" t="shared" si="44"/>
        <v>160422.325243849</v>
      </c>
      <c r="L68" s="73">
        <f ca="1" t="shared" si="44"/>
        <v>143340.106328929</v>
      </c>
      <c r="M68" s="73">
        <f ca="1" t="shared" si="44"/>
        <v>42796.5470278342</v>
      </c>
      <c r="N68" s="73">
        <f ca="1" t="shared" si="44"/>
        <v>-86170.2049814974</v>
      </c>
      <c r="O68" s="73">
        <f ca="1" t="shared" si="44"/>
        <v>-86762.8104805792</v>
      </c>
      <c r="P68" s="73">
        <f ca="1" t="shared" si="44"/>
        <v>-81122.985994262</v>
      </c>
      <c r="Q68" s="73">
        <f ca="1" t="shared" si="44"/>
        <v>-86507.804120651</v>
      </c>
      <c r="R68" s="73">
        <f ca="1" t="shared" si="44"/>
        <v>-86306.4363573753</v>
      </c>
      <c r="S68" s="73">
        <f ca="1" t="shared" si="44"/>
        <v>-84501.4710068595</v>
      </c>
      <c r="T68" s="73">
        <f ca="1" t="shared" si="44"/>
        <v>-83332.0797507932</v>
      </c>
      <c r="U68" s="73">
        <f ca="1" t="shared" si="44"/>
        <v>-82781.4840647524</v>
      </c>
      <c r="V68" s="73">
        <f ca="1" t="shared" si="44"/>
        <v>-82357.3099593468</v>
      </c>
      <c r="W68" s="73">
        <f ca="1" t="shared" si="44"/>
        <v>-81981.8549694319</v>
      </c>
      <c r="X68" s="73">
        <f ca="1" t="shared" si="44"/>
        <v>-81286.1025713355</v>
      </c>
      <c r="Y68" s="73">
        <f ca="1" t="shared" si="44"/>
        <v>-80425.4997716903</v>
      </c>
      <c r="Z68" s="73">
        <f ca="1" t="shared" si="44"/>
        <v>-80135.0168563164</v>
      </c>
      <c r="AA68" s="73">
        <f ca="1" t="shared" si="44"/>
        <v>-79529.1898066484</v>
      </c>
      <c r="AB68" s="73">
        <f ca="1" t="shared" si="44"/>
        <v>-66696.6829733808</v>
      </c>
      <c r="AC68" s="73">
        <f ca="1" t="shared" si="44"/>
        <v>-29532.3448380697</v>
      </c>
      <c r="AD68" s="73">
        <f ca="1" t="shared" si="44"/>
        <v>-28401.695689071</v>
      </c>
      <c r="AE68" s="73">
        <f ca="1" t="shared" si="44"/>
        <v>-28108.8477834545</v>
      </c>
      <c r="AF68" s="73">
        <f ca="1" t="shared" si="44"/>
        <v>-28512.5624576111</v>
      </c>
      <c r="AG68" s="73">
        <f ca="1" t="shared" si="44"/>
        <v>-28270.9820689603</v>
      </c>
      <c r="AH68" s="73">
        <f ca="1" t="shared" si="44"/>
        <v>-28222.9135309931</v>
      </c>
      <c r="AI68" s="73">
        <f ca="1" t="shared" si="44"/>
        <v>-28631.3488289098</v>
      </c>
      <c r="AJ68" s="73">
        <f ca="1" t="shared" si="44"/>
        <v>-28876.6008243785</v>
      </c>
      <c r="AK68" s="73">
        <f ca="1" t="shared" si="44"/>
        <v>-28969.7965826567</v>
      </c>
      <c r="AL68" s="73">
        <f ca="1" t="shared" si="44"/>
        <v>-29005.2109708024</v>
      </c>
      <c r="AM68" s="73">
        <f ca="1" t="shared" si="44"/>
        <v>-29020.6451355454</v>
      </c>
      <c r="AN68" s="73">
        <f ca="1" t="shared" si="44"/>
        <v>-29032.7958987762</v>
      </c>
      <c r="AO68" s="73">
        <f ca="1" t="shared" si="44"/>
        <v>-29029.1507109278</v>
      </c>
      <c r="AP68" s="73">
        <f ca="1" t="shared" si="44"/>
        <v>-33384.6140523927</v>
      </c>
      <c r="AQ68" s="73">
        <f ca="1" t="shared" si="44"/>
        <v>-41139.2780401356</v>
      </c>
      <c r="AR68" s="73">
        <f ca="1" t="shared" si="44"/>
        <v>-44088.0270527256</v>
      </c>
      <c r="AS68" s="73">
        <f ca="1" t="shared" si="44"/>
        <v>-45204.2973044211</v>
      </c>
      <c r="AT68" s="73">
        <f ca="1" t="shared" si="44"/>
        <v>-45549.4121101572</v>
      </c>
      <c r="AU68" s="73">
        <f ca="1" t="shared" si="44"/>
        <v>-45680.5557363368</v>
      </c>
      <c r="AV68" s="73">
        <f ca="1" t="shared" si="44"/>
        <v>-45716.5842080904</v>
      </c>
      <c r="AW68" s="73">
        <f ca="1" t="shared" si="44"/>
        <v>-45723.9892467284</v>
      </c>
      <c r="AX68" s="73">
        <f ca="1" t="shared" si="44"/>
        <v>-45724.8264641631</v>
      </c>
      <c r="AY68" s="73">
        <f ca="1" t="shared" si="44"/>
        <v>-45666.1121297241</v>
      </c>
      <c r="AZ68" s="73">
        <f ca="1" t="shared" si="44"/>
        <v>-45641.8239853896</v>
      </c>
      <c r="BA68" s="73">
        <f ca="1" t="shared" si="44"/>
        <v>-55546.2615048168</v>
      </c>
    </row>
    <row r="69" s="4" customFormat="1" ht="22" customHeight="1" spans="2:53">
      <c r="B69" s="92"/>
      <c r="C69" s="54" t="s">
        <v>1036</v>
      </c>
      <c r="D69" s="75"/>
      <c r="E69" s="50" t="s">
        <v>130</v>
      </c>
      <c r="F69" s="51">
        <f ca="1">SUM(F70:F71)</f>
        <v>95511.3167916022</v>
      </c>
      <c r="G69" s="51">
        <f ca="1" t="shared" ref="G69:BA69" si="45">SUM(G70:G71)</f>
        <v>95902.9358091799</v>
      </c>
      <c r="H69" s="51">
        <f ca="1" t="shared" si="45"/>
        <v>111527.372453866</v>
      </c>
      <c r="I69" s="51">
        <f ca="1" t="shared" si="45"/>
        <v>124982.577606385</v>
      </c>
      <c r="J69" s="51">
        <f ca="1" t="shared" si="45"/>
        <v>167811.542912955</v>
      </c>
      <c r="K69" s="51">
        <f ca="1" t="shared" si="45"/>
        <v>160422.325243849</v>
      </c>
      <c r="L69" s="51">
        <f ca="1" t="shared" si="45"/>
        <v>143340.106328929</v>
      </c>
      <c r="M69" s="51">
        <f ca="1" t="shared" si="45"/>
        <v>73883.5937685496</v>
      </c>
      <c r="N69" s="51">
        <f ca="1" t="shared" si="45"/>
        <v>4505.26068346191</v>
      </c>
      <c r="O69" s="51">
        <f ca="1" t="shared" si="45"/>
        <v>4505.26068346191</v>
      </c>
      <c r="P69" s="51">
        <f ca="1" t="shared" si="45"/>
        <v>9505.26068346191</v>
      </c>
      <c r="Q69" s="51">
        <f ca="1" t="shared" si="45"/>
        <v>4505.26068346191</v>
      </c>
      <c r="R69" s="51">
        <f ca="1" t="shared" si="45"/>
        <v>4505.26068346191</v>
      </c>
      <c r="S69" s="51">
        <f ca="1" t="shared" si="45"/>
        <v>4505.26068346191</v>
      </c>
      <c r="T69" s="51">
        <f ca="1" t="shared" si="45"/>
        <v>4505.26068346191</v>
      </c>
      <c r="U69" s="51">
        <f ca="1" t="shared" si="45"/>
        <v>4505.26068346191</v>
      </c>
      <c r="V69" s="51">
        <f ca="1" t="shared" si="45"/>
        <v>4505.26068346191</v>
      </c>
      <c r="W69" s="51">
        <f ca="1" t="shared" si="45"/>
        <v>4505.26068346191</v>
      </c>
      <c r="X69" s="51">
        <f ca="1" t="shared" si="45"/>
        <v>4505.26068346191</v>
      </c>
      <c r="Y69" s="51">
        <f ca="1" t="shared" si="45"/>
        <v>4505.26068346191</v>
      </c>
      <c r="Z69" s="51">
        <f ca="1" t="shared" si="45"/>
        <v>4505.26068346191</v>
      </c>
      <c r="AA69" s="51">
        <f ca="1" t="shared" si="45"/>
        <v>4505.26068346191</v>
      </c>
      <c r="AB69" s="51">
        <f ca="1" t="shared" si="45"/>
        <v>4505.26068346191</v>
      </c>
      <c r="AC69" s="51">
        <f ca="1" t="shared" si="45"/>
        <v>4505.26068346191</v>
      </c>
      <c r="AD69" s="51">
        <f ca="1" t="shared" si="45"/>
        <v>4505.26068346191</v>
      </c>
      <c r="AE69" s="51">
        <f ca="1" t="shared" si="45"/>
        <v>4505.26068346191</v>
      </c>
      <c r="AF69" s="51">
        <f ca="1" t="shared" si="45"/>
        <v>4505.26068346191</v>
      </c>
      <c r="AG69" s="51">
        <f ca="1" t="shared" si="45"/>
        <v>4505.26068346191</v>
      </c>
      <c r="AH69" s="51">
        <f ca="1" t="shared" si="45"/>
        <v>4505.26068346191</v>
      </c>
      <c r="AI69" s="51">
        <f ca="1" t="shared" si="45"/>
        <v>4505.26068346191</v>
      </c>
      <c r="AJ69" s="51">
        <f ca="1" t="shared" si="45"/>
        <v>4505.26068346191</v>
      </c>
      <c r="AK69" s="51">
        <f ca="1" t="shared" si="45"/>
        <v>4505.26068346191</v>
      </c>
      <c r="AL69" s="51">
        <f ca="1" t="shared" si="45"/>
        <v>4505.26068346191</v>
      </c>
      <c r="AM69" s="51">
        <f ca="1" t="shared" si="45"/>
        <v>4505.26068346191</v>
      </c>
      <c r="AN69" s="51">
        <f ca="1" t="shared" si="45"/>
        <v>4505.26068346191</v>
      </c>
      <c r="AO69" s="51">
        <f ca="1" t="shared" si="45"/>
        <v>4505.26068346191</v>
      </c>
      <c r="AP69" s="51">
        <f ca="1" t="shared" si="45"/>
        <v>4505.26068346191</v>
      </c>
      <c r="AQ69" s="51">
        <f ca="1" t="shared" si="45"/>
        <v>4505.26068346191</v>
      </c>
      <c r="AR69" s="51">
        <f ca="1" t="shared" si="45"/>
        <v>4505.26068346191</v>
      </c>
      <c r="AS69" s="51">
        <f ca="1" t="shared" si="45"/>
        <v>4505.26068346191</v>
      </c>
      <c r="AT69" s="51">
        <f ca="1" t="shared" si="45"/>
        <v>4505.26068346191</v>
      </c>
      <c r="AU69" s="51">
        <f ca="1" t="shared" si="45"/>
        <v>4505.26068346191</v>
      </c>
      <c r="AV69" s="51">
        <f ca="1" t="shared" si="45"/>
        <v>4505.26068346191</v>
      </c>
      <c r="AW69" s="51">
        <f ca="1" t="shared" si="45"/>
        <v>4505.26068346191</v>
      </c>
      <c r="AX69" s="51">
        <f ca="1" t="shared" si="45"/>
        <v>4505.26068346191</v>
      </c>
      <c r="AY69" s="51">
        <f ca="1" t="shared" si="45"/>
        <v>4505.26068346191</v>
      </c>
      <c r="AZ69" s="51">
        <f ca="1" t="shared" si="45"/>
        <v>4505.26068346191</v>
      </c>
      <c r="BA69" s="51">
        <f ca="1" t="shared" si="45"/>
        <v>4505.26068346191</v>
      </c>
    </row>
    <row r="70" s="4" customFormat="1" ht="22" customHeight="1" spans="2:53">
      <c r="B70" s="92"/>
      <c r="C70" s="49" t="s">
        <v>1032</v>
      </c>
      <c r="D70" s="75"/>
      <c r="E70" s="50" t="s">
        <v>130</v>
      </c>
      <c r="F70" s="51">
        <f ca="1">F48</f>
        <v>23877.8291979006</v>
      </c>
      <c r="G70" s="51">
        <f ca="1" t="shared" ref="G70:BA70" si="46">G48</f>
        <v>23975.733952295</v>
      </c>
      <c r="H70" s="51">
        <f ca="1" t="shared" si="46"/>
        <v>27881.8431134666</v>
      </c>
      <c r="I70" s="51">
        <f ca="1" t="shared" si="46"/>
        <v>31245.6444015962</v>
      </c>
      <c r="J70" s="51">
        <f ca="1" t="shared" si="46"/>
        <v>41952.8857282388</v>
      </c>
      <c r="K70" s="51">
        <f ca="1" t="shared" si="46"/>
        <v>40105.5813109623</v>
      </c>
      <c r="L70" s="51">
        <f ca="1" t="shared" si="46"/>
        <v>35835.0265822323</v>
      </c>
      <c r="M70" s="51">
        <f ca="1" t="shared" si="46"/>
        <v>18792.7027766704</v>
      </c>
      <c r="N70" s="51">
        <f ca="1" t="shared" si="46"/>
        <v>0</v>
      </c>
      <c r="O70" s="51">
        <f ca="1" t="shared" si="46"/>
        <v>0</v>
      </c>
      <c r="P70" s="51">
        <f ca="1" t="shared" si="46"/>
        <v>0</v>
      </c>
      <c r="Q70" s="51">
        <f ca="1" t="shared" si="46"/>
        <v>0</v>
      </c>
      <c r="R70" s="51">
        <f ca="1" t="shared" si="46"/>
        <v>0</v>
      </c>
      <c r="S70" s="51">
        <f ca="1" t="shared" si="46"/>
        <v>0</v>
      </c>
      <c r="T70" s="51">
        <f ca="1" t="shared" si="46"/>
        <v>0</v>
      </c>
      <c r="U70" s="51">
        <f ca="1" t="shared" si="46"/>
        <v>0</v>
      </c>
      <c r="V70" s="51">
        <f ca="1" t="shared" si="46"/>
        <v>0</v>
      </c>
      <c r="W70" s="51">
        <f ca="1" t="shared" si="46"/>
        <v>0</v>
      </c>
      <c r="X70" s="51">
        <f ca="1" t="shared" si="46"/>
        <v>0</v>
      </c>
      <c r="Y70" s="51">
        <f ca="1" t="shared" si="46"/>
        <v>0</v>
      </c>
      <c r="Z70" s="51">
        <f ca="1" t="shared" si="46"/>
        <v>0</v>
      </c>
      <c r="AA70" s="51">
        <f ca="1" t="shared" si="46"/>
        <v>0</v>
      </c>
      <c r="AB70" s="51">
        <f ca="1" t="shared" si="46"/>
        <v>0</v>
      </c>
      <c r="AC70" s="51">
        <f ca="1" t="shared" si="46"/>
        <v>0</v>
      </c>
      <c r="AD70" s="51">
        <f ca="1" t="shared" si="46"/>
        <v>0</v>
      </c>
      <c r="AE70" s="51">
        <f ca="1" t="shared" si="46"/>
        <v>0</v>
      </c>
      <c r="AF70" s="51">
        <f ca="1" t="shared" si="46"/>
        <v>0</v>
      </c>
      <c r="AG70" s="51">
        <f ca="1" t="shared" si="46"/>
        <v>0</v>
      </c>
      <c r="AH70" s="51">
        <f ca="1" t="shared" si="46"/>
        <v>0</v>
      </c>
      <c r="AI70" s="51">
        <f ca="1" t="shared" si="46"/>
        <v>0</v>
      </c>
      <c r="AJ70" s="51">
        <f ca="1" t="shared" si="46"/>
        <v>0</v>
      </c>
      <c r="AK70" s="51">
        <f ca="1" t="shared" si="46"/>
        <v>0</v>
      </c>
      <c r="AL70" s="51">
        <f ca="1" t="shared" si="46"/>
        <v>0</v>
      </c>
      <c r="AM70" s="51">
        <f ca="1" t="shared" si="46"/>
        <v>0</v>
      </c>
      <c r="AN70" s="51">
        <f ca="1" t="shared" si="46"/>
        <v>0</v>
      </c>
      <c r="AO70" s="51">
        <f ca="1" t="shared" si="46"/>
        <v>0</v>
      </c>
      <c r="AP70" s="51">
        <f ca="1" t="shared" si="46"/>
        <v>0</v>
      </c>
      <c r="AQ70" s="51">
        <f ca="1" t="shared" si="46"/>
        <v>0</v>
      </c>
      <c r="AR70" s="51">
        <f ca="1" t="shared" si="46"/>
        <v>0</v>
      </c>
      <c r="AS70" s="51">
        <f ca="1" t="shared" si="46"/>
        <v>0</v>
      </c>
      <c r="AT70" s="51">
        <f ca="1" t="shared" si="46"/>
        <v>0</v>
      </c>
      <c r="AU70" s="51">
        <f ca="1" t="shared" si="46"/>
        <v>0</v>
      </c>
      <c r="AV70" s="51">
        <f ca="1" t="shared" si="46"/>
        <v>0</v>
      </c>
      <c r="AW70" s="51">
        <f ca="1" t="shared" si="46"/>
        <v>0</v>
      </c>
      <c r="AX70" s="51">
        <f ca="1" t="shared" si="46"/>
        <v>0</v>
      </c>
      <c r="AY70" s="51">
        <f ca="1" t="shared" si="46"/>
        <v>0</v>
      </c>
      <c r="AZ70" s="51">
        <f ca="1" t="shared" si="46"/>
        <v>0</v>
      </c>
      <c r="BA70" s="51">
        <f ca="1" t="shared" si="46"/>
        <v>0</v>
      </c>
    </row>
    <row r="71" s="4" customFormat="1" ht="22" customHeight="1" spans="2:53">
      <c r="B71" s="92"/>
      <c r="C71" s="49" t="s">
        <v>1048</v>
      </c>
      <c r="D71" s="75"/>
      <c r="E71" s="50" t="s">
        <v>130</v>
      </c>
      <c r="F71" s="51">
        <f ca="1">'表1-资金筹措及还本付息表'!F166+'表1-资金筹措及还本付息表'!G166+'表1-资金筹措及还本付息表'!F274+'表1-资金筹措及还本付息表'!G274</f>
        <v>71633.4875937017</v>
      </c>
      <c r="G71" s="51">
        <f ca="1">'表1-资金筹措及还本付息表'!H166+'表1-资金筹措及还本付息表'!H274</f>
        <v>71927.2018568849</v>
      </c>
      <c r="H71" s="51">
        <f ca="1">'表1-资金筹措及还本付息表'!I166+'表1-资金筹措及还本付息表'!I274</f>
        <v>83645.5293403997</v>
      </c>
      <c r="I71" s="51">
        <f ca="1">'表1-资金筹措及还本付息表'!J166+'表1-资金筹措及还本付息表'!J274</f>
        <v>93736.9332047887</v>
      </c>
      <c r="J71" s="51">
        <f ca="1">'表1-资金筹措及还本付息表'!K166+'表1-资金筹措及还本付息表'!K274</f>
        <v>125858.657184717</v>
      </c>
      <c r="K71" s="51">
        <f ca="1">'表1-资金筹措及还本付息表'!L166+'表1-资金筹措及还本付息表'!L274</f>
        <v>120316.743932887</v>
      </c>
      <c r="L71" s="51">
        <f ca="1">'表1-资金筹措及还本付息表'!M166+'表1-资金筹措及还本付息表'!N166+'表1-资金筹措及还本付息表'!M274+'表1-资金筹措及还本付息表'!N274</f>
        <v>107505.079746697</v>
      </c>
      <c r="M71" s="51">
        <f ca="1">'表1-资金筹措及还本付息表'!O166+'表1-资金筹措及还本付息表'!P166+'表1-资金筹措及还本付息表'!Q166+'表1-资金筹措及还本付息表'!O274+'表1-资金筹措及还本付息表'!P274+'表1-资金筹措及还本付息表'!Q274</f>
        <v>55090.8909918792</v>
      </c>
      <c r="N71" s="51">
        <f ca="1">'表1-资金筹措及还本付息表'!R166+'表1-资金筹措及还本付息表'!R274</f>
        <v>4505.26068346191</v>
      </c>
      <c r="O71" s="51">
        <f ca="1">'表1-资金筹措及还本付息表'!S166+'表1-资金筹措及还本付息表'!S274</f>
        <v>4505.26068346191</v>
      </c>
      <c r="P71" s="51">
        <f ca="1">'表1-资金筹措及还本付息表'!T166+'表1-资金筹措及还本付息表'!T274</f>
        <v>9505.26068346191</v>
      </c>
      <c r="Q71" s="51">
        <f ca="1">'表1-资金筹措及还本付息表'!U166+'表1-资金筹措及还本付息表'!U274</f>
        <v>4505.26068346191</v>
      </c>
      <c r="R71" s="51">
        <f ca="1">'表1-资金筹措及还本付息表'!V166+'表1-资金筹措及还本付息表'!V274</f>
        <v>4505.26068346191</v>
      </c>
      <c r="S71" s="51">
        <f ca="1">'表1-资金筹措及还本付息表'!W166+'表1-资金筹措及还本付息表'!W274</f>
        <v>4505.26068346191</v>
      </c>
      <c r="T71" s="51">
        <f ca="1">'表1-资金筹措及还本付息表'!X166+'表1-资金筹措及还本付息表'!X274</f>
        <v>4505.26068346191</v>
      </c>
      <c r="U71" s="51">
        <f ca="1">'表1-资金筹措及还本付息表'!Y166+'表1-资金筹措及还本付息表'!Y274</f>
        <v>4505.26068346191</v>
      </c>
      <c r="V71" s="51">
        <f ca="1">'表1-资金筹措及还本付息表'!Z166+'表1-资金筹措及还本付息表'!Z274</f>
        <v>4505.26068346191</v>
      </c>
      <c r="W71" s="51">
        <f ca="1">'表1-资金筹措及还本付息表'!AA166+'表1-资金筹措及还本付息表'!AA274</f>
        <v>4505.26068346191</v>
      </c>
      <c r="X71" s="51">
        <f ca="1">'表1-资金筹措及还本付息表'!AB166+'表1-资金筹措及还本付息表'!AB274</f>
        <v>4505.26068346191</v>
      </c>
      <c r="Y71" s="51">
        <f ca="1">'表1-资金筹措及还本付息表'!AC166+'表1-资金筹措及还本付息表'!AC274</f>
        <v>4505.26068346191</v>
      </c>
      <c r="Z71" s="51">
        <f ca="1">'表1-资金筹措及还本付息表'!AD166+'表1-资金筹措及还本付息表'!AD274</f>
        <v>4505.26068346191</v>
      </c>
      <c r="AA71" s="51">
        <f ca="1">'表1-资金筹措及还本付息表'!AE166+'表1-资金筹措及还本付息表'!AE274</f>
        <v>4505.26068346191</v>
      </c>
      <c r="AB71" s="51">
        <f ca="1">'表1-资金筹措及还本付息表'!AF166+'表1-资金筹措及还本付息表'!AF274</f>
        <v>4505.26068346191</v>
      </c>
      <c r="AC71" s="51">
        <f ca="1">'表1-资金筹措及还本付息表'!AG166+'表1-资金筹措及还本付息表'!AG274</f>
        <v>4505.26068346191</v>
      </c>
      <c r="AD71" s="51">
        <f ca="1">'表1-资金筹措及还本付息表'!AH166+'表1-资金筹措及还本付息表'!AH274</f>
        <v>4505.26068346191</v>
      </c>
      <c r="AE71" s="51">
        <f ca="1">'表1-资金筹措及还本付息表'!AI166+'表1-资金筹措及还本付息表'!AI274</f>
        <v>4505.26068346191</v>
      </c>
      <c r="AF71" s="51">
        <f ca="1">'表1-资金筹措及还本付息表'!AJ166+'表1-资金筹措及还本付息表'!AJ274</f>
        <v>4505.26068346191</v>
      </c>
      <c r="AG71" s="51">
        <f ca="1">'表1-资金筹措及还本付息表'!AK166+'表1-资金筹措及还本付息表'!AK274</f>
        <v>4505.26068346191</v>
      </c>
      <c r="AH71" s="51">
        <f ca="1">'表1-资金筹措及还本付息表'!AL166+'表1-资金筹措及还本付息表'!AL274</f>
        <v>4505.26068346191</v>
      </c>
      <c r="AI71" s="51">
        <f ca="1">'表1-资金筹措及还本付息表'!AM166+'表1-资金筹措及还本付息表'!AM274</f>
        <v>4505.26068346191</v>
      </c>
      <c r="AJ71" s="51">
        <f ca="1">'表1-资金筹措及还本付息表'!AN166+'表1-资金筹措及还本付息表'!AN274</f>
        <v>4505.26068346191</v>
      </c>
      <c r="AK71" s="51">
        <f ca="1">'表1-资金筹措及还本付息表'!AO166+'表1-资金筹措及还本付息表'!AO274</f>
        <v>4505.26068346191</v>
      </c>
      <c r="AL71" s="51">
        <f ca="1">'表1-资金筹措及还本付息表'!AP166+'表1-资金筹措及还本付息表'!AP274</f>
        <v>4505.26068346191</v>
      </c>
      <c r="AM71" s="51">
        <f ca="1">'表1-资金筹措及还本付息表'!AQ166+'表1-资金筹措及还本付息表'!AQ274</f>
        <v>4505.26068346191</v>
      </c>
      <c r="AN71" s="51">
        <f ca="1">'表1-资金筹措及还本付息表'!AR166+'表1-资金筹措及还本付息表'!AR274</f>
        <v>4505.26068346191</v>
      </c>
      <c r="AO71" s="51">
        <f ca="1">'表1-资金筹措及还本付息表'!AS166+'表1-资金筹措及还本付息表'!AS274</f>
        <v>4505.26068346191</v>
      </c>
      <c r="AP71" s="51">
        <f ca="1">'表1-资金筹措及还本付息表'!AT166+'表1-资金筹措及还本付息表'!AT274</f>
        <v>4505.26068346191</v>
      </c>
      <c r="AQ71" s="51">
        <f ca="1">'表1-资金筹措及还本付息表'!AU166+'表1-资金筹措及还本付息表'!AU274</f>
        <v>4505.26068346191</v>
      </c>
      <c r="AR71" s="51">
        <f ca="1">'表1-资金筹措及还本付息表'!AV166+'表1-资金筹措及还本付息表'!AV274</f>
        <v>4505.26068346191</v>
      </c>
      <c r="AS71" s="51">
        <f ca="1">'表1-资金筹措及还本付息表'!AW166+'表1-资金筹措及还本付息表'!AW274</f>
        <v>4505.26068346191</v>
      </c>
      <c r="AT71" s="51">
        <f ca="1">'表1-资金筹措及还本付息表'!AX166+'表1-资金筹措及还本付息表'!AX274</f>
        <v>4505.26068346191</v>
      </c>
      <c r="AU71" s="51">
        <f ca="1">'表1-资金筹措及还本付息表'!AY166+'表1-资金筹措及还本付息表'!AY274</f>
        <v>4505.26068346191</v>
      </c>
      <c r="AV71" s="51">
        <f ca="1">'表1-资金筹措及还本付息表'!AZ166+'表1-资金筹措及还本付息表'!AZ274</f>
        <v>4505.26068346191</v>
      </c>
      <c r="AW71" s="51">
        <f ca="1">'表1-资金筹措及还本付息表'!BA166+'表1-资金筹措及还本付息表'!BA274</f>
        <v>4505.26068346191</v>
      </c>
      <c r="AX71" s="51">
        <f ca="1">'表1-资金筹措及还本付息表'!BB166+'表1-资金筹措及还本付息表'!BB274</f>
        <v>4505.26068346191</v>
      </c>
      <c r="AY71" s="51">
        <f ca="1">'表1-资金筹措及还本付息表'!BC166+'表1-资金筹措及还本付息表'!BC274</f>
        <v>4505.26068346191</v>
      </c>
      <c r="AZ71" s="51">
        <f ca="1">'表1-资金筹措及还本付息表'!BD166+'表1-资金筹措及还本付息表'!BD274</f>
        <v>4505.26068346191</v>
      </c>
      <c r="BA71" s="51">
        <f ca="1">'表1-资金筹措及还本付息表'!BE166+'表1-资金筹措及还本付息表'!BE274</f>
        <v>4505.26068346191</v>
      </c>
    </row>
    <row r="72" s="4" customFormat="1" ht="22" customHeight="1" spans="2:53">
      <c r="B72" s="92"/>
      <c r="C72" s="54" t="s">
        <v>1041</v>
      </c>
      <c r="D72" s="75"/>
      <c r="E72" s="50" t="s">
        <v>130</v>
      </c>
      <c r="F72" s="51">
        <f ca="1">SUM(F73:F74)</f>
        <v>0</v>
      </c>
      <c r="G72" s="51">
        <f ca="1" t="shared" ref="G72:BA72" si="47">SUM(G73:G74)</f>
        <v>0</v>
      </c>
      <c r="H72" s="51">
        <f ca="1" t="shared" si="47"/>
        <v>0</v>
      </c>
      <c r="I72" s="51">
        <f ca="1" t="shared" si="47"/>
        <v>0</v>
      </c>
      <c r="J72" s="51">
        <f ca="1" t="shared" si="47"/>
        <v>0</v>
      </c>
      <c r="K72" s="51">
        <f ca="1" t="shared" si="47"/>
        <v>0</v>
      </c>
      <c r="L72" s="51">
        <f ca="1" t="shared" si="47"/>
        <v>0</v>
      </c>
      <c r="M72" s="51">
        <f ca="1" t="shared" si="47"/>
        <v>31087.0467407155</v>
      </c>
      <c r="N72" s="51">
        <f ca="1" t="shared" si="47"/>
        <v>90675.4656649593</v>
      </c>
      <c r="O72" s="51">
        <f ca="1" t="shared" si="47"/>
        <v>91268.0711640411</v>
      </c>
      <c r="P72" s="51">
        <f ca="1" t="shared" si="47"/>
        <v>90628.2466777239</v>
      </c>
      <c r="Q72" s="51">
        <f ca="1" t="shared" si="47"/>
        <v>91013.0648041129</v>
      </c>
      <c r="R72" s="51">
        <f ca="1" t="shared" si="47"/>
        <v>90811.6970408372</v>
      </c>
      <c r="S72" s="51">
        <f ca="1" t="shared" si="47"/>
        <v>89006.7316903214</v>
      </c>
      <c r="T72" s="51">
        <f ca="1" t="shared" si="47"/>
        <v>87837.3404342551</v>
      </c>
      <c r="U72" s="51">
        <f ca="1" t="shared" si="47"/>
        <v>87286.7447482143</v>
      </c>
      <c r="V72" s="51">
        <f ca="1" t="shared" si="47"/>
        <v>86862.5706428087</v>
      </c>
      <c r="W72" s="51">
        <f ca="1" t="shared" si="47"/>
        <v>86487.1156528938</v>
      </c>
      <c r="X72" s="51">
        <f ca="1" t="shared" si="47"/>
        <v>85791.3632547974</v>
      </c>
      <c r="Y72" s="51">
        <f ca="1" t="shared" si="47"/>
        <v>84930.7604551522</v>
      </c>
      <c r="Z72" s="51">
        <f ca="1" t="shared" si="47"/>
        <v>84640.2775397783</v>
      </c>
      <c r="AA72" s="51">
        <f ca="1" t="shared" si="47"/>
        <v>84034.4504901103</v>
      </c>
      <c r="AB72" s="51">
        <f ca="1" t="shared" si="47"/>
        <v>71201.9436568427</v>
      </c>
      <c r="AC72" s="51">
        <f ca="1" t="shared" si="47"/>
        <v>34037.6055215316</v>
      </c>
      <c r="AD72" s="51">
        <f ca="1" t="shared" si="47"/>
        <v>32906.9563725329</v>
      </c>
      <c r="AE72" s="51">
        <f ca="1" t="shared" si="47"/>
        <v>32614.1084669164</v>
      </c>
      <c r="AF72" s="51">
        <f ca="1" t="shared" si="47"/>
        <v>33017.823141073</v>
      </c>
      <c r="AG72" s="51">
        <f ca="1" t="shared" si="47"/>
        <v>32776.2427524222</v>
      </c>
      <c r="AH72" s="51">
        <f ca="1" t="shared" si="47"/>
        <v>32728.174214455</v>
      </c>
      <c r="AI72" s="51">
        <f ca="1" t="shared" si="47"/>
        <v>33136.6095123717</v>
      </c>
      <c r="AJ72" s="51">
        <f ca="1" t="shared" si="47"/>
        <v>33381.8615078404</v>
      </c>
      <c r="AK72" s="51">
        <f ca="1" t="shared" si="47"/>
        <v>33475.0572661186</v>
      </c>
      <c r="AL72" s="51">
        <f ca="1" t="shared" si="47"/>
        <v>33510.4716542643</v>
      </c>
      <c r="AM72" s="51">
        <f ca="1" t="shared" si="47"/>
        <v>33525.9058190073</v>
      </c>
      <c r="AN72" s="51">
        <f ca="1" t="shared" si="47"/>
        <v>33538.0565822381</v>
      </c>
      <c r="AO72" s="51">
        <f ca="1" t="shared" si="47"/>
        <v>33534.4113943897</v>
      </c>
      <c r="AP72" s="51">
        <f ca="1" t="shared" si="47"/>
        <v>37889.8747358546</v>
      </c>
      <c r="AQ72" s="51">
        <f ca="1" t="shared" si="47"/>
        <v>45644.5387235975</v>
      </c>
      <c r="AR72" s="51">
        <f ca="1" t="shared" si="47"/>
        <v>48593.2877361875</v>
      </c>
      <c r="AS72" s="51">
        <f ca="1" t="shared" si="47"/>
        <v>49709.557987883</v>
      </c>
      <c r="AT72" s="51">
        <f ca="1" t="shared" si="47"/>
        <v>50054.6727936191</v>
      </c>
      <c r="AU72" s="51">
        <f ca="1" t="shared" si="47"/>
        <v>50185.8164197987</v>
      </c>
      <c r="AV72" s="51">
        <f ca="1" t="shared" si="47"/>
        <v>50221.8448915523</v>
      </c>
      <c r="AW72" s="51">
        <f ca="1" t="shared" si="47"/>
        <v>50229.2499301903</v>
      </c>
      <c r="AX72" s="51">
        <f ca="1" t="shared" si="47"/>
        <v>50230.087147625</v>
      </c>
      <c r="AY72" s="51">
        <f ca="1" t="shared" si="47"/>
        <v>50171.372813186</v>
      </c>
      <c r="AZ72" s="51">
        <f ca="1" t="shared" si="47"/>
        <v>50147.0846688515</v>
      </c>
      <c r="BA72" s="51">
        <f ca="1" t="shared" si="47"/>
        <v>60051.5221882787</v>
      </c>
    </row>
    <row r="73" s="4" customFormat="1" ht="22" customHeight="1" spans="2:53">
      <c r="B73" s="92"/>
      <c r="C73" s="49" t="s">
        <v>1049</v>
      </c>
      <c r="D73" s="75"/>
      <c r="E73" s="50" t="s">
        <v>130</v>
      </c>
      <c r="F73" s="51">
        <f ca="1">('表1-资金筹措及还本付息表'!F168+'表1-资金筹措及还本付息表'!G168+'表1-资金筹措及还本付息表'!F276+'表1-资金筹措及还本付息表'!G276)+('表1-资金筹措及还本付息表'!F169+'表1-资金筹措及还本付息表'!G169+'表1-资金筹措及还本付息表'!F277+'表1-资金筹措及还本付息表'!G277+'表1-资金筹措及还本付息表'!F287+'表1-资金筹措及还本付息表'!G287)</f>
        <v>0</v>
      </c>
      <c r="G73" s="51">
        <f ca="1">('表1-资金筹措及还本付息表'!H168+'表1-资金筹措及还本付息表'!H276)+('表1-资金筹措及还本付息表'!H169+'表1-资金筹措及还本付息表'!H277+'表1-资金筹措及还本付息表'!H287)</f>
        <v>0</v>
      </c>
      <c r="H73" s="51">
        <f ca="1">('表1-资金筹措及还本付息表'!I168+'表1-资金筹措及还本付息表'!I276)+('表1-资金筹措及还本付息表'!I169+'表1-资金筹措及还本付息表'!I277+'表1-资金筹措及还本付息表'!I287)</f>
        <v>0</v>
      </c>
      <c r="I73" s="51">
        <f ca="1">('表1-资金筹措及还本付息表'!J168+'表1-资金筹措及还本付息表'!J276)+('表1-资金筹措及还本付息表'!J169+'表1-资金筹措及还本付息表'!J277+'表1-资金筹措及还本付息表'!J287)</f>
        <v>0</v>
      </c>
      <c r="J73" s="51">
        <f ca="1">('表1-资金筹措及还本付息表'!K168+'表1-资金筹措及还本付息表'!K276)+('表1-资金筹措及还本付息表'!K169+'表1-资金筹措及还本付息表'!K277+'表1-资金筹措及还本付息表'!K287)</f>
        <v>0</v>
      </c>
      <c r="K73" s="51">
        <f ca="1">('表1-资金筹措及还本付息表'!L168+'表1-资金筹措及还本付息表'!L276)+('表1-资金筹措及还本付息表'!L169+'表1-资金筹措及还本付息表'!L277+'表1-资金筹措及还本付息表'!L287)</f>
        <v>0</v>
      </c>
      <c r="L73" s="51">
        <f ca="1">('表1-资金筹措及还本付息表'!M168+'表1-资金筹措及还本付息表'!N168+'表1-资金筹措及还本付息表'!M276+'表1-资金筹措及还本付息表'!N276)+('表1-资金筹措及还本付息表'!M169+'表1-资金筹措及还本付息表'!N169+'表1-资金筹措及还本付息表'!M277+'表1-资金筹措及还本付息表'!N277+'表1-资金筹措及还本付息表'!M287+'表1-资金筹措及还本付息表'!N287)</f>
        <v>0</v>
      </c>
      <c r="M73" s="51">
        <f ca="1">('表1-资金筹措及还本付息表'!O168+'表1-资金筹措及还本付息表'!P168+'表1-资金筹措及还本付息表'!Q168+'表1-资金筹措及还本付息表'!O276+'表1-资金筹措及还本付息表'!P276+'表1-资金筹措及还本付息表'!Q276)+('表1-资金筹措及还本付息表'!O169+'表1-资金筹措及还本付息表'!P169+'表1-资金筹措及还本付息表'!Q169+'表1-资金筹措及还本付息表'!O277+'表1-资金筹措及还本付息表'!P277+'表1-资金筹措及还本付息表'!Q277+'表1-资金筹措及还本付息表'!O287+'表1-资金筹措及还本付息表'!P287+'表1-资金筹措及还本付息表'!Q287)</f>
        <v>27267.3627214038</v>
      </c>
      <c r="N73" s="51">
        <f ca="1">('表1-资金筹措及还本付息表'!R168+'表1-资金筹措及还本付息表'!R276)+('表1-资金筹措及还本付息表'!R169+'表1-资金筹措及还本付息表'!R277+'表1-资金筹措及还本付息表'!R287)</f>
        <v>83854.5473801385</v>
      </c>
      <c r="O73" s="51">
        <f ca="1">('表1-资金筹措及还本付息表'!S168+'表1-资金筹措及还本付息表'!S276)+('表1-资金筹措及还本付息表'!S169+'表1-资金筹措及还本付息表'!S277+'表1-资金筹措及还本付息表'!S287)</f>
        <v>82568.6486290953</v>
      </c>
      <c r="P73" s="51">
        <f ca="1">('表1-资金筹措及还本付息表'!T168+'表1-资金筹措及还本付息表'!T276)+('表1-资金筹措及还本付息表'!T169+'表1-资金筹措及还本付息表'!T277+'表1-资金筹措及还本付息表'!T287)</f>
        <v>80906.9140497102</v>
      </c>
      <c r="Q73" s="51">
        <f ca="1">('表1-资金筹措及还本付息表'!U168+'表1-资金筹措及还本付息表'!U276)+('表1-资金筹措及还本付息表'!U169+'表1-资金筹措及还本付息表'!U277+'表1-资金筹措及还本付息表'!U287)</f>
        <v>79299.4214868214</v>
      </c>
      <c r="R73" s="51">
        <f ca="1">('表1-资金筹措及还本付息表'!V168+'表1-资金筹措及还本付息表'!V276)+('表1-资金筹措及还本付息表'!V169+'表1-资金筹措及还本付息表'!V277+'表1-资金筹措及还本付息表'!V287)</f>
        <v>77490.179721458</v>
      </c>
      <c r="S73" s="51">
        <f ca="1">('表1-资金筹措及还本付息表'!W168+'表1-资金筹措及还本付息表'!W276)+('表1-资金筹措及还本付息表'!W169+'表1-资金筹措及还本付息表'!W277+'表1-资金筹措及还本付息表'!W287)</f>
        <v>75854.4452112033</v>
      </c>
      <c r="T73" s="51">
        <f ca="1">('表1-资金筹措及还本付息表'!X168+'表1-资金筹措及还本付息表'!X276)+('表1-资金筹措及还本付息表'!X169+'表1-资金筹措及还本付息表'!X277+'表1-资金筹措及还本付息表'!X287)</f>
        <v>74660.2752043736</v>
      </c>
      <c r="U73" s="51">
        <f ca="1">('表1-资金筹措及还本付息表'!Y168+'表1-资金筹措及还本付息表'!Y276)+('表1-资金筹措及还本付息表'!Y169+'表1-资金筹措及还本付息表'!Y277+'表1-资金筹措及还本付息表'!Y287)</f>
        <v>73728.4755182989</v>
      </c>
      <c r="V73" s="51">
        <f ca="1">('表1-资金筹措及还本付息表'!Z168+'表1-资金筹措及还本付息表'!Z276)+('表1-资金筹措及还本付息表'!Z169+'表1-资金筹措及还本付息表'!Z277+'表1-资金筹措及还本付息表'!Z287)</f>
        <v>72781.6674893164</v>
      </c>
      <c r="W73" s="51">
        <f ca="1">('表1-资金筹措及还本付息表'!AA168+'表1-资金筹措及还本付息表'!AA276)+('表1-资金筹措及还本付息表'!AA169+'表1-资金筹措及还本付息表'!AA277+'表1-资金筹措及还本付息表'!AA287)</f>
        <v>71826.4996342845</v>
      </c>
      <c r="X73" s="51">
        <f ca="1">('表1-资金筹措及还本付息表'!AB168+'表1-资金筹措及还本付息表'!AB276)+('表1-资金筹措及还本付息表'!AB169+'表1-资金筹措及还本付息表'!AB277+'表1-资金筹措及还本付息表'!AB287)</f>
        <v>70602.8903002542</v>
      </c>
      <c r="Y73" s="51">
        <f ca="1">('表1-资金筹措及还本付息表'!AC168+'表1-资金筹措及还本付息表'!AC276)+('表1-资金筹措及还本付息表'!AC169+'表1-资金筹措及还本付息表'!AC277+'表1-资金筹措及还本付息表'!AC287)</f>
        <v>69998.9060101685</v>
      </c>
      <c r="Z73" s="51">
        <f ca="1">('表1-资金筹措及还本付息表'!AD168+'表1-资金筹措及还本付息表'!AD276)+('表1-资金筹措及还本付息表'!AD169+'表1-资金筹措及还本付息表'!AD277+'表1-资金筹措及还本付息表'!AD287)</f>
        <v>69600.2620969689</v>
      </c>
      <c r="AA73" s="51">
        <f ca="1">('表1-资金筹措及还本付息表'!AE168+'表1-资金筹措及还本付息表'!AE276)+('表1-资金筹措及还本付息表'!AE169+'表1-资金筹措及还本付息表'!AE277+'表1-资金筹措及还本付息表'!AE287)</f>
        <v>68523.8424150357</v>
      </c>
      <c r="AB73" s="51">
        <f ca="1">('表1-资金筹措及还本付息表'!AF168+'表1-资金筹措及还本付息表'!AF276)+('表1-资金筹措及还本付息表'!AF169+'表1-资金筹措及还本付息表'!AF277+'表1-资金筹措及还本付息表'!AF287)</f>
        <v>54898.7335407298</v>
      </c>
      <c r="AC73" s="51">
        <f ca="1">('表1-资金筹措及还本付息表'!AG168+'表1-资金筹措及还本付息表'!AG276)+('表1-资金筹措及还本付息表'!AG169+'表1-资金筹措及还本付息表'!AG277+'表1-资金筹措及还本付息表'!AG287)</f>
        <v>16629.88361071</v>
      </c>
      <c r="AD73" s="51">
        <f ca="1">('表1-资金筹措及还本付息表'!AH168+'表1-资金筹措及还本付息表'!AH276)+('表1-资金筹措及还本付息表'!AH169+'表1-资金筹措及还本付息表'!AH277+'表1-资金筹措及还本付息表'!AH287)</f>
        <v>14053.5326394282</v>
      </c>
      <c r="AE73" s="51">
        <f ca="1">('表1-资金筹措及还本付息表'!AI168+'表1-资金筹措及还本付息表'!AI276)+('表1-资金筹措及还本付息表'!AI169+'表1-资金筹措及还本付息表'!AI277+'表1-资金筹措及还本付息表'!AI287)</f>
        <v>11484.2164288982</v>
      </c>
      <c r="AF73" s="51">
        <f ca="1">('表1-资金筹措及还本付息表'!AJ168+'表1-资金筹措及还本付息表'!AJ276)+('表1-资金筹措及还本付息表'!AJ169+'表1-资金筹措及还本付息表'!AJ277+'表1-资金筹措及还本付息表'!AJ287)</f>
        <v>9067.697324391</v>
      </c>
      <c r="AG73" s="51">
        <f ca="1">('表1-资金筹措及还本付息表'!AK168+'表1-资金筹措及还本付息表'!AK276)+('表1-资金筹措及还本付息表'!AK169+'表1-资金筹措及还本付息表'!AK277+'表1-资金筹措及还本付息表'!AK287)</f>
        <v>6738.63035822308</v>
      </c>
      <c r="AH73" s="51">
        <f ca="1">('表1-资金筹措及还本付息表'!AL168+'表1-资金筹措及还本付息表'!AL276)+('表1-资金筹措及还本付息表'!AL169+'表1-资金筹措及还本付息表'!AL277+'表1-资金筹措及还本付息表'!AL287)</f>
        <v>5114.74078306262</v>
      </c>
      <c r="AI73" s="51">
        <f ca="1">('表1-资金筹措及还本付息表'!AM168+'表1-资金筹措及还本付息表'!AM276)+('表1-资金筹措及还本付息表'!AM169+'表1-资金筹措及还本付息表'!AM277+'表1-资金筹措及还本付息表'!AM287)</f>
        <v>4669.70269840826</v>
      </c>
      <c r="AJ73" s="51">
        <f ca="1">('表1-资金筹措及还本付息表'!AN168+'表1-资金筹措及还本付息表'!AN276)+('表1-资金筹措及还本付息表'!AN169+'表1-资金筹措及还本付息表'!AN277+'表1-资金筹措及还本付息表'!AN287)</f>
        <v>4669.70269840826</v>
      </c>
      <c r="AK73" s="51">
        <f ca="1">('表1-资金筹措及还本付息表'!AO168+'表1-资金筹措及还本付息表'!AO276)+('表1-资金筹措及还本付息表'!AO169+'表1-资金筹措及还本付息表'!AO277+'表1-资金筹措及还本付息表'!AO287)</f>
        <v>4669.70269840826</v>
      </c>
      <c r="AL73" s="51">
        <f ca="1">('表1-资金筹措及还本付息表'!AP168+'表1-资金筹措及还本付息表'!AP276)+('表1-资金筹措及还本付息表'!AP169+'表1-资金筹措及还本付息表'!AP277+'表1-资金筹措及还本付息表'!AP287)</f>
        <v>4669.70269840826</v>
      </c>
      <c r="AM73" s="51">
        <f ca="1">('表1-资金筹措及还本付息表'!AQ168+'表1-资金筹措及还本付息表'!AQ276)+('表1-资金筹措及还本付息表'!AQ169+'表1-资金筹措及还本付息表'!AQ277+'表1-资金筹措及还本付息表'!AQ287)</f>
        <v>4669.70269840826</v>
      </c>
      <c r="AN73" s="51">
        <f ca="1">('表1-资金筹措及还本付息表'!AR168+'表1-资金筹措及还本付息表'!AR276)+('表1-资金筹措及还本付息表'!AR169+'表1-资金筹措及还本付息表'!AR277+'表1-资金筹措及还本付息表'!AR287)</f>
        <v>4669.70269840826</v>
      </c>
      <c r="AO73" s="51">
        <f ca="1">('表1-资金筹措及还本付息表'!AS168+'表1-资金筹措及还本付息表'!AS276)+('表1-资金筹措及还本付息表'!AS169+'表1-资金筹措及还本付息表'!AS277+'表1-资金筹措及还本付息表'!AS287)</f>
        <v>4669.70269840826</v>
      </c>
      <c r="AP73" s="51">
        <f ca="1">('表1-资金筹措及还本付息表'!AT168+'表1-资金筹措及还本付息表'!AT276)+('表1-资金筹措及还本付息表'!AT169+'表1-资金筹措及还本付息表'!AT277+'表1-资金筹措及还本付息表'!AT287)</f>
        <v>4669.70269840826</v>
      </c>
      <c r="AQ73" s="51">
        <f ca="1">('表1-资金筹措及还本付息表'!AU168+'表1-资金筹措及还本付息表'!AU276)+('表1-资金筹措及还本付息表'!AU169+'表1-资金筹措及还本付息表'!AU277+'表1-资金筹措及还本付息表'!AU287)</f>
        <v>4669.70269840826</v>
      </c>
      <c r="AR73" s="51">
        <f ca="1">('表1-资金筹措及还本付息表'!AV168+'表1-资金筹措及还本付息表'!AV276)+('表1-资金筹措及还本付息表'!AV169+'表1-资金筹措及还本付息表'!AV277+'表1-资金筹措及还本付息表'!AV287)</f>
        <v>4669.70269840826</v>
      </c>
      <c r="AS73" s="51">
        <f ca="1">('表1-资金筹措及还本付息表'!AW168+'表1-资金筹措及还本付息表'!AW276)+('表1-资金筹措及还本付息表'!AW169+'表1-资金筹措及还本付息表'!AW277+'表1-资金筹措及还本付息表'!AW287)</f>
        <v>4669.70269840826</v>
      </c>
      <c r="AT73" s="51">
        <f ca="1">('表1-资金筹措及还本付息表'!AX168+'表1-资金筹措及还本付息表'!AX276)+('表1-资金筹措及还本付息表'!AX169+'表1-资金筹措及还本付息表'!AX277+'表1-资金筹措及还本付息表'!AX287)</f>
        <v>4669.70269840826</v>
      </c>
      <c r="AU73" s="51">
        <f ca="1">('表1-资金筹措及还本付息表'!AY168+'表1-资金筹措及还本付息表'!AY276)+('表1-资金筹措及还本付息表'!AY169+'表1-资金筹措及还本付息表'!AY277+'表1-资金筹措及还本付息表'!AY287)</f>
        <v>4669.70269840826</v>
      </c>
      <c r="AV73" s="51">
        <f ca="1">('表1-资金筹措及还本付息表'!AZ168+'表1-资金筹措及还本付息表'!AZ276)+('表1-资金筹措及还本付息表'!AZ169+'表1-资金筹措及还本付息表'!AZ277+'表1-资金筹措及还本付息表'!AZ287)</f>
        <v>4669.70269840826</v>
      </c>
      <c r="AW73" s="51">
        <f ca="1">('表1-资金筹措及还本付息表'!BA168+'表1-资金筹措及还本付息表'!BA276)+('表1-资金筹措及还本付息表'!BA169+'表1-资金筹措及还本付息表'!BA277+'表1-资金筹措及还本付息表'!BA287)</f>
        <v>4669.70269840826</v>
      </c>
      <c r="AX73" s="51">
        <f ca="1">('表1-资金筹措及还本付息表'!BB168+'表1-资金筹措及还本付息表'!BB276)+('表1-资金筹措及还本付息表'!BB169+'表1-资金筹措及还本付息表'!BB277+'表1-资金筹措及还本付息表'!BB287)</f>
        <v>4669.70269840826</v>
      </c>
      <c r="AY73" s="51">
        <f ca="1">('表1-资金筹措及还本付息表'!BC168+'表1-资金筹措及还本付息表'!BC276)+('表1-资金筹措及还本付息表'!BC169+'表1-资金筹措及还本付息表'!BC277+'表1-资金筹措及还本付息表'!BC287)</f>
        <v>4669.70269840826</v>
      </c>
      <c r="AZ73" s="51">
        <f ca="1">('表1-资金筹措及还本付息表'!BD168+'表1-资金筹措及还本付息表'!BD276)+('表1-资金筹措及还本付息表'!BD169+'表1-资金筹措及还本付息表'!BD277+'表1-资金筹措及还本付息表'!BD287)</f>
        <v>4669.70269840826</v>
      </c>
      <c r="BA73" s="51">
        <f ca="1">('表1-资金筹措及还本付息表'!BE168+'表1-资金筹措及还本付息表'!BE276)+('表1-资金筹措及还本付息表'!BE169+'表1-资金筹措及还本付息表'!BE277+'表1-资金筹措及还本付息表'!BE287)</f>
        <v>4601.18519218061</v>
      </c>
    </row>
    <row r="74" s="4" customFormat="1" ht="22" customHeight="1" spans="2:53">
      <c r="B74" s="92"/>
      <c r="C74" s="49" t="s">
        <v>1038</v>
      </c>
      <c r="D74" s="75"/>
      <c r="E74" s="50" t="s">
        <v>130</v>
      </c>
      <c r="F74" s="51">
        <f ca="1">F54</f>
        <v>0</v>
      </c>
      <c r="G74" s="51">
        <f ca="1" t="shared" ref="G74:BA74" si="48">G54</f>
        <v>0</v>
      </c>
      <c r="H74" s="51">
        <f ca="1" t="shared" si="48"/>
        <v>0</v>
      </c>
      <c r="I74" s="51">
        <f ca="1" t="shared" si="48"/>
        <v>0</v>
      </c>
      <c r="J74" s="51">
        <f ca="1" t="shared" si="48"/>
        <v>0</v>
      </c>
      <c r="K74" s="51">
        <f ca="1" t="shared" si="48"/>
        <v>0</v>
      </c>
      <c r="L74" s="51">
        <f ca="1" t="shared" si="48"/>
        <v>0</v>
      </c>
      <c r="M74" s="51">
        <f ca="1" t="shared" si="48"/>
        <v>3819.68401931167</v>
      </c>
      <c r="N74" s="51">
        <f ca="1" t="shared" si="48"/>
        <v>6820.91828482081</v>
      </c>
      <c r="O74" s="51">
        <f ca="1" t="shared" si="48"/>
        <v>8699.42253494585</v>
      </c>
      <c r="P74" s="51">
        <f ca="1" t="shared" si="48"/>
        <v>9721.33262801371</v>
      </c>
      <c r="Q74" s="51">
        <f ca="1" t="shared" si="48"/>
        <v>11713.6433172915</v>
      </c>
      <c r="R74" s="51">
        <f ca="1" t="shared" si="48"/>
        <v>13321.5173193792</v>
      </c>
      <c r="S74" s="51">
        <f ca="1" t="shared" si="48"/>
        <v>13152.2864791181</v>
      </c>
      <c r="T74" s="51">
        <f ca="1" t="shared" si="48"/>
        <v>13177.0652298815</v>
      </c>
      <c r="U74" s="51">
        <f ca="1" t="shared" si="48"/>
        <v>13558.2692299154</v>
      </c>
      <c r="V74" s="51">
        <f ca="1" t="shared" si="48"/>
        <v>14080.9031534923</v>
      </c>
      <c r="W74" s="51">
        <f ca="1" t="shared" si="48"/>
        <v>14660.6160186093</v>
      </c>
      <c r="X74" s="51">
        <f ca="1" t="shared" si="48"/>
        <v>15188.4729545432</v>
      </c>
      <c r="Y74" s="51">
        <f ca="1" t="shared" si="48"/>
        <v>14931.8544449837</v>
      </c>
      <c r="Z74" s="51">
        <f ca="1" t="shared" si="48"/>
        <v>15040.0154428094</v>
      </c>
      <c r="AA74" s="51">
        <f ca="1" t="shared" si="48"/>
        <v>15510.6080750745</v>
      </c>
      <c r="AB74" s="51">
        <f ca="1" t="shared" si="48"/>
        <v>16303.2101161128</v>
      </c>
      <c r="AC74" s="51">
        <f ca="1" t="shared" si="48"/>
        <v>17407.7219108216</v>
      </c>
      <c r="AD74" s="51">
        <f ca="1" t="shared" si="48"/>
        <v>18853.4237331047</v>
      </c>
      <c r="AE74" s="51">
        <f ca="1" t="shared" si="48"/>
        <v>21129.8920380181</v>
      </c>
      <c r="AF74" s="51">
        <f ca="1" t="shared" si="48"/>
        <v>23950.125816682</v>
      </c>
      <c r="AG74" s="51">
        <f ca="1" t="shared" si="48"/>
        <v>26037.6123941991</v>
      </c>
      <c r="AH74" s="51">
        <f ca="1" t="shared" si="48"/>
        <v>27613.4334313924</v>
      </c>
      <c r="AI74" s="51">
        <f ca="1" t="shared" si="48"/>
        <v>28466.9068139634</v>
      </c>
      <c r="AJ74" s="51">
        <f ca="1" t="shared" si="48"/>
        <v>28712.1588094322</v>
      </c>
      <c r="AK74" s="51">
        <f ca="1" t="shared" si="48"/>
        <v>28805.3545677103</v>
      </c>
      <c r="AL74" s="51">
        <f ca="1" t="shared" si="48"/>
        <v>28840.768955856</v>
      </c>
      <c r="AM74" s="51">
        <f ca="1" t="shared" si="48"/>
        <v>28856.2031205991</v>
      </c>
      <c r="AN74" s="51">
        <f ca="1" t="shared" si="48"/>
        <v>28868.3538838298</v>
      </c>
      <c r="AO74" s="51">
        <f ca="1" t="shared" si="48"/>
        <v>28864.7086959814</v>
      </c>
      <c r="AP74" s="51">
        <f ca="1" t="shared" si="48"/>
        <v>33220.1720374463</v>
      </c>
      <c r="AQ74" s="51">
        <f ca="1" t="shared" si="48"/>
        <v>40974.8360251892</v>
      </c>
      <c r="AR74" s="51">
        <f ca="1" t="shared" si="48"/>
        <v>43923.5850377792</v>
      </c>
      <c r="AS74" s="51">
        <f ca="1" t="shared" si="48"/>
        <v>45039.8552894748</v>
      </c>
      <c r="AT74" s="51">
        <f ca="1" t="shared" si="48"/>
        <v>45384.9700952108</v>
      </c>
      <c r="AU74" s="51">
        <f ca="1" t="shared" si="48"/>
        <v>45516.1137213905</v>
      </c>
      <c r="AV74" s="51">
        <f ca="1" t="shared" si="48"/>
        <v>45552.1421931441</v>
      </c>
      <c r="AW74" s="51">
        <f ca="1" t="shared" si="48"/>
        <v>45559.547231782</v>
      </c>
      <c r="AX74" s="51">
        <f ca="1" t="shared" si="48"/>
        <v>45560.3844492168</v>
      </c>
      <c r="AY74" s="51">
        <f ca="1" t="shared" si="48"/>
        <v>45501.6701147777</v>
      </c>
      <c r="AZ74" s="51">
        <f ca="1" t="shared" si="48"/>
        <v>45477.3819704432</v>
      </c>
      <c r="BA74" s="51">
        <f ca="1" t="shared" si="48"/>
        <v>55450.3369960981</v>
      </c>
    </row>
    <row r="75" s="4" customFormat="1" ht="22" customHeight="1" spans="2:53">
      <c r="B75" s="92"/>
      <c r="C75" s="95" t="s">
        <v>1046</v>
      </c>
      <c r="D75" s="75"/>
      <c r="E75" s="50" t="s">
        <v>130</v>
      </c>
      <c r="F75" s="73">
        <f ca="1">SUM(F66:F68)</f>
        <v>0</v>
      </c>
      <c r="G75" s="73">
        <f ca="1">F75+SUM(G66:G68)</f>
        <v>0</v>
      </c>
      <c r="H75" s="73">
        <f ca="1">G75+SUM(H66:H68)</f>
        <v>0</v>
      </c>
      <c r="I75" s="73">
        <f ca="1" t="shared" ref="I75:BA75" si="49">H75+SUM(I66:I68)</f>
        <v>0</v>
      </c>
      <c r="J75" s="73">
        <f ca="1" t="shared" si="49"/>
        <v>0</v>
      </c>
      <c r="K75" s="73">
        <f ca="1" t="shared" si="49"/>
        <v>0</v>
      </c>
      <c r="L75" s="73">
        <f ca="1" t="shared" si="49"/>
        <v>0</v>
      </c>
      <c r="M75" s="73">
        <f ca="1" t="shared" si="49"/>
        <v>-3182.81821293866</v>
      </c>
      <c r="N75" s="73">
        <f ca="1" t="shared" si="49"/>
        <v>-22923.905552244</v>
      </c>
      <c r="O75" s="73">
        <f ca="1" t="shared" si="49"/>
        <v>-24909.7899948503</v>
      </c>
      <c r="P75" s="73">
        <f ca="1" t="shared" si="49"/>
        <v>-23155.3751878034</v>
      </c>
      <c r="Q75" s="73">
        <f ca="1" t="shared" si="49"/>
        <v>-27121.7772056511</v>
      </c>
      <c r="R75" s="73">
        <f ca="1" t="shared" si="49"/>
        <v>-31203.4287691616</v>
      </c>
      <c r="S75" s="73">
        <f ca="1" t="shared" si="49"/>
        <v>-39923.4542146461</v>
      </c>
      <c r="T75" s="73">
        <f ca="1" t="shared" si="49"/>
        <v>-56102.7634062394</v>
      </c>
      <c r="U75" s="73">
        <f ca="1" t="shared" si="49"/>
        <v>-72011.0168176142</v>
      </c>
      <c r="V75" s="73">
        <f ca="1" t="shared" si="49"/>
        <v>-87779.1385322782</v>
      </c>
      <c r="W75" s="73">
        <f ca="1" t="shared" si="49"/>
        <v>-103458.355613537</v>
      </c>
      <c r="X75" s="73">
        <f ca="1" t="shared" si="49"/>
        <v>-120433.560095366</v>
      </c>
      <c r="Y75" s="73">
        <f ca="1" t="shared" si="49"/>
        <v>-152594.37084634</v>
      </c>
      <c r="Z75" s="73">
        <f ca="1" t="shared" si="49"/>
        <v>-166468.88359902</v>
      </c>
      <c r="AA75" s="73">
        <f ca="1" t="shared" si="49"/>
        <v>-180060.495206611</v>
      </c>
      <c r="AB75" s="73">
        <f ca="1" t="shared" si="49"/>
        <v>-181281.086327384</v>
      </c>
      <c r="AC75" s="73">
        <f ca="1" t="shared" si="49"/>
        <v>-146395.103050747</v>
      </c>
      <c r="AD75" s="73">
        <f ca="1" t="shared" si="49"/>
        <v>-110696.128210073</v>
      </c>
      <c r="AE75" s="73">
        <f ca="1" t="shared" si="49"/>
        <v>-76002.8781047201</v>
      </c>
      <c r="AF75" s="73">
        <f ca="1" t="shared" si="49"/>
        <v>-44490.1253468619</v>
      </c>
      <c r="AG75" s="73">
        <f ca="1" t="shared" si="49"/>
        <v>-12192.8242371059</v>
      </c>
      <c r="AH75" s="73">
        <f ca="1" t="shared" si="49"/>
        <v>19110.3808316471</v>
      </c>
      <c r="AI75" s="73">
        <f ca="1" t="shared" si="49"/>
        <v>32116.9786266284</v>
      </c>
      <c r="AJ75" s="73">
        <f ca="1" t="shared" si="49"/>
        <v>63088.2326830217</v>
      </c>
      <c r="AK75" s="73">
        <f ca="1" t="shared" si="49"/>
        <v>93966.2909811369</v>
      </c>
      <c r="AL75" s="73">
        <f ca="1" t="shared" si="49"/>
        <v>124808.934891106</v>
      </c>
      <c r="AM75" s="73">
        <f ca="1" t="shared" si="49"/>
        <v>155180.896929911</v>
      </c>
      <c r="AN75" s="73">
        <f ca="1" t="shared" si="49"/>
        <v>184683.017858809</v>
      </c>
      <c r="AO75" s="73">
        <f ca="1" t="shared" si="49"/>
        <v>215501.722028653</v>
      </c>
      <c r="AP75" s="73">
        <f ca="1" t="shared" si="49"/>
        <v>238689.136907523</v>
      </c>
      <c r="AQ75" s="73">
        <f ca="1" t="shared" si="49"/>
        <v>249535.731469337</v>
      </c>
      <c r="AR75" s="73">
        <f ca="1" t="shared" si="49"/>
        <v>256978.329312139</v>
      </c>
      <c r="AS75" s="73">
        <f ca="1" t="shared" si="49"/>
        <v>245611.158432297</v>
      </c>
      <c r="AT75" s="73">
        <f ca="1" t="shared" si="49"/>
        <v>252108.781003601</v>
      </c>
      <c r="AU75" s="73">
        <f ca="1" t="shared" si="49"/>
        <v>258475.259948724</v>
      </c>
      <c r="AV75" s="73">
        <f ca="1" t="shared" si="49"/>
        <v>263509.365289351</v>
      </c>
      <c r="AW75" s="73">
        <f ca="1" t="shared" si="49"/>
        <v>269393.755938014</v>
      </c>
      <c r="AX75" s="73">
        <f ca="1" t="shared" si="49"/>
        <v>275732.557075666</v>
      </c>
      <c r="AY75" s="73">
        <f ca="1" t="shared" si="49"/>
        <v>281720.696400967</v>
      </c>
      <c r="AZ75" s="73">
        <f ca="1" t="shared" si="49"/>
        <v>288188.371577025</v>
      </c>
      <c r="BA75" s="73">
        <f ca="1" t="shared" si="49"/>
        <v>340034.557921546</v>
      </c>
    </row>
    <row r="76" s="68" customFormat="1" ht="22" customHeight="1" spans="2:53">
      <c r="B76" s="98"/>
      <c r="C76" s="93" t="s">
        <v>1050</v>
      </c>
      <c r="D76" s="96"/>
      <c r="E76" s="50" t="s">
        <v>130</v>
      </c>
      <c r="F76" s="99">
        <f ca="1">MAX(0,F65-F75)</f>
        <v>0</v>
      </c>
      <c r="G76" s="94">
        <f ca="1" t="shared" ref="G76:BA76" si="50">MAX(0,G65-G75)</f>
        <v>0</v>
      </c>
      <c r="H76" s="94">
        <f ca="1" t="shared" si="50"/>
        <v>0</v>
      </c>
      <c r="I76" s="94">
        <f ca="1" t="shared" si="50"/>
        <v>0</v>
      </c>
      <c r="J76" s="94">
        <f ca="1" t="shared" si="50"/>
        <v>0</v>
      </c>
      <c r="K76" s="94">
        <f ca="1" t="shared" si="50"/>
        <v>0</v>
      </c>
      <c r="L76" s="94">
        <f ca="1" t="shared" si="50"/>
        <v>0</v>
      </c>
      <c r="M76" s="94">
        <f ca="1" t="shared" si="50"/>
        <v>3182.81821293866</v>
      </c>
      <c r="N76" s="94">
        <f ca="1" t="shared" si="50"/>
        <v>22923.905552244</v>
      </c>
      <c r="O76" s="94">
        <f ca="1" t="shared" si="50"/>
        <v>24909.7899948503</v>
      </c>
      <c r="P76" s="94">
        <f ca="1" t="shared" si="50"/>
        <v>23155.3751878034</v>
      </c>
      <c r="Q76" s="94">
        <f ca="1" t="shared" si="50"/>
        <v>27121.7772056511</v>
      </c>
      <c r="R76" s="94">
        <f ca="1" t="shared" si="50"/>
        <v>31203.4287691616</v>
      </c>
      <c r="S76" s="94">
        <f ca="1" t="shared" si="50"/>
        <v>39923.4542146461</v>
      </c>
      <c r="T76" s="94">
        <f ca="1" t="shared" si="50"/>
        <v>56102.7634062394</v>
      </c>
      <c r="U76" s="94">
        <f ca="1" t="shared" si="50"/>
        <v>72011.0168176142</v>
      </c>
      <c r="V76" s="94">
        <f ca="1" t="shared" si="50"/>
        <v>87779.1385322782</v>
      </c>
      <c r="W76" s="94">
        <f ca="1" t="shared" si="50"/>
        <v>103458.355613537</v>
      </c>
      <c r="X76" s="94">
        <f ca="1" t="shared" si="50"/>
        <v>120433.560095366</v>
      </c>
      <c r="Y76" s="94">
        <f ca="1" t="shared" si="50"/>
        <v>152594.37084634</v>
      </c>
      <c r="Z76" s="94">
        <f ca="1" t="shared" si="50"/>
        <v>166468.88359902</v>
      </c>
      <c r="AA76" s="94">
        <f ca="1" t="shared" si="50"/>
        <v>180060.495206611</v>
      </c>
      <c r="AB76" s="94">
        <f ca="1" t="shared" si="50"/>
        <v>181281.086327384</v>
      </c>
      <c r="AC76" s="94">
        <f ca="1" t="shared" si="50"/>
        <v>146395.103050747</v>
      </c>
      <c r="AD76" s="94">
        <f ca="1" t="shared" si="50"/>
        <v>110696.128210073</v>
      </c>
      <c r="AE76" s="94">
        <f ca="1" t="shared" si="50"/>
        <v>76002.8781047201</v>
      </c>
      <c r="AF76" s="94">
        <f ca="1" t="shared" si="50"/>
        <v>44490.1253468619</v>
      </c>
      <c r="AG76" s="94">
        <f ca="1" t="shared" si="50"/>
        <v>12192.8242371059</v>
      </c>
      <c r="AH76" s="94">
        <f ca="1" t="shared" si="50"/>
        <v>0</v>
      </c>
      <c r="AI76" s="94">
        <f ca="1" t="shared" si="50"/>
        <v>0</v>
      </c>
      <c r="AJ76" s="94">
        <f ca="1" t="shared" si="50"/>
        <v>0</v>
      </c>
      <c r="AK76" s="94">
        <f ca="1" t="shared" si="50"/>
        <v>0</v>
      </c>
      <c r="AL76" s="94">
        <f ca="1" t="shared" si="50"/>
        <v>0</v>
      </c>
      <c r="AM76" s="94">
        <f ca="1" t="shared" si="50"/>
        <v>0</v>
      </c>
      <c r="AN76" s="94">
        <f ca="1" t="shared" si="50"/>
        <v>0</v>
      </c>
      <c r="AO76" s="94">
        <f ca="1" t="shared" si="50"/>
        <v>0</v>
      </c>
      <c r="AP76" s="94">
        <f ca="1" t="shared" si="50"/>
        <v>0</v>
      </c>
      <c r="AQ76" s="94">
        <f ca="1" t="shared" si="50"/>
        <v>0</v>
      </c>
      <c r="AR76" s="94">
        <f ca="1" t="shared" si="50"/>
        <v>0</v>
      </c>
      <c r="AS76" s="94">
        <f ca="1" t="shared" si="50"/>
        <v>0</v>
      </c>
      <c r="AT76" s="94">
        <f ca="1" t="shared" si="50"/>
        <v>0</v>
      </c>
      <c r="AU76" s="94">
        <f ca="1" t="shared" si="50"/>
        <v>0</v>
      </c>
      <c r="AV76" s="94">
        <f ca="1" t="shared" si="50"/>
        <v>0</v>
      </c>
      <c r="AW76" s="94">
        <f ca="1" t="shared" si="50"/>
        <v>0</v>
      </c>
      <c r="AX76" s="94">
        <f ca="1" t="shared" si="50"/>
        <v>0</v>
      </c>
      <c r="AY76" s="94">
        <f ca="1" t="shared" si="50"/>
        <v>0</v>
      </c>
      <c r="AZ76" s="94">
        <f ca="1" t="shared" si="50"/>
        <v>0</v>
      </c>
      <c r="BA76" s="94">
        <f ca="1" t="shared" si="50"/>
        <v>0</v>
      </c>
    </row>
    <row r="77" ht="22" customHeight="1" spans="2:53">
      <c r="F77" s="100"/>
      <c r="G77" s="100"/>
      <c r="H77" s="100"/>
      <c r="I77" s="100"/>
      <c r="J77" s="100"/>
      <c r="K77" s="100"/>
      <c r="L77" s="100"/>
      <c r="M77" s="100"/>
      <c r="N77" s="100"/>
      <c r="O77" s="100"/>
      <c r="P77" s="100"/>
      <c r="Q77" s="100"/>
      <c r="R77" s="100"/>
      <c r="S77" s="100"/>
      <c r="T77" s="100"/>
      <c r="U77" s="100"/>
      <c r="V77" s="100"/>
      <c r="W77" s="100"/>
      <c r="X77" s="100"/>
      <c r="Y77" s="100"/>
      <c r="Z77" s="100"/>
      <c r="AA77" s="100"/>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row>
    <row r="79" s="69" customFormat="1" spans="2:53">
      <c r="B79" s="101"/>
      <c r="C79" s="102" t="s">
        <v>356</v>
      </c>
      <c r="E79" s="101"/>
      <c r="F79" s="103" t="str">
        <f ca="1">IF(F62+0.001&gt;=F65,"OK","F")</f>
        <v>OK</v>
      </c>
      <c r="G79" s="103" t="str">
        <f ca="1" t="shared" ref="G79:BA79" si="51">IF(G62+0.001&gt;=G65,"OK","F")</f>
        <v>OK</v>
      </c>
      <c r="H79" s="103" t="str">
        <f ca="1" t="shared" si="51"/>
        <v>OK</v>
      </c>
      <c r="I79" s="103" t="str">
        <f ca="1" t="shared" si="51"/>
        <v>OK</v>
      </c>
      <c r="J79" s="103" t="str">
        <f ca="1" t="shared" si="51"/>
        <v>OK</v>
      </c>
      <c r="K79" s="103" t="str">
        <f ca="1" t="shared" si="51"/>
        <v>OK</v>
      </c>
      <c r="L79" s="103" t="str">
        <f ca="1" t="shared" si="51"/>
        <v>OK</v>
      </c>
      <c r="M79" s="103" t="str">
        <f ca="1" t="shared" si="51"/>
        <v>OK</v>
      </c>
      <c r="N79" s="103" t="str">
        <f ca="1" t="shared" si="51"/>
        <v>OK</v>
      </c>
      <c r="O79" s="103" t="str">
        <f ca="1" t="shared" si="51"/>
        <v>OK</v>
      </c>
      <c r="P79" s="103" t="str">
        <f ca="1" t="shared" si="51"/>
        <v>OK</v>
      </c>
      <c r="Q79" s="103" t="str">
        <f ca="1" t="shared" si="51"/>
        <v>OK</v>
      </c>
      <c r="R79" s="103" t="str">
        <f ca="1" t="shared" si="51"/>
        <v>OK</v>
      </c>
      <c r="S79" s="103" t="str">
        <f ca="1" t="shared" si="51"/>
        <v>OK</v>
      </c>
      <c r="T79" s="103" t="str">
        <f ca="1" t="shared" si="51"/>
        <v>OK</v>
      </c>
      <c r="U79" s="103" t="str">
        <f ca="1" t="shared" si="51"/>
        <v>OK</v>
      </c>
      <c r="V79" s="103" t="str">
        <f ca="1" t="shared" si="51"/>
        <v>OK</v>
      </c>
      <c r="W79" s="103" t="str">
        <f ca="1" t="shared" si="51"/>
        <v>OK</v>
      </c>
      <c r="X79" s="103" t="str">
        <f ca="1" t="shared" si="51"/>
        <v>OK</v>
      </c>
      <c r="Y79" s="103" t="str">
        <f ca="1" t="shared" si="51"/>
        <v>OK</v>
      </c>
      <c r="Z79" s="103" t="str">
        <f ca="1" t="shared" si="51"/>
        <v>OK</v>
      </c>
      <c r="AA79" s="103" t="str">
        <f ca="1" t="shared" si="51"/>
        <v>OK</v>
      </c>
      <c r="AB79" s="103" t="str">
        <f ca="1" t="shared" si="51"/>
        <v>OK</v>
      </c>
      <c r="AC79" s="103" t="str">
        <f ca="1" t="shared" si="51"/>
        <v>OK</v>
      </c>
      <c r="AD79" s="103" t="str">
        <f ca="1" t="shared" si="51"/>
        <v>OK</v>
      </c>
      <c r="AE79" s="103" t="str">
        <f ca="1" t="shared" si="51"/>
        <v>OK</v>
      </c>
      <c r="AF79" s="103" t="str">
        <f ca="1" t="shared" si="51"/>
        <v>OK</v>
      </c>
      <c r="AG79" s="103" t="str">
        <f ca="1" t="shared" si="51"/>
        <v>OK</v>
      </c>
      <c r="AH79" s="103" t="str">
        <f ca="1" t="shared" si="51"/>
        <v>OK</v>
      </c>
      <c r="AI79" s="103" t="str">
        <f ca="1" t="shared" si="51"/>
        <v>OK</v>
      </c>
      <c r="AJ79" s="103" t="str">
        <f ca="1" t="shared" si="51"/>
        <v>OK</v>
      </c>
      <c r="AK79" s="103" t="str">
        <f ca="1" t="shared" si="51"/>
        <v>OK</v>
      </c>
      <c r="AL79" s="103" t="str">
        <f ca="1" t="shared" si="51"/>
        <v>OK</v>
      </c>
      <c r="AM79" s="103" t="str">
        <f ca="1" t="shared" si="51"/>
        <v>OK</v>
      </c>
      <c r="AN79" s="103" t="str">
        <f ca="1" t="shared" si="51"/>
        <v>OK</v>
      </c>
      <c r="AO79" s="103" t="str">
        <f ca="1" t="shared" si="51"/>
        <v>OK</v>
      </c>
      <c r="AP79" s="103" t="str">
        <f ca="1" t="shared" si="51"/>
        <v>OK</v>
      </c>
      <c r="AQ79" s="103" t="str">
        <f ca="1" t="shared" si="51"/>
        <v>OK</v>
      </c>
      <c r="AR79" s="103" t="str">
        <f ca="1" t="shared" si="51"/>
        <v>OK</v>
      </c>
      <c r="AS79" s="103" t="str">
        <f ca="1" t="shared" si="51"/>
        <v>OK</v>
      </c>
      <c r="AT79" s="103" t="str">
        <f ca="1" t="shared" si="51"/>
        <v>OK</v>
      </c>
      <c r="AU79" s="103" t="str">
        <f ca="1" t="shared" si="51"/>
        <v>OK</v>
      </c>
      <c r="AV79" s="103" t="str">
        <f ca="1" t="shared" si="51"/>
        <v>OK</v>
      </c>
      <c r="AW79" s="103" t="str">
        <f ca="1" t="shared" si="51"/>
        <v>OK</v>
      </c>
      <c r="AX79" s="103" t="str">
        <f ca="1" t="shared" si="51"/>
        <v>OK</v>
      </c>
      <c r="AY79" s="103" t="str">
        <f ca="1" t="shared" si="51"/>
        <v>OK</v>
      </c>
      <c r="AZ79" s="103" t="str">
        <f ca="1" t="shared" si="51"/>
        <v>OK</v>
      </c>
      <c r="BA79" s="103" t="str">
        <f ca="1" t="shared" si="51"/>
        <v>OK</v>
      </c>
    </row>
    <row r="81" spans="14:53">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04"/>
      <c r="AO81" s="104"/>
      <c r="AP81" s="104"/>
      <c r="AQ81" s="104"/>
      <c r="AR81" s="104"/>
      <c r="AS81" s="104"/>
      <c r="AT81" s="104"/>
      <c r="AU81" s="104"/>
      <c r="AV81" s="104"/>
      <c r="AW81" s="104"/>
      <c r="AX81" s="104"/>
      <c r="AY81" s="104"/>
      <c r="AZ81" s="104"/>
      <c r="BA81" s="104"/>
    </row>
  </sheetData>
  <mergeCells count="4">
    <mergeCell ref="B3:B4"/>
    <mergeCell ref="C3:C4"/>
    <mergeCell ref="D3:D4"/>
    <mergeCell ref="E3:E4"/>
  </mergeCells>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B1:AZ135"/>
  <sheetViews>
    <sheetView showGridLines="0" zoomScale="70" zoomScaleNormal="70" workbookViewId="0">
      <pane xSplit="3" ySplit="4" topLeftCell="D32" activePane="bottomRight" state="frozen"/>
      <selection/>
      <selection pane="topRight"/>
      <selection pane="bottomLeft"/>
      <selection pane="bottomRight" activeCell="H71" sqref="H71"/>
    </sheetView>
  </sheetViews>
  <sheetFormatPr defaultColWidth="8.89090909090909" defaultRowHeight="16.5"/>
  <cols>
    <col min="1" max="1" width="3.44545454545455" style="6" customWidth="1"/>
    <col min="2" max="2" width="8.55454545454545" style="7" customWidth="1"/>
    <col min="3" max="3" width="60.7818181818182" style="6" customWidth="1"/>
    <col min="4" max="4" width="8.89090909090909" style="7"/>
    <col min="5" max="10" width="15.3363636363636" style="6" customWidth="1"/>
    <col min="11" max="12" width="16.8909090909091" style="6" customWidth="1"/>
    <col min="13" max="24" width="15.3363636363636" style="6" customWidth="1"/>
    <col min="25" max="29" width="16.3363636363636" style="6" customWidth="1"/>
    <col min="30" max="52" width="15.3363636363636" style="6" customWidth="1"/>
    <col min="53" max="16384" width="8.89090909090909" style="6"/>
  </cols>
  <sheetData>
    <row r="1" ht="5.4" customHeight="1"/>
    <row r="2" ht="7.2" customHeight="1"/>
    <row r="3" spans="2:52">
      <c r="B3" s="8" t="s">
        <v>2</v>
      </c>
      <c r="C3" s="9" t="s">
        <v>430</v>
      </c>
      <c r="D3" s="10" t="s">
        <v>9</v>
      </c>
      <c r="E3" s="11">
        <v>2023</v>
      </c>
      <c r="F3" s="11">
        <v>2024</v>
      </c>
      <c r="G3" s="11">
        <v>2025</v>
      </c>
      <c r="H3" s="11">
        <v>2026</v>
      </c>
      <c r="I3" s="11">
        <v>2027</v>
      </c>
      <c r="J3" s="11">
        <v>2028</v>
      </c>
      <c r="K3" s="12">
        <v>2029</v>
      </c>
      <c r="L3" s="12">
        <v>2030</v>
      </c>
      <c r="M3" s="13">
        <v>2031</v>
      </c>
      <c r="N3" s="13">
        <v>2032</v>
      </c>
      <c r="O3" s="13">
        <v>2033</v>
      </c>
      <c r="P3" s="13">
        <v>2034</v>
      </c>
      <c r="Q3" s="13">
        <v>2035</v>
      </c>
      <c r="R3" s="13">
        <v>2036</v>
      </c>
      <c r="S3" s="13">
        <v>2037</v>
      </c>
      <c r="T3" s="13">
        <v>2038</v>
      </c>
      <c r="U3" s="13">
        <v>2039</v>
      </c>
      <c r="V3" s="13">
        <v>2040</v>
      </c>
      <c r="W3" s="13">
        <v>2041</v>
      </c>
      <c r="X3" s="13">
        <v>2042</v>
      </c>
      <c r="Y3" s="13">
        <v>2043</v>
      </c>
      <c r="Z3" s="13">
        <v>2044</v>
      </c>
      <c r="AA3" s="13">
        <v>2045</v>
      </c>
      <c r="AB3" s="13">
        <v>2046</v>
      </c>
      <c r="AC3" s="13">
        <v>2047</v>
      </c>
      <c r="AD3" s="13">
        <v>2048</v>
      </c>
      <c r="AE3" s="13">
        <v>2049</v>
      </c>
      <c r="AF3" s="13">
        <v>2050</v>
      </c>
      <c r="AG3" s="13">
        <v>2051</v>
      </c>
      <c r="AH3" s="13">
        <v>2052</v>
      </c>
      <c r="AI3" s="13">
        <v>2053</v>
      </c>
      <c r="AJ3" s="13">
        <v>2054</v>
      </c>
      <c r="AK3" s="13">
        <v>2055</v>
      </c>
      <c r="AL3" s="13">
        <v>2056</v>
      </c>
      <c r="AM3" s="13">
        <v>2057</v>
      </c>
      <c r="AN3" s="13">
        <v>2058</v>
      </c>
      <c r="AO3" s="13">
        <v>2059</v>
      </c>
      <c r="AP3" s="13">
        <v>2060</v>
      </c>
      <c r="AQ3" s="13">
        <v>2061</v>
      </c>
      <c r="AR3" s="13">
        <v>2062</v>
      </c>
      <c r="AS3" s="13">
        <v>2063</v>
      </c>
      <c r="AT3" s="13">
        <v>2064</v>
      </c>
      <c r="AU3" s="13">
        <v>2065</v>
      </c>
      <c r="AV3" s="13">
        <v>2066</v>
      </c>
      <c r="AW3" s="13">
        <v>2067</v>
      </c>
      <c r="AX3" s="13">
        <v>2068</v>
      </c>
      <c r="AY3" s="13">
        <v>2069</v>
      </c>
      <c r="AZ3" s="14">
        <v>2070</v>
      </c>
    </row>
    <row r="4" spans="2:52">
      <c r="B4" s="15"/>
      <c r="C4" s="16"/>
      <c r="D4" s="17"/>
      <c r="E4" s="18">
        <v>1</v>
      </c>
      <c r="F4" s="18">
        <v>2</v>
      </c>
      <c r="G4" s="18">
        <v>3</v>
      </c>
      <c r="H4" s="18">
        <v>4</v>
      </c>
      <c r="I4" s="18">
        <v>5</v>
      </c>
      <c r="J4" s="18">
        <v>6</v>
      </c>
      <c r="K4" s="19">
        <v>7</v>
      </c>
      <c r="L4" s="19">
        <v>8</v>
      </c>
      <c r="M4" s="20">
        <v>9</v>
      </c>
      <c r="N4" s="20">
        <v>10</v>
      </c>
      <c r="O4" s="20">
        <v>11</v>
      </c>
      <c r="P4" s="20">
        <v>12</v>
      </c>
      <c r="Q4" s="20">
        <v>13</v>
      </c>
      <c r="R4" s="20">
        <v>14</v>
      </c>
      <c r="S4" s="20">
        <v>15</v>
      </c>
      <c r="T4" s="20">
        <v>16</v>
      </c>
      <c r="U4" s="20">
        <v>17</v>
      </c>
      <c r="V4" s="20">
        <v>18</v>
      </c>
      <c r="W4" s="20">
        <v>19</v>
      </c>
      <c r="X4" s="20">
        <v>20</v>
      </c>
      <c r="Y4" s="20">
        <v>21</v>
      </c>
      <c r="Z4" s="20">
        <v>22</v>
      </c>
      <c r="AA4" s="20">
        <v>23</v>
      </c>
      <c r="AB4" s="20">
        <v>24</v>
      </c>
      <c r="AC4" s="20">
        <v>25</v>
      </c>
      <c r="AD4" s="20">
        <v>26</v>
      </c>
      <c r="AE4" s="20">
        <v>27</v>
      </c>
      <c r="AF4" s="20">
        <v>28</v>
      </c>
      <c r="AG4" s="20">
        <v>29</v>
      </c>
      <c r="AH4" s="20">
        <v>30</v>
      </c>
      <c r="AI4" s="20">
        <v>31</v>
      </c>
      <c r="AJ4" s="20">
        <v>32</v>
      </c>
      <c r="AK4" s="20">
        <v>33</v>
      </c>
      <c r="AL4" s="20">
        <v>34</v>
      </c>
      <c r="AM4" s="20">
        <v>35</v>
      </c>
      <c r="AN4" s="20">
        <v>36</v>
      </c>
      <c r="AO4" s="20">
        <v>37</v>
      </c>
      <c r="AP4" s="20">
        <v>38</v>
      </c>
      <c r="AQ4" s="20">
        <v>39</v>
      </c>
      <c r="AR4" s="20">
        <v>40</v>
      </c>
      <c r="AS4" s="20">
        <v>41</v>
      </c>
      <c r="AT4" s="20">
        <v>42</v>
      </c>
      <c r="AU4" s="20">
        <v>43</v>
      </c>
      <c r="AV4" s="20">
        <v>44</v>
      </c>
      <c r="AW4" s="20">
        <v>45</v>
      </c>
      <c r="AX4" s="20">
        <v>46</v>
      </c>
      <c r="AY4" s="20">
        <v>47</v>
      </c>
      <c r="AZ4" s="21">
        <v>48</v>
      </c>
    </row>
    <row r="5" s="1" customFormat="1" ht="22.8" customHeight="1" spans="2:52">
      <c r="B5" s="22">
        <v>1</v>
      </c>
      <c r="C5" s="23" t="s">
        <v>1051</v>
      </c>
      <c r="D5" s="24" t="s">
        <v>130</v>
      </c>
      <c r="E5" s="25">
        <f ca="1">E6+E31</f>
        <v>95511.3167916022</v>
      </c>
      <c r="F5" s="25">
        <f ca="1" t="shared" ref="F5:M5" si="0">F6+F31</f>
        <v>191414.252600782</v>
      </c>
      <c r="G5" s="25">
        <f ca="1" t="shared" si="0"/>
        <v>302941.625054648</v>
      </c>
      <c r="H5" s="25">
        <f ca="1" t="shared" si="0"/>
        <v>427924.202661033</v>
      </c>
      <c r="I5" s="25">
        <f ca="1" t="shared" si="0"/>
        <v>595735.745573989</v>
      </c>
      <c r="J5" s="25">
        <f ca="1" t="shared" si="0"/>
        <v>756158.070817838</v>
      </c>
      <c r="K5" s="25">
        <f ca="1" t="shared" si="0"/>
        <v>899498.177146767</v>
      </c>
      <c r="L5" s="25">
        <f ca="1" t="shared" si="0"/>
        <v>967765.267854762</v>
      </c>
      <c r="M5" s="25">
        <f ca="1" t="shared" si="0"/>
        <v>943477.833692587</v>
      </c>
      <c r="N5" s="25">
        <f ca="1" t="shared" ref="N5:AK5" si="1">N6+N31</f>
        <v>900817.671197079</v>
      </c>
      <c r="O5" s="25">
        <f ca="1" t="shared" si="1"/>
        <v>858157.508701571</v>
      </c>
      <c r="P5" s="25">
        <f ca="1" t="shared" si="1"/>
        <v>815497.346206063</v>
      </c>
      <c r="Q5" s="25">
        <f ca="1" t="shared" si="1"/>
        <v>772837.183710555</v>
      </c>
      <c r="R5" s="25">
        <f ca="1" t="shared" si="1"/>
        <v>733615.813724906</v>
      </c>
      <c r="S5" s="25">
        <f ca="1" t="shared" si="1"/>
        <v>701985.240787344</v>
      </c>
      <c r="T5" s="25">
        <f ca="1" t="shared" si="1"/>
        <v>670354.667849781</v>
      </c>
      <c r="U5" s="25">
        <f ca="1" t="shared" si="1"/>
        <v>638724.094912219</v>
      </c>
      <c r="V5" s="25">
        <f ca="1" t="shared" si="1"/>
        <v>607093.521974657</v>
      </c>
      <c r="W5" s="25">
        <f ca="1" t="shared" si="1"/>
        <v>577083.169058203</v>
      </c>
      <c r="X5" s="25">
        <f ca="1" t="shared" si="1"/>
        <v>562025.428384991</v>
      </c>
      <c r="Y5" s="25">
        <f ca="1" t="shared" si="1"/>
        <v>528934.063858568</v>
      </c>
      <c r="Z5" s="25">
        <f ca="1" t="shared" si="1"/>
        <v>495842.699332145</v>
      </c>
      <c r="AA5" s="25">
        <f ca="1" t="shared" si="1"/>
        <v>462751.334805722</v>
      </c>
      <c r="AB5" s="25">
        <f ca="1" t="shared" si="1"/>
        <v>430118.685875629</v>
      </c>
      <c r="AC5" s="25">
        <f ca="1" t="shared" si="1"/>
        <v>397027.321349205</v>
      </c>
      <c r="AD5" s="25">
        <f ca="1" t="shared" si="1"/>
        <v>365695.216082041</v>
      </c>
      <c r="AE5" s="25">
        <f ca="1" t="shared" si="1"/>
        <v>338153.507406159</v>
      </c>
      <c r="AF5" s="25">
        <f ca="1" t="shared" si="1"/>
        <v>309521.865101958</v>
      </c>
      <c r="AG5" s="25">
        <f ca="1" t="shared" si="1"/>
        <v>300791.819225734</v>
      </c>
      <c r="AH5" s="25">
        <f ca="1" t="shared" si="1"/>
        <v>303847.898569726</v>
      </c>
      <c r="AI5" s="25">
        <f ca="1" t="shared" si="1"/>
        <v>306520.010321918</v>
      </c>
      <c r="AJ5" s="25">
        <f ca="1" t="shared" si="1"/>
        <v>309098.926315832</v>
      </c>
      <c r="AK5" s="25">
        <f ca="1" t="shared" si="1"/>
        <v>311642.427921601</v>
      </c>
      <c r="AL5" s="25">
        <f ca="1" t="shared" ref="AL5:AZ5" si="2">AL6+AL31</f>
        <v>314173.963252534</v>
      </c>
      <c r="AM5" s="25">
        <f ca="1" t="shared" si="2"/>
        <v>316704.37550555</v>
      </c>
      <c r="AN5" s="25">
        <f ca="1" t="shared" si="2"/>
        <v>319223.937371193</v>
      </c>
      <c r="AO5" s="25">
        <f ca="1" t="shared" si="2"/>
        <v>325031.62977756</v>
      </c>
      <c r="AP5" s="25">
        <f ca="1" t="shared" si="2"/>
        <v>333785.689631247</v>
      </c>
      <c r="AQ5" s="25">
        <f ca="1" t="shared" si="2"/>
        <v>339594.468362252</v>
      </c>
      <c r="AR5" s="25">
        <f ca="1" t="shared" si="2"/>
        <v>344279.513029126</v>
      </c>
      <c r="AS5" s="25">
        <f ca="1" t="shared" si="2"/>
        <v>348480.727293933</v>
      </c>
      <c r="AT5" s="25">
        <f ca="1" t="shared" si="2"/>
        <v>352550.79793256</v>
      </c>
      <c r="AU5" s="25">
        <f ca="1" t="shared" si="2"/>
        <v>356560.618860496</v>
      </c>
      <c r="AV5" s="25">
        <f ca="1" t="shared" si="2"/>
        <v>360552.007064481</v>
      </c>
      <c r="AW5" s="25">
        <f ca="1" t="shared" si="2"/>
        <v>364539.090161123</v>
      </c>
      <c r="AX5" s="25">
        <f ca="1" t="shared" si="2"/>
        <v>368481.321842968</v>
      </c>
      <c r="AY5" s="25">
        <f ca="1" t="shared" si="2"/>
        <v>372444.37377924</v>
      </c>
      <c r="AZ5" s="26">
        <f ca="1" t="shared" si="2"/>
        <v>345034.557921546</v>
      </c>
    </row>
    <row r="6" spans="2:52">
      <c r="B6" s="27">
        <v>1.1</v>
      </c>
      <c r="C6" s="28" t="s">
        <v>676</v>
      </c>
      <c r="D6" s="29" t="s">
        <v>130</v>
      </c>
      <c r="E6" s="30">
        <f ca="1">SUM(E7:E21)+E23+E24+SUM(E27:E30)</f>
        <v>7299.30102643838</v>
      </c>
      <c r="F6" s="30">
        <f ca="1" t="shared" ref="F6:AZ6" si="3">SUM(F7:F21)+F23+F24+SUM(F27:F30)</f>
        <v>14349.5851973879</v>
      </c>
      <c r="G6" s="30">
        <f ca="1" t="shared" si="3"/>
        <v>22502.628311032</v>
      </c>
      <c r="H6" s="30">
        <f ca="1" t="shared" si="3"/>
        <v>31496.1787129156</v>
      </c>
      <c r="I6" s="30">
        <f ca="1" t="shared" si="3"/>
        <v>43655.1322928733</v>
      </c>
      <c r="J6" s="30">
        <f ca="1" t="shared" si="3"/>
        <v>54801.3239233855</v>
      </c>
      <c r="K6" s="30">
        <f ca="1" t="shared" si="3"/>
        <v>64123.148912425</v>
      </c>
      <c r="L6" s="30">
        <f ca="1" t="shared" si="3"/>
        <v>81252.7676971423</v>
      </c>
      <c r="M6" s="30">
        <f ca="1" t="shared" si="3"/>
        <v>88599.6908761998</v>
      </c>
      <c r="N6" s="30">
        <f ca="1" t="shared" si="3"/>
        <v>77570.1013182541</v>
      </c>
      <c r="O6" s="30">
        <f ca="1" t="shared" si="3"/>
        <v>66540.5117603084</v>
      </c>
      <c r="P6" s="30">
        <f ca="1" t="shared" si="3"/>
        <v>55510.9222023627</v>
      </c>
      <c r="Q6" s="30">
        <f ca="1" t="shared" si="3"/>
        <v>44481.332644417</v>
      </c>
      <c r="R6" s="30">
        <f ca="1" t="shared" si="3"/>
        <v>36431.82</v>
      </c>
      <c r="S6" s="30">
        <f ca="1" t="shared" si="3"/>
        <v>36431.82</v>
      </c>
      <c r="T6" s="30">
        <f ca="1" t="shared" si="3"/>
        <v>36431.82</v>
      </c>
      <c r="U6" s="30">
        <f ca="1" t="shared" si="3"/>
        <v>36431.82</v>
      </c>
      <c r="V6" s="30">
        <f ca="1" t="shared" si="3"/>
        <v>36431.82</v>
      </c>
      <c r="W6" s="30">
        <f ca="1" t="shared" si="3"/>
        <v>36431.82</v>
      </c>
      <c r="X6" s="30">
        <f ca="1" t="shared" si="3"/>
        <v>36431.82</v>
      </c>
      <c r="Y6" s="30">
        <f ca="1" t="shared" si="3"/>
        <v>36431.82</v>
      </c>
      <c r="Z6" s="30">
        <f ca="1" t="shared" si="3"/>
        <v>36431.82</v>
      </c>
      <c r="AA6" s="30">
        <f ca="1" t="shared" si="3"/>
        <v>36431.82</v>
      </c>
      <c r="AB6" s="30">
        <f ca="1" t="shared" si="3"/>
        <v>36431.82</v>
      </c>
      <c r="AC6" s="30">
        <f ca="1" t="shared" si="3"/>
        <v>36431.82</v>
      </c>
      <c r="AD6" s="30">
        <f ca="1" t="shared" si="3"/>
        <v>36431.82</v>
      </c>
      <c r="AE6" s="30">
        <f ca="1" t="shared" si="3"/>
        <v>36431.82</v>
      </c>
      <c r="AF6" s="30">
        <f ca="1" t="shared" si="3"/>
        <v>36431.82</v>
      </c>
      <c r="AG6" s="30">
        <f ca="1" t="shared" si="3"/>
        <v>55542.2008316471</v>
      </c>
      <c r="AH6" s="30">
        <f ca="1" t="shared" si="3"/>
        <v>68548.7986266284</v>
      </c>
      <c r="AI6" s="30">
        <f ca="1" t="shared" si="3"/>
        <v>99520.0526830217</v>
      </c>
      <c r="AJ6" s="30">
        <f ca="1" t="shared" si="3"/>
        <v>130398.110981137</v>
      </c>
      <c r="AK6" s="30">
        <f ca="1" t="shared" si="3"/>
        <v>161240.754891106</v>
      </c>
      <c r="AL6" s="30">
        <f ca="1" t="shared" si="3"/>
        <v>191612.716929911</v>
      </c>
      <c r="AM6" s="30">
        <f ca="1" t="shared" si="3"/>
        <v>221114.837858809</v>
      </c>
      <c r="AN6" s="30">
        <f ca="1" t="shared" si="3"/>
        <v>251933.542028653</v>
      </c>
      <c r="AO6" s="30">
        <f ca="1" t="shared" si="3"/>
        <v>275120.956907523</v>
      </c>
      <c r="AP6" s="30">
        <f ca="1" t="shared" si="3"/>
        <v>285967.551469337</v>
      </c>
      <c r="AQ6" s="30">
        <f ca="1" t="shared" si="3"/>
        <v>293410.149312139</v>
      </c>
      <c r="AR6" s="30">
        <f ca="1" t="shared" si="3"/>
        <v>282042.978432297</v>
      </c>
      <c r="AS6" s="30">
        <f ca="1" t="shared" si="3"/>
        <v>288540.601003601</v>
      </c>
      <c r="AT6" s="30">
        <f ca="1" t="shared" si="3"/>
        <v>294907.079948724</v>
      </c>
      <c r="AU6" s="30">
        <f ca="1" t="shared" si="3"/>
        <v>299941.185289351</v>
      </c>
      <c r="AV6" s="30">
        <f ca="1" t="shared" si="3"/>
        <v>305825.575938014</v>
      </c>
      <c r="AW6" s="30">
        <f ca="1" t="shared" si="3"/>
        <v>312164.377075666</v>
      </c>
      <c r="AX6" s="30">
        <f ca="1" t="shared" si="3"/>
        <v>318152.516400967</v>
      </c>
      <c r="AY6" s="30">
        <f ca="1" t="shared" si="3"/>
        <v>324620.191577025</v>
      </c>
      <c r="AZ6" s="31">
        <f ca="1" t="shared" si="3"/>
        <v>345034.557921546</v>
      </c>
    </row>
    <row r="7" spans="2:52">
      <c r="B7" s="32"/>
      <c r="C7" s="33" t="s">
        <v>1052</v>
      </c>
      <c r="D7" s="29" t="s">
        <v>130</v>
      </c>
      <c r="E7" s="34">
        <f ca="1">'表9-现金流量表-财务计划'!F62</f>
        <v>0</v>
      </c>
      <c r="F7" s="34">
        <f ca="1">'表9-现金流量表-财务计划'!G62</f>
        <v>0</v>
      </c>
      <c r="G7" s="34">
        <f ca="1">'表9-现金流量表-财务计划'!H62</f>
        <v>0</v>
      </c>
      <c r="H7" s="34">
        <f ca="1">'表9-现金流量表-财务计划'!I62</f>
        <v>0</v>
      </c>
      <c r="I7" s="34">
        <f ca="1">'表9-现金流量表-财务计划'!J62</f>
        <v>0</v>
      </c>
      <c r="J7" s="34">
        <f ca="1">'表9-现金流量表-财务计划'!K62</f>
        <v>0</v>
      </c>
      <c r="K7" s="34">
        <f ca="1">'表9-现金流量表-财务计划'!L62</f>
        <v>0</v>
      </c>
      <c r="L7" s="34">
        <f ca="1">'表9-现金流量表-财务计划'!M62</f>
        <v>0</v>
      </c>
      <c r="M7" s="34">
        <f ca="1">'表9-现金流量表-财务计划'!N62</f>
        <v>0</v>
      </c>
      <c r="N7" s="34">
        <f ca="1">'表9-现金流量表-财务计划'!O62</f>
        <v>0</v>
      </c>
      <c r="O7" s="34">
        <f ca="1">'表9-现金流量表-财务计划'!P62</f>
        <v>0</v>
      </c>
      <c r="P7" s="34">
        <f ca="1">'表9-现金流量表-财务计划'!Q62</f>
        <v>0</v>
      </c>
      <c r="Q7" s="34">
        <f ca="1">'表9-现金流量表-财务计划'!R62</f>
        <v>0</v>
      </c>
      <c r="R7" s="34">
        <f ca="1">'表9-现金流量表-财务计划'!S62</f>
        <v>0</v>
      </c>
      <c r="S7" s="34">
        <f ca="1">'表9-现金流量表-财务计划'!T62</f>
        <v>0</v>
      </c>
      <c r="T7" s="34">
        <f ca="1">'表9-现金流量表-财务计划'!U62</f>
        <v>0</v>
      </c>
      <c r="U7" s="34">
        <f ca="1">'表9-现金流量表-财务计划'!V62</f>
        <v>0</v>
      </c>
      <c r="V7" s="34">
        <f ca="1">'表9-现金流量表-财务计划'!W62</f>
        <v>0</v>
      </c>
      <c r="W7" s="34">
        <f ca="1">'表9-现金流量表-财务计划'!X62</f>
        <v>0</v>
      </c>
      <c r="X7" s="34">
        <f ca="1">'表9-现金流量表-财务计划'!Y62</f>
        <v>0</v>
      </c>
      <c r="Y7" s="34">
        <f ca="1">'表9-现金流量表-财务计划'!Z62</f>
        <v>0</v>
      </c>
      <c r="Z7" s="34">
        <f ca="1">'表9-现金流量表-财务计划'!AA62</f>
        <v>0</v>
      </c>
      <c r="AA7" s="34">
        <f ca="1">'表9-现金流量表-财务计划'!AB62</f>
        <v>0</v>
      </c>
      <c r="AB7" s="34">
        <f ca="1">'表9-现金流量表-财务计划'!AC62</f>
        <v>0</v>
      </c>
      <c r="AC7" s="34">
        <f ca="1">'表9-现金流量表-财务计划'!AD62</f>
        <v>0</v>
      </c>
      <c r="AD7" s="34">
        <f ca="1">'表9-现金流量表-财务计划'!AE62</f>
        <v>0</v>
      </c>
      <c r="AE7" s="34">
        <f ca="1">'表9-现金流量表-财务计划'!AF62</f>
        <v>0</v>
      </c>
      <c r="AF7" s="34">
        <f ca="1">'表9-现金流量表-财务计划'!AG62</f>
        <v>0</v>
      </c>
      <c r="AG7" s="34">
        <f ca="1">'表9-现金流量表-财务计划'!AH62</f>
        <v>19110.3808316471</v>
      </c>
      <c r="AH7" s="34">
        <f ca="1">'表9-现金流量表-财务计划'!AI62</f>
        <v>32116.9786266284</v>
      </c>
      <c r="AI7" s="34">
        <f ca="1">'表9-现金流量表-财务计划'!AJ62</f>
        <v>63088.2326830217</v>
      </c>
      <c r="AJ7" s="34">
        <f ca="1">'表9-现金流量表-财务计划'!AK62</f>
        <v>93966.2909811369</v>
      </c>
      <c r="AK7" s="34">
        <f ca="1">'表9-现金流量表-财务计划'!AL62</f>
        <v>124808.934891106</v>
      </c>
      <c r="AL7" s="34">
        <f ca="1">'表9-现金流量表-财务计划'!AM62</f>
        <v>155180.896929911</v>
      </c>
      <c r="AM7" s="34">
        <f ca="1">'表9-现金流量表-财务计划'!AN62</f>
        <v>184683.017858809</v>
      </c>
      <c r="AN7" s="34">
        <f ca="1">'表9-现金流量表-财务计划'!AO62</f>
        <v>215501.722028653</v>
      </c>
      <c r="AO7" s="34">
        <f ca="1">'表9-现金流量表-财务计划'!AP62</f>
        <v>238689.136907523</v>
      </c>
      <c r="AP7" s="34">
        <f ca="1">'表9-现金流量表-财务计划'!AQ62</f>
        <v>249535.731469337</v>
      </c>
      <c r="AQ7" s="34">
        <f ca="1">'表9-现金流量表-财务计划'!AR62</f>
        <v>256978.329312139</v>
      </c>
      <c r="AR7" s="34">
        <f ca="1">'表9-现金流量表-财务计划'!AS62</f>
        <v>245611.158432297</v>
      </c>
      <c r="AS7" s="34">
        <f ca="1">'表9-现金流量表-财务计划'!AT62</f>
        <v>252108.781003601</v>
      </c>
      <c r="AT7" s="34">
        <f ca="1">'表9-现金流量表-财务计划'!AU62</f>
        <v>258475.259948724</v>
      </c>
      <c r="AU7" s="34">
        <f ca="1">'表9-现金流量表-财务计划'!AV62</f>
        <v>263509.365289351</v>
      </c>
      <c r="AV7" s="34">
        <f ca="1">'表9-现金流量表-财务计划'!AW62</f>
        <v>269393.755938014</v>
      </c>
      <c r="AW7" s="34">
        <f ca="1">'表9-现金流量表-财务计划'!AX62</f>
        <v>275732.557075666</v>
      </c>
      <c r="AX7" s="34">
        <f ca="1">'表9-现金流量表-财务计划'!AY62</f>
        <v>281720.696400967</v>
      </c>
      <c r="AY7" s="34">
        <f ca="1">'表9-现金流量表-财务计划'!AZ62</f>
        <v>288188.371577025</v>
      </c>
      <c r="AZ7" s="35">
        <f ca="1">'表9-现金流量表-财务计划'!BA62</f>
        <v>340034.557921546</v>
      </c>
    </row>
    <row r="8" spans="2:52">
      <c r="B8" s="32"/>
      <c r="C8" s="33" t="s">
        <v>1053</v>
      </c>
      <c r="D8" s="29" t="s">
        <v>130</v>
      </c>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5"/>
    </row>
    <row r="9" spans="2:52">
      <c r="B9" s="32"/>
      <c r="C9" s="33" t="s">
        <v>1054</v>
      </c>
      <c r="D9" s="29" t="s">
        <v>130</v>
      </c>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5"/>
    </row>
    <row r="10" spans="2:52">
      <c r="B10" s="32"/>
      <c r="C10" s="33" t="s">
        <v>1055</v>
      </c>
      <c r="D10" s="29" t="s">
        <v>130</v>
      </c>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5"/>
    </row>
    <row r="11" spans="2:52">
      <c r="B11" s="32"/>
      <c r="C11" s="33" t="s">
        <v>1056</v>
      </c>
      <c r="D11" s="29" t="s">
        <v>130</v>
      </c>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5"/>
    </row>
    <row r="12" spans="2:52">
      <c r="B12" s="32"/>
      <c r="C12" s="33" t="s">
        <v>1057</v>
      </c>
      <c r="D12" s="29" t="s">
        <v>130</v>
      </c>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5"/>
    </row>
    <row r="13" spans="2:52">
      <c r="B13" s="32"/>
      <c r="C13" s="33" t="s">
        <v>1058</v>
      </c>
      <c r="D13" s="29" t="s">
        <v>130</v>
      </c>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5"/>
    </row>
    <row r="14" spans="2:52">
      <c r="B14" s="32"/>
      <c r="C14" s="33" t="s">
        <v>1059</v>
      </c>
      <c r="D14" s="29" t="s">
        <v>130</v>
      </c>
      <c r="E14" s="34">
        <f>'表4-收入税金表'!F67</f>
        <v>0</v>
      </c>
      <c r="F14" s="34">
        <f>'表4-收入税金表'!G67</f>
        <v>0</v>
      </c>
      <c r="G14" s="34">
        <f>'表4-收入税金表'!H67</f>
        <v>0</v>
      </c>
      <c r="H14" s="34">
        <f>'表4-收入税金表'!I67</f>
        <v>0</v>
      </c>
      <c r="I14" s="34">
        <f>'表4-收入税金表'!J67</f>
        <v>0</v>
      </c>
      <c r="J14" s="34">
        <f>'表4-收入税金表'!K67</f>
        <v>0</v>
      </c>
      <c r="K14" s="34">
        <f>'表4-收入税金表'!L67</f>
        <v>0</v>
      </c>
      <c r="L14" s="34">
        <f>'表4-收入税金表'!M67</f>
        <v>13096.5916666666</v>
      </c>
      <c r="M14" s="34">
        <f>'表4-收入税金表'!N67</f>
        <v>31431.82</v>
      </c>
      <c r="N14" s="34">
        <f>'表4-收入税金表'!O67</f>
        <v>31431.82</v>
      </c>
      <c r="O14" s="34">
        <f>'表4-收入税金表'!P67</f>
        <v>31431.82</v>
      </c>
      <c r="P14" s="34">
        <f>'表4-收入税金表'!Q67</f>
        <v>31431.82</v>
      </c>
      <c r="Q14" s="34">
        <f>'表4-收入税金表'!R67</f>
        <v>31431.82</v>
      </c>
      <c r="R14" s="34">
        <f>'表4-收入税金表'!S67</f>
        <v>31431.82</v>
      </c>
      <c r="S14" s="34">
        <f>'表4-收入税金表'!T67</f>
        <v>31431.82</v>
      </c>
      <c r="T14" s="34">
        <f>'表4-收入税金表'!U67</f>
        <v>31431.82</v>
      </c>
      <c r="U14" s="34">
        <f>'表4-收入税金表'!V67</f>
        <v>31431.82</v>
      </c>
      <c r="V14" s="34">
        <f>'表4-收入税金表'!W67</f>
        <v>31431.82</v>
      </c>
      <c r="W14" s="34">
        <f>'表4-收入税金表'!X67</f>
        <v>31431.82</v>
      </c>
      <c r="X14" s="34">
        <f>'表4-收入税金表'!Y67</f>
        <v>31431.82</v>
      </c>
      <c r="Y14" s="34">
        <f>'表4-收入税金表'!Z67</f>
        <v>31431.82</v>
      </c>
      <c r="Z14" s="34">
        <f>'表4-收入税金表'!AA67</f>
        <v>31431.82</v>
      </c>
      <c r="AA14" s="34">
        <f>'表4-收入税金表'!AB67</f>
        <v>31431.82</v>
      </c>
      <c r="AB14" s="34">
        <f>'表4-收入税金表'!AC67</f>
        <v>31431.82</v>
      </c>
      <c r="AC14" s="34">
        <f>'表4-收入税金表'!AD67</f>
        <v>31431.82</v>
      </c>
      <c r="AD14" s="34">
        <f>'表4-收入税金表'!AE67</f>
        <v>31431.82</v>
      </c>
      <c r="AE14" s="34">
        <f>'表4-收入税金表'!AF67</f>
        <v>31431.82</v>
      </c>
      <c r="AF14" s="34">
        <f>'表4-收入税金表'!AG67</f>
        <v>31431.82</v>
      </c>
      <c r="AG14" s="34">
        <f>'表4-收入税金表'!AH67</f>
        <v>31431.82</v>
      </c>
      <c r="AH14" s="34">
        <f>'表4-收入税金表'!AI67</f>
        <v>31431.82</v>
      </c>
      <c r="AI14" s="34">
        <f>'表4-收入税金表'!AJ67</f>
        <v>31431.82</v>
      </c>
      <c r="AJ14" s="34">
        <f>'表4-收入税金表'!AK67</f>
        <v>31431.82</v>
      </c>
      <c r="AK14" s="34">
        <f>'表4-收入税金表'!AL67</f>
        <v>31431.82</v>
      </c>
      <c r="AL14" s="34">
        <f>'表4-收入税金表'!AM67</f>
        <v>31431.82</v>
      </c>
      <c r="AM14" s="34">
        <f>'表4-收入税金表'!AN67</f>
        <v>31431.82</v>
      </c>
      <c r="AN14" s="34">
        <f>'表4-收入税金表'!AO67</f>
        <v>31431.82</v>
      </c>
      <c r="AO14" s="34">
        <f>'表4-收入税金表'!AP67</f>
        <v>31431.82</v>
      </c>
      <c r="AP14" s="34">
        <f>'表4-收入税金表'!AQ67</f>
        <v>31431.82</v>
      </c>
      <c r="AQ14" s="34">
        <f>'表4-收入税金表'!AR67</f>
        <v>31431.82</v>
      </c>
      <c r="AR14" s="34">
        <f>'表4-收入税金表'!AS67</f>
        <v>31431.82</v>
      </c>
      <c r="AS14" s="34">
        <f>'表4-收入税金表'!AT67</f>
        <v>31431.82</v>
      </c>
      <c r="AT14" s="34">
        <f>'表4-收入税金表'!AU67</f>
        <v>31431.82</v>
      </c>
      <c r="AU14" s="34">
        <f>'表4-收入税金表'!AV67</f>
        <v>31431.82</v>
      </c>
      <c r="AV14" s="34">
        <f>'表4-收入税金表'!AW67</f>
        <v>31431.82</v>
      </c>
      <c r="AW14" s="34">
        <f>'表4-收入税金表'!AX67</f>
        <v>31431.82</v>
      </c>
      <c r="AX14" s="34">
        <f>'表4-收入税金表'!AY67</f>
        <v>31431.82</v>
      </c>
      <c r="AY14" s="34">
        <f>'表4-收入税金表'!AZ67</f>
        <v>31431.82</v>
      </c>
      <c r="AZ14" s="35">
        <f>'表4-收入税金表'!BA67</f>
        <v>0</v>
      </c>
    </row>
    <row r="15" spans="2:52">
      <c r="B15" s="32"/>
      <c r="C15" s="33" t="s">
        <v>1060</v>
      </c>
      <c r="D15" s="29" t="s">
        <v>130</v>
      </c>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5"/>
    </row>
    <row r="16" spans="2:52">
      <c r="B16" s="32"/>
      <c r="C16" s="33" t="s">
        <v>1061</v>
      </c>
      <c r="D16" s="29" t="s">
        <v>130</v>
      </c>
      <c r="E16" s="34">
        <f>'表1-资金筹措及还本付息表'!F316</f>
        <v>0</v>
      </c>
      <c r="F16" s="34">
        <f>'表1-资金筹措及还本付息表'!G316</f>
        <v>0</v>
      </c>
      <c r="G16" s="34">
        <f>'表1-资金筹措及还本付息表'!H316</f>
        <v>0</v>
      </c>
      <c r="H16" s="34">
        <f>'表1-资金筹措及还本付息表'!I316</f>
        <v>0</v>
      </c>
      <c r="I16" s="34">
        <f>'表1-资金筹措及还本付息表'!J316</f>
        <v>0</v>
      </c>
      <c r="J16" s="34">
        <f>'表1-资金筹措及还本付息表'!K316</f>
        <v>0</v>
      </c>
      <c r="K16" s="34">
        <f>'表1-资金筹措及还本付息表'!L316</f>
        <v>0</v>
      </c>
      <c r="L16" s="34">
        <f>'表1-资金筹措及还本付息表'!M316</f>
        <v>0</v>
      </c>
      <c r="M16" s="34">
        <f>'表1-资金筹措及还本付息表'!N316</f>
        <v>0</v>
      </c>
      <c r="N16" s="34">
        <f>'表1-资金筹措及还本付息表'!O316</f>
        <v>0</v>
      </c>
      <c r="O16" s="34">
        <f>'表1-资金筹措及还本付息表'!P316</f>
        <v>0</v>
      </c>
      <c r="P16" s="34">
        <f>'表1-资金筹措及还本付息表'!Q316</f>
        <v>0</v>
      </c>
      <c r="Q16" s="34">
        <f>'表1-资金筹措及还本付息表'!R316</f>
        <v>0</v>
      </c>
      <c r="R16" s="34">
        <f>'表1-资金筹措及还本付息表'!S316</f>
        <v>0</v>
      </c>
      <c r="S16" s="34">
        <f>'表1-资金筹措及还本付息表'!T316</f>
        <v>0</v>
      </c>
      <c r="T16" s="34">
        <f>'表1-资金筹措及还本付息表'!U316</f>
        <v>0</v>
      </c>
      <c r="U16" s="34">
        <f>'表1-资金筹措及还本付息表'!V316</f>
        <v>0</v>
      </c>
      <c r="V16" s="34">
        <f>'表1-资金筹措及还本付息表'!W316</f>
        <v>0</v>
      </c>
      <c r="W16" s="34">
        <f>'表1-资金筹措及还本付息表'!X316</f>
        <v>0</v>
      </c>
      <c r="X16" s="34">
        <f>'表1-资金筹措及还本付息表'!Y316</f>
        <v>0</v>
      </c>
      <c r="Y16" s="34">
        <f>'表1-资金筹措及还本付息表'!Z316</f>
        <v>0</v>
      </c>
      <c r="Z16" s="34">
        <f>'表1-资金筹措及还本付息表'!AA316</f>
        <v>0</v>
      </c>
      <c r="AA16" s="34">
        <f>'表1-资金筹措及还本付息表'!AB316</f>
        <v>0</v>
      </c>
      <c r="AB16" s="34">
        <f>'表1-资金筹措及还本付息表'!AC316</f>
        <v>0</v>
      </c>
      <c r="AC16" s="34">
        <f>'表1-资金筹措及还本付息表'!AD316</f>
        <v>0</v>
      </c>
      <c r="AD16" s="34">
        <f>'表1-资金筹措及还本付息表'!AE316</f>
        <v>0</v>
      </c>
      <c r="AE16" s="34">
        <f>'表1-资金筹措及还本付息表'!AF316</f>
        <v>0</v>
      </c>
      <c r="AF16" s="34">
        <f>'表1-资金筹措及还本付息表'!AG316</f>
        <v>0</v>
      </c>
      <c r="AG16" s="34">
        <f>'表1-资金筹措及还本付息表'!AH316</f>
        <v>0</v>
      </c>
      <c r="AH16" s="34">
        <f>'表1-资金筹措及还本付息表'!AI316</f>
        <v>0</v>
      </c>
      <c r="AI16" s="34">
        <f>'表1-资金筹措及还本付息表'!AJ316</f>
        <v>0</v>
      </c>
      <c r="AJ16" s="34">
        <f>'表1-资金筹措及还本付息表'!AK316</f>
        <v>0</v>
      </c>
      <c r="AK16" s="34">
        <f>'表1-资金筹措及还本付息表'!AL316</f>
        <v>0</v>
      </c>
      <c r="AL16" s="34">
        <f>'表1-资金筹措及还本付息表'!AM316</f>
        <v>0</v>
      </c>
      <c r="AM16" s="34">
        <f>'表1-资金筹措及还本付息表'!AN316</f>
        <v>0</v>
      </c>
      <c r="AN16" s="34">
        <f>'表1-资金筹措及还本付息表'!AO316</f>
        <v>0</v>
      </c>
      <c r="AO16" s="34">
        <f>'表1-资金筹措及还本付息表'!AP316</f>
        <v>0</v>
      </c>
      <c r="AP16" s="34">
        <f>'表1-资金筹措及还本付息表'!AQ316</f>
        <v>0</v>
      </c>
      <c r="AQ16" s="34">
        <f>'表1-资金筹措及还本付息表'!AR316</f>
        <v>0</v>
      </c>
      <c r="AR16" s="34">
        <f>'表1-资金筹措及还本付息表'!AS316</f>
        <v>0</v>
      </c>
      <c r="AS16" s="34">
        <f>'表1-资金筹措及还本付息表'!AT316</f>
        <v>0</v>
      </c>
      <c r="AT16" s="34">
        <f>'表1-资金筹措及还本付息表'!AU316</f>
        <v>0</v>
      </c>
      <c r="AU16" s="34">
        <f>'表1-资金筹措及还本付息表'!AV316</f>
        <v>0</v>
      </c>
      <c r="AV16" s="34">
        <f>'表1-资金筹措及还本付息表'!AW316</f>
        <v>0</v>
      </c>
      <c r="AW16" s="34">
        <f>'表1-资金筹措及还本付息表'!AX316</f>
        <v>0</v>
      </c>
      <c r="AX16" s="34">
        <f>'表1-资金筹措及还本付息表'!AY316</f>
        <v>0</v>
      </c>
      <c r="AY16" s="34">
        <f>'表1-资金筹措及还本付息表'!AZ316</f>
        <v>0</v>
      </c>
      <c r="AZ16" s="35">
        <f>'表1-资金筹措及还本付息表'!BA316</f>
        <v>0</v>
      </c>
    </row>
    <row r="17" spans="2:52">
      <c r="B17" s="32"/>
      <c r="C17" s="33" t="s">
        <v>1062</v>
      </c>
      <c r="D17" s="29" t="s">
        <v>130</v>
      </c>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5"/>
    </row>
    <row r="18" spans="2:52">
      <c r="B18" s="32"/>
      <c r="C18" s="33" t="s">
        <v>1063</v>
      </c>
      <c r="D18" s="29" t="s">
        <v>130</v>
      </c>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5"/>
    </row>
    <row r="19" spans="2:52">
      <c r="B19" s="32"/>
      <c r="C19" s="33" t="s">
        <v>1064</v>
      </c>
      <c r="D19" s="29" t="s">
        <v>130</v>
      </c>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5"/>
    </row>
    <row r="20" spans="2:52">
      <c r="B20" s="32"/>
      <c r="C20" s="33" t="s">
        <v>1065</v>
      </c>
      <c r="D20" s="29" t="s">
        <v>130</v>
      </c>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5"/>
    </row>
    <row r="21" s="2" customFormat="1" spans="2:52">
      <c r="B21" s="36"/>
      <c r="C21" s="37" t="s">
        <v>1066</v>
      </c>
      <c r="D21" s="38" t="s">
        <v>130</v>
      </c>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40"/>
    </row>
    <row r="22" spans="2:52">
      <c r="B22" s="32"/>
      <c r="C22" s="41" t="s">
        <v>1067</v>
      </c>
      <c r="D22" s="29" t="s">
        <v>130</v>
      </c>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3"/>
    </row>
    <row r="23" spans="2:52">
      <c r="B23" s="32"/>
      <c r="C23" s="33" t="s">
        <v>1068</v>
      </c>
      <c r="D23" s="29" t="s">
        <v>130</v>
      </c>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5"/>
    </row>
    <row r="24" spans="2:52">
      <c r="B24" s="32"/>
      <c r="C24" s="33" t="s">
        <v>1069</v>
      </c>
      <c r="D24" s="29" t="s">
        <v>130</v>
      </c>
      <c r="E24" s="34">
        <f>'表1-资金筹措及还本付息表'!F315</f>
        <v>0</v>
      </c>
      <c r="F24" s="34">
        <f>'表1-资金筹措及还本付息表'!G315</f>
        <v>0</v>
      </c>
      <c r="G24" s="34">
        <f>'表1-资金筹措及还本付息表'!H315</f>
        <v>0</v>
      </c>
      <c r="H24" s="34">
        <f>'表1-资金筹措及还本付息表'!I315</f>
        <v>0</v>
      </c>
      <c r="I24" s="34">
        <f>'表1-资金筹措及还本付息表'!J315</f>
        <v>0</v>
      </c>
      <c r="J24" s="34">
        <f>'表1-资金筹措及还本付息表'!K315</f>
        <v>0</v>
      </c>
      <c r="K24" s="34">
        <f>'表1-资金筹措及还本付息表'!L315</f>
        <v>0</v>
      </c>
      <c r="L24" s="34">
        <f>'表1-资金筹措及还本付息表'!M315</f>
        <v>5000</v>
      </c>
      <c r="M24" s="34">
        <f>'表1-资金筹措及还本付息表'!N315</f>
        <v>5000</v>
      </c>
      <c r="N24" s="34">
        <f>'表1-资金筹措及还本付息表'!O315</f>
        <v>5000</v>
      </c>
      <c r="O24" s="34">
        <f>'表1-资金筹措及还本付息表'!P315</f>
        <v>5000</v>
      </c>
      <c r="P24" s="34">
        <f>'表1-资金筹措及还本付息表'!Q315</f>
        <v>5000</v>
      </c>
      <c r="Q24" s="34">
        <f>'表1-资金筹措及还本付息表'!R315</f>
        <v>5000</v>
      </c>
      <c r="R24" s="34">
        <f>'表1-资金筹措及还本付息表'!S315</f>
        <v>5000</v>
      </c>
      <c r="S24" s="34">
        <f>'表1-资金筹措及还本付息表'!T315</f>
        <v>5000</v>
      </c>
      <c r="T24" s="34">
        <f>'表1-资金筹措及还本付息表'!U315</f>
        <v>5000</v>
      </c>
      <c r="U24" s="34">
        <f>'表1-资金筹措及还本付息表'!V315</f>
        <v>5000</v>
      </c>
      <c r="V24" s="34">
        <f>'表1-资金筹措及还本付息表'!W315</f>
        <v>5000</v>
      </c>
      <c r="W24" s="34">
        <f>'表1-资金筹措及还本付息表'!X315</f>
        <v>5000</v>
      </c>
      <c r="X24" s="34">
        <f>'表1-资金筹措及还本付息表'!Y315</f>
        <v>5000</v>
      </c>
      <c r="Y24" s="34">
        <f>'表1-资金筹措及还本付息表'!Z315</f>
        <v>5000</v>
      </c>
      <c r="Z24" s="34">
        <f>'表1-资金筹措及还本付息表'!AA315</f>
        <v>5000</v>
      </c>
      <c r="AA24" s="34">
        <f>'表1-资金筹措及还本付息表'!AB315</f>
        <v>5000</v>
      </c>
      <c r="AB24" s="34">
        <f>'表1-资金筹措及还本付息表'!AC315</f>
        <v>5000</v>
      </c>
      <c r="AC24" s="34">
        <f>'表1-资金筹措及还本付息表'!AD315</f>
        <v>5000</v>
      </c>
      <c r="AD24" s="34">
        <f>'表1-资金筹措及还本付息表'!AE315</f>
        <v>5000</v>
      </c>
      <c r="AE24" s="34">
        <f>'表1-资金筹措及还本付息表'!AF315</f>
        <v>5000</v>
      </c>
      <c r="AF24" s="34">
        <f>'表1-资金筹措及还本付息表'!AG315</f>
        <v>5000</v>
      </c>
      <c r="AG24" s="34">
        <f>'表1-资金筹措及还本付息表'!AH315</f>
        <v>5000</v>
      </c>
      <c r="AH24" s="34">
        <f>'表1-资金筹措及还本付息表'!AI315</f>
        <v>5000</v>
      </c>
      <c r="AI24" s="34">
        <f>'表1-资金筹措及还本付息表'!AJ315</f>
        <v>5000</v>
      </c>
      <c r="AJ24" s="34">
        <f>'表1-资金筹措及还本付息表'!AK315</f>
        <v>5000</v>
      </c>
      <c r="AK24" s="34">
        <f>'表1-资金筹措及还本付息表'!AL315</f>
        <v>5000</v>
      </c>
      <c r="AL24" s="34">
        <f>'表1-资金筹措及还本付息表'!AM315</f>
        <v>5000</v>
      </c>
      <c r="AM24" s="34">
        <f>'表1-资金筹措及还本付息表'!AN315</f>
        <v>5000</v>
      </c>
      <c r="AN24" s="34">
        <f>'表1-资金筹措及还本付息表'!AO315</f>
        <v>5000</v>
      </c>
      <c r="AO24" s="34">
        <f>'表1-资金筹措及还本付息表'!AP315</f>
        <v>5000</v>
      </c>
      <c r="AP24" s="34">
        <f>'表1-资金筹措及还本付息表'!AQ315</f>
        <v>5000</v>
      </c>
      <c r="AQ24" s="34">
        <f>'表1-资金筹措及还本付息表'!AR315</f>
        <v>5000</v>
      </c>
      <c r="AR24" s="34">
        <f>'表1-资金筹措及还本付息表'!AS315</f>
        <v>5000</v>
      </c>
      <c r="AS24" s="34">
        <f>'表1-资金筹措及还本付息表'!AT315</f>
        <v>5000</v>
      </c>
      <c r="AT24" s="34">
        <f>'表1-资金筹措及还本付息表'!AU315</f>
        <v>5000</v>
      </c>
      <c r="AU24" s="34">
        <f>'表1-资金筹措及还本付息表'!AV315</f>
        <v>5000</v>
      </c>
      <c r="AV24" s="34">
        <f>'表1-资金筹措及还本付息表'!AW315</f>
        <v>5000</v>
      </c>
      <c r="AW24" s="34">
        <f>'表1-资金筹措及还本付息表'!AX315</f>
        <v>5000</v>
      </c>
      <c r="AX24" s="34">
        <f>'表1-资金筹措及还本付息表'!AY315</f>
        <v>5000</v>
      </c>
      <c r="AY24" s="34">
        <f>'表1-资金筹措及还本付息表'!AZ315</f>
        <v>5000</v>
      </c>
      <c r="AZ24" s="35">
        <f>'表1-资金筹措及还本付息表'!BA315</f>
        <v>5000</v>
      </c>
    </row>
    <row r="25" spans="2:52">
      <c r="B25" s="32"/>
      <c r="C25" s="41" t="s">
        <v>1070</v>
      </c>
      <c r="D25" s="29" t="s">
        <v>130</v>
      </c>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5"/>
    </row>
    <row r="26" spans="2:52">
      <c r="B26" s="32"/>
      <c r="C26" s="44" t="s">
        <v>1071</v>
      </c>
      <c r="D26" s="29" t="s">
        <v>130</v>
      </c>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5"/>
    </row>
    <row r="27" spans="2:52">
      <c r="B27" s="32"/>
      <c r="C27" s="33" t="s">
        <v>1072</v>
      </c>
      <c r="D27" s="29" t="s">
        <v>130</v>
      </c>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5"/>
    </row>
    <row r="28" spans="2:52">
      <c r="B28" s="32"/>
      <c r="C28" s="33" t="s">
        <v>1073</v>
      </c>
      <c r="D28" s="29" t="s">
        <v>130</v>
      </c>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5"/>
    </row>
    <row r="29" spans="2:52">
      <c r="B29" s="32"/>
      <c r="C29" s="33" t="s">
        <v>1074</v>
      </c>
      <c r="D29" s="29" t="s">
        <v>130</v>
      </c>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5"/>
    </row>
    <row r="30" s="3" customFormat="1" spans="2:52">
      <c r="B30" s="45"/>
      <c r="C30" s="37" t="s">
        <v>1075</v>
      </c>
      <c r="D30" s="38" t="s">
        <v>130</v>
      </c>
      <c r="E30" s="46">
        <f>'表4-收入税金表'!F54</f>
        <v>7299.30102643838</v>
      </c>
      <c r="F30" s="46">
        <f>'表4-收入税金表'!G54</f>
        <v>14349.5851973879</v>
      </c>
      <c r="G30" s="46">
        <f>'表4-收入税金表'!H54</f>
        <v>22502.628311032</v>
      </c>
      <c r="H30" s="46">
        <f>'表4-收入税金表'!I54</f>
        <v>31496.1787129156</v>
      </c>
      <c r="I30" s="46">
        <f>'表4-收入税金表'!J54</f>
        <v>43655.1322928733</v>
      </c>
      <c r="J30" s="46">
        <f>'表4-收入税金表'!K54</f>
        <v>54801.3239233855</v>
      </c>
      <c r="K30" s="46">
        <f>'表4-收入税金表'!L54</f>
        <v>64123.1489124251</v>
      </c>
      <c r="L30" s="46">
        <f>'表4-收入税金表'!M54</f>
        <v>63156.1760304758</v>
      </c>
      <c r="M30" s="46">
        <f>'表4-收入税金表'!N54</f>
        <v>52167.8708761999</v>
      </c>
      <c r="N30" s="46">
        <f>'表4-收入税金表'!O54</f>
        <v>41138.2813182542</v>
      </c>
      <c r="O30" s="46">
        <f>'表4-收入税金表'!P54</f>
        <v>30108.6917603085</v>
      </c>
      <c r="P30" s="46">
        <f>'表4-收入税金表'!Q54</f>
        <v>19079.1022023629</v>
      </c>
      <c r="Q30" s="46">
        <f>'表4-收入税金表'!R54</f>
        <v>8049.51264441722</v>
      </c>
      <c r="R30" s="46">
        <f>'表4-收入税金表'!S54</f>
        <v>0</v>
      </c>
      <c r="S30" s="46">
        <f>'表4-收入税金表'!T54</f>
        <v>0</v>
      </c>
      <c r="T30" s="46">
        <f>'表4-收入税金表'!U54</f>
        <v>0</v>
      </c>
      <c r="U30" s="46">
        <f>'表4-收入税金表'!V54</f>
        <v>0</v>
      </c>
      <c r="V30" s="46">
        <f>'表4-收入税金表'!W54</f>
        <v>0</v>
      </c>
      <c r="W30" s="46">
        <f>'表4-收入税金表'!X54</f>
        <v>0</v>
      </c>
      <c r="X30" s="46">
        <f>'表4-收入税金表'!Y54</f>
        <v>0</v>
      </c>
      <c r="Y30" s="46">
        <f>'表4-收入税金表'!Z54</f>
        <v>0</v>
      </c>
      <c r="Z30" s="46">
        <f>'表4-收入税金表'!AA54</f>
        <v>0</v>
      </c>
      <c r="AA30" s="46">
        <f>'表4-收入税金表'!AB54</f>
        <v>0</v>
      </c>
      <c r="AB30" s="46">
        <f>'表4-收入税金表'!AC54</f>
        <v>0</v>
      </c>
      <c r="AC30" s="46">
        <f>'表4-收入税金表'!AD54</f>
        <v>0</v>
      </c>
      <c r="AD30" s="46">
        <f>'表4-收入税金表'!AE54</f>
        <v>0</v>
      </c>
      <c r="AE30" s="46">
        <f>'表4-收入税金表'!AF54</f>
        <v>0</v>
      </c>
      <c r="AF30" s="46">
        <f>'表4-收入税金表'!AG54</f>
        <v>0</v>
      </c>
      <c r="AG30" s="46">
        <f>'表4-收入税金表'!AH54</f>
        <v>0</v>
      </c>
      <c r="AH30" s="46">
        <f>'表4-收入税金表'!AI54</f>
        <v>0</v>
      </c>
      <c r="AI30" s="46">
        <f>'表4-收入税金表'!AJ54</f>
        <v>0</v>
      </c>
      <c r="AJ30" s="46">
        <f>'表4-收入税金表'!AK54</f>
        <v>0</v>
      </c>
      <c r="AK30" s="46">
        <f>'表4-收入税金表'!AL54</f>
        <v>0</v>
      </c>
      <c r="AL30" s="46">
        <f>'表4-收入税金表'!AM54</f>
        <v>0</v>
      </c>
      <c r="AM30" s="46">
        <f>'表4-收入税金表'!AN54</f>
        <v>0</v>
      </c>
      <c r="AN30" s="46">
        <f>'表4-收入税金表'!AO54</f>
        <v>0</v>
      </c>
      <c r="AO30" s="46">
        <f>'表4-收入税金表'!AP54</f>
        <v>0</v>
      </c>
      <c r="AP30" s="46">
        <f>'表4-收入税金表'!AQ54</f>
        <v>0</v>
      </c>
      <c r="AQ30" s="46">
        <f>'表4-收入税金表'!AR54</f>
        <v>0</v>
      </c>
      <c r="AR30" s="46">
        <f>'表4-收入税金表'!AS54</f>
        <v>0</v>
      </c>
      <c r="AS30" s="46">
        <f>'表4-收入税金表'!AT54</f>
        <v>0</v>
      </c>
      <c r="AT30" s="46">
        <f>'表4-收入税金表'!AU54</f>
        <v>0</v>
      </c>
      <c r="AU30" s="46">
        <f>'表4-收入税金表'!AV54</f>
        <v>0</v>
      </c>
      <c r="AV30" s="46">
        <f>'表4-收入税金表'!AW54</f>
        <v>0</v>
      </c>
      <c r="AW30" s="46">
        <f>'表4-收入税金表'!AX54</f>
        <v>0</v>
      </c>
      <c r="AX30" s="46">
        <f>'表4-收入税金表'!AY54</f>
        <v>0</v>
      </c>
      <c r="AY30" s="46">
        <f>'表4-收入税金表'!AZ54</f>
        <v>0</v>
      </c>
      <c r="AZ30" s="47">
        <f>'表4-收入税金表'!BA54</f>
        <v>0</v>
      </c>
    </row>
    <row r="31" spans="2:52">
      <c r="B31" s="27">
        <v>1.2</v>
      </c>
      <c r="C31" s="28" t="s">
        <v>1076</v>
      </c>
      <c r="D31" s="29" t="s">
        <v>130</v>
      </c>
      <c r="E31" s="30">
        <f ca="1">SUM(E32:E42)+SUM(E46:E55)</f>
        <v>88212.0157651638</v>
      </c>
      <c r="F31" s="30">
        <f ca="1" t="shared" ref="F31:M31" si="4">SUM(F32:F42)+SUM(F46:F55)</f>
        <v>177064.667403394</v>
      </c>
      <c r="G31" s="30">
        <f ca="1" t="shared" si="4"/>
        <v>280438.996743616</v>
      </c>
      <c r="H31" s="30">
        <f ca="1" t="shared" si="4"/>
        <v>396428.023948118</v>
      </c>
      <c r="I31" s="30">
        <f ca="1" t="shared" si="4"/>
        <v>552080.613281115</v>
      </c>
      <c r="J31" s="30">
        <f ca="1" t="shared" si="4"/>
        <v>701356.746894452</v>
      </c>
      <c r="K31" s="30">
        <f ca="1" t="shared" si="4"/>
        <v>835375.028234342</v>
      </c>
      <c r="L31" s="30">
        <f ca="1" t="shared" si="4"/>
        <v>886512.50015762</v>
      </c>
      <c r="M31" s="30">
        <f ca="1" t="shared" si="4"/>
        <v>854878.142816387</v>
      </c>
      <c r="N31" s="30">
        <f ca="1" t="shared" ref="N31:AK31" si="5">SUM(N32:N42)+SUM(N46:N55)</f>
        <v>823247.569878825</v>
      </c>
      <c r="O31" s="30">
        <f ca="1" t="shared" si="5"/>
        <v>791616.996941263</v>
      </c>
      <c r="P31" s="30">
        <f ca="1" t="shared" si="5"/>
        <v>759986.4240037</v>
      </c>
      <c r="Q31" s="30">
        <f ca="1" t="shared" si="5"/>
        <v>728355.851066138</v>
      </c>
      <c r="R31" s="30">
        <f ca="1" t="shared" si="5"/>
        <v>697183.993724906</v>
      </c>
      <c r="S31" s="30">
        <f ca="1" t="shared" si="5"/>
        <v>665553.420787344</v>
      </c>
      <c r="T31" s="30">
        <f ca="1" t="shared" si="5"/>
        <v>633922.847849781</v>
      </c>
      <c r="U31" s="30">
        <f ca="1" t="shared" si="5"/>
        <v>602292.274912219</v>
      </c>
      <c r="V31" s="30">
        <f ca="1" t="shared" si="5"/>
        <v>570661.701974657</v>
      </c>
      <c r="W31" s="30">
        <f ca="1" t="shared" si="5"/>
        <v>540651.349058204</v>
      </c>
      <c r="X31" s="30">
        <f ca="1" t="shared" si="5"/>
        <v>525593.608384991</v>
      </c>
      <c r="Y31" s="30">
        <f ca="1" t="shared" si="5"/>
        <v>492502.243858568</v>
      </c>
      <c r="Z31" s="30">
        <f ca="1" t="shared" si="5"/>
        <v>459410.879332145</v>
      </c>
      <c r="AA31" s="30">
        <f ca="1" t="shared" si="5"/>
        <v>426319.514805722</v>
      </c>
      <c r="AB31" s="30">
        <f ca="1" t="shared" si="5"/>
        <v>393686.865875629</v>
      </c>
      <c r="AC31" s="30">
        <f ca="1" t="shared" si="5"/>
        <v>360595.501349205</v>
      </c>
      <c r="AD31" s="30">
        <f ca="1" t="shared" si="5"/>
        <v>329263.396082041</v>
      </c>
      <c r="AE31" s="30">
        <f ca="1" t="shared" si="5"/>
        <v>301721.687406159</v>
      </c>
      <c r="AF31" s="30">
        <f ca="1" t="shared" si="5"/>
        <v>273090.045101958</v>
      </c>
      <c r="AG31" s="30">
        <f ca="1" t="shared" si="5"/>
        <v>245249.618394087</v>
      </c>
      <c r="AH31" s="30">
        <f ca="1" t="shared" si="5"/>
        <v>235299.099943097</v>
      </c>
      <c r="AI31" s="30">
        <f ca="1" t="shared" si="5"/>
        <v>206999.957638896</v>
      </c>
      <c r="AJ31" s="30">
        <f ca="1" t="shared" si="5"/>
        <v>178700.815334695</v>
      </c>
      <c r="AK31" s="30">
        <f ca="1" t="shared" si="5"/>
        <v>150401.673030494</v>
      </c>
      <c r="AL31" s="30">
        <f ca="1" t="shared" ref="AL31:AZ31" si="6">SUM(AL32:AL42)+SUM(AL46:AL55)</f>
        <v>122561.246322624</v>
      </c>
      <c r="AM31" s="30">
        <f ca="1" t="shared" si="6"/>
        <v>95589.5376467412</v>
      </c>
      <c r="AN31" s="30">
        <f ca="1" t="shared" si="6"/>
        <v>67290.3953425403</v>
      </c>
      <c r="AO31" s="30">
        <f ca="1" t="shared" si="6"/>
        <v>49910.6728700368</v>
      </c>
      <c r="AP31" s="30">
        <f ca="1" t="shared" si="6"/>
        <v>47818.1381619097</v>
      </c>
      <c r="AQ31" s="30">
        <f ca="1" t="shared" si="6"/>
        <v>46184.3190501131</v>
      </c>
      <c r="AR31" s="30">
        <f ca="1" t="shared" si="6"/>
        <v>62236.5345968281</v>
      </c>
      <c r="AS31" s="30">
        <f ca="1" t="shared" si="6"/>
        <v>59940.1262903322</v>
      </c>
      <c r="AT31" s="30">
        <f ca="1" t="shared" si="6"/>
        <v>57643.7179838362</v>
      </c>
      <c r="AU31" s="30">
        <f ca="1" t="shared" si="6"/>
        <v>56619.4335711455</v>
      </c>
      <c r="AV31" s="30">
        <f ca="1" t="shared" si="6"/>
        <v>54726.4311264664</v>
      </c>
      <c r="AW31" s="30">
        <f ca="1" t="shared" si="6"/>
        <v>52374.7130854572</v>
      </c>
      <c r="AX31" s="30">
        <f ca="1" t="shared" si="6"/>
        <v>50328.8054420015</v>
      </c>
      <c r="AY31" s="30">
        <f ca="1" t="shared" si="6"/>
        <v>47824.1822022154</v>
      </c>
      <c r="AZ31" s="31">
        <f ca="1" t="shared" si="6"/>
        <v>0</v>
      </c>
    </row>
    <row r="32" spans="2:52">
      <c r="B32" s="32"/>
      <c r="C32" s="33" t="s">
        <v>1077</v>
      </c>
      <c r="D32" s="29" t="s">
        <v>130</v>
      </c>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5"/>
    </row>
    <row r="33" spans="2:52">
      <c r="B33" s="32"/>
      <c r="C33" s="33" t="s">
        <v>1078</v>
      </c>
      <c r="D33" s="29" t="s">
        <v>130</v>
      </c>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5"/>
    </row>
    <row r="34" spans="2:52">
      <c r="B34" s="32"/>
      <c r="C34" s="33" t="s">
        <v>1079</v>
      </c>
      <c r="D34" s="29" t="s">
        <v>130</v>
      </c>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5"/>
    </row>
    <row r="35" spans="2:52">
      <c r="B35" s="32"/>
      <c r="C35" s="33" t="s">
        <v>1080</v>
      </c>
      <c r="D35" s="29" t="s">
        <v>130</v>
      </c>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5"/>
    </row>
    <row r="36" spans="2:52">
      <c r="B36" s="32"/>
      <c r="C36" s="33" t="s">
        <v>1081</v>
      </c>
      <c r="D36" s="29" t="s">
        <v>130</v>
      </c>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5"/>
    </row>
    <row r="37" spans="2:52">
      <c r="B37" s="32"/>
      <c r="C37" s="33" t="s">
        <v>1082</v>
      </c>
      <c r="D37" s="29" t="s">
        <v>130</v>
      </c>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5"/>
    </row>
    <row r="38" spans="2:52">
      <c r="B38" s="32"/>
      <c r="C38" s="33" t="s">
        <v>1083</v>
      </c>
      <c r="D38" s="29" t="s">
        <v>130</v>
      </c>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5"/>
    </row>
    <row r="39" spans="2:52">
      <c r="B39" s="32"/>
      <c r="C39" s="33" t="s">
        <v>1084</v>
      </c>
      <c r="D39" s="29" t="s">
        <v>130</v>
      </c>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5"/>
    </row>
    <row r="40" spans="2:52">
      <c r="B40" s="32"/>
      <c r="C40" s="33" t="s">
        <v>1085</v>
      </c>
      <c r="D40" s="29" t="s">
        <v>130</v>
      </c>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5"/>
    </row>
    <row r="41" spans="2:52">
      <c r="B41" s="32"/>
      <c r="C41" s="33" t="s">
        <v>1086</v>
      </c>
      <c r="D41" s="29" t="s">
        <v>130</v>
      </c>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5"/>
    </row>
    <row r="42" spans="2:52">
      <c r="B42" s="32"/>
      <c r="C42" s="33" t="s">
        <v>1087</v>
      </c>
      <c r="D42" s="29" t="s">
        <v>130</v>
      </c>
      <c r="E42" s="34">
        <f ca="1">E43-E44</f>
        <v>0</v>
      </c>
      <c r="F42" s="34">
        <f ca="1">F43-F44</f>
        <v>0</v>
      </c>
      <c r="G42" s="34">
        <f ca="1" t="shared" ref="G42:P42" si="7">G43-G44</f>
        <v>0</v>
      </c>
      <c r="H42" s="34">
        <f ca="1" t="shared" si="7"/>
        <v>0</v>
      </c>
      <c r="I42" s="34">
        <f ca="1" t="shared" si="7"/>
        <v>0</v>
      </c>
      <c r="J42" s="34">
        <f ca="1" t="shared" si="7"/>
        <v>0</v>
      </c>
      <c r="K42" s="34">
        <f ca="1" t="shared" si="7"/>
        <v>0</v>
      </c>
      <c r="L42" s="34">
        <f ca="1" t="shared" si="7"/>
        <v>808271.759416879</v>
      </c>
      <c r="M42" s="34">
        <f ca="1" t="shared" si="7"/>
        <v>780492.651820805</v>
      </c>
      <c r="N42" s="34">
        <f ca="1" t="shared" si="7"/>
        <v>753176.044224731</v>
      </c>
      <c r="O42" s="34">
        <f ca="1" t="shared" si="7"/>
        <v>725859.436628657</v>
      </c>
      <c r="P42" s="34">
        <f ca="1" t="shared" si="7"/>
        <v>698542.829032583</v>
      </c>
      <c r="Q42" s="34">
        <f ca="1" t="shared" ref="Q42:AK42" si="8">Q43-Q44</f>
        <v>671226.221436508</v>
      </c>
      <c r="R42" s="34">
        <f ca="1" t="shared" si="8"/>
        <v>643909.613840434</v>
      </c>
      <c r="S42" s="34">
        <f ca="1" t="shared" si="8"/>
        <v>616593.00624436</v>
      </c>
      <c r="T42" s="34">
        <f ca="1" t="shared" si="8"/>
        <v>589276.398648286</v>
      </c>
      <c r="U42" s="34">
        <f ca="1" t="shared" si="8"/>
        <v>561959.791052212</v>
      </c>
      <c r="V42" s="34">
        <f ca="1" t="shared" si="8"/>
        <v>534643.183456138</v>
      </c>
      <c r="W42" s="34">
        <f ca="1" t="shared" si="8"/>
        <v>508488.080284843</v>
      </c>
      <c r="X42" s="34">
        <f ca="1" t="shared" si="8"/>
        <v>497744.304953119</v>
      </c>
      <c r="Y42" s="34">
        <f ca="1" t="shared" si="8"/>
        <v>468966.905768184</v>
      </c>
      <c r="Z42" s="34">
        <f ca="1" t="shared" si="8"/>
        <v>440189.506583249</v>
      </c>
      <c r="AA42" s="34">
        <f ca="1" t="shared" si="8"/>
        <v>411412.107398314</v>
      </c>
      <c r="AB42" s="34">
        <f ca="1" t="shared" si="8"/>
        <v>382634.708213379</v>
      </c>
      <c r="AC42" s="34">
        <f ca="1" t="shared" si="8"/>
        <v>353857.309028444</v>
      </c>
      <c r="AD42" s="34">
        <f ca="1" t="shared" si="8"/>
        <v>325079.909843509</v>
      </c>
      <c r="AE42" s="34">
        <f ca="1" t="shared" si="8"/>
        <v>297629.944286893</v>
      </c>
      <c r="AF42" s="34">
        <f ca="1" t="shared" si="8"/>
        <v>269090.045101958</v>
      </c>
      <c r="AG42" s="34">
        <f ca="1" t="shared" si="8"/>
        <v>240882.645917023</v>
      </c>
      <c r="AH42" s="34">
        <f ca="1" t="shared" si="8"/>
        <v>231023.870585299</v>
      </c>
      <c r="AI42" s="34">
        <f ca="1" t="shared" si="8"/>
        <v>202816.471400364</v>
      </c>
      <c r="AJ42" s="34">
        <f ca="1" t="shared" si="8"/>
        <v>174609.072215429</v>
      </c>
      <c r="AK42" s="34">
        <f ca="1" t="shared" si="8"/>
        <v>146401.673030494</v>
      </c>
      <c r="AL42" s="34">
        <f ca="1" t="shared" ref="AL42:AZ42" si="9">AL43-AL44</f>
        <v>118194.273845559</v>
      </c>
      <c r="AM42" s="34">
        <f ca="1" t="shared" si="9"/>
        <v>91314.308288943</v>
      </c>
      <c r="AN42" s="34">
        <f ca="1" t="shared" si="9"/>
        <v>63106.9091040081</v>
      </c>
      <c r="AO42" s="34">
        <f ca="1" t="shared" si="9"/>
        <v>45818.9297507707</v>
      </c>
      <c r="AP42" s="34">
        <f ca="1" t="shared" si="9"/>
        <v>43818.1381619097</v>
      </c>
      <c r="AQ42" s="34">
        <f ca="1" t="shared" si="9"/>
        <v>41817.3465730489</v>
      </c>
      <c r="AR42" s="34">
        <f ca="1" t="shared" si="9"/>
        <v>57961.3052390299</v>
      </c>
      <c r="AS42" s="34">
        <f ca="1" t="shared" si="9"/>
        <v>55756.6400518001</v>
      </c>
      <c r="AT42" s="34">
        <f ca="1" t="shared" si="9"/>
        <v>53551.9748645701</v>
      </c>
      <c r="AU42" s="34">
        <f ca="1" t="shared" si="9"/>
        <v>52619.4335711455</v>
      </c>
      <c r="AV42" s="34">
        <f ca="1" t="shared" si="9"/>
        <v>50359.4586494021</v>
      </c>
      <c r="AW42" s="34">
        <f ca="1" t="shared" si="9"/>
        <v>48099.483727659</v>
      </c>
      <c r="AX42" s="34">
        <f ca="1" t="shared" si="9"/>
        <v>45839.5088059158</v>
      </c>
      <c r="AY42" s="34">
        <f ca="1" t="shared" si="9"/>
        <v>43579.5338841726</v>
      </c>
      <c r="AZ42" s="35">
        <f ca="1" t="shared" si="9"/>
        <v>0</v>
      </c>
    </row>
    <row r="43" s="4" customFormat="1" spans="2:52">
      <c r="B43" s="48"/>
      <c r="C43" s="49" t="s">
        <v>1088</v>
      </c>
      <c r="D43" s="50" t="s">
        <v>130</v>
      </c>
      <c r="E43" s="51">
        <f ca="1">'表2-折旧摊销表'!F28+'表2-折旧摊销表'!F39+'表2-折旧摊销表'!F50</f>
        <v>0</v>
      </c>
      <c r="F43" s="51">
        <f ca="1">'表2-折旧摊销表'!G28+'表2-折旧摊销表'!G39+'表2-折旧摊销表'!G50</f>
        <v>0</v>
      </c>
      <c r="G43" s="51">
        <f ca="1">'表2-折旧摊销表'!H28+'表2-折旧摊销表'!H39+'表2-折旧摊销表'!H50</f>
        <v>0</v>
      </c>
      <c r="H43" s="51">
        <f ca="1">'表2-折旧摊销表'!I28+'表2-折旧摊销表'!I39+'表2-折旧摊销表'!I50</f>
        <v>0</v>
      </c>
      <c r="I43" s="51">
        <f ca="1">'表2-折旧摊销表'!J28+'表2-折旧摊销表'!J39+'表2-折旧摊销表'!J50</f>
        <v>0</v>
      </c>
      <c r="J43" s="51">
        <f ca="1">'表2-折旧摊销表'!K28+'表2-折旧摊销表'!K39+'表2-折旧摊销表'!K50</f>
        <v>0</v>
      </c>
      <c r="K43" s="51">
        <f ca="1">'表2-折旧摊销表'!L28+'表2-折旧摊销表'!L39+'表2-折旧摊销表'!L50</f>
        <v>0</v>
      </c>
      <c r="L43" s="51">
        <f ca="1">'表2-折旧摊销表'!M28+'表2-折旧摊销表'!M39+'表2-折旧摊销表'!M50</f>
        <v>819191.179248576</v>
      </c>
      <c r="M43" s="51">
        <f ca="1">L43+'表2-折旧摊销表'!N125+'表2-折旧摊销表'!N178</f>
        <v>819191.179248576</v>
      </c>
      <c r="N43" s="51">
        <f ca="1">M43+'表2-折旧摊销表'!O125+'表2-折旧摊销表'!O178</f>
        <v>819191.179248576</v>
      </c>
      <c r="O43" s="51">
        <f ca="1">N43+'表2-折旧摊销表'!P125+'表2-折旧摊销表'!P178</f>
        <v>819191.179248576</v>
      </c>
      <c r="P43" s="51">
        <f ca="1">O43+'表2-折旧摊销表'!Q125+'表2-折旧摊销表'!Q178</f>
        <v>819191.179248576</v>
      </c>
      <c r="Q43" s="51">
        <f ca="1">P43+'表2-折旧摊销表'!R125+'表2-折旧摊销表'!R178</f>
        <v>819191.179248576</v>
      </c>
      <c r="R43" s="51">
        <f ca="1">Q43+'表2-折旧摊销表'!S125+'表2-折旧摊销表'!S178</f>
        <v>819191.179248576</v>
      </c>
      <c r="S43" s="51">
        <f ca="1">R43+'表2-折旧摊销表'!T125+'表2-折旧摊销表'!T178</f>
        <v>819191.179248576</v>
      </c>
      <c r="T43" s="51">
        <f ca="1">S43+'表2-折旧摊销表'!U125+'表2-折旧摊销表'!U178</f>
        <v>819191.179248576</v>
      </c>
      <c r="U43" s="51">
        <f ca="1">T43+'表2-折旧摊销表'!V125+'表2-折旧摊销表'!V178</f>
        <v>819191.179248576</v>
      </c>
      <c r="V43" s="51">
        <f ca="1">U43+'表2-折旧摊销表'!W125+'表2-折旧摊销表'!W178</f>
        <v>819191.179248576</v>
      </c>
      <c r="W43" s="51">
        <f ca="1">V43+'表2-折旧摊销表'!X125+'表2-折旧摊销表'!X178</f>
        <v>820518.612876895</v>
      </c>
      <c r="X43" s="51">
        <f ca="1">W43+'表2-折旧摊销表'!Y125+'表2-折旧摊销表'!Y178</f>
        <v>838867.236730106</v>
      </c>
      <c r="Y43" s="51">
        <f ca="1">X43+'表2-折旧摊销表'!Z125+'表2-折旧摊销表'!Z178</f>
        <v>838867.236730106</v>
      </c>
      <c r="Z43" s="51">
        <f ca="1">Y43+'表2-折旧摊销表'!AA125+'表2-折旧摊销表'!AA178</f>
        <v>838867.236730106</v>
      </c>
      <c r="AA43" s="51">
        <f ca="1">Z43+'表2-折旧摊销表'!AB125+'表2-折旧摊销表'!AB178</f>
        <v>838867.236730106</v>
      </c>
      <c r="AB43" s="51">
        <f ca="1">AA43+'表2-折旧摊销表'!AC125+'表2-折旧摊销表'!AC178</f>
        <v>838867.236730106</v>
      </c>
      <c r="AC43" s="51">
        <f ca="1">AB43+'表2-折旧摊销表'!AD125+'表2-折旧摊销表'!AD178</f>
        <v>838867.236730106</v>
      </c>
      <c r="AD43" s="51">
        <f ca="1">AC43+'表2-折旧摊销表'!AE125+'表2-折旧摊销表'!AE178</f>
        <v>838867.236730106</v>
      </c>
      <c r="AE43" s="51">
        <f ca="1">AD43+'表2-折旧摊销表'!AF125+'表2-折旧摊销表'!AF178</f>
        <v>840194.670358425</v>
      </c>
      <c r="AF43" s="51">
        <f ca="1">AE43+'表2-折旧摊销表'!AG125+'表2-折旧摊销表'!AG178</f>
        <v>840194.670358425</v>
      </c>
      <c r="AG43" s="51">
        <f ca="1">AF43+'表2-折旧摊销表'!AH125+'表2-折旧摊销表'!AH178</f>
        <v>840194.670358425</v>
      </c>
      <c r="AH43" s="51">
        <f ca="1">AG43+'表2-折旧摊销表'!AI125+'表2-折旧摊销表'!AI178</f>
        <v>858543.294211636</v>
      </c>
      <c r="AI43" s="51">
        <f ca="1">AH43+'表2-折旧摊销表'!AJ125+'表2-折旧摊销表'!AJ178</f>
        <v>858543.294211636</v>
      </c>
      <c r="AJ43" s="51">
        <f ca="1">AI43+'表2-折旧摊销表'!AK125+'表2-折旧摊销表'!AK178</f>
        <v>858543.294211636</v>
      </c>
      <c r="AK43" s="51">
        <f ca="1">AJ43+'表2-折旧摊销表'!AL125+'表2-折旧摊销表'!AL178</f>
        <v>858543.294211636</v>
      </c>
      <c r="AL43" s="51">
        <f ca="1">AK43+'表2-折旧摊销表'!AM125+'表2-折旧摊销表'!AM178</f>
        <v>858543.294211636</v>
      </c>
      <c r="AM43" s="51">
        <f ca="1">AL43+'表2-折旧摊销表'!AN125+'表2-折旧摊销表'!AN178</f>
        <v>859870.727839954</v>
      </c>
      <c r="AN43" s="51">
        <f ca="1">AM43+'表2-折旧摊销表'!AO125+'表2-折旧摊销表'!AO178</f>
        <v>859870.727839954</v>
      </c>
      <c r="AO43" s="51">
        <f ca="1">AN43+'表2-折旧摊销表'!AP125+'表2-折旧摊销表'!AP178</f>
        <v>859870.727839954</v>
      </c>
      <c r="AP43" s="51">
        <f ca="1">AO43+'表2-折旧摊销表'!AQ125+'表2-折旧摊销表'!AQ178</f>
        <v>859870.727839954</v>
      </c>
      <c r="AQ43" s="51">
        <f ca="1">AP43+'表2-折旧摊销表'!AR125+'表2-折旧摊销表'!AR178</f>
        <v>859870.727839954</v>
      </c>
      <c r="AR43" s="51">
        <f ca="1">AQ43+'表2-折旧摊销表'!AS125+'表2-折旧摊销表'!AS178</f>
        <v>878219.351693165</v>
      </c>
      <c r="AS43" s="51">
        <f ca="1">AR43+'表2-折旧摊销表'!AT125+'表2-折旧摊销表'!AT178</f>
        <v>878219.351693165</v>
      </c>
      <c r="AT43" s="51">
        <f ca="1">AS43+'表2-折旧摊销表'!AU125+'表2-折旧摊销表'!AU178</f>
        <v>878219.351693165</v>
      </c>
      <c r="AU43" s="51">
        <f ca="1">AT43+'表2-折旧摊销表'!AV125+'表2-折旧摊销表'!AV178</f>
        <v>879546.785321484</v>
      </c>
      <c r="AV43" s="51">
        <f ca="1">AU43+'表2-折旧摊销表'!AW125+'表2-折旧摊销表'!AW178</f>
        <v>879546.785321484</v>
      </c>
      <c r="AW43" s="51">
        <f ca="1">AV43+'表2-折旧摊销表'!AX125+'表2-折旧摊销表'!AX178</f>
        <v>879546.785321484</v>
      </c>
      <c r="AX43" s="51">
        <f ca="1">AW43+'表2-折旧摊销表'!AY125+'表2-折旧摊销表'!AY178</f>
        <v>879546.785321484</v>
      </c>
      <c r="AY43" s="51">
        <f ca="1">AX43+'表2-折旧摊销表'!AZ125+'表2-折旧摊销表'!AZ178</f>
        <v>879546.785321484</v>
      </c>
      <c r="AZ43" s="52">
        <f ca="1">AY43+'表2-折旧摊销表'!BA125+'表2-折旧摊销表'!BA178-('表2-折旧摊销表'!BA38+'表2-折旧摊销表'!BA49+'表2-折旧摊销表'!BA60+'表2-折旧摊销表'!BA176+'表2-折旧摊销表'!BA229)</f>
        <v>838227.226359055</v>
      </c>
    </row>
    <row r="44" s="4" customFormat="1" spans="2:52">
      <c r="B44" s="48"/>
      <c r="C44" s="49" t="s">
        <v>1089</v>
      </c>
      <c r="D44" s="50" t="s">
        <v>130</v>
      </c>
      <c r="E44" s="51">
        <f ca="1">'表2-折旧摊销表'!F37+'表2-折旧摊销表'!F48+'表2-折旧摊销表'!F59+'表2-折旧摊销表'!F175+'表2-折旧摊销表'!F228</f>
        <v>0</v>
      </c>
      <c r="F44" s="51">
        <f ca="1">'表2-折旧摊销表'!G37+'表2-折旧摊销表'!G48+'表2-折旧摊销表'!G59+'表2-折旧摊销表'!G175+'表2-折旧摊销表'!G228</f>
        <v>0</v>
      </c>
      <c r="G44" s="51">
        <f ca="1">'表2-折旧摊销表'!H37+'表2-折旧摊销表'!H48+'表2-折旧摊销表'!H59+'表2-折旧摊销表'!H175+'表2-折旧摊销表'!H228</f>
        <v>0</v>
      </c>
      <c r="H44" s="51">
        <f ca="1">'表2-折旧摊销表'!I37+'表2-折旧摊销表'!I48+'表2-折旧摊销表'!I59+'表2-折旧摊销表'!I175+'表2-折旧摊销表'!I228</f>
        <v>0</v>
      </c>
      <c r="I44" s="51">
        <f ca="1">'表2-折旧摊销表'!J37+'表2-折旧摊销表'!J48+'表2-折旧摊销表'!J59+'表2-折旧摊销表'!J175+'表2-折旧摊销表'!J228</f>
        <v>0</v>
      </c>
      <c r="J44" s="51">
        <f ca="1">'表2-折旧摊销表'!K37+'表2-折旧摊销表'!K48+'表2-折旧摊销表'!K59+'表2-折旧摊销表'!K175+'表2-折旧摊销表'!K228</f>
        <v>0</v>
      </c>
      <c r="K44" s="51">
        <f ca="1">'表2-折旧摊销表'!L37+'表2-折旧摊销表'!L48+'表2-折旧摊销表'!L59+'表2-折旧摊销表'!L175+'表2-折旧摊销表'!L228</f>
        <v>0</v>
      </c>
      <c r="L44" s="51">
        <f ca="1">'表2-折旧摊销表'!M37+'表2-折旧摊销表'!M48+'表2-折旧摊销表'!M59+'表2-折旧摊销表'!M175+'表2-折旧摊销表'!M228</f>
        <v>10919.4198316975</v>
      </c>
      <c r="M44" s="51">
        <f ca="1">'表2-折旧摊销表'!N37+'表2-折旧摊销表'!N48+'表2-折旧摊销表'!N59+'表2-折旧摊销表'!N175+'表2-折旧摊销表'!N228</f>
        <v>38698.5274277716</v>
      </c>
      <c r="N44" s="51">
        <f ca="1">'表2-折旧摊销表'!O37+'表2-折旧摊销表'!O48+'表2-折旧摊销表'!O59+'表2-折旧摊销表'!O175+'表2-折旧摊销表'!O228</f>
        <v>66015.1350238456</v>
      </c>
      <c r="O44" s="51">
        <f ca="1">'表2-折旧摊销表'!P37+'表2-折旧摊销表'!P48+'表2-折旧摊销表'!P59+'表2-折旧摊销表'!P175+'表2-折旧摊销表'!P228</f>
        <v>93331.7426199197</v>
      </c>
      <c r="P44" s="51">
        <f ca="1">'表2-折旧摊销表'!Q37+'表2-折旧摊销表'!Q48+'表2-折旧摊销表'!Q59+'表2-折旧摊销表'!Q175+'表2-折旧摊销表'!Q228</f>
        <v>120648.350215994</v>
      </c>
      <c r="Q44" s="51">
        <f ca="1">'表2-折旧摊销表'!R37+'表2-折旧摊销表'!R48+'表2-折旧摊销表'!R59+'表2-折旧摊销表'!R175+'表2-折旧摊销表'!R228</f>
        <v>147964.957812068</v>
      </c>
      <c r="R44" s="51">
        <f ca="1">'表2-折旧摊销表'!S37+'表2-折旧摊销表'!S48+'表2-折旧摊销表'!S59+'表2-折旧摊销表'!S175+'表2-折旧摊销表'!S228</f>
        <v>175281.565408142</v>
      </c>
      <c r="S44" s="51">
        <f ca="1">'表2-折旧摊销表'!T37+'表2-折旧摊销表'!T48+'表2-折旧摊销表'!T59+'表2-折旧摊销表'!T175+'表2-折旧摊销表'!T228</f>
        <v>202598.173004216</v>
      </c>
      <c r="T44" s="51">
        <f ca="1">'表2-折旧摊销表'!U37+'表2-折旧摊销表'!U48+'表2-折旧摊销表'!U59+'表2-折旧摊销表'!U175+'表2-折旧摊销表'!U228</f>
        <v>229914.78060029</v>
      </c>
      <c r="U44" s="51">
        <f ca="1">'表2-折旧摊销表'!V37+'表2-折旧摊销表'!V48+'表2-折旧摊销表'!V59+'表2-折旧摊销表'!V175+'表2-折旧摊销表'!V228</f>
        <v>257231.388196364</v>
      </c>
      <c r="V44" s="51">
        <f ca="1">'表2-折旧摊销表'!W37+'表2-折旧摊销表'!W48+'表2-折旧摊销表'!W59+'表2-折旧摊销表'!W175+'表2-折旧摊销表'!W228</f>
        <v>284547.995792438</v>
      </c>
      <c r="W44" s="51">
        <f ca="1">'表2-折旧摊销表'!X37+'表2-折旧摊销表'!X48+'表2-折旧摊销表'!X59+'表2-折旧摊销表'!X175+'表2-折旧摊销表'!X228</f>
        <v>312030.532592052</v>
      </c>
      <c r="X44" s="51">
        <f ca="1">'表2-折旧摊销表'!Y37+'表2-折旧摊销表'!Y48+'表2-折旧摊销表'!Y59+'表2-折旧摊销表'!Y175+'表2-折旧摊销表'!Y228</f>
        <v>341122.931776987</v>
      </c>
      <c r="Y44" s="51">
        <f ca="1">'表2-折旧摊销表'!Z37+'表2-折旧摊销表'!Z48+'表2-折旧摊销表'!Z59+'表2-折旧摊销表'!Z175+'表2-折旧摊销表'!Z228</f>
        <v>369900.330961922</v>
      </c>
      <c r="Z44" s="51">
        <f ca="1">'表2-折旧摊销表'!AA37+'表2-折旧摊销表'!AA48+'表2-折旧摊销表'!AA59+'表2-折旧摊销表'!AA175+'表2-折旧摊销表'!AA228</f>
        <v>398677.730146857</v>
      </c>
      <c r="AA44" s="51">
        <f ca="1">'表2-折旧摊销表'!AB37+'表2-折旧摊销表'!AB48+'表2-折旧摊销表'!AB59+'表2-折旧摊销表'!AB175+'表2-折旧摊销表'!AB228</f>
        <v>427455.129331792</v>
      </c>
      <c r="AB44" s="51">
        <f ca="1">'表2-折旧摊销表'!AC37+'表2-折旧摊销表'!AC48+'表2-折旧摊销表'!AC59+'表2-折旧摊销表'!AC175+'表2-折旧摊销表'!AC228</f>
        <v>456232.528516727</v>
      </c>
      <c r="AC44" s="51">
        <f ca="1">'表2-折旧摊销表'!AD37+'表2-折旧摊销表'!AD48+'表2-折旧摊销表'!AD59+'表2-折旧摊销表'!AD175+'表2-折旧摊销表'!AD228</f>
        <v>485009.927701662</v>
      </c>
      <c r="AD44" s="51">
        <f ca="1">'表2-折旧摊销表'!AE37+'表2-折旧摊销表'!AE48+'表2-折旧摊销表'!AE59+'表2-折旧摊销表'!AE175+'表2-折旧摊销表'!AE228</f>
        <v>513787.326886597</v>
      </c>
      <c r="AE44" s="51">
        <f ca="1">'表2-折旧摊销表'!AF37+'表2-折旧摊销表'!AF48+'表2-折旧摊销表'!AF59+'表2-折旧摊销表'!AF175+'表2-折旧摊销表'!AF228</f>
        <v>542564.726071532</v>
      </c>
      <c r="AF44" s="51">
        <f ca="1">'表2-折旧摊销表'!AG37+'表2-折旧摊销表'!AG48+'表2-折旧摊销表'!AG59+'表2-折旧摊销表'!AG175+'表2-折旧摊销表'!AG228</f>
        <v>571104.625256467</v>
      </c>
      <c r="AG44" s="51">
        <f ca="1">'表2-折旧摊销表'!AH37+'表2-折旧摊销表'!AH48+'表2-折旧摊销表'!AH59+'表2-折旧摊销表'!AH175+'表2-折旧摊销表'!AH228</f>
        <v>599312.024441402</v>
      </c>
      <c r="AH44" s="51">
        <f ca="1">'表2-折旧摊销表'!AI37+'表2-折旧摊销表'!AI48+'表2-折旧摊销表'!AI59+'表2-折旧摊销表'!AI175+'表2-折旧摊销表'!AI228</f>
        <v>627519.423626337</v>
      </c>
      <c r="AI44" s="51">
        <f ca="1">'表2-折旧摊销表'!AJ37+'表2-折旧摊销表'!AJ48+'表2-折旧摊销表'!AJ59+'表2-折旧摊销表'!AJ175+'表2-折旧摊销表'!AJ228</f>
        <v>655726.822811272</v>
      </c>
      <c r="AJ44" s="51">
        <f ca="1">'表2-折旧摊销表'!AK37+'表2-折旧摊销表'!AK48+'表2-折旧摊销表'!AK59+'表2-折旧摊销表'!AK175+'表2-折旧摊销表'!AK228</f>
        <v>683934.221996206</v>
      </c>
      <c r="AK44" s="51">
        <f ca="1">'表2-折旧摊销表'!AL37+'表2-折旧摊销表'!AL48+'表2-折旧摊销表'!AL59+'表2-折旧摊销表'!AL175+'表2-折旧摊销表'!AL228</f>
        <v>712141.621181141</v>
      </c>
      <c r="AL44" s="51">
        <f ca="1">'表2-折旧摊销表'!AM37+'表2-折旧摊销表'!AM48+'表2-折旧摊销表'!AM59+'表2-折旧摊销表'!AM175+'表2-折旧摊销表'!AM228</f>
        <v>740349.020366076</v>
      </c>
      <c r="AM44" s="51">
        <f ca="1">'表2-折旧摊销表'!AN37+'表2-折旧摊销表'!AN48+'表2-折旧摊销表'!AN59+'表2-折旧摊销表'!AN175+'表2-折旧摊销表'!AN228</f>
        <v>768556.419551011</v>
      </c>
      <c r="AN44" s="51">
        <f ca="1">'表2-折旧摊销表'!AO37+'表2-折旧摊销表'!AO48+'表2-折旧摊销表'!AO59+'表2-折旧摊销表'!AO175+'表2-折旧摊销表'!AO228</f>
        <v>796763.818735946</v>
      </c>
      <c r="AO44" s="51">
        <f ca="1">'表2-折旧摊销表'!AP37+'表2-折旧摊销表'!AP48+'表2-折旧摊销表'!AP59+'表2-折旧摊销表'!AP175+'表2-折旧摊销表'!AP228</f>
        <v>814051.798089184</v>
      </c>
      <c r="AP44" s="51">
        <f ca="1">'表2-折旧摊销表'!AQ37+'表2-折旧摊销表'!AQ48+'表2-折旧摊销表'!AQ59+'表2-折旧摊销表'!AQ175+'表2-折旧摊销表'!AQ228</f>
        <v>816052.589678045</v>
      </c>
      <c r="AQ44" s="51">
        <f ca="1">'表2-折旧摊销表'!AR37+'表2-折旧摊销表'!AR48+'表2-折旧摊销表'!AR59+'表2-折旧摊销表'!AR175+'表2-折旧摊销表'!AR228</f>
        <v>818053.381266905</v>
      </c>
      <c r="AR44" s="51">
        <f ca="1">'表2-折旧摊销表'!AS37+'表2-折旧摊销表'!AS48+'表2-折旧摊销表'!AS59+'表2-折旧摊销表'!AS175+'表2-折旧摊销表'!AS228</f>
        <v>820258.046454135</v>
      </c>
      <c r="AS44" s="51">
        <f ca="1">'表2-折旧摊销表'!AT37+'表2-折旧摊销表'!AT48+'表2-折旧摊销表'!AT59+'表2-折旧摊销表'!AT175+'表2-折旧摊销表'!AT228</f>
        <v>822462.711641365</v>
      </c>
      <c r="AT44" s="51">
        <f ca="1">'表2-折旧摊销表'!AU37+'表2-折旧摊销表'!AU48+'表2-折旧摊销表'!AU59+'表2-折旧摊销表'!AU175+'表2-折旧摊销表'!AU228</f>
        <v>824667.376828595</v>
      </c>
      <c r="AU44" s="51">
        <f ca="1">'表2-折旧摊销表'!AV37+'表2-折旧摊销表'!AV48+'表2-折旧摊销表'!AV59+'表2-折旧摊销表'!AV175+'表2-折旧摊销表'!AV228</f>
        <v>826927.351750338</v>
      </c>
      <c r="AV44" s="51">
        <f ca="1">'表2-折旧摊销表'!AW37+'表2-折旧摊销表'!AW48+'表2-折旧摊销表'!AW59+'表2-折旧摊销表'!AW175+'表2-折旧摊销表'!AW228</f>
        <v>829187.326672082</v>
      </c>
      <c r="AW44" s="51">
        <f ca="1">'表2-折旧摊销表'!AX37+'表2-折旧摊销表'!AX48+'表2-折旧摊销表'!AX59+'表2-折旧摊销表'!AX175+'表2-折旧摊销表'!AX228</f>
        <v>831447.301593825</v>
      </c>
      <c r="AX44" s="51">
        <f ca="1">'表2-折旧摊销表'!AY37+'表2-折旧摊销表'!AY48+'表2-折旧摊销表'!AY59+'表2-折旧摊销表'!AY175+'表2-折旧摊销表'!AY228</f>
        <v>833707.276515568</v>
      </c>
      <c r="AY44" s="51">
        <f ca="1">'表2-折旧摊销表'!AZ37+'表2-折旧摊销表'!AZ48+'表2-折旧摊销表'!AZ59+'表2-折旧摊销表'!AZ175+'表2-折旧摊销表'!AZ228</f>
        <v>835967.251437311</v>
      </c>
      <c r="AZ44" s="51">
        <f ca="1">'表2-折旧摊销表'!BA37+'表2-折旧摊销表'!BA48+'表2-折旧摊销表'!BA59+'表2-折旧摊销表'!BA175+'表2-折旧摊销表'!BA228</f>
        <v>838227.226359054</v>
      </c>
    </row>
    <row r="45" s="4" customFormat="1" spans="2:52">
      <c r="B45" s="48"/>
      <c r="C45" s="49" t="s">
        <v>1090</v>
      </c>
      <c r="D45" s="50" t="s">
        <v>130</v>
      </c>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3"/>
    </row>
    <row r="46" s="4" customFormat="1" spans="2:52">
      <c r="B46" s="48"/>
      <c r="C46" s="54" t="s">
        <v>1091</v>
      </c>
      <c r="D46" s="50" t="s">
        <v>130</v>
      </c>
      <c r="E46" s="51">
        <f ca="1">'表2-折旧摊销表'!F31+'表2-折旧摊销表'!F42+'表2-折旧摊销表'!F53+'表2-折旧摊销表'!F116</f>
        <v>88212.0157651638</v>
      </c>
      <c r="F46" s="51">
        <f ca="1">'表2-折旧摊销表'!G31+'表2-折旧摊销表'!G42+'表2-折旧摊销表'!G53+'表2-折旧摊销表'!G116</f>
        <v>177064.667403394</v>
      </c>
      <c r="G46" s="51">
        <f ca="1">'表2-折旧摊销表'!H31+'表2-折旧摊销表'!H42+'表2-折旧摊销表'!H53+'表2-折旧摊销表'!H116</f>
        <v>280438.996743616</v>
      </c>
      <c r="H46" s="51">
        <f ca="1">'表2-折旧摊销表'!I31+'表2-折旧摊销表'!I42+'表2-折旧摊销表'!I53+'表2-折旧摊销表'!I116</f>
        <v>396428.023948118</v>
      </c>
      <c r="I46" s="51">
        <f ca="1">'表2-折旧摊销表'!J31+'表2-折旧摊销表'!J42+'表2-折旧摊销表'!J53+'表2-折旧摊销表'!J116</f>
        <v>552080.613281115</v>
      </c>
      <c r="J46" s="51">
        <f ca="1">'表2-折旧摊销表'!K31+'表2-折旧摊销表'!K42+'表2-折旧摊销表'!K53+'表2-折旧摊销表'!K116</f>
        <v>701356.746894452</v>
      </c>
      <c r="K46" s="51">
        <f ca="1">'表2-折旧摊销表'!L31+'表2-折旧摊销表'!L42+'表2-折旧摊销表'!L53+'表2-折旧摊销表'!L116</f>
        <v>835375.028234342</v>
      </c>
      <c r="L46" s="51">
        <f ca="1">'表2-折旧摊销表'!M31+'表2-折旧摊销表'!M42+'表2-折旧摊销表'!M53+'表2-折旧摊销表'!M116</f>
        <v>0</v>
      </c>
      <c r="M46" s="51">
        <f ca="1">'表2-折旧摊销表'!N31+'表2-折旧摊销表'!N42+'表2-折旧摊销表'!N53+'表2-折旧摊销表'!N116</f>
        <v>0</v>
      </c>
      <c r="N46" s="51">
        <f ca="1">'表2-折旧摊销表'!O31+'表2-折旧摊销表'!O42+'表2-折旧摊销表'!O53+'表2-折旧摊销表'!O116</f>
        <v>0</v>
      </c>
      <c r="O46" s="51">
        <f ca="1">'表2-折旧摊销表'!P31+'表2-折旧摊销表'!P42+'表2-折旧摊销表'!P53+'表2-折旧摊销表'!P116</f>
        <v>0</v>
      </c>
      <c r="P46" s="51">
        <f ca="1">'表2-折旧摊销表'!Q31+'表2-折旧摊销表'!Q42+'表2-折旧摊销表'!Q53+'表2-折旧摊销表'!Q116</f>
        <v>0</v>
      </c>
      <c r="Q46" s="51">
        <f ca="1">'表2-折旧摊销表'!R31+'表2-折旧摊销表'!R42+'表2-折旧摊销表'!R53+'表2-折旧摊销表'!R116</f>
        <v>0</v>
      </c>
      <c r="R46" s="51">
        <f ca="1">'表2-折旧摊销表'!S31+'表2-折旧摊销表'!S42+'表2-折旧摊销表'!S53+'表2-折旧摊销表'!S116</f>
        <v>0</v>
      </c>
      <c r="S46" s="51">
        <f ca="1">'表2-折旧摊销表'!T31+'表2-折旧摊销表'!T42+'表2-折旧摊销表'!T53+'表2-折旧摊销表'!T116</f>
        <v>0</v>
      </c>
      <c r="T46" s="51">
        <f ca="1">'表2-折旧摊销表'!U31+'表2-折旧摊销表'!U42+'表2-折旧摊销表'!U53+'表2-折旧摊销表'!U116</f>
        <v>0</v>
      </c>
      <c r="U46" s="51">
        <f ca="1">'表2-折旧摊销表'!V31+'表2-折旧摊销表'!V42+'表2-折旧摊销表'!V53+'表2-折旧摊销表'!V116</f>
        <v>0</v>
      </c>
      <c r="V46" s="51">
        <f ca="1">'表2-折旧摊销表'!W31+'表2-折旧摊销表'!W42+'表2-折旧摊销表'!W53+'表2-折旧摊销表'!W116</f>
        <v>0</v>
      </c>
      <c r="W46" s="51">
        <f ca="1">'表2-折旧摊销表'!X31+'表2-折旧摊销表'!X42+'表2-折旧摊销表'!X53+'表2-折旧摊销表'!X116</f>
        <v>0</v>
      </c>
      <c r="X46" s="51">
        <f ca="1">'表2-折旧摊销表'!Y31+'表2-折旧摊销表'!Y42+'表2-折旧摊销表'!Y53+'表2-折旧摊销表'!Y116</f>
        <v>0</v>
      </c>
      <c r="Y46" s="51">
        <f ca="1">'表2-折旧摊销表'!Z31+'表2-折旧摊销表'!Z42+'表2-折旧摊销表'!Z53+'表2-折旧摊销表'!Z116</f>
        <v>0</v>
      </c>
      <c r="Z46" s="51">
        <f ca="1">'表2-折旧摊销表'!AA31+'表2-折旧摊销表'!AA42+'表2-折旧摊销表'!AA53+'表2-折旧摊销表'!AA116</f>
        <v>0</v>
      </c>
      <c r="AA46" s="51">
        <f ca="1">'表2-折旧摊销表'!AB31+'表2-折旧摊销表'!AB42+'表2-折旧摊销表'!AB53+'表2-折旧摊销表'!AB116</f>
        <v>0</v>
      </c>
      <c r="AB46" s="51">
        <f ca="1">'表2-折旧摊销表'!AC31+'表2-折旧摊销表'!AC42+'表2-折旧摊销表'!AC53+'表2-折旧摊销表'!AC116</f>
        <v>0</v>
      </c>
      <c r="AC46" s="51">
        <f ca="1">'表2-折旧摊销表'!AD31+'表2-折旧摊销表'!AD42+'表2-折旧摊销表'!AD53+'表2-折旧摊销表'!AD116</f>
        <v>0</v>
      </c>
      <c r="AD46" s="51">
        <f ca="1">'表2-折旧摊销表'!AE31+'表2-折旧摊销表'!AE42+'表2-折旧摊销表'!AE53+'表2-折旧摊销表'!AE116</f>
        <v>0</v>
      </c>
      <c r="AE46" s="51">
        <f ca="1">'表2-折旧摊销表'!AF31+'表2-折旧摊销表'!AF42+'表2-折旧摊销表'!AF53+'表2-折旧摊销表'!AF116</f>
        <v>0</v>
      </c>
      <c r="AF46" s="51">
        <f ca="1">'表2-折旧摊销表'!AG31+'表2-折旧摊销表'!AG42+'表2-折旧摊销表'!AG53+'表2-折旧摊销表'!AG116</f>
        <v>0</v>
      </c>
      <c r="AG46" s="51">
        <f ca="1">'表2-折旧摊销表'!AH31+'表2-折旧摊销表'!AH42+'表2-折旧摊销表'!AH53+'表2-折旧摊销表'!AH116</f>
        <v>0</v>
      </c>
      <c r="AH46" s="51">
        <f ca="1">'表2-折旧摊销表'!AI31+'表2-折旧摊销表'!AI42+'表2-折旧摊销表'!AI53+'表2-折旧摊销表'!AI116</f>
        <v>0</v>
      </c>
      <c r="AI46" s="51">
        <f ca="1">'表2-折旧摊销表'!AJ31+'表2-折旧摊销表'!AJ42+'表2-折旧摊销表'!AJ53+'表2-折旧摊销表'!AJ116</f>
        <v>0</v>
      </c>
      <c r="AJ46" s="51">
        <f ca="1">'表2-折旧摊销表'!AK31+'表2-折旧摊销表'!AK42+'表2-折旧摊销表'!AK53+'表2-折旧摊销表'!AK116</f>
        <v>0</v>
      </c>
      <c r="AK46" s="51">
        <f ca="1">'表2-折旧摊销表'!AL31+'表2-折旧摊销表'!AL42+'表2-折旧摊销表'!AL53+'表2-折旧摊销表'!AL116</f>
        <v>0</v>
      </c>
      <c r="AL46" s="51">
        <f ca="1">'表2-折旧摊销表'!AM31+'表2-折旧摊销表'!AM42+'表2-折旧摊销表'!AM53+'表2-折旧摊销表'!AM116</f>
        <v>0</v>
      </c>
      <c r="AM46" s="51">
        <f ca="1">'表2-折旧摊销表'!AN31+'表2-折旧摊销表'!AN42+'表2-折旧摊销表'!AN53+'表2-折旧摊销表'!AN116</f>
        <v>0</v>
      </c>
      <c r="AN46" s="51">
        <f ca="1">'表2-折旧摊销表'!AO31+'表2-折旧摊销表'!AO42+'表2-折旧摊销表'!AO53+'表2-折旧摊销表'!AO116</f>
        <v>0</v>
      </c>
      <c r="AO46" s="51">
        <f ca="1">'表2-折旧摊销表'!AP31+'表2-折旧摊销表'!AP42+'表2-折旧摊销表'!AP53+'表2-折旧摊销表'!AP116</f>
        <v>0</v>
      </c>
      <c r="AP46" s="51">
        <f ca="1">'表2-折旧摊销表'!AQ31+'表2-折旧摊销表'!AQ42+'表2-折旧摊销表'!AQ53+'表2-折旧摊销表'!AQ116</f>
        <v>0</v>
      </c>
      <c r="AQ46" s="51">
        <f ca="1">'表2-折旧摊销表'!AR31+'表2-折旧摊销表'!AR42+'表2-折旧摊销表'!AR53+'表2-折旧摊销表'!AR116</f>
        <v>0</v>
      </c>
      <c r="AR46" s="51">
        <f ca="1">'表2-折旧摊销表'!AS31+'表2-折旧摊销表'!AS42+'表2-折旧摊销表'!AS53+'表2-折旧摊销表'!AS116</f>
        <v>0</v>
      </c>
      <c r="AS46" s="51">
        <f ca="1">'表2-折旧摊销表'!AT31+'表2-折旧摊销表'!AT42+'表2-折旧摊销表'!AT53+'表2-折旧摊销表'!AT116</f>
        <v>0</v>
      </c>
      <c r="AT46" s="51">
        <f ca="1">'表2-折旧摊销表'!AU31+'表2-折旧摊销表'!AU42+'表2-折旧摊销表'!AU53+'表2-折旧摊销表'!AU116</f>
        <v>0</v>
      </c>
      <c r="AU46" s="51">
        <f ca="1">'表2-折旧摊销表'!AV31+'表2-折旧摊销表'!AV42+'表2-折旧摊销表'!AV53+'表2-折旧摊销表'!AV116</f>
        <v>0</v>
      </c>
      <c r="AV46" s="51">
        <f ca="1">'表2-折旧摊销表'!AW31+'表2-折旧摊销表'!AW42+'表2-折旧摊销表'!AW53+'表2-折旧摊销表'!AW116</f>
        <v>0</v>
      </c>
      <c r="AW46" s="51">
        <f ca="1">'表2-折旧摊销表'!AX31+'表2-折旧摊销表'!AX42+'表2-折旧摊销表'!AX53+'表2-折旧摊销表'!AX116</f>
        <v>0</v>
      </c>
      <c r="AX46" s="51">
        <f ca="1">'表2-折旧摊销表'!AY31+'表2-折旧摊销表'!AY42+'表2-折旧摊销表'!AY53+'表2-折旧摊销表'!AY116</f>
        <v>0</v>
      </c>
      <c r="AY46" s="51">
        <f ca="1">'表2-折旧摊销表'!AZ31+'表2-折旧摊销表'!AZ42+'表2-折旧摊销表'!AZ53+'表2-折旧摊销表'!AZ116</f>
        <v>0</v>
      </c>
      <c r="AZ46" s="51">
        <f ca="1">'表2-折旧摊销表'!BA31+'表2-折旧摊销表'!BA42+'表2-折旧摊销表'!BA53+'表2-折旧摊销表'!BA116</f>
        <v>0</v>
      </c>
    </row>
    <row r="47" spans="2:52">
      <c r="B47" s="32"/>
      <c r="C47" s="33" t="s">
        <v>1092</v>
      </c>
      <c r="D47" s="29" t="s">
        <v>130</v>
      </c>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5"/>
    </row>
    <row r="48" spans="2:52">
      <c r="B48" s="32"/>
      <c r="C48" s="33" t="s">
        <v>1093</v>
      </c>
      <c r="D48" s="29" t="s">
        <v>130</v>
      </c>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5"/>
    </row>
    <row r="49" spans="2:52">
      <c r="B49" s="32"/>
      <c r="C49" s="33" t="s">
        <v>1094</v>
      </c>
      <c r="D49" s="29" t="s">
        <v>130</v>
      </c>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5"/>
    </row>
    <row r="50" spans="2:52">
      <c r="B50" s="32"/>
      <c r="C50" s="54" t="s">
        <v>1095</v>
      </c>
      <c r="D50" s="29" t="s">
        <v>130</v>
      </c>
      <c r="E50" s="34">
        <f ca="1">'表2-折旧摊销表'!F123</f>
        <v>0</v>
      </c>
      <c r="F50" s="34">
        <f ca="1">'表2-折旧摊销表'!G123</f>
        <v>0</v>
      </c>
      <c r="G50" s="34">
        <f ca="1">'表2-折旧摊销表'!H123</f>
        <v>0</v>
      </c>
      <c r="H50" s="34">
        <f ca="1">'表2-折旧摊销表'!I123</f>
        <v>0</v>
      </c>
      <c r="I50" s="34">
        <f ca="1">'表2-折旧摊销表'!J123</f>
        <v>0</v>
      </c>
      <c r="J50" s="34">
        <f ca="1">'表2-折旧摊销表'!K123</f>
        <v>0</v>
      </c>
      <c r="K50" s="34">
        <f ca="1">'表2-折旧摊销表'!L123</f>
        <v>0</v>
      </c>
      <c r="L50" s="34">
        <f ca="1">'表2-折旧摊销表'!M123</f>
        <v>78240.7407407407</v>
      </c>
      <c r="M50" s="34">
        <f ca="1">'表2-折旧摊销表'!N123</f>
        <v>74018.5185185185</v>
      </c>
      <c r="N50" s="34">
        <f ca="1">'表2-折旧摊销表'!O123</f>
        <v>69796.2962962963</v>
      </c>
      <c r="O50" s="34">
        <f ca="1">'表2-折旧摊销表'!P123</f>
        <v>65574.0740740741</v>
      </c>
      <c r="P50" s="34">
        <f ca="1">'表2-折旧摊销表'!Q123</f>
        <v>61351.8518518519</v>
      </c>
      <c r="Q50" s="34">
        <f ca="1">'表2-折旧摊销表'!R123</f>
        <v>57129.6296296296</v>
      </c>
      <c r="R50" s="34">
        <f ca="1">'表2-折旧摊销表'!S123</f>
        <v>52907.4074074074</v>
      </c>
      <c r="S50" s="34">
        <f ca="1">'表2-折旧摊销表'!T123</f>
        <v>48685.1851851852</v>
      </c>
      <c r="T50" s="34">
        <f ca="1">'表2-折旧摊销表'!U123</f>
        <v>44462.962962963</v>
      </c>
      <c r="U50" s="34">
        <f ca="1">'表2-折旧摊销表'!V123</f>
        <v>40240.7407407407</v>
      </c>
      <c r="V50" s="34">
        <f ca="1">'表2-折旧摊销表'!W123</f>
        <v>36018.5185185185</v>
      </c>
      <c r="W50" s="34">
        <f ca="1">'表2-折旧摊销表'!X123</f>
        <v>31796.2962962963</v>
      </c>
      <c r="X50" s="34">
        <f ca="1">'表2-折旧摊销表'!Y123</f>
        <v>27574.0740740741</v>
      </c>
      <c r="Y50" s="34">
        <f ca="1">'表2-折旧摊销表'!Z123</f>
        <v>23351.8518518519</v>
      </c>
      <c r="Z50" s="34">
        <f ca="1">'表2-折旧摊销表'!AA123</f>
        <v>19129.6296296296</v>
      </c>
      <c r="AA50" s="34">
        <f ca="1">'表2-折旧摊销表'!AB123</f>
        <v>14907.4074074074</v>
      </c>
      <c r="AB50" s="34">
        <f ca="1">'表2-折旧摊销表'!AC123</f>
        <v>10685.1851851852</v>
      </c>
      <c r="AC50" s="34">
        <f ca="1">'表2-折旧摊销表'!AD123</f>
        <v>6462.96296296299</v>
      </c>
      <c r="AD50" s="34">
        <f ca="1">'表2-折旧摊销表'!AE123</f>
        <v>4000.00000000003</v>
      </c>
      <c r="AE50" s="34">
        <f ca="1">'表2-折旧摊销表'!AF123</f>
        <v>4000.00000000003</v>
      </c>
      <c r="AF50" s="34">
        <f ca="1">'表2-折旧摊销表'!AG123</f>
        <v>4000.00000000003</v>
      </c>
      <c r="AG50" s="34">
        <f ca="1">'表2-折旧摊销表'!AH123</f>
        <v>4000.00000000003</v>
      </c>
      <c r="AH50" s="34">
        <f ca="1">'表2-折旧摊销表'!AI123</f>
        <v>4000.00000000003</v>
      </c>
      <c r="AI50" s="34">
        <f ca="1">'表2-折旧摊销表'!AJ123</f>
        <v>4000.00000000003</v>
      </c>
      <c r="AJ50" s="34">
        <f ca="1">'表2-折旧摊销表'!AK123</f>
        <v>4000.00000000003</v>
      </c>
      <c r="AK50" s="34">
        <f ca="1">'表2-折旧摊销表'!AL123</f>
        <v>4000.00000000003</v>
      </c>
      <c r="AL50" s="34">
        <f ca="1">'表2-折旧摊销表'!AM123</f>
        <v>4000.00000000003</v>
      </c>
      <c r="AM50" s="34">
        <f ca="1">'表2-折旧摊销表'!AN123</f>
        <v>4000.00000000003</v>
      </c>
      <c r="AN50" s="34">
        <f ca="1">'表2-折旧摊销表'!AO123</f>
        <v>4000.00000000003</v>
      </c>
      <c r="AO50" s="34">
        <f ca="1">'表2-折旧摊销表'!AP123</f>
        <v>4000.00000000003</v>
      </c>
      <c r="AP50" s="34">
        <f ca="1">'表2-折旧摊销表'!AQ123</f>
        <v>4000.00000000003</v>
      </c>
      <c r="AQ50" s="34">
        <f ca="1">'表2-折旧摊销表'!AR123</f>
        <v>4000.00000000003</v>
      </c>
      <c r="AR50" s="34">
        <f ca="1">'表2-折旧摊销表'!AS123</f>
        <v>4000.00000000003</v>
      </c>
      <c r="AS50" s="34">
        <f ca="1">'表2-折旧摊销表'!AT123</f>
        <v>4000.00000000003</v>
      </c>
      <c r="AT50" s="34">
        <f ca="1">'表2-折旧摊销表'!AU123</f>
        <v>4000.00000000003</v>
      </c>
      <c r="AU50" s="34">
        <f ca="1">'表2-折旧摊销表'!AV123</f>
        <v>4000.00000000003</v>
      </c>
      <c r="AV50" s="34">
        <f ca="1">'表2-折旧摊销表'!AW123</f>
        <v>4000.00000000003</v>
      </c>
      <c r="AW50" s="34">
        <f ca="1">'表2-折旧摊销表'!AX123</f>
        <v>4000.00000000003</v>
      </c>
      <c r="AX50" s="34">
        <f ca="1">'表2-折旧摊销表'!AY123</f>
        <v>4000.00000000003</v>
      </c>
      <c r="AY50" s="34">
        <f ca="1">'表2-折旧摊销表'!AZ123</f>
        <v>4000.00000000003</v>
      </c>
      <c r="AZ50" s="52">
        <f ca="1">'表2-折旧摊销表'!BA123-'表2-折旧摊销表'!BA123</f>
        <v>0</v>
      </c>
    </row>
    <row r="51" spans="2:52">
      <c r="B51" s="32"/>
      <c r="C51" s="33" t="s">
        <v>1096</v>
      </c>
      <c r="D51" s="29" t="s">
        <v>130</v>
      </c>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5"/>
    </row>
    <row r="52" spans="2:52">
      <c r="B52" s="32"/>
      <c r="C52" s="33" t="s">
        <v>1097</v>
      </c>
      <c r="D52" s="29" t="s">
        <v>130</v>
      </c>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5"/>
    </row>
    <row r="53" spans="2:52">
      <c r="B53" s="32"/>
      <c r="C53" s="33" t="s">
        <v>1098</v>
      </c>
      <c r="D53" s="29" t="s">
        <v>130</v>
      </c>
      <c r="E53" s="34">
        <f>'表2-折旧摊销表'!F112</f>
        <v>0</v>
      </c>
      <c r="F53" s="34">
        <f>'表2-折旧摊销表'!G112</f>
        <v>0</v>
      </c>
      <c r="G53" s="34">
        <f>'表2-折旧摊销表'!H112</f>
        <v>0</v>
      </c>
      <c r="H53" s="34">
        <f>'表2-折旧摊销表'!I112</f>
        <v>0</v>
      </c>
      <c r="I53" s="34">
        <f>'表2-折旧摊销表'!J112</f>
        <v>0</v>
      </c>
      <c r="J53" s="34">
        <f>'表2-折旧摊销表'!K112</f>
        <v>0</v>
      </c>
      <c r="K53" s="34">
        <f>'表2-折旧摊销表'!L112</f>
        <v>0</v>
      </c>
      <c r="L53" s="34">
        <f>'表2-折旧摊销表'!M112</f>
        <v>0</v>
      </c>
      <c r="M53" s="34">
        <f>'表2-折旧摊销表'!N112</f>
        <v>366.97247706422</v>
      </c>
      <c r="N53" s="34">
        <f>'表2-折旧摊销表'!O112</f>
        <v>275.229357798165</v>
      </c>
      <c r="O53" s="34">
        <f>'表2-折旧摊销表'!P112</f>
        <v>183.48623853211</v>
      </c>
      <c r="P53" s="34">
        <f>'表2-折旧摊销表'!Q112</f>
        <v>91.7431192660551</v>
      </c>
      <c r="Q53" s="34">
        <f>'表2-折旧摊销表'!R112</f>
        <v>0</v>
      </c>
      <c r="R53" s="34">
        <f>'表2-折旧摊销表'!S112</f>
        <v>366.97247706422</v>
      </c>
      <c r="S53" s="34">
        <f>'表2-折旧摊销表'!T112</f>
        <v>275.229357798165</v>
      </c>
      <c r="T53" s="34">
        <f>'表2-折旧摊销表'!U112</f>
        <v>183.48623853211</v>
      </c>
      <c r="U53" s="34">
        <f>'表2-折旧摊销表'!V112</f>
        <v>91.7431192660551</v>
      </c>
      <c r="V53" s="34">
        <f>'表2-折旧摊销表'!W112</f>
        <v>0</v>
      </c>
      <c r="W53" s="34">
        <f>'表2-折旧摊销表'!X112</f>
        <v>366.97247706422</v>
      </c>
      <c r="X53" s="34">
        <f>'表2-折旧摊销表'!Y112</f>
        <v>275.229357798165</v>
      </c>
      <c r="Y53" s="34">
        <f>'表2-折旧摊销表'!Z112</f>
        <v>183.48623853211</v>
      </c>
      <c r="Z53" s="34">
        <f>'表2-折旧摊销表'!AA112</f>
        <v>91.7431192660551</v>
      </c>
      <c r="AA53" s="34">
        <f>'表2-折旧摊销表'!AB112</f>
        <v>0</v>
      </c>
      <c r="AB53" s="34">
        <f>'表2-折旧摊销表'!AC112</f>
        <v>366.97247706422</v>
      </c>
      <c r="AC53" s="34">
        <f>'表2-折旧摊销表'!AD112</f>
        <v>275.229357798165</v>
      </c>
      <c r="AD53" s="34">
        <f>'表2-折旧摊销表'!AE112</f>
        <v>183.48623853211</v>
      </c>
      <c r="AE53" s="34">
        <f>'表2-折旧摊销表'!AF112</f>
        <v>91.7431192660551</v>
      </c>
      <c r="AF53" s="34">
        <f>'表2-折旧摊销表'!AG112</f>
        <v>0</v>
      </c>
      <c r="AG53" s="34">
        <f>'表2-折旧摊销表'!AH112</f>
        <v>366.97247706422</v>
      </c>
      <c r="AH53" s="34">
        <f>'表2-折旧摊销表'!AI112</f>
        <v>275.229357798165</v>
      </c>
      <c r="AI53" s="34">
        <f>'表2-折旧摊销表'!AJ112</f>
        <v>183.48623853211</v>
      </c>
      <c r="AJ53" s="34">
        <f>'表2-折旧摊销表'!AK112</f>
        <v>91.7431192660551</v>
      </c>
      <c r="AK53" s="34">
        <f>'表2-折旧摊销表'!AL112</f>
        <v>0</v>
      </c>
      <c r="AL53" s="34">
        <f>'表2-折旧摊销表'!AM112</f>
        <v>366.97247706422</v>
      </c>
      <c r="AM53" s="34">
        <f>'表2-折旧摊销表'!AN112</f>
        <v>275.229357798165</v>
      </c>
      <c r="AN53" s="34">
        <f>'表2-折旧摊销表'!AO112</f>
        <v>183.48623853211</v>
      </c>
      <c r="AO53" s="34">
        <f>'表2-折旧摊销表'!AP112</f>
        <v>91.7431192660551</v>
      </c>
      <c r="AP53" s="34">
        <f>'表2-折旧摊销表'!AQ112</f>
        <v>0</v>
      </c>
      <c r="AQ53" s="34">
        <f>'表2-折旧摊销表'!AR112</f>
        <v>366.97247706422</v>
      </c>
      <c r="AR53" s="34">
        <f>'表2-折旧摊销表'!AS112</f>
        <v>275.229357798165</v>
      </c>
      <c r="AS53" s="34">
        <f>'表2-折旧摊销表'!AT112</f>
        <v>183.48623853211</v>
      </c>
      <c r="AT53" s="34">
        <f>'表2-折旧摊销表'!AU112</f>
        <v>91.7431192660551</v>
      </c>
      <c r="AU53" s="34">
        <f>'表2-折旧摊销表'!AV112</f>
        <v>0</v>
      </c>
      <c r="AV53" s="34">
        <f>'表2-折旧摊销表'!AW112</f>
        <v>366.97247706422</v>
      </c>
      <c r="AW53" s="34">
        <f>'表2-折旧摊销表'!AX112</f>
        <v>275.229357798165</v>
      </c>
      <c r="AX53" s="34">
        <f>'表2-折旧摊销表'!AY112</f>
        <v>489.296636085627</v>
      </c>
      <c r="AY53" s="34">
        <f>'表2-折旧摊销表'!AZ112</f>
        <v>244.648318042813</v>
      </c>
      <c r="AZ53" s="35">
        <f>'表2-折旧摊销表'!BA112</f>
        <v>0</v>
      </c>
    </row>
    <row r="54" spans="2:52">
      <c r="B54" s="32"/>
      <c r="C54" s="33" t="s">
        <v>1099</v>
      </c>
      <c r="D54" s="29" t="s">
        <v>130</v>
      </c>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5"/>
    </row>
    <row r="55" spans="2:52">
      <c r="B55" s="32"/>
      <c r="C55" s="33" t="s">
        <v>1100</v>
      </c>
      <c r="D55" s="29" t="s">
        <v>130</v>
      </c>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5"/>
    </row>
    <row r="56" spans="2:52">
      <c r="B56" s="32"/>
      <c r="C56" s="41" t="s">
        <v>1101</v>
      </c>
      <c r="D56" s="29" t="s">
        <v>130</v>
      </c>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5"/>
    </row>
    <row r="57" s="1" customFormat="1" ht="23.4" customHeight="1" spans="2:52">
      <c r="B57" s="22">
        <v>2</v>
      </c>
      <c r="C57" s="23" t="s">
        <v>1102</v>
      </c>
      <c r="D57" s="24" t="s">
        <v>130</v>
      </c>
      <c r="E57" s="25">
        <f ca="1">E58+E86</f>
        <v>71633.4875937017</v>
      </c>
      <c r="F57" s="25">
        <f ca="1" t="shared" ref="F57:N57" si="10">F58+F86</f>
        <v>143560.689450587</v>
      </c>
      <c r="G57" s="25">
        <f ca="1" t="shared" si="10"/>
        <v>227206.218790986</v>
      </c>
      <c r="H57" s="25">
        <f ca="1" t="shared" si="10"/>
        <v>320943.151995775</v>
      </c>
      <c r="I57" s="25">
        <f ca="1" t="shared" si="10"/>
        <v>446801.809180491</v>
      </c>
      <c r="J57" s="25">
        <f ca="1" t="shared" si="10"/>
        <v>567118.553113378</v>
      </c>
      <c r="K57" s="25">
        <f ca="1" t="shared" si="10"/>
        <v>674623.632860075</v>
      </c>
      <c r="L57" s="25">
        <f ca="1" t="shared" si="10"/>
        <v>720471.92699529</v>
      </c>
      <c r="M57" s="25">
        <f ca="1" t="shared" si="10"/>
        <v>692255.730123362</v>
      </c>
      <c r="N57" s="25">
        <f ca="1" t="shared" si="10"/>
        <v>645884.330354736</v>
      </c>
      <c r="O57" s="25">
        <f ca="1" t="shared" ref="O57:AK57" si="11">O58+O86</f>
        <v>600460.131336456</v>
      </c>
      <c r="P57" s="25">
        <f ca="1" t="shared" si="11"/>
        <v>555444.249143071</v>
      </c>
      <c r="Q57" s="25">
        <f ca="1" t="shared" si="11"/>
        <v>510543.616495349</v>
      </c>
      <c r="R57" s="25">
        <f ca="1" t="shared" si="11"/>
        <v>470281.3577296</v>
      </c>
      <c r="S57" s="25">
        <f ca="1" t="shared" si="11"/>
        <v>437478.382709961</v>
      </c>
      <c r="T57" s="25">
        <f ca="1" t="shared" si="11"/>
        <v>404404.351910103</v>
      </c>
      <c r="U57" s="25">
        <f ca="1" t="shared" si="11"/>
        <v>371190.189413534</v>
      </c>
      <c r="V57" s="25">
        <f ca="1" t="shared" si="11"/>
        <v>337887.12228356</v>
      </c>
      <c r="W57" s="25">
        <f ca="1" t="shared" si="11"/>
        <v>306192.542554156</v>
      </c>
      <c r="X57" s="25">
        <f ca="1" t="shared" si="11"/>
        <v>289996.069093897</v>
      </c>
      <c r="Y57" s="25">
        <f ca="1" t="shared" si="11"/>
        <v>255513.297635344</v>
      </c>
      <c r="Z57" s="25">
        <f ca="1" t="shared" si="11"/>
        <v>220747.625031703</v>
      </c>
      <c r="AA57" s="25">
        <f ca="1" t="shared" si="11"/>
        <v>185697.752994051</v>
      </c>
      <c r="AB57" s="25">
        <f ca="1" t="shared" si="11"/>
        <v>150801.769717414</v>
      </c>
      <c r="AC57" s="25">
        <f ca="1" t="shared" si="11"/>
        <v>115092.79487674</v>
      </c>
      <c r="AD57" s="25">
        <f ca="1" t="shared" si="11"/>
        <v>80389.5447713872</v>
      </c>
      <c r="AE57" s="25">
        <f ca="1" t="shared" si="11"/>
        <v>48866.792013529</v>
      </c>
      <c r="AF57" s="25">
        <f ca="1" t="shared" si="11"/>
        <v>16559.490903773</v>
      </c>
      <c r="AG57" s="25">
        <f ca="1" t="shared" si="11"/>
        <v>4356.66666666708</v>
      </c>
      <c r="AH57" s="25">
        <f ca="1" t="shared" si="11"/>
        <v>4346.66666666708</v>
      </c>
      <c r="AI57" s="25">
        <f ca="1" t="shared" si="11"/>
        <v>4336.66666666708</v>
      </c>
      <c r="AJ57" s="25">
        <f ca="1" t="shared" si="11"/>
        <v>4326.66666666708</v>
      </c>
      <c r="AK57" s="25">
        <f ca="1" t="shared" si="11"/>
        <v>4316.66666666708</v>
      </c>
      <c r="AL57" s="25">
        <f ca="1" t="shared" ref="AL57:AZ57" si="12">AL58+AL86</f>
        <v>4306.66666666708</v>
      </c>
      <c r="AM57" s="25">
        <f ca="1" t="shared" si="12"/>
        <v>4296.66666666708</v>
      </c>
      <c r="AN57" s="25">
        <f ca="1" t="shared" si="12"/>
        <v>4286.66666666708</v>
      </c>
      <c r="AO57" s="25">
        <f ca="1" t="shared" si="12"/>
        <v>4276.66666666708</v>
      </c>
      <c r="AP57" s="25">
        <f ca="1" t="shared" si="12"/>
        <v>4266.66666666708</v>
      </c>
      <c r="AQ57" s="25">
        <f ca="1" t="shared" si="12"/>
        <v>4256.66666666708</v>
      </c>
      <c r="AR57" s="25">
        <f ca="1" t="shared" si="12"/>
        <v>4246.66666666708</v>
      </c>
      <c r="AS57" s="25">
        <f ca="1" t="shared" si="12"/>
        <v>4236.66666666708</v>
      </c>
      <c r="AT57" s="25">
        <f ca="1" t="shared" si="12"/>
        <v>4226.66666666708</v>
      </c>
      <c r="AU57" s="25">
        <f ca="1" t="shared" si="12"/>
        <v>4216.66666666708</v>
      </c>
      <c r="AV57" s="25">
        <f ca="1" t="shared" si="12"/>
        <v>4206.66666666708</v>
      </c>
      <c r="AW57" s="25">
        <f ca="1" t="shared" si="12"/>
        <v>4196.66666666708</v>
      </c>
      <c r="AX57" s="25">
        <f ca="1" t="shared" si="12"/>
        <v>4186.66666666708</v>
      </c>
      <c r="AY57" s="25">
        <f ca="1" t="shared" si="12"/>
        <v>4176.66666666708</v>
      </c>
      <c r="AZ57" s="26">
        <f ca="1" t="shared" si="12"/>
        <v>4166.66666666708</v>
      </c>
    </row>
    <row r="58" spans="2:52">
      <c r="B58" s="27">
        <v>2.1</v>
      </c>
      <c r="C58" s="28" t="s">
        <v>679</v>
      </c>
      <c r="D58" s="29" t="s">
        <v>130</v>
      </c>
      <c r="E58" s="30">
        <f ca="1">SUM(E59:E73)+E77+E79+SUM(E81:E85)</f>
        <v>0</v>
      </c>
      <c r="F58" s="30">
        <f ca="1">SUM(F59:F73)+F77+F79+SUM(F81:F85)</f>
        <v>0</v>
      </c>
      <c r="G58" s="30">
        <f ca="1" t="shared" ref="G58:M58" si="13">SUM(G59:G73)+G77+G79+SUM(G81:G85)</f>
        <v>0</v>
      </c>
      <c r="H58" s="30">
        <f ca="1" t="shared" si="13"/>
        <v>0</v>
      </c>
      <c r="I58" s="30">
        <f ca="1" t="shared" si="13"/>
        <v>0</v>
      </c>
      <c r="J58" s="30">
        <f ca="1" t="shared" si="13"/>
        <v>0</v>
      </c>
      <c r="K58" s="30">
        <f ca="1" t="shared" si="13"/>
        <v>0</v>
      </c>
      <c r="L58" s="30">
        <f ca="1" t="shared" si="13"/>
        <v>7349.48487960532</v>
      </c>
      <c r="M58" s="30">
        <f ca="1" t="shared" si="13"/>
        <v>27090.5722189107</v>
      </c>
      <c r="N58" s="30">
        <f ca="1" t="shared" ref="N58:AK58" si="14">SUM(N59:N73)+N77+N79+SUM(N81:N85)</f>
        <v>29076.456661517</v>
      </c>
      <c r="O58" s="30">
        <f ca="1" t="shared" si="14"/>
        <v>27322.0418544701</v>
      </c>
      <c r="P58" s="30">
        <f ca="1" t="shared" si="14"/>
        <v>31288.4438723177</v>
      </c>
      <c r="Q58" s="30">
        <f ca="1" t="shared" si="14"/>
        <v>35370.0954358282</v>
      </c>
      <c r="R58" s="30">
        <f ca="1" t="shared" si="14"/>
        <v>44090.1208813128</v>
      </c>
      <c r="S58" s="30">
        <f ca="1" t="shared" si="14"/>
        <v>60269.430072906</v>
      </c>
      <c r="T58" s="30">
        <f ca="1" t="shared" si="14"/>
        <v>76177.6834842809</v>
      </c>
      <c r="U58" s="30">
        <f ca="1" t="shared" si="14"/>
        <v>91945.8051989449</v>
      </c>
      <c r="V58" s="30">
        <f ca="1" t="shared" si="14"/>
        <v>107625.022280203</v>
      </c>
      <c r="W58" s="30">
        <f ca="1" t="shared" si="14"/>
        <v>124600.226762032</v>
      </c>
      <c r="X58" s="30">
        <f ca="1" t="shared" si="14"/>
        <v>156761.037513007</v>
      </c>
      <c r="Y58" s="30">
        <f ca="1" t="shared" si="14"/>
        <v>170635.550265686</v>
      </c>
      <c r="Z58" s="30">
        <f ca="1" t="shared" si="14"/>
        <v>184227.161873278</v>
      </c>
      <c r="AA58" s="30">
        <f ca="1" t="shared" si="14"/>
        <v>185447.752994051</v>
      </c>
      <c r="AB58" s="30">
        <f ca="1" t="shared" si="14"/>
        <v>150561.769717414</v>
      </c>
      <c r="AC58" s="30">
        <f ca="1" t="shared" si="14"/>
        <v>114862.79487674</v>
      </c>
      <c r="AD58" s="30">
        <f ca="1" t="shared" si="14"/>
        <v>80169.5447713868</v>
      </c>
      <c r="AE58" s="30">
        <f ca="1" t="shared" si="14"/>
        <v>48656.7920135286</v>
      </c>
      <c r="AF58" s="30">
        <f ca="1" t="shared" si="14"/>
        <v>16359.4909037726</v>
      </c>
      <c r="AG58" s="30">
        <f ca="1" t="shared" si="14"/>
        <v>4166.66666666667</v>
      </c>
      <c r="AH58" s="30">
        <f ca="1" t="shared" si="14"/>
        <v>4166.66666666667</v>
      </c>
      <c r="AI58" s="30">
        <f ca="1" t="shared" si="14"/>
        <v>4166.66666666667</v>
      </c>
      <c r="AJ58" s="30">
        <f ca="1" t="shared" si="14"/>
        <v>4166.66666666667</v>
      </c>
      <c r="AK58" s="30">
        <f ca="1" t="shared" si="14"/>
        <v>4166.66666666667</v>
      </c>
      <c r="AL58" s="30">
        <f ca="1" t="shared" ref="AL58:AZ58" si="15">SUM(AL59:AL73)+AL77+AL79+SUM(AL81:AL85)</f>
        <v>4166.66666666667</v>
      </c>
      <c r="AM58" s="30">
        <f ca="1" t="shared" si="15"/>
        <v>4166.66666666667</v>
      </c>
      <c r="AN58" s="30">
        <f ca="1" t="shared" si="15"/>
        <v>4166.66666666667</v>
      </c>
      <c r="AO58" s="30">
        <f ca="1" t="shared" si="15"/>
        <v>4166.66666666667</v>
      </c>
      <c r="AP58" s="30">
        <f ca="1" t="shared" si="15"/>
        <v>4166.66666666667</v>
      </c>
      <c r="AQ58" s="30">
        <f ca="1" t="shared" si="15"/>
        <v>4166.66666666667</v>
      </c>
      <c r="AR58" s="30">
        <f ca="1" t="shared" si="15"/>
        <v>4166.66666666667</v>
      </c>
      <c r="AS58" s="30">
        <f ca="1" t="shared" si="15"/>
        <v>4166.66666666667</v>
      </c>
      <c r="AT58" s="30">
        <f ca="1" t="shared" si="15"/>
        <v>4166.66666666667</v>
      </c>
      <c r="AU58" s="30">
        <f ca="1" t="shared" si="15"/>
        <v>4166.66666666667</v>
      </c>
      <c r="AV58" s="30">
        <f ca="1" t="shared" si="15"/>
        <v>4166.66666666667</v>
      </c>
      <c r="AW58" s="30">
        <f ca="1" t="shared" si="15"/>
        <v>4166.66666666667</v>
      </c>
      <c r="AX58" s="30">
        <f ca="1" t="shared" si="15"/>
        <v>4166.66666666667</v>
      </c>
      <c r="AY58" s="30">
        <f ca="1" t="shared" si="15"/>
        <v>4166.66666666667</v>
      </c>
      <c r="AZ58" s="31">
        <f ca="1" t="shared" si="15"/>
        <v>4166.66666666667</v>
      </c>
    </row>
    <row r="59" s="4" customFormat="1" spans="2:52">
      <c r="B59" s="48"/>
      <c r="C59" s="54" t="s">
        <v>1103</v>
      </c>
      <c r="D59" s="50" t="s">
        <v>130</v>
      </c>
      <c r="E59" s="51">
        <f ca="1">'表1-资金筹措及还本付息表'!G278+'表1-资金筹措及还本付息表'!G288</f>
        <v>0</v>
      </c>
      <c r="F59" s="51">
        <f ca="1">'表1-资金筹措及还本付息表'!H278+'表1-资金筹措及还本付息表'!H288</f>
        <v>0</v>
      </c>
      <c r="G59" s="51">
        <f ca="1">'表1-资金筹措及还本付息表'!I278+'表1-资金筹措及还本付息表'!I288</f>
        <v>0</v>
      </c>
      <c r="H59" s="51">
        <f ca="1">'表1-资金筹措及还本付息表'!J278+'表1-资金筹措及还本付息表'!J288</f>
        <v>0</v>
      </c>
      <c r="I59" s="51">
        <f ca="1">'表1-资金筹措及还本付息表'!K278+'表1-资金筹措及还本付息表'!K288</f>
        <v>0</v>
      </c>
      <c r="J59" s="51">
        <f ca="1">'表1-资金筹措及还本付息表'!L278+'表1-资金筹措及还本付息表'!L288</f>
        <v>0</v>
      </c>
      <c r="K59" s="51">
        <f ca="1">'表1-资金筹措及还本付息表'!N278+'表1-资金筹措及还本付息表'!N288</f>
        <v>0</v>
      </c>
      <c r="L59" s="51">
        <f ca="1">'表1-资金筹措及还本付息表'!Q278+'表1-资金筹措及还本付息表'!Q288</f>
        <v>3182.81821293866</v>
      </c>
      <c r="M59" s="51">
        <f ca="1">'表1-资金筹措及还本付息表'!R278+'表1-资金筹措及还本付息表'!R288</f>
        <v>22923.905552244</v>
      </c>
      <c r="N59" s="51">
        <f ca="1">'表1-资金筹措及还本付息表'!S278+'表1-资金筹措及还本付息表'!S288</f>
        <v>24909.7899948503</v>
      </c>
      <c r="O59" s="51">
        <f ca="1">'表1-资金筹措及还本付息表'!T278+'表1-资金筹措及还本付息表'!T288</f>
        <v>23155.3751878034</v>
      </c>
      <c r="P59" s="51">
        <f ca="1">'表1-资金筹措及还本付息表'!U278+'表1-资金筹措及还本付息表'!U288</f>
        <v>27121.7772056511</v>
      </c>
      <c r="Q59" s="51">
        <f ca="1">'表1-资金筹措及还本付息表'!V278+'表1-资金筹措及还本付息表'!V288</f>
        <v>31203.4287691616</v>
      </c>
      <c r="R59" s="51">
        <f ca="1">'表1-资金筹措及还本付息表'!W278+'表1-资金筹措及还本付息表'!W288</f>
        <v>39923.4542146461</v>
      </c>
      <c r="S59" s="51">
        <f ca="1">'表1-资金筹措及还本付息表'!X278+'表1-资金筹措及还本付息表'!X288</f>
        <v>56102.7634062394</v>
      </c>
      <c r="T59" s="51">
        <f ca="1">'表1-资金筹措及还本付息表'!Y278+'表1-资金筹措及还本付息表'!Y288</f>
        <v>72011.0168176142</v>
      </c>
      <c r="U59" s="51">
        <f ca="1">'表1-资金筹措及还本付息表'!Z278+'表1-资金筹措及还本付息表'!Z288</f>
        <v>87779.1385322782</v>
      </c>
      <c r="V59" s="51">
        <f ca="1">'表1-资金筹措及还本付息表'!AA278+'表1-资金筹措及还本付息表'!AA288</f>
        <v>103458.355613537</v>
      </c>
      <c r="W59" s="51">
        <f ca="1">'表1-资金筹措及还本付息表'!AB278+'表1-资金筹措及还本付息表'!AB288</f>
        <v>120433.560095366</v>
      </c>
      <c r="X59" s="51">
        <f ca="1">'表1-资金筹措及还本付息表'!AC278+'表1-资金筹措及还本付息表'!AC288</f>
        <v>152594.37084634</v>
      </c>
      <c r="Y59" s="51">
        <f ca="1">'表1-资金筹措及还本付息表'!AD278+'表1-资金筹措及还本付息表'!AD288</f>
        <v>166468.883599019</v>
      </c>
      <c r="Z59" s="51">
        <f ca="1">'表1-资金筹措及还本付息表'!AE278+'表1-资金筹措及还本付息表'!AE288</f>
        <v>180060.495206611</v>
      </c>
      <c r="AA59" s="51">
        <f ca="1">'表1-资金筹措及还本付息表'!AF278+'表1-资金筹措及还本付息表'!AF288</f>
        <v>181281.086327384</v>
      </c>
      <c r="AB59" s="51">
        <f ca="1">'表1-资金筹措及还本付息表'!AG278+'表1-资金筹措及还本付息表'!AG288</f>
        <v>146395.103050747</v>
      </c>
      <c r="AC59" s="51">
        <f ca="1">'表1-资金筹措及还本付息表'!AH278+'表1-资金筹措及还本付息表'!AH288</f>
        <v>110696.128210073</v>
      </c>
      <c r="AD59" s="51">
        <f ca="1">'表1-资金筹措及还本付息表'!AI278+'表1-资金筹措及还本付息表'!AI288</f>
        <v>76002.8781047201</v>
      </c>
      <c r="AE59" s="51">
        <f ca="1">'表1-资金筹措及还本付息表'!AJ278+'表1-资金筹措及还本付息表'!AJ288</f>
        <v>44490.1253468619</v>
      </c>
      <c r="AF59" s="51">
        <f ca="1">'表1-资金筹措及还本付息表'!AK278+'表1-资金筹措及还本付息表'!AK288</f>
        <v>12192.8242371059</v>
      </c>
      <c r="AG59" s="51">
        <f ca="1">'表1-资金筹措及还本付息表'!AL278+'表1-资金筹措及还本付息表'!AL288</f>
        <v>0</v>
      </c>
      <c r="AH59" s="51">
        <f ca="1">'表1-资金筹措及还本付息表'!AM278+'表1-资金筹措及还本付息表'!AM288</f>
        <v>0</v>
      </c>
      <c r="AI59" s="51">
        <f ca="1">'表1-资金筹措及还本付息表'!AN278+'表1-资金筹措及还本付息表'!AN288</f>
        <v>0</v>
      </c>
      <c r="AJ59" s="51">
        <f ca="1">'表1-资金筹措及还本付息表'!AO278+'表1-资金筹措及还本付息表'!AO288</f>
        <v>0</v>
      </c>
      <c r="AK59" s="51">
        <f ca="1">'表1-资金筹措及还本付息表'!AP278+'表1-资金筹措及还本付息表'!AP288</f>
        <v>0</v>
      </c>
      <c r="AL59" s="51">
        <f ca="1">'表1-资金筹措及还本付息表'!AQ278+'表1-资金筹措及还本付息表'!AQ288</f>
        <v>0</v>
      </c>
      <c r="AM59" s="51">
        <f ca="1">'表1-资金筹措及还本付息表'!AR278+'表1-资金筹措及还本付息表'!AR288</f>
        <v>0</v>
      </c>
      <c r="AN59" s="51">
        <f ca="1">'表1-资金筹措及还本付息表'!AS278+'表1-资金筹措及还本付息表'!AS288</f>
        <v>0</v>
      </c>
      <c r="AO59" s="51">
        <f ca="1">'表1-资金筹措及还本付息表'!AT278+'表1-资金筹措及还本付息表'!AT288</f>
        <v>0</v>
      </c>
      <c r="AP59" s="51">
        <f ca="1">'表1-资金筹措及还本付息表'!AU278+'表1-资金筹措及还本付息表'!AU288</f>
        <v>0</v>
      </c>
      <c r="AQ59" s="51">
        <f ca="1">'表1-资金筹措及还本付息表'!AV278+'表1-资金筹措及还本付息表'!AV288</f>
        <v>0</v>
      </c>
      <c r="AR59" s="51">
        <f ca="1">'表1-资金筹措及还本付息表'!AW278+'表1-资金筹措及还本付息表'!AW288</f>
        <v>0</v>
      </c>
      <c r="AS59" s="51">
        <f ca="1">'表1-资金筹措及还本付息表'!AX278+'表1-资金筹措及还本付息表'!AX288</f>
        <v>0</v>
      </c>
      <c r="AT59" s="51">
        <f ca="1">'表1-资金筹措及还本付息表'!AY278+'表1-资金筹措及还本付息表'!AY288</f>
        <v>0</v>
      </c>
      <c r="AU59" s="51">
        <f ca="1">'表1-资金筹措及还本付息表'!AZ278+'表1-资金筹措及还本付息表'!AZ288</f>
        <v>0</v>
      </c>
      <c r="AV59" s="51">
        <f ca="1">'表1-资金筹措及还本付息表'!BA278+'表1-资金筹措及还本付息表'!BA288</f>
        <v>0</v>
      </c>
      <c r="AW59" s="51">
        <f ca="1">'表1-资金筹措及还本付息表'!BB278+'表1-资金筹措及还本付息表'!BB288</f>
        <v>0</v>
      </c>
      <c r="AX59" s="51">
        <f ca="1">'表1-资金筹措及还本付息表'!BC278+'表1-资金筹措及还本付息表'!BC288</f>
        <v>0</v>
      </c>
      <c r="AY59" s="51">
        <f ca="1">'表1-资金筹措及还本付息表'!BD278+'表1-资金筹措及还本付息表'!BD288</f>
        <v>0</v>
      </c>
      <c r="AZ59" s="53">
        <f ca="1">'表1-资金筹措及还本付息表'!BE278+'表1-资金筹措及还本付息表'!BE288</f>
        <v>0</v>
      </c>
    </row>
    <row r="60" spans="2:52">
      <c r="B60" s="32"/>
      <c r="C60" s="33" t="s">
        <v>1104</v>
      </c>
      <c r="D60" s="29" t="s">
        <v>130</v>
      </c>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5"/>
    </row>
    <row r="61" spans="2:52">
      <c r="B61" s="32"/>
      <c r="C61" s="33" t="s">
        <v>1105</v>
      </c>
      <c r="D61" s="29" t="s">
        <v>130</v>
      </c>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5"/>
    </row>
    <row r="62" spans="2:52">
      <c r="B62" s="32"/>
      <c r="C62" s="33" t="s">
        <v>1106</v>
      </c>
      <c r="D62" s="29" t="s">
        <v>130</v>
      </c>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5"/>
    </row>
    <row r="63" spans="2:52">
      <c r="B63" s="32"/>
      <c r="C63" s="33" t="s">
        <v>1107</v>
      </c>
      <c r="D63" s="29" t="s">
        <v>130</v>
      </c>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5"/>
    </row>
    <row r="64" spans="2:52">
      <c r="B64" s="32"/>
      <c r="C64" s="33" t="s">
        <v>1108</v>
      </c>
      <c r="D64" s="29" t="s">
        <v>130</v>
      </c>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5"/>
    </row>
    <row r="65" spans="2:52">
      <c r="B65" s="32"/>
      <c r="C65" s="33" t="s">
        <v>1109</v>
      </c>
      <c r="D65" s="29" t="s">
        <v>130</v>
      </c>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5"/>
    </row>
    <row r="66" spans="2:52">
      <c r="B66" s="32"/>
      <c r="C66" s="33" t="s">
        <v>1110</v>
      </c>
      <c r="D66" s="29" t="s">
        <v>130</v>
      </c>
      <c r="E66" s="34">
        <f>'表1-资金筹措及还本付息表'!F318</f>
        <v>0</v>
      </c>
      <c r="F66" s="34">
        <f>'表1-资金筹措及还本付息表'!G318</f>
        <v>0</v>
      </c>
      <c r="G66" s="34">
        <f>'表1-资金筹措及还本付息表'!H318</f>
        <v>0</v>
      </c>
      <c r="H66" s="34">
        <f>'表1-资金筹措及还本付息表'!I318</f>
        <v>0</v>
      </c>
      <c r="I66" s="34">
        <f>'表1-资金筹措及还本付息表'!J318</f>
        <v>0</v>
      </c>
      <c r="J66" s="34">
        <f>'表1-资金筹措及还本付息表'!K318</f>
        <v>0</v>
      </c>
      <c r="K66" s="34">
        <f>'表1-资金筹措及还本付息表'!L318</f>
        <v>0</v>
      </c>
      <c r="L66" s="34">
        <f>'表1-资金筹措及还本付息表'!M318</f>
        <v>4166.66666666667</v>
      </c>
      <c r="M66" s="34">
        <f>'表1-资金筹措及还本付息表'!N318</f>
        <v>4166.66666666667</v>
      </c>
      <c r="N66" s="34">
        <f>'表1-资金筹措及还本付息表'!O318</f>
        <v>4166.66666666667</v>
      </c>
      <c r="O66" s="34">
        <f>'表1-资金筹措及还本付息表'!P318</f>
        <v>4166.66666666667</v>
      </c>
      <c r="P66" s="34">
        <f>'表1-资金筹措及还本付息表'!Q318</f>
        <v>4166.66666666667</v>
      </c>
      <c r="Q66" s="34">
        <f>'表1-资金筹措及还本付息表'!R318</f>
        <v>4166.66666666667</v>
      </c>
      <c r="R66" s="34">
        <f>'表1-资金筹措及还本付息表'!S318</f>
        <v>4166.66666666667</v>
      </c>
      <c r="S66" s="34">
        <f>'表1-资金筹措及还本付息表'!T318</f>
        <v>4166.66666666667</v>
      </c>
      <c r="T66" s="34">
        <f>'表1-资金筹措及还本付息表'!U318</f>
        <v>4166.66666666667</v>
      </c>
      <c r="U66" s="34">
        <f>'表1-资金筹措及还本付息表'!V318</f>
        <v>4166.66666666667</v>
      </c>
      <c r="V66" s="34">
        <f>'表1-资金筹措及还本付息表'!W318</f>
        <v>4166.66666666667</v>
      </c>
      <c r="W66" s="34">
        <f>'表1-资金筹措及还本付息表'!X318</f>
        <v>4166.66666666667</v>
      </c>
      <c r="X66" s="34">
        <f>'表1-资金筹措及还本付息表'!Y318</f>
        <v>4166.66666666667</v>
      </c>
      <c r="Y66" s="34">
        <f>'表1-资金筹措及还本付息表'!Z318</f>
        <v>4166.66666666667</v>
      </c>
      <c r="Z66" s="34">
        <f>'表1-资金筹措及还本付息表'!AA318</f>
        <v>4166.66666666667</v>
      </c>
      <c r="AA66" s="34">
        <f>'表1-资金筹措及还本付息表'!AB318</f>
        <v>4166.66666666667</v>
      </c>
      <c r="AB66" s="34">
        <f>'表1-资金筹措及还本付息表'!AC318</f>
        <v>4166.66666666667</v>
      </c>
      <c r="AC66" s="34">
        <f>'表1-资金筹措及还本付息表'!AD318</f>
        <v>4166.66666666667</v>
      </c>
      <c r="AD66" s="34">
        <f>'表1-资金筹措及还本付息表'!AE318</f>
        <v>4166.66666666667</v>
      </c>
      <c r="AE66" s="34">
        <f>'表1-资金筹措及还本付息表'!AF318</f>
        <v>4166.66666666667</v>
      </c>
      <c r="AF66" s="34">
        <f>'表1-资金筹措及还本付息表'!AG318</f>
        <v>4166.66666666667</v>
      </c>
      <c r="AG66" s="34">
        <f>'表1-资金筹措及还本付息表'!AH318</f>
        <v>4166.66666666667</v>
      </c>
      <c r="AH66" s="34">
        <f>'表1-资金筹措及还本付息表'!AI318</f>
        <v>4166.66666666667</v>
      </c>
      <c r="AI66" s="34">
        <f>'表1-资金筹措及还本付息表'!AJ318</f>
        <v>4166.66666666667</v>
      </c>
      <c r="AJ66" s="34">
        <f>'表1-资金筹措及还本付息表'!AK318</f>
        <v>4166.66666666667</v>
      </c>
      <c r="AK66" s="34">
        <f>'表1-资金筹措及还本付息表'!AL318</f>
        <v>4166.66666666667</v>
      </c>
      <c r="AL66" s="34">
        <f>'表1-资金筹措及还本付息表'!AM318</f>
        <v>4166.66666666667</v>
      </c>
      <c r="AM66" s="34">
        <f>'表1-资金筹措及还本付息表'!AN318</f>
        <v>4166.66666666667</v>
      </c>
      <c r="AN66" s="34">
        <f>'表1-资金筹措及还本付息表'!AO318</f>
        <v>4166.66666666667</v>
      </c>
      <c r="AO66" s="34">
        <f>'表1-资金筹措及还本付息表'!AP318</f>
        <v>4166.66666666667</v>
      </c>
      <c r="AP66" s="34">
        <f>'表1-资金筹措及还本付息表'!AQ318</f>
        <v>4166.66666666667</v>
      </c>
      <c r="AQ66" s="34">
        <f>'表1-资金筹措及还本付息表'!AR318</f>
        <v>4166.66666666667</v>
      </c>
      <c r="AR66" s="34">
        <f>'表1-资金筹措及还本付息表'!AS318</f>
        <v>4166.66666666667</v>
      </c>
      <c r="AS66" s="34">
        <f>'表1-资金筹措及还本付息表'!AT318</f>
        <v>4166.66666666667</v>
      </c>
      <c r="AT66" s="34">
        <f>'表1-资金筹措及还本付息表'!AU318</f>
        <v>4166.66666666667</v>
      </c>
      <c r="AU66" s="34">
        <f>'表1-资金筹措及还本付息表'!AV318</f>
        <v>4166.66666666667</v>
      </c>
      <c r="AV66" s="34">
        <f>'表1-资金筹措及还本付息表'!AW318</f>
        <v>4166.66666666667</v>
      </c>
      <c r="AW66" s="34">
        <f>'表1-资金筹措及还本付息表'!AX318</f>
        <v>4166.66666666667</v>
      </c>
      <c r="AX66" s="34">
        <f>'表1-资金筹措及还本付息表'!AY318</f>
        <v>4166.66666666667</v>
      </c>
      <c r="AY66" s="34">
        <f>'表1-资金筹措及还本付息表'!AZ318</f>
        <v>4166.66666666667</v>
      </c>
      <c r="AZ66" s="35">
        <f>'表1-资金筹措及还本付息表'!BA318</f>
        <v>4166.66666666667</v>
      </c>
    </row>
    <row r="67" spans="2:52">
      <c r="B67" s="32"/>
      <c r="C67" s="33" t="s">
        <v>1111</v>
      </c>
      <c r="D67" s="29" t="s">
        <v>130</v>
      </c>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5"/>
    </row>
    <row r="68" spans="2:52">
      <c r="B68" s="32"/>
      <c r="C68" s="33" t="s">
        <v>1112</v>
      </c>
      <c r="D68" s="29" t="s">
        <v>130</v>
      </c>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5"/>
    </row>
    <row r="69" spans="2:52">
      <c r="B69" s="32"/>
      <c r="C69" s="33" t="s">
        <v>1113</v>
      </c>
      <c r="D69" s="29" t="s">
        <v>130</v>
      </c>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5"/>
    </row>
    <row r="70" spans="2:52">
      <c r="B70" s="32"/>
      <c r="C70" s="33" t="s">
        <v>1114</v>
      </c>
      <c r="D70" s="29" t="s">
        <v>130</v>
      </c>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5"/>
    </row>
    <row r="71" spans="2:52">
      <c r="B71" s="32"/>
      <c r="C71" s="33" t="s">
        <v>1115</v>
      </c>
      <c r="D71" s="29" t="s">
        <v>130</v>
      </c>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5"/>
    </row>
    <row r="72" spans="2:52">
      <c r="B72" s="32"/>
      <c r="C72" s="33" t="s">
        <v>1116</v>
      </c>
      <c r="D72" s="29" t="s">
        <v>130</v>
      </c>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5"/>
    </row>
    <row r="73" spans="2:52">
      <c r="B73" s="32"/>
      <c r="C73" s="33" t="s">
        <v>1117</v>
      </c>
      <c r="D73" s="29" t="s">
        <v>130</v>
      </c>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5"/>
    </row>
    <row r="74" spans="2:52">
      <c r="B74" s="32"/>
      <c r="C74" s="41" t="s">
        <v>1118</v>
      </c>
      <c r="D74" s="29" t="s">
        <v>130</v>
      </c>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5"/>
    </row>
    <row r="75" spans="2:52">
      <c r="B75" s="32"/>
      <c r="C75" s="41" t="s">
        <v>1119</v>
      </c>
      <c r="D75" s="29" t="s">
        <v>130</v>
      </c>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5"/>
    </row>
    <row r="76" spans="2:52">
      <c r="B76" s="32"/>
      <c r="C76" s="55" t="s">
        <v>1120</v>
      </c>
      <c r="D76" s="29" t="s">
        <v>130</v>
      </c>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5"/>
    </row>
    <row r="77" spans="2:52">
      <c r="B77" s="32"/>
      <c r="C77" s="33" t="s">
        <v>1121</v>
      </c>
      <c r="D77" s="29" t="s">
        <v>130</v>
      </c>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5"/>
    </row>
    <row r="78" spans="2:52">
      <c r="B78" s="32"/>
      <c r="C78" s="41" t="s">
        <v>1122</v>
      </c>
      <c r="D78" s="29" t="s">
        <v>130</v>
      </c>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5"/>
    </row>
    <row r="79" spans="2:52">
      <c r="B79" s="32"/>
      <c r="C79" s="33" t="s">
        <v>1123</v>
      </c>
      <c r="D79" s="29" t="s">
        <v>130</v>
      </c>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5"/>
    </row>
    <row r="80" spans="2:52">
      <c r="B80" s="32"/>
      <c r="C80" s="41" t="s">
        <v>1124</v>
      </c>
      <c r="D80" s="29" t="s">
        <v>130</v>
      </c>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5"/>
    </row>
    <row r="81" spans="2:52">
      <c r="B81" s="32"/>
      <c r="C81" s="33" t="s">
        <v>1125</v>
      </c>
      <c r="D81" s="29" t="s">
        <v>130</v>
      </c>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5"/>
    </row>
    <row r="82" spans="2:52">
      <c r="B82" s="32"/>
      <c r="C82" s="33" t="s">
        <v>1126</v>
      </c>
      <c r="D82" s="29" t="s">
        <v>130</v>
      </c>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5"/>
    </row>
    <row r="83" spans="2:52">
      <c r="B83" s="32"/>
      <c r="C83" s="33" t="s">
        <v>1127</v>
      </c>
      <c r="D83" s="29" t="s">
        <v>130</v>
      </c>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5"/>
    </row>
    <row r="84" spans="2:52">
      <c r="B84" s="32"/>
      <c r="C84" s="33" t="s">
        <v>1128</v>
      </c>
      <c r="D84" s="29" t="s">
        <v>130</v>
      </c>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5"/>
    </row>
    <row r="85" spans="2:52">
      <c r="B85" s="32"/>
      <c r="C85" s="33" t="s">
        <v>1129</v>
      </c>
      <c r="D85" s="29" t="s">
        <v>130</v>
      </c>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5"/>
    </row>
    <row r="86" spans="2:52">
      <c r="B86" s="27">
        <v>2.2</v>
      </c>
      <c r="C86" s="28" t="s">
        <v>1130</v>
      </c>
      <c r="D86" s="29" t="s">
        <v>130</v>
      </c>
      <c r="E86" s="30">
        <f ca="1">SUM(E87:E89)+SUM(E92:E96)+E100+E101</f>
        <v>71633.4875937017</v>
      </c>
      <c r="F86" s="30">
        <f ca="1">SUM(F87:F89)+SUM(F92:F96)+F100+F101</f>
        <v>143560.689450587</v>
      </c>
      <c r="G86" s="30">
        <f ca="1" t="shared" ref="G86:M86" si="16">SUM(G87:G89)+SUM(G92:G96)+G100+G101</f>
        <v>227206.218790986</v>
      </c>
      <c r="H86" s="30">
        <f ca="1" t="shared" si="16"/>
        <v>320943.151995775</v>
      </c>
      <c r="I86" s="30">
        <f ca="1" t="shared" si="16"/>
        <v>446801.809180491</v>
      </c>
      <c r="J86" s="30">
        <f ca="1" t="shared" si="16"/>
        <v>567118.553113378</v>
      </c>
      <c r="K86" s="30">
        <f ca="1" t="shared" si="16"/>
        <v>674623.632860075</v>
      </c>
      <c r="L86" s="30">
        <f ca="1" t="shared" si="16"/>
        <v>713122.442115684</v>
      </c>
      <c r="M86" s="30">
        <f ca="1" t="shared" si="16"/>
        <v>665165.157904451</v>
      </c>
      <c r="N86" s="30">
        <f ca="1" t="shared" ref="N86:AK86" si="17">SUM(N87:N89)+SUM(N92:N96)+N100+N101</f>
        <v>616807.873693219</v>
      </c>
      <c r="O86" s="30">
        <f ca="1" t="shared" si="17"/>
        <v>573138.089481986</v>
      </c>
      <c r="P86" s="30">
        <f ca="1" t="shared" si="17"/>
        <v>524155.805270753</v>
      </c>
      <c r="Q86" s="30">
        <f ca="1" t="shared" si="17"/>
        <v>475173.52105952</v>
      </c>
      <c r="R86" s="30">
        <f ca="1" t="shared" si="17"/>
        <v>426191.236848288</v>
      </c>
      <c r="S86" s="30">
        <f ca="1" t="shared" si="17"/>
        <v>377208.952637055</v>
      </c>
      <c r="T86" s="30">
        <f ca="1" t="shared" si="17"/>
        <v>328226.668425822</v>
      </c>
      <c r="U86" s="30">
        <f ca="1" t="shared" si="17"/>
        <v>279244.384214589</v>
      </c>
      <c r="V86" s="30">
        <f ca="1" t="shared" si="17"/>
        <v>230262.100003356</v>
      </c>
      <c r="W86" s="30">
        <f ca="1" t="shared" si="17"/>
        <v>181592.315792123</v>
      </c>
      <c r="X86" s="30">
        <f ca="1" t="shared" si="17"/>
        <v>133235.031580891</v>
      </c>
      <c r="Y86" s="30">
        <f ca="1" t="shared" si="17"/>
        <v>84877.7473696579</v>
      </c>
      <c r="Z86" s="30">
        <f ca="1" t="shared" si="17"/>
        <v>36520.463158425</v>
      </c>
      <c r="AA86" s="30">
        <f ca="1" t="shared" si="17"/>
        <v>250.000000000415</v>
      </c>
      <c r="AB86" s="30">
        <f ca="1" t="shared" si="17"/>
        <v>240.000000000415</v>
      </c>
      <c r="AC86" s="30">
        <f ca="1" t="shared" si="17"/>
        <v>230.000000000415</v>
      </c>
      <c r="AD86" s="30">
        <f ca="1" t="shared" si="17"/>
        <v>220.000000000415</v>
      </c>
      <c r="AE86" s="30">
        <f ca="1" t="shared" si="17"/>
        <v>210.000000000415</v>
      </c>
      <c r="AF86" s="30">
        <f ca="1" t="shared" si="17"/>
        <v>200.000000000415</v>
      </c>
      <c r="AG86" s="30">
        <f ca="1" t="shared" si="17"/>
        <v>190.000000000415</v>
      </c>
      <c r="AH86" s="30">
        <f ca="1" t="shared" si="17"/>
        <v>180.000000000415</v>
      </c>
      <c r="AI86" s="30">
        <f ca="1" t="shared" si="17"/>
        <v>170.000000000415</v>
      </c>
      <c r="AJ86" s="30">
        <f ca="1" t="shared" si="17"/>
        <v>160.000000000415</v>
      </c>
      <c r="AK86" s="30">
        <f ca="1" t="shared" si="17"/>
        <v>150.000000000415</v>
      </c>
      <c r="AL86" s="30">
        <f ca="1" t="shared" ref="AL86:AZ86" si="18">SUM(AL87:AL89)+SUM(AL92:AL96)+AL100+AL101</f>
        <v>140.000000000415</v>
      </c>
      <c r="AM86" s="30">
        <f ca="1" t="shared" si="18"/>
        <v>130.000000000415</v>
      </c>
      <c r="AN86" s="30">
        <f ca="1" t="shared" si="18"/>
        <v>120.000000000415</v>
      </c>
      <c r="AO86" s="30">
        <f ca="1" t="shared" si="18"/>
        <v>110.000000000415</v>
      </c>
      <c r="AP86" s="30">
        <f ca="1" t="shared" si="18"/>
        <v>100.000000000415</v>
      </c>
      <c r="AQ86" s="30">
        <f ca="1" t="shared" si="18"/>
        <v>90.0000000004147</v>
      </c>
      <c r="AR86" s="30">
        <f ca="1" t="shared" si="18"/>
        <v>80.0000000004147</v>
      </c>
      <c r="AS86" s="30">
        <f ca="1" t="shared" si="18"/>
        <v>70.0000000004147</v>
      </c>
      <c r="AT86" s="30">
        <f ca="1" t="shared" si="18"/>
        <v>60.0000000004147</v>
      </c>
      <c r="AU86" s="30">
        <f ca="1" t="shared" si="18"/>
        <v>50.0000000004147</v>
      </c>
      <c r="AV86" s="30">
        <f ca="1" t="shared" si="18"/>
        <v>40.0000000004147</v>
      </c>
      <c r="AW86" s="30">
        <f ca="1" t="shared" si="18"/>
        <v>30.0000000004147</v>
      </c>
      <c r="AX86" s="30">
        <f ca="1" t="shared" si="18"/>
        <v>20.0000000004147</v>
      </c>
      <c r="AY86" s="30">
        <f ca="1" t="shared" si="18"/>
        <v>10.0000000004147</v>
      </c>
      <c r="AZ86" s="31">
        <f ca="1" t="shared" si="18"/>
        <v>4.14729584008455e-10</v>
      </c>
    </row>
    <row r="87" spans="2:52">
      <c r="B87" s="32"/>
      <c r="C87" s="33" t="s">
        <v>1131</v>
      </c>
      <c r="D87" s="29" t="s">
        <v>130</v>
      </c>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5"/>
    </row>
    <row r="88" spans="2:52">
      <c r="B88" s="32"/>
      <c r="C88" s="33" t="s">
        <v>1132</v>
      </c>
      <c r="D88" s="29" t="s">
        <v>130</v>
      </c>
      <c r="E88" s="34">
        <f ca="1">'表1-资金筹措及还本付息表'!G170</f>
        <v>71633.4875937017</v>
      </c>
      <c r="F88" s="34">
        <f ca="1">'表1-资金筹措及还本付息表'!H170</f>
        <v>143560.689450587</v>
      </c>
      <c r="G88" s="34">
        <f ca="1">'表1-资金筹措及还本付息表'!I170</f>
        <v>227206.218790986</v>
      </c>
      <c r="H88" s="34">
        <f ca="1">'表1-资金筹措及还本付息表'!J170</f>
        <v>320943.151995775</v>
      </c>
      <c r="I88" s="34">
        <f ca="1">'表1-资金筹措及还本付息表'!K170</f>
        <v>446801.809180491</v>
      </c>
      <c r="J88" s="34">
        <f ca="1">'表1-资金筹措及还本付息表'!L170</f>
        <v>567118.553113378</v>
      </c>
      <c r="K88" s="34">
        <f ca="1">'表1-资金筹措及还本付息表'!N170</f>
        <v>674623.632860075</v>
      </c>
      <c r="L88" s="34">
        <f ca="1">'表1-资金筹措及还本付息表'!Q170</f>
        <v>713122.442115684</v>
      </c>
      <c r="M88" s="34">
        <f ca="1">'表1-资金筹措及还本付息表'!R170</f>
        <v>664775.157904451</v>
      </c>
      <c r="N88" s="34">
        <f ca="1">'表1-资金筹措及还本付息表'!S170</f>
        <v>616427.873693219</v>
      </c>
      <c r="O88" s="34">
        <f ca="1">'表1-资金筹措及还本付息表'!T170</f>
        <v>572768.089481986</v>
      </c>
      <c r="P88" s="34">
        <f ca="1">'表1-资金筹措及还本付息表'!U170</f>
        <v>523795.805270753</v>
      </c>
      <c r="Q88" s="34">
        <f ca="1">'表1-资金筹措及还本付息表'!V170</f>
        <v>474823.52105952</v>
      </c>
      <c r="R88" s="34">
        <f ca="1">'表1-资金筹措及还本付息表'!W170</f>
        <v>425851.236848288</v>
      </c>
      <c r="S88" s="34">
        <f ca="1">'表1-资金筹措及还本付息表'!X170</f>
        <v>376878.952637055</v>
      </c>
      <c r="T88" s="34">
        <f ca="1">'表1-资金筹措及还本付息表'!Y170</f>
        <v>327906.668425822</v>
      </c>
      <c r="U88" s="34">
        <f ca="1">'表1-资金筹措及还本付息表'!Z170</f>
        <v>278934.384214589</v>
      </c>
      <c r="V88" s="34">
        <f ca="1">'表1-资金筹措及还本付息表'!AA170</f>
        <v>229962.100003356</v>
      </c>
      <c r="W88" s="34">
        <f ca="1">'表1-资金筹措及还本付息表'!AB170</f>
        <v>181302.315792123</v>
      </c>
      <c r="X88" s="34">
        <f ca="1">'表1-资金筹措及还本付息表'!AC170</f>
        <v>132955.031580891</v>
      </c>
      <c r="Y88" s="34">
        <f ca="1">'表1-资金筹措及还本付息表'!AD170</f>
        <v>84607.7473696579</v>
      </c>
      <c r="Z88" s="34">
        <f ca="1">'表1-资金筹措及还本付息表'!AE170</f>
        <v>36260.463158425</v>
      </c>
      <c r="AA88" s="34">
        <f ca="1">'表1-资金筹措及还本付息表'!AF170</f>
        <v>4.14729584008455e-10</v>
      </c>
      <c r="AB88" s="34">
        <f ca="1">'表1-资金筹措及还本付息表'!AG170</f>
        <v>4.14729584008455e-10</v>
      </c>
      <c r="AC88" s="34">
        <f ca="1">'表1-资金筹措及还本付息表'!AH170</f>
        <v>4.14729584008455e-10</v>
      </c>
      <c r="AD88" s="34">
        <f ca="1">'表1-资金筹措及还本付息表'!AI170</f>
        <v>4.14729584008455e-10</v>
      </c>
      <c r="AE88" s="34">
        <f ca="1">'表1-资金筹措及还本付息表'!AJ170</f>
        <v>4.14729584008455e-10</v>
      </c>
      <c r="AF88" s="34">
        <f ca="1">'表1-资金筹措及还本付息表'!AK170</f>
        <v>4.14729584008455e-10</v>
      </c>
      <c r="AG88" s="34">
        <f ca="1">'表1-资金筹措及还本付息表'!AL170</f>
        <v>4.14729584008455e-10</v>
      </c>
      <c r="AH88" s="34">
        <f ca="1">'表1-资金筹措及还本付息表'!AM170</f>
        <v>4.14729584008455e-10</v>
      </c>
      <c r="AI88" s="34">
        <f ca="1">'表1-资金筹措及还本付息表'!AN170</f>
        <v>4.14729584008455e-10</v>
      </c>
      <c r="AJ88" s="34">
        <f ca="1">'表1-资金筹措及还本付息表'!AO170</f>
        <v>4.14729584008455e-10</v>
      </c>
      <c r="AK88" s="34">
        <f ca="1">'表1-资金筹措及还本付息表'!AP170</f>
        <v>4.14729584008455e-10</v>
      </c>
      <c r="AL88" s="34">
        <f ca="1">'表1-资金筹措及还本付息表'!AQ170</f>
        <v>4.14729584008455e-10</v>
      </c>
      <c r="AM88" s="34">
        <f ca="1">'表1-资金筹措及还本付息表'!AR170</f>
        <v>4.14729584008455e-10</v>
      </c>
      <c r="AN88" s="34">
        <f ca="1">'表1-资金筹措及还本付息表'!AS170</f>
        <v>4.14729584008455e-10</v>
      </c>
      <c r="AO88" s="34">
        <f ca="1">'表1-资金筹措及还本付息表'!AT170</f>
        <v>4.14729584008455e-10</v>
      </c>
      <c r="AP88" s="34">
        <f ca="1">'表1-资金筹措及还本付息表'!AU170</f>
        <v>4.14729584008455e-10</v>
      </c>
      <c r="AQ88" s="34">
        <f ca="1">'表1-资金筹措及还本付息表'!AV170</f>
        <v>4.14729584008455e-10</v>
      </c>
      <c r="AR88" s="34">
        <f ca="1">'表1-资金筹措及还本付息表'!AW170</f>
        <v>4.14729584008455e-10</v>
      </c>
      <c r="AS88" s="34">
        <f ca="1">'表1-资金筹措及还本付息表'!AX170</f>
        <v>4.14729584008455e-10</v>
      </c>
      <c r="AT88" s="34">
        <f ca="1">'表1-资金筹措及还本付息表'!AY170</f>
        <v>4.14729584008455e-10</v>
      </c>
      <c r="AU88" s="34">
        <f ca="1">'表1-资金筹措及还本付息表'!AZ170</f>
        <v>4.14729584008455e-10</v>
      </c>
      <c r="AV88" s="34">
        <f ca="1">'表1-资金筹措及还本付息表'!BA170</f>
        <v>4.14729584008455e-10</v>
      </c>
      <c r="AW88" s="34">
        <f ca="1">'表1-资金筹措及还本付息表'!BB170</f>
        <v>4.14729584008455e-10</v>
      </c>
      <c r="AX88" s="34">
        <f ca="1">'表1-资金筹措及还本付息表'!BC170</f>
        <v>4.14729584008455e-10</v>
      </c>
      <c r="AY88" s="34">
        <f ca="1">'表1-资金筹措及还本付息表'!BD170</f>
        <v>4.14729584008455e-10</v>
      </c>
      <c r="AZ88" s="35">
        <f ca="1">'表1-资金筹措及还本付息表'!BE170</f>
        <v>4.14729584008455e-10</v>
      </c>
    </row>
    <row r="89" spans="2:52">
      <c r="B89" s="32"/>
      <c r="C89" s="33" t="s">
        <v>1133</v>
      </c>
      <c r="D89" s="29" t="s">
        <v>130</v>
      </c>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5"/>
    </row>
    <row r="90" spans="2:52">
      <c r="B90" s="32"/>
      <c r="C90" s="41" t="s">
        <v>1134</v>
      </c>
      <c r="D90" s="29" t="s">
        <v>130</v>
      </c>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5"/>
    </row>
    <row r="91" spans="2:52">
      <c r="B91" s="32"/>
      <c r="C91" s="41" t="s">
        <v>1135</v>
      </c>
      <c r="D91" s="29" t="s">
        <v>130</v>
      </c>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5"/>
    </row>
    <row r="92" spans="2:52">
      <c r="B92" s="32"/>
      <c r="C92" s="33" t="s">
        <v>1136</v>
      </c>
      <c r="D92" s="29" t="s">
        <v>130</v>
      </c>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5"/>
    </row>
    <row r="93" spans="2:52">
      <c r="B93" s="32"/>
      <c r="C93" s="33" t="s">
        <v>1137</v>
      </c>
      <c r="D93" s="29" t="s">
        <v>130</v>
      </c>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5"/>
    </row>
    <row r="94" spans="2:52">
      <c r="B94" s="32"/>
      <c r="C94" s="33" t="s">
        <v>1138</v>
      </c>
      <c r="D94" s="29" t="s">
        <v>130</v>
      </c>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5"/>
    </row>
    <row r="95" spans="2:52">
      <c r="B95" s="32"/>
      <c r="C95" s="33" t="s">
        <v>1139</v>
      </c>
      <c r="D95" s="29" t="s">
        <v>130</v>
      </c>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5"/>
    </row>
    <row r="96" spans="2:52">
      <c r="B96" s="32"/>
      <c r="C96" s="33" t="s">
        <v>1140</v>
      </c>
      <c r="D96" s="29" t="s">
        <v>130</v>
      </c>
      <c r="E96" s="34">
        <f>E97+E98-E99</f>
        <v>0</v>
      </c>
      <c r="F96" s="34">
        <f>F97+F98-F99</f>
        <v>0</v>
      </c>
      <c r="G96" s="34">
        <f t="shared" ref="G96:M96" si="19">G97+G98-G99</f>
        <v>0</v>
      </c>
      <c r="H96" s="34">
        <f t="shared" si="19"/>
        <v>0</v>
      </c>
      <c r="I96" s="34">
        <f t="shared" si="19"/>
        <v>0</v>
      </c>
      <c r="J96" s="34">
        <f t="shared" si="19"/>
        <v>0</v>
      </c>
      <c r="K96" s="34">
        <f t="shared" si="19"/>
        <v>0</v>
      </c>
      <c r="L96" s="34">
        <f t="shared" si="19"/>
        <v>0</v>
      </c>
      <c r="M96" s="34">
        <f t="shared" si="19"/>
        <v>390</v>
      </c>
      <c r="N96" s="34">
        <f t="shared" ref="N96:AK96" si="20">N97+N98-N99</f>
        <v>380</v>
      </c>
      <c r="O96" s="34">
        <f t="shared" si="20"/>
        <v>370</v>
      </c>
      <c r="P96" s="34">
        <f t="shared" si="20"/>
        <v>360</v>
      </c>
      <c r="Q96" s="34">
        <f t="shared" si="20"/>
        <v>350</v>
      </c>
      <c r="R96" s="34">
        <f t="shared" si="20"/>
        <v>340</v>
      </c>
      <c r="S96" s="34">
        <f t="shared" si="20"/>
        <v>330</v>
      </c>
      <c r="T96" s="34">
        <f t="shared" si="20"/>
        <v>320</v>
      </c>
      <c r="U96" s="34">
        <f t="shared" si="20"/>
        <v>310</v>
      </c>
      <c r="V96" s="34">
        <f t="shared" si="20"/>
        <v>300</v>
      </c>
      <c r="W96" s="34">
        <f t="shared" si="20"/>
        <v>290</v>
      </c>
      <c r="X96" s="34">
        <f t="shared" si="20"/>
        <v>280</v>
      </c>
      <c r="Y96" s="34">
        <f t="shared" si="20"/>
        <v>270</v>
      </c>
      <c r="Z96" s="34">
        <f t="shared" si="20"/>
        <v>260</v>
      </c>
      <c r="AA96" s="34">
        <f t="shared" si="20"/>
        <v>250</v>
      </c>
      <c r="AB96" s="34">
        <f t="shared" si="20"/>
        <v>240</v>
      </c>
      <c r="AC96" s="34">
        <f t="shared" si="20"/>
        <v>230</v>
      </c>
      <c r="AD96" s="34">
        <f t="shared" si="20"/>
        <v>220</v>
      </c>
      <c r="AE96" s="34">
        <f t="shared" si="20"/>
        <v>210</v>
      </c>
      <c r="AF96" s="34">
        <f t="shared" si="20"/>
        <v>200</v>
      </c>
      <c r="AG96" s="34">
        <f t="shared" si="20"/>
        <v>190</v>
      </c>
      <c r="AH96" s="34">
        <f t="shared" si="20"/>
        <v>180</v>
      </c>
      <c r="AI96" s="34">
        <f t="shared" si="20"/>
        <v>170</v>
      </c>
      <c r="AJ96" s="34">
        <f t="shared" si="20"/>
        <v>160</v>
      </c>
      <c r="AK96" s="34">
        <f t="shared" si="20"/>
        <v>150</v>
      </c>
      <c r="AL96" s="34">
        <f t="shared" ref="AL96:AZ96" si="21">AL97+AL98-AL99</f>
        <v>140</v>
      </c>
      <c r="AM96" s="34">
        <f t="shared" si="21"/>
        <v>130</v>
      </c>
      <c r="AN96" s="34">
        <f t="shared" si="21"/>
        <v>120</v>
      </c>
      <c r="AO96" s="34">
        <f t="shared" si="21"/>
        <v>110</v>
      </c>
      <c r="AP96" s="34">
        <f t="shared" si="21"/>
        <v>100</v>
      </c>
      <c r="AQ96" s="34">
        <f t="shared" si="21"/>
        <v>90</v>
      </c>
      <c r="AR96" s="34">
        <f t="shared" si="21"/>
        <v>80</v>
      </c>
      <c r="AS96" s="34">
        <f t="shared" si="21"/>
        <v>70</v>
      </c>
      <c r="AT96" s="34">
        <f t="shared" si="21"/>
        <v>60</v>
      </c>
      <c r="AU96" s="34">
        <f t="shared" si="21"/>
        <v>50</v>
      </c>
      <c r="AV96" s="34">
        <f t="shared" si="21"/>
        <v>40</v>
      </c>
      <c r="AW96" s="34">
        <f t="shared" si="21"/>
        <v>30</v>
      </c>
      <c r="AX96" s="34">
        <f t="shared" si="21"/>
        <v>20</v>
      </c>
      <c r="AY96" s="34">
        <f t="shared" si="21"/>
        <v>10</v>
      </c>
      <c r="AZ96" s="35">
        <f t="shared" si="21"/>
        <v>0</v>
      </c>
    </row>
    <row r="97" spans="2:52">
      <c r="B97" s="32"/>
      <c r="C97" s="56" t="s">
        <v>1141</v>
      </c>
      <c r="D97" s="29" t="s">
        <v>130</v>
      </c>
      <c r="E97" s="34">
        <v>0</v>
      </c>
      <c r="F97" s="34">
        <f>E96</f>
        <v>0</v>
      </c>
      <c r="G97" s="34">
        <f t="shared" ref="G97:N97" si="22">F96</f>
        <v>0</v>
      </c>
      <c r="H97" s="34">
        <f t="shared" si="22"/>
        <v>0</v>
      </c>
      <c r="I97" s="34">
        <f t="shared" si="22"/>
        <v>0</v>
      </c>
      <c r="J97" s="34">
        <f t="shared" si="22"/>
        <v>0</v>
      </c>
      <c r="K97" s="34">
        <f t="shared" si="22"/>
        <v>0</v>
      </c>
      <c r="L97" s="34">
        <f t="shared" si="22"/>
        <v>0</v>
      </c>
      <c r="M97" s="34">
        <f t="shared" si="22"/>
        <v>0</v>
      </c>
      <c r="N97" s="34">
        <f t="shared" si="22"/>
        <v>390</v>
      </c>
      <c r="O97" s="34">
        <f t="shared" ref="O97:AK97" si="23">N96</f>
        <v>380</v>
      </c>
      <c r="P97" s="34">
        <f t="shared" si="23"/>
        <v>370</v>
      </c>
      <c r="Q97" s="34">
        <f t="shared" si="23"/>
        <v>360</v>
      </c>
      <c r="R97" s="34">
        <f t="shared" si="23"/>
        <v>350</v>
      </c>
      <c r="S97" s="34">
        <f t="shared" si="23"/>
        <v>340</v>
      </c>
      <c r="T97" s="34">
        <f t="shared" si="23"/>
        <v>330</v>
      </c>
      <c r="U97" s="34">
        <f t="shared" si="23"/>
        <v>320</v>
      </c>
      <c r="V97" s="34">
        <f t="shared" si="23"/>
        <v>310</v>
      </c>
      <c r="W97" s="34">
        <f t="shared" si="23"/>
        <v>300</v>
      </c>
      <c r="X97" s="34">
        <f t="shared" si="23"/>
        <v>290</v>
      </c>
      <c r="Y97" s="34">
        <f t="shared" si="23"/>
        <v>280</v>
      </c>
      <c r="Z97" s="34">
        <f t="shared" si="23"/>
        <v>270</v>
      </c>
      <c r="AA97" s="34">
        <f t="shared" si="23"/>
        <v>260</v>
      </c>
      <c r="AB97" s="34">
        <f t="shared" si="23"/>
        <v>250</v>
      </c>
      <c r="AC97" s="34">
        <f t="shared" si="23"/>
        <v>240</v>
      </c>
      <c r="AD97" s="34">
        <f t="shared" si="23"/>
        <v>230</v>
      </c>
      <c r="AE97" s="34">
        <f t="shared" si="23"/>
        <v>220</v>
      </c>
      <c r="AF97" s="34">
        <f t="shared" si="23"/>
        <v>210</v>
      </c>
      <c r="AG97" s="34">
        <f t="shared" si="23"/>
        <v>200</v>
      </c>
      <c r="AH97" s="34">
        <f t="shared" si="23"/>
        <v>190</v>
      </c>
      <c r="AI97" s="34">
        <f t="shared" si="23"/>
        <v>180</v>
      </c>
      <c r="AJ97" s="34">
        <f t="shared" si="23"/>
        <v>170</v>
      </c>
      <c r="AK97" s="34">
        <f t="shared" si="23"/>
        <v>160</v>
      </c>
      <c r="AL97" s="34">
        <f t="shared" ref="AL97:AZ97" si="24">AK96</f>
        <v>150</v>
      </c>
      <c r="AM97" s="34">
        <f t="shared" si="24"/>
        <v>140</v>
      </c>
      <c r="AN97" s="34">
        <f t="shared" si="24"/>
        <v>130</v>
      </c>
      <c r="AO97" s="34">
        <f t="shared" si="24"/>
        <v>120</v>
      </c>
      <c r="AP97" s="34">
        <f t="shared" si="24"/>
        <v>110</v>
      </c>
      <c r="AQ97" s="34">
        <f t="shared" si="24"/>
        <v>100</v>
      </c>
      <c r="AR97" s="34">
        <f t="shared" si="24"/>
        <v>90</v>
      </c>
      <c r="AS97" s="34">
        <f t="shared" si="24"/>
        <v>80</v>
      </c>
      <c r="AT97" s="34">
        <f t="shared" si="24"/>
        <v>70</v>
      </c>
      <c r="AU97" s="34">
        <f t="shared" si="24"/>
        <v>60</v>
      </c>
      <c r="AV97" s="34">
        <f t="shared" si="24"/>
        <v>50</v>
      </c>
      <c r="AW97" s="34">
        <f t="shared" si="24"/>
        <v>40</v>
      </c>
      <c r="AX97" s="34">
        <f t="shared" si="24"/>
        <v>30</v>
      </c>
      <c r="AY97" s="34">
        <f t="shared" si="24"/>
        <v>20</v>
      </c>
      <c r="AZ97" s="35">
        <f t="shared" si="24"/>
        <v>10</v>
      </c>
    </row>
    <row r="98" spans="2:52">
      <c r="B98" s="32"/>
      <c r="C98" s="56" t="s">
        <v>1142</v>
      </c>
      <c r="D98" s="29" t="s">
        <v>130</v>
      </c>
      <c r="E98" s="51">
        <f>'表6-现金流量表-资本金'!F14+'表6-现金流量表-资本金'!G14</f>
        <v>0</v>
      </c>
      <c r="F98" s="51">
        <f>'表6-现金流量表-资本金'!H14</f>
        <v>0</v>
      </c>
      <c r="G98" s="51">
        <f>'表6-现金流量表-资本金'!I14</f>
        <v>0</v>
      </c>
      <c r="H98" s="51">
        <f>'表6-现金流量表-资本金'!J14</f>
        <v>0</v>
      </c>
      <c r="I98" s="51">
        <f>'表6-现金流量表-资本金'!K14</f>
        <v>0</v>
      </c>
      <c r="J98" s="51">
        <f>'表6-现金流量表-资本金'!L14</f>
        <v>0</v>
      </c>
      <c r="K98" s="51">
        <f>'表6-现金流量表-资本金'!M14+'表6-现金流量表-资本金'!N14</f>
        <v>0</v>
      </c>
      <c r="L98" s="51">
        <f>'表6-现金流量表-资本金'!O14+'表6-现金流量表-资本金'!P14+'表6-现金流量表-资本金'!Q14</f>
        <v>0</v>
      </c>
      <c r="M98" s="51">
        <f>'表6-现金流量表-资本金'!R14</f>
        <v>400</v>
      </c>
      <c r="N98" s="51">
        <f>'表6-现金流量表-资本金'!S14</f>
        <v>0</v>
      </c>
      <c r="O98" s="51">
        <f>'表6-现金流量表-资本金'!T14</f>
        <v>0</v>
      </c>
      <c r="P98" s="51">
        <f>'表6-现金流量表-资本金'!U14</f>
        <v>0</v>
      </c>
      <c r="Q98" s="51">
        <f>'表6-现金流量表-资本金'!V14</f>
        <v>0</v>
      </c>
      <c r="R98" s="51">
        <f>'表6-现金流量表-资本金'!W14</f>
        <v>0</v>
      </c>
      <c r="S98" s="51">
        <f>'表6-现金流量表-资本金'!X14</f>
        <v>0</v>
      </c>
      <c r="T98" s="51">
        <f>'表6-现金流量表-资本金'!Y14</f>
        <v>0</v>
      </c>
      <c r="U98" s="51">
        <f>'表6-现金流量表-资本金'!Z14</f>
        <v>0</v>
      </c>
      <c r="V98" s="51">
        <f>'表6-现金流量表-资本金'!AA14</f>
        <v>0</v>
      </c>
      <c r="W98" s="51">
        <f>'表6-现金流量表-资本金'!AB14</f>
        <v>0</v>
      </c>
      <c r="X98" s="51">
        <f>'表6-现金流量表-资本金'!AC14</f>
        <v>0</v>
      </c>
      <c r="Y98" s="51">
        <f>'表6-现金流量表-资本金'!AD14</f>
        <v>0</v>
      </c>
      <c r="Z98" s="51">
        <f>'表6-现金流量表-资本金'!AE14</f>
        <v>0</v>
      </c>
      <c r="AA98" s="51">
        <f>'表6-现金流量表-资本金'!AF14</f>
        <v>0</v>
      </c>
      <c r="AB98" s="51">
        <f>'表6-现金流量表-资本金'!AG14</f>
        <v>0</v>
      </c>
      <c r="AC98" s="51">
        <f>'表6-现金流量表-资本金'!AH14</f>
        <v>0</v>
      </c>
      <c r="AD98" s="51">
        <f>'表6-现金流量表-资本金'!AI14</f>
        <v>0</v>
      </c>
      <c r="AE98" s="51">
        <f>'表6-现金流量表-资本金'!AJ14</f>
        <v>0</v>
      </c>
      <c r="AF98" s="51">
        <f>'表6-现金流量表-资本金'!AK14</f>
        <v>0</v>
      </c>
      <c r="AG98" s="51">
        <f>'表6-现金流量表-资本金'!AL14</f>
        <v>0</v>
      </c>
      <c r="AH98" s="51">
        <f>'表6-现金流量表-资本金'!AM14</f>
        <v>0</v>
      </c>
      <c r="AI98" s="51">
        <f>'表6-现金流量表-资本金'!AN14</f>
        <v>0</v>
      </c>
      <c r="AJ98" s="51">
        <f>'表6-现金流量表-资本金'!AO14</f>
        <v>0</v>
      </c>
      <c r="AK98" s="51">
        <f>'表6-现金流量表-资本金'!AP14</f>
        <v>0</v>
      </c>
      <c r="AL98" s="51">
        <f>'表6-现金流量表-资本金'!AQ14</f>
        <v>0</v>
      </c>
      <c r="AM98" s="51">
        <f>'表6-现金流量表-资本金'!AR14</f>
        <v>0</v>
      </c>
      <c r="AN98" s="51">
        <f>'表6-现金流量表-资本金'!AS14</f>
        <v>0</v>
      </c>
      <c r="AO98" s="51">
        <f>'表6-现金流量表-资本金'!AT14</f>
        <v>0</v>
      </c>
      <c r="AP98" s="51">
        <f>'表6-现金流量表-资本金'!AU14</f>
        <v>0</v>
      </c>
      <c r="AQ98" s="51">
        <f>'表6-现金流量表-资本金'!AV14</f>
        <v>0</v>
      </c>
      <c r="AR98" s="51">
        <f>'表6-现金流量表-资本金'!AW14</f>
        <v>0</v>
      </c>
      <c r="AS98" s="51">
        <f>'表6-现金流量表-资本金'!AX14</f>
        <v>0</v>
      </c>
      <c r="AT98" s="51">
        <f>'表6-现金流量表-资本金'!AY14</f>
        <v>0</v>
      </c>
      <c r="AU98" s="51">
        <f>'表6-现金流量表-资本金'!AZ14</f>
        <v>0</v>
      </c>
      <c r="AV98" s="51">
        <f>'表6-现金流量表-资本金'!BA14</f>
        <v>0</v>
      </c>
      <c r="AW98" s="51">
        <f>'表6-现金流量表-资本金'!BB14</f>
        <v>0</v>
      </c>
      <c r="AX98" s="51">
        <f>'表6-现金流量表-资本金'!BC14</f>
        <v>0</v>
      </c>
      <c r="AY98" s="51">
        <f>'表6-现金流量表-资本金'!BD14</f>
        <v>0</v>
      </c>
      <c r="AZ98" s="53">
        <f>'表6-现金流量表-资本金'!BE14</f>
        <v>0</v>
      </c>
    </row>
    <row r="99" spans="2:52">
      <c r="B99" s="32"/>
      <c r="C99" s="56" t="s">
        <v>1143</v>
      </c>
      <c r="D99" s="29" t="s">
        <v>130</v>
      </c>
      <c r="E99" s="51">
        <f>'表5-利润表-资本金'!F40</f>
        <v>0</v>
      </c>
      <c r="F99" s="51">
        <f>'表5-利润表-资本金'!G40</f>
        <v>0</v>
      </c>
      <c r="G99" s="51">
        <f>'表5-利润表-资本金'!H40</f>
        <v>0</v>
      </c>
      <c r="H99" s="51">
        <f>'表5-利润表-资本金'!I40</f>
        <v>0</v>
      </c>
      <c r="I99" s="51">
        <f>'表5-利润表-资本金'!J40</f>
        <v>0</v>
      </c>
      <c r="J99" s="51">
        <f>'表5-利润表-资本金'!K40</f>
        <v>0</v>
      </c>
      <c r="K99" s="51">
        <f>'表5-利润表-资本金'!L40</f>
        <v>0</v>
      </c>
      <c r="L99" s="51">
        <f>'表5-利润表-资本金'!M40</f>
        <v>0</v>
      </c>
      <c r="M99" s="51">
        <f>'表5-利润表-资本金'!N40</f>
        <v>10</v>
      </c>
      <c r="N99" s="51">
        <f>'表5-利润表-资本金'!O40</f>
        <v>10</v>
      </c>
      <c r="O99" s="51">
        <f>'表5-利润表-资本金'!P40</f>
        <v>10</v>
      </c>
      <c r="P99" s="51">
        <f>'表5-利润表-资本金'!Q40</f>
        <v>10</v>
      </c>
      <c r="Q99" s="51">
        <f>'表5-利润表-资本金'!R40</f>
        <v>10</v>
      </c>
      <c r="R99" s="51">
        <f>'表5-利润表-资本金'!S40</f>
        <v>10</v>
      </c>
      <c r="S99" s="51">
        <f>'表5-利润表-资本金'!T40</f>
        <v>10</v>
      </c>
      <c r="T99" s="51">
        <f>'表5-利润表-资本金'!U40</f>
        <v>10</v>
      </c>
      <c r="U99" s="51">
        <f>'表5-利润表-资本金'!V40</f>
        <v>10</v>
      </c>
      <c r="V99" s="51">
        <f>'表5-利润表-资本金'!W40</f>
        <v>10</v>
      </c>
      <c r="W99" s="51">
        <f>'表5-利润表-资本金'!X40</f>
        <v>10</v>
      </c>
      <c r="X99" s="51">
        <f>'表5-利润表-资本金'!Y40</f>
        <v>10</v>
      </c>
      <c r="Y99" s="51">
        <f>'表5-利润表-资本金'!Z40</f>
        <v>10</v>
      </c>
      <c r="Z99" s="51">
        <f>'表5-利润表-资本金'!AA40</f>
        <v>10</v>
      </c>
      <c r="AA99" s="51">
        <f>'表5-利润表-资本金'!AB40</f>
        <v>10</v>
      </c>
      <c r="AB99" s="51">
        <f>'表5-利润表-资本金'!AC40</f>
        <v>10</v>
      </c>
      <c r="AC99" s="51">
        <f>'表5-利润表-资本金'!AD40</f>
        <v>10</v>
      </c>
      <c r="AD99" s="51">
        <f>'表5-利润表-资本金'!AE40</f>
        <v>10</v>
      </c>
      <c r="AE99" s="51">
        <f>'表5-利润表-资本金'!AF40</f>
        <v>10</v>
      </c>
      <c r="AF99" s="51">
        <f>'表5-利润表-资本金'!AG40</f>
        <v>10</v>
      </c>
      <c r="AG99" s="51">
        <f>'表5-利润表-资本金'!AH40</f>
        <v>10</v>
      </c>
      <c r="AH99" s="51">
        <f>'表5-利润表-资本金'!AI40</f>
        <v>10</v>
      </c>
      <c r="AI99" s="51">
        <f>'表5-利润表-资本金'!AJ40</f>
        <v>10</v>
      </c>
      <c r="AJ99" s="51">
        <f>'表5-利润表-资本金'!AK40</f>
        <v>10</v>
      </c>
      <c r="AK99" s="51">
        <f>'表5-利润表-资本金'!AL40</f>
        <v>10</v>
      </c>
      <c r="AL99" s="51">
        <f>'表5-利润表-资本金'!AM40</f>
        <v>10</v>
      </c>
      <c r="AM99" s="51">
        <f>'表5-利润表-资本金'!AN40</f>
        <v>10</v>
      </c>
      <c r="AN99" s="51">
        <f>'表5-利润表-资本金'!AO40</f>
        <v>10</v>
      </c>
      <c r="AO99" s="51">
        <f>'表5-利润表-资本金'!AP40</f>
        <v>10</v>
      </c>
      <c r="AP99" s="51">
        <f>'表5-利润表-资本金'!AQ40</f>
        <v>10</v>
      </c>
      <c r="AQ99" s="51">
        <f>'表5-利润表-资本金'!AR40</f>
        <v>10</v>
      </c>
      <c r="AR99" s="51">
        <f>'表5-利润表-资本金'!AS40</f>
        <v>10</v>
      </c>
      <c r="AS99" s="51">
        <f>'表5-利润表-资本金'!AT40</f>
        <v>10</v>
      </c>
      <c r="AT99" s="51">
        <f>'表5-利润表-资本金'!AU40</f>
        <v>10</v>
      </c>
      <c r="AU99" s="51">
        <f>'表5-利润表-资本金'!AV40</f>
        <v>10</v>
      </c>
      <c r="AV99" s="51">
        <f>'表5-利润表-资本金'!AW40</f>
        <v>10</v>
      </c>
      <c r="AW99" s="51">
        <f>'表5-利润表-资本金'!AX40</f>
        <v>10</v>
      </c>
      <c r="AX99" s="51">
        <f>'表5-利润表-资本金'!AY40</f>
        <v>10</v>
      </c>
      <c r="AY99" s="51">
        <f>'表5-利润表-资本金'!AZ40</f>
        <v>10</v>
      </c>
      <c r="AZ99" s="53">
        <f>'表5-利润表-资本金'!BA40</f>
        <v>10</v>
      </c>
    </row>
    <row r="100" spans="2:52">
      <c r="B100" s="32"/>
      <c r="C100" s="33" t="s">
        <v>1144</v>
      </c>
      <c r="D100" s="29" t="s">
        <v>130</v>
      </c>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5"/>
    </row>
    <row r="101" spans="2:52">
      <c r="B101" s="32"/>
      <c r="C101" s="33" t="s">
        <v>1145</v>
      </c>
      <c r="D101" s="29" t="s">
        <v>130</v>
      </c>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5"/>
    </row>
    <row r="102" spans="2:52">
      <c r="B102" s="32"/>
      <c r="C102" s="41" t="s">
        <v>1146</v>
      </c>
      <c r="D102" s="29" t="s">
        <v>130</v>
      </c>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5"/>
    </row>
    <row r="103" s="1" customFormat="1" ht="23.4" customHeight="1" spans="2:52">
      <c r="B103" s="22">
        <v>3</v>
      </c>
      <c r="C103" s="23" t="s">
        <v>1147</v>
      </c>
      <c r="D103" s="24" t="s">
        <v>130</v>
      </c>
      <c r="E103" s="25">
        <f ca="1">E111+E112+E115-E116+E117+E119+E120+E126+E127</f>
        <v>23877.8291979006</v>
      </c>
      <c r="F103" s="25">
        <f ca="1" t="shared" ref="F103:AZ103" si="25">F111+F112+F115-F116+F117+F119+F120+F126+F127</f>
        <v>47853.5631501955</v>
      </c>
      <c r="G103" s="25">
        <f ca="1" t="shared" si="25"/>
        <v>75735.4062636621</v>
      </c>
      <c r="H103" s="25">
        <f ca="1" t="shared" si="25"/>
        <v>106981.050665258</v>
      </c>
      <c r="I103" s="25">
        <f ca="1" t="shared" si="25"/>
        <v>148933.936393497</v>
      </c>
      <c r="J103" s="25">
        <f ca="1" t="shared" si="25"/>
        <v>189039.517704459</v>
      </c>
      <c r="K103" s="25">
        <f ca="1" t="shared" si="25"/>
        <v>224874.544286692</v>
      </c>
      <c r="L103" s="25">
        <f ca="1" t="shared" si="25"/>
        <v>247293.340859473</v>
      </c>
      <c r="M103" s="25">
        <f ca="1" t="shared" si="25"/>
        <v>251222.103569225</v>
      </c>
      <c r="N103" s="25">
        <f ca="1" t="shared" si="25"/>
        <v>254933.340842344</v>
      </c>
      <c r="O103" s="25">
        <f ca="1" t="shared" si="25"/>
        <v>257697.377365116</v>
      </c>
      <c r="P103" s="25">
        <f ca="1" t="shared" si="25"/>
        <v>260053.097062994</v>
      </c>
      <c r="Q103" s="25">
        <f ca="1" t="shared" si="25"/>
        <v>262293.567215208</v>
      </c>
      <c r="R103" s="25">
        <f ca="1" t="shared" si="25"/>
        <v>263334.455995308</v>
      </c>
      <c r="S103" s="25">
        <f ca="1" t="shared" si="25"/>
        <v>264506.858077385</v>
      </c>
      <c r="T103" s="25">
        <f ca="1" t="shared" si="25"/>
        <v>265950.315939681</v>
      </c>
      <c r="U103" s="25">
        <f ca="1" t="shared" si="25"/>
        <v>267533.905498688</v>
      </c>
      <c r="V103" s="25">
        <f ca="1" t="shared" si="25"/>
        <v>269206.3996911</v>
      </c>
      <c r="W103" s="25">
        <f ca="1" t="shared" si="25"/>
        <v>270890.626504051</v>
      </c>
      <c r="X103" s="25">
        <f ca="1" t="shared" si="25"/>
        <v>272029.359291097</v>
      </c>
      <c r="Y103" s="25">
        <f ca="1" t="shared" si="25"/>
        <v>273420.766223228</v>
      </c>
      <c r="Z103" s="25">
        <f ca="1" t="shared" si="25"/>
        <v>275095.074300446</v>
      </c>
      <c r="AA103" s="25">
        <f ca="1" t="shared" si="25"/>
        <v>277053.581811674</v>
      </c>
      <c r="AB103" s="25">
        <f ca="1" t="shared" si="25"/>
        <v>279316.916158219</v>
      </c>
      <c r="AC103" s="25">
        <f ca="1" t="shared" si="25"/>
        <v>281934.52647247</v>
      </c>
      <c r="AD103" s="25">
        <f ca="1" t="shared" si="25"/>
        <v>285305.671310659</v>
      </c>
      <c r="AE103" s="25">
        <f ca="1" t="shared" si="25"/>
        <v>289286.715392635</v>
      </c>
      <c r="AF103" s="25">
        <f ca="1" t="shared" si="25"/>
        <v>292962.37419819</v>
      </c>
      <c r="AG103" s="25">
        <f ca="1" t="shared" si="25"/>
        <v>296435.152559073</v>
      </c>
      <c r="AH103" s="25">
        <f ca="1" t="shared" si="25"/>
        <v>299501.231903064</v>
      </c>
      <c r="AI103" s="25">
        <f ca="1" t="shared" si="25"/>
        <v>302183.343655257</v>
      </c>
      <c r="AJ103" s="25">
        <f ca="1" t="shared" si="25"/>
        <v>304772.259649171</v>
      </c>
      <c r="AK103" s="25">
        <f ca="1" t="shared" si="25"/>
        <v>307325.76125494</v>
      </c>
      <c r="AL103" s="25">
        <f ca="1" t="shared" si="25"/>
        <v>309867.296585874</v>
      </c>
      <c r="AM103" s="25">
        <f ca="1" t="shared" si="25"/>
        <v>312407.70883889</v>
      </c>
      <c r="AN103" s="25">
        <f ca="1" t="shared" si="25"/>
        <v>314937.270704533</v>
      </c>
      <c r="AO103" s="25">
        <f ca="1" t="shared" si="25"/>
        <v>320754.9631109</v>
      </c>
      <c r="AP103" s="25">
        <f ca="1" t="shared" si="25"/>
        <v>329519.022964587</v>
      </c>
      <c r="AQ103" s="25">
        <f ca="1" t="shared" si="25"/>
        <v>335337.801695593</v>
      </c>
      <c r="AR103" s="25">
        <f ca="1" t="shared" si="25"/>
        <v>340032.846362467</v>
      </c>
      <c r="AS103" s="25">
        <f ca="1" t="shared" si="25"/>
        <v>344244.060627274</v>
      </c>
      <c r="AT103" s="25">
        <f ca="1" t="shared" si="25"/>
        <v>348324.131265902</v>
      </c>
      <c r="AU103" s="25">
        <f ca="1" t="shared" si="25"/>
        <v>352343.952193838</v>
      </c>
      <c r="AV103" s="25">
        <f ca="1" t="shared" si="25"/>
        <v>356345.340397823</v>
      </c>
      <c r="AW103" s="25">
        <f ca="1" t="shared" si="25"/>
        <v>360342.423494465</v>
      </c>
      <c r="AX103" s="25">
        <f ca="1" t="shared" si="25"/>
        <v>364294.655176311</v>
      </c>
      <c r="AY103" s="25">
        <f ca="1" t="shared" si="25"/>
        <v>368267.707112583</v>
      </c>
      <c r="AZ103" s="26">
        <f ca="1" t="shared" si="25"/>
        <v>340867.891254889</v>
      </c>
    </row>
    <row r="104" s="4" customFormat="1" spans="2:52">
      <c r="B104" s="48"/>
      <c r="C104" s="54" t="s">
        <v>1148</v>
      </c>
      <c r="D104" s="50" t="s">
        <v>130</v>
      </c>
      <c r="E104" s="51">
        <f ca="1">'表1-资金筹措及还本付息表'!F37+'表1-资金筹措及还本付息表'!G37</f>
        <v>23877.8291979006</v>
      </c>
      <c r="F104" s="51">
        <f ca="1">E104+'表1-资金筹措及还本付息表'!H37</f>
        <v>47853.5631501955</v>
      </c>
      <c r="G104" s="51">
        <f ca="1">F104+'表1-资金筹措及还本付息表'!I37</f>
        <v>75735.4062636621</v>
      </c>
      <c r="H104" s="51">
        <f ca="1">G104+'表1-资金筹措及还本付息表'!J37</f>
        <v>106981.050665258</v>
      </c>
      <c r="I104" s="51">
        <f ca="1">H104+'表1-资金筹措及还本付息表'!K37</f>
        <v>148933.936393497</v>
      </c>
      <c r="J104" s="51">
        <f ca="1">I104+'表1-资金筹措及还本付息表'!L37</f>
        <v>189039.517704459</v>
      </c>
      <c r="K104" s="51">
        <f ca="1">J104+'表1-资金筹措及还本付息表'!M37+'表1-资金筹措及还本付息表'!N37</f>
        <v>224874.544286692</v>
      </c>
      <c r="L104" s="51">
        <f ca="1">K104+'表1-资金筹措及还本付息表'!O37+'表1-资金筹措及还本付息表'!P37+'表1-资金筹措及还本付息表'!Q37</f>
        <v>243667.247063362</v>
      </c>
      <c r="M104" s="51">
        <f ca="1">L104+'表1-资金筹措及还本付息表'!R37</f>
        <v>243667.247063362</v>
      </c>
      <c r="N104" s="51">
        <f ca="1">M104+'表1-资金筹措及还本付息表'!S37</f>
        <v>243667.247063362</v>
      </c>
      <c r="O104" s="51">
        <f ca="1">N104+'表1-资金筹措及还本付息表'!T37</f>
        <v>243667.247063362</v>
      </c>
      <c r="P104" s="51">
        <f ca="1">O104+'表1-资金筹措及还本付息表'!U37</f>
        <v>243667.247063362</v>
      </c>
      <c r="Q104" s="51">
        <f ca="1">P104+'表1-资金筹措及还本付息表'!V37</f>
        <v>243667.247063362</v>
      </c>
      <c r="R104" s="51">
        <f ca="1">Q104+'表1-资金筹措及还本付息表'!W37</f>
        <v>243667.247063362</v>
      </c>
      <c r="S104" s="51">
        <f ca="1">R104+'表1-资金筹措及还本付息表'!X37</f>
        <v>243667.247063362</v>
      </c>
      <c r="T104" s="51">
        <f ca="1">S104+'表1-资金筹措及还本付息表'!Y37</f>
        <v>243667.247063362</v>
      </c>
      <c r="U104" s="51">
        <f ca="1">T104+'表1-资金筹措及还本付息表'!Z37</f>
        <v>243667.247063362</v>
      </c>
      <c r="V104" s="51">
        <f ca="1">U104+'表1-资金筹措及还本付息表'!AA37</f>
        <v>243667.247063362</v>
      </c>
      <c r="W104" s="51">
        <f ca="1">V104+'表1-资金筹措及还本付息表'!AB37</f>
        <v>243667.247063362</v>
      </c>
      <c r="X104" s="51">
        <f ca="1">W104+'表1-资金筹措及还本付息表'!AC37</f>
        <v>243667.247063362</v>
      </c>
      <c r="Y104" s="51">
        <f ca="1">X104+'表1-资金筹措及还本付息表'!AD37</f>
        <v>243667.247063362</v>
      </c>
      <c r="Z104" s="51">
        <f ca="1">Y104+'表1-资金筹措及还本付息表'!AE37</f>
        <v>243667.247063362</v>
      </c>
      <c r="AA104" s="51">
        <f ca="1">Z104+'表1-资金筹措及还本付息表'!AF37</f>
        <v>243667.247063362</v>
      </c>
      <c r="AB104" s="51">
        <f ca="1">AA104+'表1-资金筹措及还本付息表'!AG37</f>
        <v>243667.247063362</v>
      </c>
      <c r="AC104" s="51">
        <f ca="1">AB104+'表1-资金筹措及还本付息表'!AH37</f>
        <v>243667.247063362</v>
      </c>
      <c r="AD104" s="51">
        <f ca="1">AC104+'表1-资金筹措及还本付息表'!AI37</f>
        <v>243667.247063362</v>
      </c>
      <c r="AE104" s="51">
        <f ca="1">AD104+'表1-资金筹措及还本付息表'!AJ37</f>
        <v>243667.247063362</v>
      </c>
      <c r="AF104" s="51">
        <f ca="1">AE104+'表1-资金筹措及还本付息表'!AK37</f>
        <v>243667.247063362</v>
      </c>
      <c r="AG104" s="51">
        <f ca="1">AF104+'表1-资金筹措及还本付息表'!AL37</f>
        <v>243667.247063362</v>
      </c>
      <c r="AH104" s="51">
        <f ca="1">AG104+'表1-资金筹措及还本付息表'!AM37</f>
        <v>243667.247063362</v>
      </c>
      <c r="AI104" s="51">
        <f ca="1">AH104+'表1-资金筹措及还本付息表'!AN37</f>
        <v>243667.247063362</v>
      </c>
      <c r="AJ104" s="51">
        <f ca="1">AI104+'表1-资金筹措及还本付息表'!AO37</f>
        <v>243667.247063362</v>
      </c>
      <c r="AK104" s="51">
        <f ca="1">AJ104+'表1-资金筹措及还本付息表'!AP37</f>
        <v>243667.247063362</v>
      </c>
      <c r="AL104" s="51">
        <f ca="1">AK104+'表1-资金筹措及还本付息表'!AQ37</f>
        <v>243667.247063362</v>
      </c>
      <c r="AM104" s="51">
        <f ca="1">AL104+'表1-资金筹措及还本付息表'!AR37</f>
        <v>243667.247063362</v>
      </c>
      <c r="AN104" s="51">
        <f ca="1">AM104+'表1-资金筹措及还本付息表'!AS37</f>
        <v>243667.247063362</v>
      </c>
      <c r="AO104" s="51">
        <f ca="1">AN104+'表1-资金筹措及还本付息表'!AT37</f>
        <v>243667.247063362</v>
      </c>
      <c r="AP104" s="51">
        <f ca="1">AO104+'表1-资金筹措及还本付息表'!AU37</f>
        <v>243667.247063362</v>
      </c>
      <c r="AQ104" s="51">
        <f ca="1">AP104+'表1-资金筹措及还本付息表'!AV37</f>
        <v>243667.247063362</v>
      </c>
      <c r="AR104" s="51">
        <f ca="1">AQ104+'表1-资金筹措及还本付息表'!AW37</f>
        <v>243667.247063362</v>
      </c>
      <c r="AS104" s="51">
        <f ca="1">AR104+'表1-资金筹措及还本付息表'!AX37</f>
        <v>243667.247063362</v>
      </c>
      <c r="AT104" s="51">
        <f ca="1">AS104+'表1-资金筹措及还本付息表'!AY37</f>
        <v>243667.247063362</v>
      </c>
      <c r="AU104" s="51">
        <f ca="1">AT104+'表1-资金筹措及还本付息表'!AZ37</f>
        <v>243667.247063362</v>
      </c>
      <c r="AV104" s="51">
        <f ca="1">AU104+'表1-资金筹措及还本付息表'!BA37</f>
        <v>243667.247063362</v>
      </c>
      <c r="AW104" s="51">
        <f ca="1">AV104+'表1-资金筹措及还本付息表'!BB37</f>
        <v>243667.247063362</v>
      </c>
      <c r="AX104" s="51">
        <f ca="1">AW104+'表1-资金筹措及还本付息表'!BC37</f>
        <v>243667.247063362</v>
      </c>
      <c r="AY104" s="51">
        <f ca="1">AX104+'表1-资金筹措及还本付息表'!BD37</f>
        <v>243667.247063362</v>
      </c>
      <c r="AZ104" s="53">
        <f ca="1">AY104+'表1-资金筹措及还本付息表'!BE37</f>
        <v>243667.247063362</v>
      </c>
    </row>
    <row r="105" spans="2:52">
      <c r="B105" s="32"/>
      <c r="C105" s="41" t="s">
        <v>1149</v>
      </c>
      <c r="D105" s="29" t="s">
        <v>130</v>
      </c>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5"/>
    </row>
    <row r="106" spans="2:52">
      <c r="B106" s="32"/>
      <c r="C106" s="41" t="s">
        <v>1150</v>
      </c>
      <c r="D106" s="29" t="s">
        <v>130</v>
      </c>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5"/>
    </row>
    <row r="107" spans="2:52">
      <c r="B107" s="32"/>
      <c r="C107" s="41" t="s">
        <v>1151</v>
      </c>
      <c r="D107" s="29" t="s">
        <v>130</v>
      </c>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5"/>
    </row>
    <row r="108" spans="2:52">
      <c r="B108" s="32"/>
      <c r="C108" s="41" t="s">
        <v>1152</v>
      </c>
      <c r="D108" s="29" t="s">
        <v>130</v>
      </c>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5"/>
    </row>
    <row r="109" spans="2:52">
      <c r="B109" s="32"/>
      <c r="C109" s="41" t="s">
        <v>1153</v>
      </c>
      <c r="D109" s="29" t="s">
        <v>130</v>
      </c>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5"/>
    </row>
    <row r="110" spans="2:52">
      <c r="B110" s="32"/>
      <c r="C110" s="33" t="s">
        <v>1154</v>
      </c>
      <c r="D110" s="29" t="s">
        <v>130</v>
      </c>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5"/>
    </row>
    <row r="111" spans="2:52">
      <c r="B111" s="32"/>
      <c r="C111" s="33" t="s">
        <v>1155</v>
      </c>
      <c r="D111" s="29" t="s">
        <v>130</v>
      </c>
      <c r="E111" s="34">
        <f ca="1">E104-E110</f>
        <v>23877.8291979006</v>
      </c>
      <c r="F111" s="34">
        <f ca="1">F104-F110</f>
        <v>47853.5631501955</v>
      </c>
      <c r="G111" s="34">
        <f ca="1" t="shared" ref="G111:L111" si="26">G104-G110</f>
        <v>75735.4062636621</v>
      </c>
      <c r="H111" s="34">
        <f ca="1" t="shared" si="26"/>
        <v>106981.050665258</v>
      </c>
      <c r="I111" s="34">
        <f ca="1" t="shared" si="26"/>
        <v>148933.936393497</v>
      </c>
      <c r="J111" s="34">
        <f ca="1" t="shared" si="26"/>
        <v>189039.517704459</v>
      </c>
      <c r="K111" s="34">
        <f ca="1" t="shared" si="26"/>
        <v>224874.544286692</v>
      </c>
      <c r="L111" s="34">
        <f ca="1" t="shared" si="26"/>
        <v>243667.247063362</v>
      </c>
      <c r="M111" s="34">
        <f ca="1" t="shared" ref="M111:AK111" si="27">M104-M110</f>
        <v>243667.247063362</v>
      </c>
      <c r="N111" s="34">
        <f ca="1" t="shared" si="27"/>
        <v>243667.247063362</v>
      </c>
      <c r="O111" s="34">
        <f ca="1" t="shared" si="27"/>
        <v>243667.247063362</v>
      </c>
      <c r="P111" s="34">
        <f ca="1" t="shared" si="27"/>
        <v>243667.247063362</v>
      </c>
      <c r="Q111" s="34">
        <f ca="1" t="shared" si="27"/>
        <v>243667.247063362</v>
      </c>
      <c r="R111" s="34">
        <f ca="1" t="shared" si="27"/>
        <v>243667.247063362</v>
      </c>
      <c r="S111" s="34">
        <f ca="1" t="shared" si="27"/>
        <v>243667.247063362</v>
      </c>
      <c r="T111" s="34">
        <f ca="1" t="shared" si="27"/>
        <v>243667.247063362</v>
      </c>
      <c r="U111" s="34">
        <f ca="1" t="shared" si="27"/>
        <v>243667.247063362</v>
      </c>
      <c r="V111" s="34">
        <f ca="1" t="shared" si="27"/>
        <v>243667.247063362</v>
      </c>
      <c r="W111" s="34">
        <f ca="1" t="shared" si="27"/>
        <v>243667.247063362</v>
      </c>
      <c r="X111" s="34">
        <f ca="1" t="shared" si="27"/>
        <v>243667.247063362</v>
      </c>
      <c r="Y111" s="34">
        <f ca="1" t="shared" si="27"/>
        <v>243667.247063362</v>
      </c>
      <c r="Z111" s="34">
        <f ca="1" t="shared" si="27"/>
        <v>243667.247063362</v>
      </c>
      <c r="AA111" s="34">
        <f ca="1" t="shared" si="27"/>
        <v>243667.247063362</v>
      </c>
      <c r="AB111" s="34">
        <f ca="1" t="shared" si="27"/>
        <v>243667.247063362</v>
      </c>
      <c r="AC111" s="34">
        <f ca="1" t="shared" si="27"/>
        <v>243667.247063362</v>
      </c>
      <c r="AD111" s="34">
        <f ca="1" t="shared" si="27"/>
        <v>243667.247063362</v>
      </c>
      <c r="AE111" s="34">
        <f ca="1" t="shared" si="27"/>
        <v>243667.247063362</v>
      </c>
      <c r="AF111" s="34">
        <f ca="1" t="shared" si="27"/>
        <v>243667.247063362</v>
      </c>
      <c r="AG111" s="34">
        <f ca="1" t="shared" si="27"/>
        <v>243667.247063362</v>
      </c>
      <c r="AH111" s="34">
        <f ca="1" t="shared" si="27"/>
        <v>243667.247063362</v>
      </c>
      <c r="AI111" s="34">
        <f ca="1" t="shared" si="27"/>
        <v>243667.247063362</v>
      </c>
      <c r="AJ111" s="34">
        <f ca="1" t="shared" si="27"/>
        <v>243667.247063362</v>
      </c>
      <c r="AK111" s="34">
        <f ca="1" t="shared" si="27"/>
        <v>243667.247063362</v>
      </c>
      <c r="AL111" s="34">
        <f ca="1" t="shared" ref="AL111:AZ111" si="28">AL104-AL110</f>
        <v>243667.247063362</v>
      </c>
      <c r="AM111" s="34">
        <f ca="1" t="shared" si="28"/>
        <v>243667.247063362</v>
      </c>
      <c r="AN111" s="34">
        <f ca="1" t="shared" si="28"/>
        <v>243667.247063362</v>
      </c>
      <c r="AO111" s="34">
        <f ca="1" t="shared" si="28"/>
        <v>243667.247063362</v>
      </c>
      <c r="AP111" s="34">
        <f ca="1" t="shared" si="28"/>
        <v>243667.247063362</v>
      </c>
      <c r="AQ111" s="34">
        <f ca="1" t="shared" si="28"/>
        <v>243667.247063362</v>
      </c>
      <c r="AR111" s="34">
        <f ca="1" t="shared" si="28"/>
        <v>243667.247063362</v>
      </c>
      <c r="AS111" s="34">
        <f ca="1" t="shared" si="28"/>
        <v>243667.247063362</v>
      </c>
      <c r="AT111" s="34">
        <f ca="1" t="shared" si="28"/>
        <v>243667.247063362</v>
      </c>
      <c r="AU111" s="34">
        <f ca="1" t="shared" si="28"/>
        <v>243667.247063362</v>
      </c>
      <c r="AV111" s="34">
        <f ca="1" t="shared" si="28"/>
        <v>243667.247063362</v>
      </c>
      <c r="AW111" s="34">
        <f ca="1" t="shared" si="28"/>
        <v>243667.247063362</v>
      </c>
      <c r="AX111" s="34">
        <f ca="1" t="shared" si="28"/>
        <v>243667.247063362</v>
      </c>
      <c r="AY111" s="34">
        <f ca="1" t="shared" si="28"/>
        <v>243667.247063362</v>
      </c>
      <c r="AZ111" s="35">
        <f ca="1" t="shared" si="28"/>
        <v>243667.247063362</v>
      </c>
    </row>
    <row r="112" spans="2:52">
      <c r="B112" s="32"/>
      <c r="C112" s="33" t="s">
        <v>1156</v>
      </c>
      <c r="D112" s="29" t="s">
        <v>130</v>
      </c>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5"/>
    </row>
    <row r="113" spans="2:52">
      <c r="B113" s="32"/>
      <c r="C113" s="41" t="s">
        <v>1134</v>
      </c>
      <c r="D113" s="29" t="s">
        <v>130</v>
      </c>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5"/>
    </row>
    <row r="114" spans="2:52">
      <c r="B114" s="32"/>
      <c r="C114" s="41" t="s">
        <v>1135</v>
      </c>
      <c r="D114" s="29" t="s">
        <v>130</v>
      </c>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5"/>
    </row>
    <row r="115" spans="2:52">
      <c r="B115" s="32"/>
      <c r="C115" s="33" t="s">
        <v>1157</v>
      </c>
      <c r="D115" s="29" t="s">
        <v>130</v>
      </c>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5"/>
    </row>
    <row r="116" spans="2:52">
      <c r="B116" s="32"/>
      <c r="C116" s="33" t="s">
        <v>1158</v>
      </c>
      <c r="D116" s="29" t="s">
        <v>130</v>
      </c>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5"/>
    </row>
    <row r="117" spans="2:52">
      <c r="B117" s="32"/>
      <c r="C117" s="33" t="s">
        <v>1159</v>
      </c>
      <c r="D117" s="29" t="s">
        <v>130</v>
      </c>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5"/>
    </row>
    <row r="118" spans="2:52">
      <c r="B118" s="32"/>
      <c r="C118" s="41" t="s">
        <v>1160</v>
      </c>
      <c r="D118" s="29" t="s">
        <v>130</v>
      </c>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5"/>
    </row>
    <row r="119" spans="2:52">
      <c r="B119" s="32"/>
      <c r="C119" s="33" t="s">
        <v>1161</v>
      </c>
      <c r="D119" s="29" t="s">
        <v>130</v>
      </c>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5"/>
    </row>
    <row r="120" spans="2:52">
      <c r="B120" s="32"/>
      <c r="C120" s="33" t="s">
        <v>1162</v>
      </c>
      <c r="D120" s="29" t="s">
        <v>130</v>
      </c>
      <c r="E120" s="34">
        <f ca="1">SUM(E121:E125)</f>
        <v>0</v>
      </c>
      <c r="F120" s="34">
        <f ca="1" t="shared" ref="F120:M120" si="29">SUM(F121:F125)</f>
        <v>0</v>
      </c>
      <c r="G120" s="34">
        <f ca="1" t="shared" si="29"/>
        <v>0</v>
      </c>
      <c r="H120" s="34">
        <f ca="1" t="shared" si="29"/>
        <v>0</v>
      </c>
      <c r="I120" s="34">
        <f ca="1" t="shared" si="29"/>
        <v>0</v>
      </c>
      <c r="J120" s="34">
        <f ca="1" t="shared" si="29"/>
        <v>0</v>
      </c>
      <c r="K120" s="34">
        <f ca="1" t="shared" si="29"/>
        <v>0</v>
      </c>
      <c r="L120" s="34">
        <f ca="1" t="shared" si="29"/>
        <v>1079.63778323624</v>
      </c>
      <c r="M120" s="34">
        <f ca="1" t="shared" si="29"/>
        <v>3007.5776493162</v>
      </c>
      <c r="N120" s="34">
        <f ca="1" t="shared" ref="N120:AK120" si="30">SUM(N121:N125)</f>
        <v>5466.47875568491</v>
      </c>
      <c r="O120" s="34">
        <f ca="1" t="shared" si="30"/>
        <v>7549.24188307825</v>
      </c>
      <c r="P120" s="34">
        <f ca="1" t="shared" si="30"/>
        <v>8576.75445477048</v>
      </c>
      <c r="Q120" s="34">
        <f ca="1" t="shared" si="30"/>
        <v>9745.30860559322</v>
      </c>
      <c r="R120" s="34">
        <f ca="1" t="shared" si="30"/>
        <v>10899.0179458667</v>
      </c>
      <c r="S120" s="34">
        <f ca="1" t="shared" si="30"/>
        <v>12054.9008607686</v>
      </c>
      <c r="T120" s="34">
        <f ca="1" t="shared" si="30"/>
        <v>13244.2227230419</v>
      </c>
      <c r="U120" s="34">
        <f ca="1" t="shared" si="30"/>
        <v>14479.3896663307</v>
      </c>
      <c r="V120" s="34">
        <f ca="1" t="shared" si="30"/>
        <v>15765.4086153315</v>
      </c>
      <c r="W120" s="34">
        <f ca="1" t="shared" si="30"/>
        <v>17097.7308043265</v>
      </c>
      <c r="X120" s="34">
        <f ca="1" t="shared" si="30"/>
        <v>18407.5425977462</v>
      </c>
      <c r="Y120" s="34">
        <f ca="1" t="shared" si="30"/>
        <v>19726.8421979926</v>
      </c>
      <c r="Z120" s="34">
        <f ca="1" t="shared" si="30"/>
        <v>21087.4218537009</v>
      </c>
      <c r="AA120" s="34">
        <f ca="1" t="shared" si="30"/>
        <v>22517.5280042371</v>
      </c>
      <c r="AB120" s="34">
        <f ca="1" t="shared" si="30"/>
        <v>24044.5211543092</v>
      </c>
      <c r="AC120" s="34">
        <f ca="1" t="shared" si="30"/>
        <v>25698.3302537043</v>
      </c>
      <c r="AD120" s="34">
        <f ca="1" t="shared" si="30"/>
        <v>27551.8295552849</v>
      </c>
      <c r="AE120" s="34">
        <f ca="1" t="shared" si="30"/>
        <v>29652.7177848184</v>
      </c>
      <c r="AF120" s="34">
        <f ca="1" t="shared" si="30"/>
        <v>31936.7188720288</v>
      </c>
      <c r="AG120" s="34">
        <f ca="1" t="shared" si="30"/>
        <v>34358.9498747825</v>
      </c>
      <c r="AH120" s="34">
        <f ca="1" t="shared" si="30"/>
        <v>36856.0469637267</v>
      </c>
      <c r="AI120" s="34">
        <f ca="1" t="shared" si="30"/>
        <v>39374.6573856067</v>
      </c>
      <c r="AJ120" s="34">
        <f ca="1" t="shared" si="30"/>
        <v>41901.4428740024</v>
      </c>
      <c r="AK120" s="34">
        <f ca="1" t="shared" si="30"/>
        <v>44431.3348876739</v>
      </c>
      <c r="AL120" s="34">
        <f ca="1" t="shared" ref="AL120:AZ120" si="31">SUM(AL121:AL125)</f>
        <v>46962.5807754458</v>
      </c>
      <c r="AM120" s="34">
        <f ca="1" t="shared" si="31"/>
        <v>49494.8925196414</v>
      </c>
      <c r="AN120" s="34">
        <f ca="1" t="shared" si="31"/>
        <v>52026.8845105169</v>
      </c>
      <c r="AO120" s="34">
        <f ca="1" t="shared" si="31"/>
        <v>54940.9346892403</v>
      </c>
      <c r="AP120" s="34">
        <f ca="1" t="shared" si="31"/>
        <v>58535.218551099</v>
      </c>
      <c r="AQ120" s="34">
        <f ca="1" t="shared" si="31"/>
        <v>62388.1646070446</v>
      </c>
      <c r="AR120" s="34">
        <f ca="1" t="shared" si="31"/>
        <v>66339.0291061213</v>
      </c>
      <c r="AS120" s="34">
        <f ca="1" t="shared" si="31"/>
        <v>70320.1668337714</v>
      </c>
      <c r="AT120" s="34">
        <f ca="1" t="shared" si="31"/>
        <v>74312.8083882793</v>
      </c>
      <c r="AU120" s="34">
        <f ca="1" t="shared" si="31"/>
        <v>78308.6103350463</v>
      </c>
      <c r="AV120" s="34">
        <f ca="1" t="shared" si="31"/>
        <v>82305.0618466062</v>
      </c>
      <c r="AW120" s="34">
        <f ca="1" t="shared" si="31"/>
        <v>86301.5867982918</v>
      </c>
      <c r="AX120" s="34">
        <f ca="1" t="shared" si="31"/>
        <v>90292.9613697636</v>
      </c>
      <c r="AY120" s="34">
        <f ca="1" t="shared" si="31"/>
        <v>94282.2054022586</v>
      </c>
      <c r="AZ120" s="35">
        <f ca="1" t="shared" si="31"/>
        <v>97200.6441915269</v>
      </c>
    </row>
    <row r="121" spans="2:52">
      <c r="B121" s="32"/>
      <c r="C121" s="41" t="s">
        <v>1163</v>
      </c>
      <c r="D121" s="29" t="s">
        <v>130</v>
      </c>
      <c r="E121" s="34">
        <f>'表5-利润表-资本金'!F63</f>
        <v>0</v>
      </c>
      <c r="F121" s="34">
        <f ca="1">'表5-利润表-资本金'!G63</f>
        <v>0</v>
      </c>
      <c r="G121" s="34">
        <f ca="1">'表5-利润表-资本金'!H63</f>
        <v>0</v>
      </c>
      <c r="H121" s="34">
        <f ca="1">'表5-利润表-资本金'!I63</f>
        <v>0</v>
      </c>
      <c r="I121" s="34">
        <f ca="1">'表5-利润表-资本金'!J63</f>
        <v>0</v>
      </c>
      <c r="J121" s="34">
        <f ca="1">'表5-利润表-资本金'!K63</f>
        <v>0</v>
      </c>
      <c r="K121" s="34">
        <f ca="1">'表5-利润表-资本金'!L63</f>
        <v>0</v>
      </c>
      <c r="L121" s="34">
        <f ca="1">'表5-利润表-资本金'!M63</f>
        <v>744.577781542236</v>
      </c>
      <c r="M121" s="34">
        <f ca="1">'表5-利润表-资本金'!N63</f>
        <v>2074.19148228703</v>
      </c>
      <c r="N121" s="34">
        <f ca="1">'表5-利润表-资本金'!O63</f>
        <v>3769.98534874821</v>
      </c>
      <c r="O121" s="34">
        <f ca="1">'表5-利润表-资本金'!P63</f>
        <v>5000</v>
      </c>
      <c r="P121" s="34">
        <f ca="1">'表5-利润表-资本金'!Q63</f>
        <v>5000</v>
      </c>
      <c r="Q121" s="34">
        <f ca="1">'表5-利润表-资本金'!R63</f>
        <v>5000</v>
      </c>
      <c r="R121" s="34">
        <f ca="1">'表5-利润表-资本金'!S63</f>
        <v>5000</v>
      </c>
      <c r="S121" s="34">
        <f ca="1">'表5-利润表-资本金'!T63</f>
        <v>5000</v>
      </c>
      <c r="T121" s="34">
        <f ca="1">'表5-利润表-资本金'!U63</f>
        <v>5000</v>
      </c>
      <c r="U121" s="34">
        <f ca="1">'表5-利润表-资本金'!V63</f>
        <v>5000</v>
      </c>
      <c r="V121" s="34">
        <f ca="1">'表5-利润表-资本金'!W63</f>
        <v>5000</v>
      </c>
      <c r="W121" s="34">
        <f ca="1">'表5-利润表-资本金'!X63</f>
        <v>5000</v>
      </c>
      <c r="X121" s="34">
        <f ca="1">'表5-利润表-资本金'!Y63</f>
        <v>5000</v>
      </c>
      <c r="Y121" s="34">
        <f ca="1">'表5-利润表-资本金'!Z63</f>
        <v>5000</v>
      </c>
      <c r="Z121" s="34">
        <f ca="1">'表5-利润表-资本金'!AA63</f>
        <v>5000</v>
      </c>
      <c r="AA121" s="34">
        <f ca="1">'表5-利润表-资本金'!AB63</f>
        <v>5000</v>
      </c>
      <c r="AB121" s="34">
        <f ca="1">'表5-利润表-资本金'!AC63</f>
        <v>5000</v>
      </c>
      <c r="AC121" s="34">
        <f ca="1">'表5-利润表-资本金'!AD63</f>
        <v>5000</v>
      </c>
      <c r="AD121" s="34">
        <f ca="1">'表5-利润表-资本金'!AE63</f>
        <v>5000</v>
      </c>
      <c r="AE121" s="34">
        <f ca="1">'表5-利润表-资本金'!AF63</f>
        <v>5000</v>
      </c>
      <c r="AF121" s="34">
        <f ca="1">'表5-利润表-资本金'!AG63</f>
        <v>5000</v>
      </c>
      <c r="AG121" s="34">
        <f ca="1">'表5-利润表-资本金'!AH63</f>
        <v>5000</v>
      </c>
      <c r="AH121" s="34">
        <f ca="1">'表5-利润表-资本金'!AI63</f>
        <v>5000</v>
      </c>
      <c r="AI121" s="34">
        <f ca="1">'表5-利润表-资本金'!AJ63</f>
        <v>5000</v>
      </c>
      <c r="AJ121" s="34">
        <f ca="1">'表5-利润表-资本金'!AK63</f>
        <v>5000</v>
      </c>
      <c r="AK121" s="34">
        <f ca="1">'表5-利润表-资本金'!AL63</f>
        <v>5000</v>
      </c>
      <c r="AL121" s="34">
        <f ca="1">'表5-利润表-资本金'!AM63</f>
        <v>5000</v>
      </c>
      <c r="AM121" s="34">
        <f ca="1">'表5-利润表-资本金'!AN63</f>
        <v>5000</v>
      </c>
      <c r="AN121" s="34">
        <f ca="1">'表5-利润表-资本金'!AO63</f>
        <v>5000</v>
      </c>
      <c r="AO121" s="34">
        <f ca="1">'表5-利润表-资本金'!AP63</f>
        <v>5000</v>
      </c>
      <c r="AP121" s="34">
        <f ca="1">'表5-利润表-资本金'!AQ63</f>
        <v>5000</v>
      </c>
      <c r="AQ121" s="34">
        <f ca="1">'表5-利润表-资本金'!AR63</f>
        <v>5000</v>
      </c>
      <c r="AR121" s="34">
        <f ca="1">'表5-利润表-资本金'!AS63</f>
        <v>5000</v>
      </c>
      <c r="AS121" s="34">
        <f ca="1">'表5-利润表-资本金'!AT63</f>
        <v>5000</v>
      </c>
      <c r="AT121" s="34">
        <f ca="1">'表5-利润表-资本金'!AU63</f>
        <v>5000</v>
      </c>
      <c r="AU121" s="34">
        <f ca="1">'表5-利润表-资本金'!AV63</f>
        <v>5000</v>
      </c>
      <c r="AV121" s="34">
        <f ca="1">'表5-利润表-资本金'!AW63</f>
        <v>5000</v>
      </c>
      <c r="AW121" s="34">
        <f ca="1">'表5-利润表-资本金'!AX63</f>
        <v>5000</v>
      </c>
      <c r="AX121" s="34">
        <f ca="1">'表5-利润表-资本金'!AY63</f>
        <v>5000</v>
      </c>
      <c r="AY121" s="34">
        <f ca="1">'表5-利润表-资本金'!AZ63</f>
        <v>5000</v>
      </c>
      <c r="AZ121" s="35">
        <f ca="1">'表5-利润表-资本金'!BA63</f>
        <v>5000</v>
      </c>
    </row>
    <row r="122" spans="2:52">
      <c r="B122" s="32"/>
      <c r="C122" s="41" t="s">
        <v>1164</v>
      </c>
      <c r="D122" s="29" t="s">
        <v>130</v>
      </c>
      <c r="E122" s="34">
        <f ca="1">'表5-利润表-资本金'!F66</f>
        <v>0</v>
      </c>
      <c r="F122" s="34">
        <f ca="1">'表5-利润表-资本金'!G66</f>
        <v>0</v>
      </c>
      <c r="G122" s="34">
        <f ca="1">'表5-利润表-资本金'!H66</f>
        <v>0</v>
      </c>
      <c r="H122" s="34">
        <f ca="1">'表5-利润表-资本金'!I66</f>
        <v>0</v>
      </c>
      <c r="I122" s="34">
        <f ca="1">'表5-利润表-资本金'!J66</f>
        <v>0</v>
      </c>
      <c r="J122" s="34">
        <f ca="1">'表5-利润表-资本金'!K66</f>
        <v>0</v>
      </c>
      <c r="K122" s="34">
        <f ca="1">'表5-利润表-资本金'!L66</f>
        <v>0</v>
      </c>
      <c r="L122" s="34">
        <f ca="1">'表5-利润表-资本金'!M66</f>
        <v>335.060001694006</v>
      </c>
      <c r="M122" s="34">
        <f ca="1">'表5-利润表-资本金'!N66</f>
        <v>933.386167029164</v>
      </c>
      <c r="N122" s="34">
        <f ca="1">'表5-利润表-资本金'!O66</f>
        <v>1696.4934069367</v>
      </c>
      <c r="O122" s="34">
        <f ca="1">'表5-利润表-资本金'!P66</f>
        <v>2549.24188307825</v>
      </c>
      <c r="P122" s="34">
        <f ca="1">'表5-利润表-资本金'!Q66</f>
        <v>3576.75445477048</v>
      </c>
      <c r="Q122" s="34">
        <f ca="1">'表5-利润表-资本金'!R66</f>
        <v>4745.30860559322</v>
      </c>
      <c r="R122" s="34">
        <f ca="1">'表5-利润表-资本金'!S66</f>
        <v>5899.01794586673</v>
      </c>
      <c r="S122" s="34">
        <f ca="1">'表5-利润表-资本金'!T66</f>
        <v>7054.90086076862</v>
      </c>
      <c r="T122" s="34">
        <f ca="1">'表5-利润表-资本金'!U66</f>
        <v>8244.2227230419</v>
      </c>
      <c r="U122" s="34">
        <f ca="1">'表5-利润表-资本金'!V66</f>
        <v>9479.3896663307</v>
      </c>
      <c r="V122" s="34">
        <f ca="1">'表5-利润表-资本金'!W66</f>
        <v>10765.4086153315</v>
      </c>
      <c r="W122" s="34">
        <f ca="1">'表5-利润表-资本金'!X66</f>
        <v>12097.7308043265</v>
      </c>
      <c r="X122" s="34">
        <f ca="1">'表5-利润表-资本金'!Y66</f>
        <v>13407.5425977462</v>
      </c>
      <c r="Y122" s="34">
        <f ca="1">'表5-利润表-资本金'!Z66</f>
        <v>14726.8421979926</v>
      </c>
      <c r="Z122" s="34">
        <f ca="1">'表5-利润表-资本金'!AA66</f>
        <v>16087.4218537009</v>
      </c>
      <c r="AA122" s="34">
        <f ca="1">'表5-利润表-资本金'!AB66</f>
        <v>17517.5280042371</v>
      </c>
      <c r="AB122" s="34">
        <f ca="1">'表5-利润表-资本金'!AC66</f>
        <v>19044.5211543092</v>
      </c>
      <c r="AC122" s="34">
        <f ca="1">'表5-利润表-资本金'!AD66</f>
        <v>20698.3302537043</v>
      </c>
      <c r="AD122" s="34">
        <f ca="1">'表5-利润表-资本金'!AE66</f>
        <v>22551.8295552849</v>
      </c>
      <c r="AE122" s="34">
        <f ca="1">'表5-利润表-资本金'!AF66</f>
        <v>24652.7177848184</v>
      </c>
      <c r="AF122" s="34">
        <f ca="1">'表5-利润表-资本金'!AG66</f>
        <v>26936.7188720288</v>
      </c>
      <c r="AG122" s="34">
        <f ca="1">'表5-利润表-资本金'!AH66</f>
        <v>29358.9498747825</v>
      </c>
      <c r="AH122" s="34">
        <f ca="1">'表5-利润表-资本金'!AI66</f>
        <v>31856.0469637267</v>
      </c>
      <c r="AI122" s="34">
        <f ca="1">'表5-利润表-资本金'!AJ66</f>
        <v>34374.6573856067</v>
      </c>
      <c r="AJ122" s="34">
        <f ca="1">'表5-利润表-资本金'!AK66</f>
        <v>36901.4428740024</v>
      </c>
      <c r="AK122" s="34">
        <f ca="1">'表5-利润表-资本金'!AL66</f>
        <v>39431.3348876739</v>
      </c>
      <c r="AL122" s="34">
        <f ca="1">'表5-利润表-资本金'!AM66</f>
        <v>41962.5807754458</v>
      </c>
      <c r="AM122" s="34">
        <f ca="1">'表5-利润表-资本金'!AN66</f>
        <v>44494.8925196414</v>
      </c>
      <c r="AN122" s="34">
        <f ca="1">'表5-利润表-资本金'!AO66</f>
        <v>47026.8845105169</v>
      </c>
      <c r="AO122" s="34">
        <f ca="1">'表5-利润表-资本金'!AP66</f>
        <v>49940.9346892403</v>
      </c>
      <c r="AP122" s="34">
        <f ca="1">'表5-利润表-资本金'!AQ66</f>
        <v>53535.218551099</v>
      </c>
      <c r="AQ122" s="34">
        <f ca="1">'表5-利润表-资本金'!AR66</f>
        <v>57388.1646070446</v>
      </c>
      <c r="AR122" s="34">
        <f ca="1">'表5-利润表-资本金'!AS66</f>
        <v>61339.0291061213</v>
      </c>
      <c r="AS122" s="34">
        <f ca="1">'表5-利润表-资本金'!AT66</f>
        <v>65320.1668337714</v>
      </c>
      <c r="AT122" s="34">
        <f ca="1">'表5-利润表-资本金'!AU66</f>
        <v>69312.8083882793</v>
      </c>
      <c r="AU122" s="34">
        <f ca="1">'表5-利润表-资本金'!AV66</f>
        <v>73308.6103350463</v>
      </c>
      <c r="AV122" s="34">
        <f ca="1">'表5-利润表-资本金'!AW66</f>
        <v>77305.0618466062</v>
      </c>
      <c r="AW122" s="34">
        <f ca="1">'表5-利润表-资本金'!AX66</f>
        <v>81301.5867982918</v>
      </c>
      <c r="AX122" s="34">
        <f ca="1">'表5-利润表-资本金'!AY66</f>
        <v>85292.9613697636</v>
      </c>
      <c r="AY122" s="34">
        <f ca="1">'表5-利润表-资本金'!AZ66</f>
        <v>89282.2054022586</v>
      </c>
      <c r="AZ122" s="35">
        <f ca="1">'表5-利润表-资本金'!BA66</f>
        <v>92200.6441915269</v>
      </c>
    </row>
    <row r="123" spans="2:52">
      <c r="B123" s="32"/>
      <c r="C123" s="41" t="s">
        <v>1165</v>
      </c>
      <c r="D123" s="29" t="s">
        <v>130</v>
      </c>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5"/>
    </row>
    <row r="124" spans="2:52">
      <c r="B124" s="32"/>
      <c r="C124" s="41" t="s">
        <v>1166</v>
      </c>
      <c r="D124" s="29" t="s">
        <v>130</v>
      </c>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5"/>
    </row>
    <row r="125" spans="2:52">
      <c r="B125" s="32"/>
      <c r="C125" s="41" t="s">
        <v>1167</v>
      </c>
      <c r="D125" s="29" t="s">
        <v>130</v>
      </c>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5"/>
    </row>
    <row r="126" spans="2:52">
      <c r="B126" s="32"/>
      <c r="C126" s="33" t="s">
        <v>1168</v>
      </c>
      <c r="D126" s="29" t="s">
        <v>130</v>
      </c>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5"/>
    </row>
    <row r="127" spans="2:52">
      <c r="B127" s="32"/>
      <c r="C127" s="33" t="s">
        <v>1169</v>
      </c>
      <c r="D127" s="29" t="s">
        <v>130</v>
      </c>
      <c r="E127" s="34">
        <f ca="1">'表5-利润表-资本金'!F68</f>
        <v>0</v>
      </c>
      <c r="F127" s="34">
        <f ca="1">'表5-利润表-资本金'!G68</f>
        <v>0</v>
      </c>
      <c r="G127" s="34">
        <f ca="1">'表5-利润表-资本金'!H68</f>
        <v>0</v>
      </c>
      <c r="H127" s="34">
        <f ca="1">'表5-利润表-资本金'!I68</f>
        <v>0</v>
      </c>
      <c r="I127" s="34">
        <f ca="1">'表5-利润表-资本金'!J68</f>
        <v>0</v>
      </c>
      <c r="J127" s="34">
        <f ca="1">'表5-利润表-资本金'!K68</f>
        <v>0</v>
      </c>
      <c r="K127" s="34">
        <f ca="1">'表5-利润表-资本金'!L68</f>
        <v>0</v>
      </c>
      <c r="L127" s="34">
        <f ca="1">'表5-利润表-资本金'!M68</f>
        <v>2546.45601287445</v>
      </c>
      <c r="M127" s="34">
        <f ca="1">'表5-利润表-资本金'!N68</f>
        <v>4547.2788565472</v>
      </c>
      <c r="N127" s="34">
        <f ca="1">'表5-利润表-资本金'!O68</f>
        <v>5799.61502329723</v>
      </c>
      <c r="O127" s="34">
        <f ca="1">'表5-利润表-资本金'!P68</f>
        <v>6480.88841867581</v>
      </c>
      <c r="P127" s="34">
        <f ca="1">'表5-利润表-资本金'!Q68</f>
        <v>7809.09554486098</v>
      </c>
      <c r="Q127" s="34">
        <f ca="1">'表5-利润表-资本金'!R68</f>
        <v>8881.01154625278</v>
      </c>
      <c r="R127" s="34">
        <f ca="1">'表5-利润表-资本金'!S68</f>
        <v>8768.19098607872</v>
      </c>
      <c r="S127" s="34">
        <f ca="1">'表5-利润表-资本金'!T68</f>
        <v>8784.71015325434</v>
      </c>
      <c r="T127" s="34">
        <f ca="1">'表5-利润表-资本金'!U68</f>
        <v>9038.84615327693</v>
      </c>
      <c r="U127" s="34">
        <f ca="1">'表5-利润表-资本金'!V68</f>
        <v>9387.26876899489</v>
      </c>
      <c r="V127" s="34">
        <f ca="1">'表5-利润表-资本金'!W68</f>
        <v>9773.74401240619</v>
      </c>
      <c r="W127" s="34">
        <f ca="1">'表5-利润表-资本金'!X68</f>
        <v>10125.6486363622</v>
      </c>
      <c r="X127" s="34">
        <f ca="1">'表5-利润表-资本金'!Y68</f>
        <v>9954.56962998911</v>
      </c>
      <c r="Y127" s="34">
        <f ca="1">'表5-利润表-资本金'!Z68</f>
        <v>10026.6769618729</v>
      </c>
      <c r="Z127" s="34">
        <f ca="1">'表5-利润表-资本金'!AA68</f>
        <v>10340.405383383</v>
      </c>
      <c r="AA127" s="34">
        <f ca="1">'表5-利润表-资本金'!AB68</f>
        <v>10868.8067440752</v>
      </c>
      <c r="AB127" s="34">
        <f ca="1">'表5-利润表-资本金'!AC68</f>
        <v>11605.1479405477</v>
      </c>
      <c r="AC127" s="34">
        <f ca="1">'表5-利润表-资本金'!AD68</f>
        <v>12568.9491554031</v>
      </c>
      <c r="AD127" s="34">
        <f ca="1">'表5-利润表-资本金'!AE68</f>
        <v>14086.5946920121</v>
      </c>
      <c r="AE127" s="34">
        <f ca="1">'表5-利润表-资本金'!AF68</f>
        <v>15966.7505444546</v>
      </c>
      <c r="AF127" s="34">
        <f ca="1">'表5-利润表-资本金'!AG68</f>
        <v>17358.4082627994</v>
      </c>
      <c r="AG127" s="34">
        <f ca="1">'表5-利润表-资本金'!AH68</f>
        <v>18408.9556209282</v>
      </c>
      <c r="AH127" s="34">
        <f ca="1">'表5-利润表-资本金'!AI68</f>
        <v>18977.9378759756</v>
      </c>
      <c r="AI127" s="34">
        <f ca="1">'表5-利润表-资本金'!AJ68</f>
        <v>19141.4392062881</v>
      </c>
      <c r="AJ127" s="34">
        <f ca="1">'表5-利润表-资本金'!AK68</f>
        <v>19203.5697118069</v>
      </c>
      <c r="AK127" s="34">
        <f ca="1">'表5-利润表-资本金'!AL68</f>
        <v>19227.179303904</v>
      </c>
      <c r="AL127" s="34">
        <f ca="1">'表5-利润表-资本金'!AM68</f>
        <v>19237.468747066</v>
      </c>
      <c r="AM127" s="34">
        <f ca="1">'表5-利润表-资本金'!AN68</f>
        <v>19245.5692558866</v>
      </c>
      <c r="AN127" s="34">
        <f ca="1">'表5-利润表-资本金'!AO68</f>
        <v>19243.1391306543</v>
      </c>
      <c r="AO127" s="34">
        <f ca="1">'表5-利润表-资本金'!AP68</f>
        <v>22146.7813582976</v>
      </c>
      <c r="AP127" s="34">
        <f ca="1">'表5-利润表-资本金'!AQ68</f>
        <v>27316.5573501262</v>
      </c>
      <c r="AQ127" s="34">
        <f ca="1">'表5-利润表-资本金'!AR68</f>
        <v>29282.3900251862</v>
      </c>
      <c r="AR127" s="34">
        <f ca="1">'表5-利润表-资本金'!AS68</f>
        <v>30026.5701929832</v>
      </c>
      <c r="AS127" s="34">
        <f ca="1">'表5-利润表-资本金'!AT68</f>
        <v>30256.6467301405</v>
      </c>
      <c r="AT127" s="34">
        <f ca="1">'表5-利润表-资本金'!AU68</f>
        <v>30344.0758142603</v>
      </c>
      <c r="AU127" s="34">
        <f ca="1">'表5-利润表-资本金'!AV68</f>
        <v>30368.0947954294</v>
      </c>
      <c r="AV127" s="34">
        <f ca="1">'表5-利润表-资本金'!AW68</f>
        <v>30373.0314878547</v>
      </c>
      <c r="AW127" s="34">
        <f ca="1">'表5-利润表-资本金'!AX68</f>
        <v>30373.5896328112</v>
      </c>
      <c r="AX127" s="34">
        <f ca="1">'表5-利润表-资本金'!AY68</f>
        <v>30334.4467431852</v>
      </c>
      <c r="AY127" s="34">
        <f ca="1">'表5-利润表-资本金'!AZ68</f>
        <v>30318.2546469621</v>
      </c>
      <c r="AZ127" s="35">
        <f ca="1">'表5-利润表-资本金'!BA68</f>
        <v>0</v>
      </c>
    </row>
    <row r="128" s="3" customFormat="1" spans="2:52">
      <c r="B128" s="45"/>
      <c r="C128" s="37" t="s">
        <v>1170</v>
      </c>
      <c r="D128" s="38" t="s">
        <v>130</v>
      </c>
      <c r="E128" s="46">
        <f ca="1">E103-E129</f>
        <v>23877.8291979006</v>
      </c>
      <c r="F128" s="46">
        <f ca="1" t="shared" ref="F128:AZ128" si="32">F103-F129</f>
        <v>47853.5631501955</v>
      </c>
      <c r="G128" s="46">
        <f ca="1" t="shared" si="32"/>
        <v>75735.4062636621</v>
      </c>
      <c r="H128" s="46">
        <f ca="1" t="shared" si="32"/>
        <v>106981.050665258</v>
      </c>
      <c r="I128" s="46">
        <f ca="1" t="shared" si="32"/>
        <v>148933.936393497</v>
      </c>
      <c r="J128" s="46">
        <f ca="1" t="shared" si="32"/>
        <v>189039.517704459</v>
      </c>
      <c r="K128" s="46">
        <f ca="1" t="shared" si="32"/>
        <v>224874.544286692</v>
      </c>
      <c r="L128" s="46">
        <f ca="1" t="shared" si="32"/>
        <v>247293.340859473</v>
      </c>
      <c r="M128" s="46">
        <f ca="1" t="shared" si="32"/>
        <v>251222.103569225</v>
      </c>
      <c r="N128" s="46">
        <f ca="1" t="shared" si="32"/>
        <v>254933.340842344</v>
      </c>
      <c r="O128" s="46">
        <f ca="1" t="shared" si="32"/>
        <v>257697.377365116</v>
      </c>
      <c r="P128" s="46">
        <f ca="1" t="shared" si="32"/>
        <v>260053.097062994</v>
      </c>
      <c r="Q128" s="46">
        <f ca="1" t="shared" si="32"/>
        <v>262293.567215208</v>
      </c>
      <c r="R128" s="46">
        <f ca="1" t="shared" si="32"/>
        <v>263334.455995308</v>
      </c>
      <c r="S128" s="46">
        <f ca="1" t="shared" si="32"/>
        <v>264506.858077385</v>
      </c>
      <c r="T128" s="46">
        <f ca="1" t="shared" si="32"/>
        <v>265950.315939681</v>
      </c>
      <c r="U128" s="46">
        <f ca="1" t="shared" si="32"/>
        <v>267533.905498688</v>
      </c>
      <c r="V128" s="46">
        <f ca="1" t="shared" si="32"/>
        <v>269206.3996911</v>
      </c>
      <c r="W128" s="46">
        <f ca="1" t="shared" si="32"/>
        <v>270890.626504051</v>
      </c>
      <c r="X128" s="46">
        <f ca="1" t="shared" si="32"/>
        <v>272029.359291097</v>
      </c>
      <c r="Y128" s="46">
        <f ca="1" t="shared" si="32"/>
        <v>273420.766223228</v>
      </c>
      <c r="Z128" s="46">
        <f ca="1" t="shared" si="32"/>
        <v>275095.074300446</v>
      </c>
      <c r="AA128" s="46">
        <f ca="1" t="shared" si="32"/>
        <v>277053.581811674</v>
      </c>
      <c r="AB128" s="46">
        <f ca="1" t="shared" si="32"/>
        <v>279316.916158219</v>
      </c>
      <c r="AC128" s="46">
        <f ca="1" t="shared" si="32"/>
        <v>281934.52647247</v>
      </c>
      <c r="AD128" s="46">
        <f ca="1" t="shared" si="32"/>
        <v>285305.671310659</v>
      </c>
      <c r="AE128" s="46">
        <f ca="1" t="shared" si="32"/>
        <v>289286.715392635</v>
      </c>
      <c r="AF128" s="46">
        <f ca="1" t="shared" si="32"/>
        <v>292962.37419819</v>
      </c>
      <c r="AG128" s="46">
        <f ca="1" t="shared" si="32"/>
        <v>296435.152559073</v>
      </c>
      <c r="AH128" s="46">
        <f ca="1" t="shared" si="32"/>
        <v>299501.231903064</v>
      </c>
      <c r="AI128" s="46">
        <f ca="1" t="shared" si="32"/>
        <v>302183.343655257</v>
      </c>
      <c r="AJ128" s="46">
        <f ca="1" t="shared" si="32"/>
        <v>304772.259649171</v>
      </c>
      <c r="AK128" s="46">
        <f ca="1" t="shared" si="32"/>
        <v>307325.76125494</v>
      </c>
      <c r="AL128" s="46">
        <f ca="1" t="shared" si="32"/>
        <v>309867.296585874</v>
      </c>
      <c r="AM128" s="46">
        <f ca="1" t="shared" si="32"/>
        <v>312407.70883889</v>
      </c>
      <c r="AN128" s="46">
        <f ca="1" t="shared" si="32"/>
        <v>314937.270704533</v>
      </c>
      <c r="AO128" s="46">
        <f ca="1" t="shared" si="32"/>
        <v>320754.9631109</v>
      </c>
      <c r="AP128" s="46">
        <f ca="1" t="shared" si="32"/>
        <v>329519.022964587</v>
      </c>
      <c r="AQ128" s="46">
        <f ca="1" t="shared" si="32"/>
        <v>335337.801695593</v>
      </c>
      <c r="AR128" s="46">
        <f ca="1" t="shared" si="32"/>
        <v>340032.846362467</v>
      </c>
      <c r="AS128" s="46">
        <f ca="1" t="shared" si="32"/>
        <v>344244.060627274</v>
      </c>
      <c r="AT128" s="46">
        <f ca="1" t="shared" si="32"/>
        <v>348324.131265902</v>
      </c>
      <c r="AU128" s="46">
        <f ca="1" t="shared" si="32"/>
        <v>352343.952193838</v>
      </c>
      <c r="AV128" s="46">
        <f ca="1" t="shared" si="32"/>
        <v>356345.340397823</v>
      </c>
      <c r="AW128" s="46">
        <f ca="1" t="shared" si="32"/>
        <v>360342.423494465</v>
      </c>
      <c r="AX128" s="46">
        <f ca="1" t="shared" si="32"/>
        <v>364294.655176311</v>
      </c>
      <c r="AY128" s="46">
        <f ca="1" t="shared" si="32"/>
        <v>368267.707112583</v>
      </c>
      <c r="AZ128" s="47">
        <f ca="1" t="shared" si="32"/>
        <v>340867.891254889</v>
      </c>
    </row>
    <row r="129" spans="2:52">
      <c r="B129" s="32"/>
      <c r="C129" s="33" t="s">
        <v>1171</v>
      </c>
      <c r="D129" s="29" t="s">
        <v>130</v>
      </c>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5"/>
    </row>
    <row r="130" s="1" customFormat="1" ht="23.4" customHeight="1" spans="2:52">
      <c r="B130" s="57">
        <v>4</v>
      </c>
      <c r="C130" s="58" t="s">
        <v>1172</v>
      </c>
      <c r="D130" s="59" t="s">
        <v>130</v>
      </c>
      <c r="E130" s="60">
        <f ca="1">E103+E57</f>
        <v>95511.3167916022</v>
      </c>
      <c r="F130" s="60">
        <f ca="1">F103+F57</f>
        <v>191414.252600782</v>
      </c>
      <c r="G130" s="60">
        <f ca="1" t="shared" ref="G130:M130" si="33">G103+G57</f>
        <v>302941.625054648</v>
      </c>
      <c r="H130" s="60">
        <f ca="1" t="shared" si="33"/>
        <v>427924.202661033</v>
      </c>
      <c r="I130" s="60">
        <f ca="1" t="shared" si="33"/>
        <v>595735.745573989</v>
      </c>
      <c r="J130" s="60">
        <f ca="1" t="shared" si="33"/>
        <v>756158.070817838</v>
      </c>
      <c r="K130" s="60">
        <f ca="1" t="shared" si="33"/>
        <v>899498.177146767</v>
      </c>
      <c r="L130" s="60">
        <f ca="1" t="shared" si="33"/>
        <v>967765.267854762</v>
      </c>
      <c r="M130" s="60">
        <f ca="1" t="shared" si="33"/>
        <v>943477.833692588</v>
      </c>
      <c r="N130" s="60">
        <f ca="1" t="shared" ref="N130:W130" si="34">N103+N57</f>
        <v>900817.67119708</v>
      </c>
      <c r="O130" s="60">
        <f ca="1" t="shared" si="34"/>
        <v>858157.508701572</v>
      </c>
      <c r="P130" s="60">
        <f ca="1" t="shared" si="34"/>
        <v>815497.346206064</v>
      </c>
      <c r="Q130" s="60">
        <f ca="1" t="shared" si="34"/>
        <v>772837.183710557</v>
      </c>
      <c r="R130" s="60">
        <f ca="1" t="shared" si="34"/>
        <v>733615.813724908</v>
      </c>
      <c r="S130" s="60">
        <f ca="1" t="shared" si="34"/>
        <v>701985.240787346</v>
      </c>
      <c r="T130" s="60">
        <f ca="1" t="shared" si="34"/>
        <v>670354.667849784</v>
      </c>
      <c r="U130" s="60">
        <f ca="1" t="shared" si="34"/>
        <v>638724.094912222</v>
      </c>
      <c r="V130" s="60">
        <f ca="1" t="shared" si="34"/>
        <v>607093.52197466</v>
      </c>
      <c r="W130" s="60">
        <f ca="1" t="shared" si="34"/>
        <v>577083.169058207</v>
      </c>
      <c r="X130" s="60">
        <f ca="1" t="shared" ref="X130:AK130" si="35">X103+X57</f>
        <v>562025.428384995</v>
      </c>
      <c r="Y130" s="60">
        <f ca="1" t="shared" si="35"/>
        <v>528934.063858572</v>
      </c>
      <c r="Z130" s="60">
        <f ca="1" t="shared" si="35"/>
        <v>495842.699332149</v>
      </c>
      <c r="AA130" s="60">
        <f ca="1" t="shared" si="35"/>
        <v>462751.334805726</v>
      </c>
      <c r="AB130" s="60">
        <f ca="1" t="shared" si="35"/>
        <v>430118.685875633</v>
      </c>
      <c r="AC130" s="60">
        <f ca="1" t="shared" si="35"/>
        <v>397027.32134921</v>
      </c>
      <c r="AD130" s="60">
        <f ca="1" t="shared" si="35"/>
        <v>365695.216082046</v>
      </c>
      <c r="AE130" s="60">
        <f ca="1" t="shared" si="35"/>
        <v>338153.507406164</v>
      </c>
      <c r="AF130" s="60">
        <f ca="1" t="shared" si="35"/>
        <v>309521.865101963</v>
      </c>
      <c r="AG130" s="60">
        <f ca="1" t="shared" si="35"/>
        <v>300791.81922574</v>
      </c>
      <c r="AH130" s="60">
        <f ca="1" t="shared" si="35"/>
        <v>303847.898569732</v>
      </c>
      <c r="AI130" s="60">
        <f ca="1" t="shared" si="35"/>
        <v>306520.010321924</v>
      </c>
      <c r="AJ130" s="60">
        <f ca="1" t="shared" si="35"/>
        <v>309098.926315838</v>
      </c>
      <c r="AK130" s="60">
        <f ca="1" t="shared" si="35"/>
        <v>311642.427921607</v>
      </c>
      <c r="AL130" s="60">
        <f ca="1" t="shared" ref="AL130:AZ130" si="36">AL103+AL57</f>
        <v>314173.963252541</v>
      </c>
      <c r="AM130" s="60">
        <f ca="1" t="shared" si="36"/>
        <v>316704.375505557</v>
      </c>
      <c r="AN130" s="60">
        <f ca="1" t="shared" si="36"/>
        <v>319223.9373712</v>
      </c>
      <c r="AO130" s="60">
        <f ca="1" t="shared" si="36"/>
        <v>325031.629777567</v>
      </c>
      <c r="AP130" s="60">
        <f ca="1" t="shared" si="36"/>
        <v>333785.689631254</v>
      </c>
      <c r="AQ130" s="60">
        <f ca="1" t="shared" si="36"/>
        <v>339594.46836226</v>
      </c>
      <c r="AR130" s="60">
        <f ca="1" t="shared" si="36"/>
        <v>344279.513029134</v>
      </c>
      <c r="AS130" s="60">
        <f ca="1" t="shared" si="36"/>
        <v>348480.727293941</v>
      </c>
      <c r="AT130" s="60">
        <f ca="1" t="shared" si="36"/>
        <v>352550.797932569</v>
      </c>
      <c r="AU130" s="60">
        <f ca="1" t="shared" si="36"/>
        <v>356560.618860505</v>
      </c>
      <c r="AV130" s="60">
        <f ca="1" t="shared" si="36"/>
        <v>360552.00706449</v>
      </c>
      <c r="AW130" s="60">
        <f ca="1" t="shared" si="36"/>
        <v>364539.090161132</v>
      </c>
      <c r="AX130" s="60">
        <f ca="1" t="shared" si="36"/>
        <v>368481.321842978</v>
      </c>
      <c r="AY130" s="60">
        <f ca="1" t="shared" si="36"/>
        <v>372444.37377925</v>
      </c>
      <c r="AZ130" s="61">
        <f ca="1" t="shared" si="36"/>
        <v>345034.557921556</v>
      </c>
    </row>
    <row r="131" s="5" customFormat="1" ht="27.6" customHeight="1" spans="2:52">
      <c r="B131" s="62"/>
      <c r="C131" s="63" t="s">
        <v>1173</v>
      </c>
      <c r="D131" s="62"/>
      <c r="E131" s="64">
        <f ca="1">E5-E130</f>
        <v>0</v>
      </c>
      <c r="F131" s="64">
        <f ca="1">F5-F130</f>
        <v>0</v>
      </c>
      <c r="G131" s="64">
        <f ca="1" t="shared" ref="G131:M131" si="37">G5-G130</f>
        <v>0</v>
      </c>
      <c r="H131" s="64">
        <f ca="1" t="shared" si="37"/>
        <v>0</v>
      </c>
      <c r="I131" s="64">
        <f ca="1" t="shared" si="37"/>
        <v>0</v>
      </c>
      <c r="J131" s="64">
        <f ca="1" t="shared" si="37"/>
        <v>0</v>
      </c>
      <c r="K131" s="64">
        <f ca="1" t="shared" si="37"/>
        <v>0</v>
      </c>
      <c r="L131" s="64">
        <f ca="1" t="shared" si="37"/>
        <v>0</v>
      </c>
      <c r="M131" s="64">
        <f ca="1" t="shared" si="37"/>
        <v>0</v>
      </c>
      <c r="N131" s="64">
        <f ca="1" t="shared" ref="N131:W131" si="38">N5-N130</f>
        <v>0</v>
      </c>
      <c r="O131" s="64">
        <f ca="1" t="shared" si="38"/>
        <v>-9.31322574615479e-10</v>
      </c>
      <c r="P131" s="64">
        <f ca="1" t="shared" si="38"/>
        <v>-1.16415321826935e-9</v>
      </c>
      <c r="Q131" s="64">
        <f ca="1" t="shared" si="38"/>
        <v>-1.51339918375015e-9</v>
      </c>
      <c r="R131" s="64">
        <f ca="1" t="shared" si="38"/>
        <v>-1.74622982740402e-9</v>
      </c>
      <c r="S131" s="64">
        <f ca="1" t="shared" si="38"/>
        <v>-2.09547579288483e-9</v>
      </c>
      <c r="T131" s="64">
        <f ca="1" t="shared" si="38"/>
        <v>-2.44472175836563e-9</v>
      </c>
      <c r="U131" s="64">
        <f ca="1" t="shared" si="38"/>
        <v>-2.6775524020195e-9</v>
      </c>
      <c r="V131" s="64">
        <f ca="1" t="shared" si="38"/>
        <v>-2.91038304567337e-9</v>
      </c>
      <c r="W131" s="64">
        <f ca="1" t="shared" si="38"/>
        <v>-3.14321368932724e-9</v>
      </c>
      <c r="X131" s="64">
        <f ca="1" t="shared" ref="X131:AK131" si="39">X5-X130</f>
        <v>-3.37604433298111e-9</v>
      </c>
      <c r="Y131" s="64">
        <f ca="1" t="shared" si="39"/>
        <v>-3.60887497663498e-9</v>
      </c>
      <c r="Z131" s="64">
        <f ca="1" t="shared" si="39"/>
        <v>-3.84170562028885e-9</v>
      </c>
      <c r="AA131" s="64">
        <f ca="1" t="shared" si="39"/>
        <v>-4.07453626394272e-9</v>
      </c>
      <c r="AB131" s="64">
        <f ca="1" t="shared" si="39"/>
        <v>-4.36557456851006e-9</v>
      </c>
      <c r="AC131" s="64">
        <f ca="1" t="shared" si="39"/>
        <v>-4.65661287307739e-9</v>
      </c>
      <c r="AD131" s="64">
        <f ca="1" t="shared" si="39"/>
        <v>-5.0058588385582e-9</v>
      </c>
      <c r="AE131" s="64">
        <f ca="1" t="shared" si="39"/>
        <v>-5.29689714312553e-9</v>
      </c>
      <c r="AF131" s="64">
        <f ca="1" t="shared" si="39"/>
        <v>-5.47152012586594e-9</v>
      </c>
      <c r="AG131" s="64">
        <f ca="1" t="shared" si="39"/>
        <v>-5.64614310860634e-9</v>
      </c>
      <c r="AH131" s="64">
        <f ca="1" t="shared" si="39"/>
        <v>-5.87897375226021e-9</v>
      </c>
      <c r="AI131" s="64">
        <f ca="1" t="shared" si="39"/>
        <v>-6.11180439591408e-9</v>
      </c>
      <c r="AJ131" s="64">
        <f ca="1" t="shared" si="39"/>
        <v>-6.28642737865448e-9</v>
      </c>
      <c r="AK131" s="64">
        <f ca="1" t="shared" si="39"/>
        <v>-6.46105036139488e-9</v>
      </c>
      <c r="AL131" s="64">
        <f ca="1" t="shared" ref="AL131:AZ131" si="40">AL5-AL130</f>
        <v>-6.69388100504875e-9</v>
      </c>
      <c r="AM131" s="64">
        <f ca="1" t="shared" si="40"/>
        <v>-6.86850398778915e-9</v>
      </c>
      <c r="AN131" s="64">
        <f ca="1" t="shared" si="40"/>
        <v>-7.10133463144302e-9</v>
      </c>
      <c r="AO131" s="64">
        <f ca="1" t="shared" si="40"/>
        <v>-7.39237293601036e-9</v>
      </c>
      <c r="AP131" s="64">
        <f ca="1" t="shared" si="40"/>
        <v>-7.74161890149117e-9</v>
      </c>
      <c r="AQ131" s="64">
        <f ca="1" t="shared" si="40"/>
        <v>-7.8580342233181e-9</v>
      </c>
      <c r="AR131" s="64">
        <f ca="1" t="shared" si="40"/>
        <v>-8.14907252788544e-9</v>
      </c>
      <c r="AS131" s="64">
        <f ca="1" t="shared" si="40"/>
        <v>-8.32369551062584e-9</v>
      </c>
      <c r="AT131" s="64">
        <f ca="1" t="shared" si="40"/>
        <v>-8.61473381519318e-9</v>
      </c>
      <c r="AU131" s="64">
        <f ca="1" t="shared" si="40"/>
        <v>-8.78935679793358e-9</v>
      </c>
      <c r="AV131" s="64">
        <f ca="1" t="shared" si="40"/>
        <v>-9.25501808524132e-9</v>
      </c>
      <c r="AW131" s="64">
        <f ca="1" t="shared" si="40"/>
        <v>-9.42964106798172e-9</v>
      </c>
      <c r="AX131" s="64">
        <f ca="1" t="shared" si="40"/>
        <v>-9.60426405072212e-9</v>
      </c>
      <c r="AY131" s="64">
        <f ca="1" t="shared" si="40"/>
        <v>-9.89530235528946e-9</v>
      </c>
      <c r="AZ131" s="64">
        <f ca="1" t="shared" si="40"/>
        <v>-9.72067937254906e-9</v>
      </c>
    </row>
    <row r="134" ht="22.5" spans="2:52">
      <c r="C134" s="65" t="s">
        <v>356</v>
      </c>
    </row>
    <row r="135" ht="20" spans="2:52">
      <c r="C135" s="66">
        <f ca="1">SUM(E131:AZ131)</f>
        <v>-2.14145984500647e-7</v>
      </c>
    </row>
  </sheetData>
  <mergeCells count="3">
    <mergeCell ref="B3:B4"/>
    <mergeCell ref="C3:C4"/>
    <mergeCell ref="D3:D4"/>
  </mergeCells>
  <conditionalFormatting sqref="E131:AZ131">
    <cfRule type="cellIs" dxfId="2" priority="1" operator="notEqual">
      <formula>0</formula>
    </cfRule>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神州网信技术有限公司</Company>
  <Application>Microsoft Excel</Application>
  <HeadingPairs>
    <vt:vector size="2" baseType="variant">
      <vt:variant>
        <vt:lpstr>工作表</vt:lpstr>
      </vt:variant>
      <vt:variant>
        <vt:i4>14</vt:i4>
      </vt:variant>
    </vt:vector>
  </HeadingPairs>
  <TitlesOfParts>
    <vt:vector size="14" baseType="lpstr">
      <vt:lpstr>参数输入表</vt:lpstr>
      <vt:lpstr>时间序列</vt:lpstr>
      <vt:lpstr>投产&amp;达产比例</vt:lpstr>
      <vt:lpstr>投资概算明细</vt:lpstr>
      <vt:lpstr>表1-资金筹措及还本付息表</vt:lpstr>
      <vt:lpstr>表2-折旧摊销表</vt:lpstr>
      <vt:lpstr>表3-成本费用表</vt:lpstr>
      <vt:lpstr>表4-收入税金表</vt:lpstr>
      <vt:lpstr>表5-利润表-资本金</vt:lpstr>
      <vt:lpstr>表6-现金流量表-资本金</vt:lpstr>
      <vt:lpstr>表7-利润表-全投资</vt:lpstr>
      <vt:lpstr>表8-现金流量表-全投资</vt:lpstr>
      <vt:lpstr>表9-现金流量表-财务计划</vt:lpstr>
      <vt:lpstr>表10-资产负债表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WPS_1591352741</cp:lastModifiedBy>
  <dcterms:created xsi:type="dcterms:W3CDTF">2023-08-01T06:25:00Z</dcterms:created>
  <dcterms:modified xsi:type="dcterms:W3CDTF">2025-12-24T14:01:03Z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620D174B36B8425F819755FF2FF5B9D4</vt:lpwstr>
  </property>
  <property fmtid="{D5CDD505-2E9C-101B-9397-08002B2CF9AE}" pid="3" name="KSOProductBuildVer">
    <vt:lpwstr>2052-12.1.0.24034</vt:lpwstr>
  </property>
  <property fmtid="{D5CDD505-2E9C-101B-9397-08002B2CF9AE}" pid="4" name="CalculationRule">
    <vt:i4>0</vt:i4>
  </property>
</Properties>
</file>